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intel-my.sharepoint.com/personal/marina_kovshov_intel_com/Documents/Desktop/"/>
    </mc:Choice>
  </mc:AlternateContent>
  <xr:revisionPtr revIDLastSave="0" documentId="13_ncr:1_{C33A4972-0919-4C8C-9EB1-A392F7EA5971}" xr6:coauthVersionLast="45" xr6:coauthVersionMax="45" xr10:uidLastSave="{00000000-0000-0000-0000-000000000000}"/>
  <bookViews>
    <workbookView xWindow="1536" yWindow="1536" windowWidth="13716" windowHeight="10668" xr2:uid="{00000000-000D-0000-FFFF-FFFF00000000}"/>
  </bookViews>
  <sheets>
    <sheet name="ADPLL_Config" sheetId="1" r:id="rId1"/>
    <sheet name="Sheet1" sheetId="44" r:id="rId2"/>
    <sheet name="Sheet3" sheetId="45" r:id="rId3"/>
    <sheet name="Sheet2" sheetId="2" state="hidden" r:id="rId4"/>
    <sheet name="lists" sheetId="19" state="hidden" r:id="rId5"/>
    <sheet name="rel-notes" sheetId="43" r:id="rId6"/>
  </sheets>
  <functionGroups builtInGroupCount="19"/>
  <externalReferences>
    <externalReference r:id="rId7"/>
  </externalReferences>
  <definedNames>
    <definedName name="_xlnm._FilterDatabase" localSheetId="0" hidden="1">ADPLL_Config!$A$1:$L$441</definedName>
    <definedName name="BLOCK_NAMES">Sheet2!$A$10:$A$14</definedName>
    <definedName name="BOOLEAN">Sheet2!$H$10:$H$11</definedName>
    <definedName name="default">[1]List!$J$1:$J$5</definedName>
    <definedName name="DEFAULT_TYPE" comment="types for defining registers defaults.">lists!$B$2:$B$26</definedName>
    <definedName name="hw_type">Sheet2!$D$10:$D$12</definedName>
    <definedName name="hwclr">Sheet2!$D$10:$D$11</definedName>
    <definedName name="hwtype">Sheet2!$D$10:$D$11</definedName>
    <definedName name="REG_TYPE">lists!$A$2:$A$26</definedName>
  </definedNames>
  <calcPr calcId="191029"/>
  <customWorkbookViews>
    <customWorkbookView name="Virobnik, Udi - Personal View" guid="{2BBBE5B5-B14C-4BF7-9B95-9EEB3666FF3B}" mergeInterval="0" personalView="1" maximized="1" windowWidth="1920" windowHeight="855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71" i="1" l="1"/>
  <c r="E172" i="1" s="1"/>
  <c r="E173" i="1" s="1"/>
  <c r="E174" i="1" s="1"/>
  <c r="E175" i="1" s="1"/>
  <c r="E176" i="1" s="1"/>
  <c r="E177" i="1" s="1"/>
  <c r="E178" i="1" s="1"/>
  <c r="E179" i="1" s="1"/>
  <c r="E161" i="1"/>
  <c r="E162" i="1" s="1"/>
  <c r="E163" i="1" s="1"/>
  <c r="E164" i="1" s="1"/>
  <c r="E165" i="1" s="1"/>
  <c r="E166" i="1" s="1"/>
  <c r="E167" i="1" s="1"/>
  <c r="E168" i="1" s="1"/>
  <c r="E169" i="1" s="1"/>
  <c r="E154" i="1"/>
  <c r="E155" i="1" s="1"/>
  <c r="E156" i="1" s="1"/>
  <c r="E157" i="1" s="1"/>
  <c r="E158" i="1" s="1"/>
  <c r="E159" i="1" s="1"/>
  <c r="E145" i="1"/>
  <c r="E146" i="1" s="1"/>
  <c r="E147" i="1" s="1"/>
  <c r="E148" i="1" s="1"/>
  <c r="E149" i="1" s="1"/>
  <c r="E150" i="1" s="1"/>
  <c r="E151" i="1" s="1"/>
  <c r="E152" i="1" s="1"/>
  <c r="E302" i="1"/>
  <c r="E303" i="1" s="1"/>
  <c r="E304" i="1" s="1"/>
  <c r="E305" i="1" s="1"/>
  <c r="E306" i="1" s="1"/>
  <c r="E307" i="1" s="1"/>
  <c r="E308" i="1" s="1"/>
  <c r="E309" i="1" s="1"/>
  <c r="E310" i="1" s="1"/>
  <c r="E292" i="1"/>
  <c r="E293" i="1" s="1"/>
  <c r="E294" i="1" s="1"/>
  <c r="E295" i="1" s="1"/>
  <c r="E296" i="1" s="1"/>
  <c r="E297" i="1" s="1"/>
  <c r="E298" i="1" s="1"/>
  <c r="E299" i="1" s="1"/>
  <c r="E300" i="1" s="1"/>
  <c r="E285" i="1"/>
  <c r="E286" i="1" s="1"/>
  <c r="E287" i="1" s="1"/>
  <c r="E288" i="1" s="1"/>
  <c r="E289" i="1" s="1"/>
  <c r="E290" i="1" s="1"/>
  <c r="E276" i="1"/>
  <c r="E277" i="1" s="1"/>
  <c r="E278" i="1" s="1"/>
  <c r="E279" i="1" s="1"/>
  <c r="E280" i="1" s="1"/>
  <c r="E281" i="1" s="1"/>
  <c r="E282" i="1" s="1"/>
  <c r="E283" i="1" s="1"/>
  <c r="E433" i="1"/>
  <c r="E434" i="1" s="1"/>
  <c r="E435" i="1" s="1"/>
  <c r="E436" i="1" s="1"/>
  <c r="E437" i="1" s="1"/>
  <c r="E438" i="1" s="1"/>
  <c r="E439" i="1" s="1"/>
  <c r="E440" i="1" s="1"/>
  <c r="E441" i="1" s="1"/>
  <c r="E423" i="1"/>
  <c r="E424" i="1" s="1"/>
  <c r="E425" i="1" s="1"/>
  <c r="E426" i="1" s="1"/>
  <c r="E427" i="1" s="1"/>
  <c r="E428" i="1" s="1"/>
  <c r="E429" i="1" s="1"/>
  <c r="E430" i="1" s="1"/>
  <c r="E431" i="1" s="1"/>
  <c r="E416" i="1"/>
  <c r="E417" i="1" s="1"/>
  <c r="E418" i="1" s="1"/>
  <c r="E419" i="1" s="1"/>
  <c r="E420" i="1" s="1"/>
  <c r="E421" i="1" s="1"/>
  <c r="E407" i="1"/>
  <c r="E408" i="1" s="1"/>
  <c r="E409" i="1" s="1"/>
  <c r="E410" i="1" s="1"/>
  <c r="E411" i="1" s="1"/>
  <c r="E412" i="1" s="1"/>
  <c r="E413" i="1" s="1"/>
  <c r="E414" i="1" s="1"/>
  <c r="J95" i="1"/>
  <c r="J61" i="1"/>
  <c r="D61" i="1"/>
  <c r="J43" i="1"/>
  <c r="D43" i="1"/>
  <c r="D95" i="1"/>
  <c r="J78" i="1"/>
  <c r="D78" i="1"/>
  <c r="E493" i="1" l="1"/>
  <c r="E494" i="1" s="1"/>
  <c r="E495" i="1" s="1"/>
  <c r="E496" i="1" s="1"/>
  <c r="E497" i="1" s="1"/>
  <c r="E362" i="1"/>
  <c r="E363" i="1" s="1"/>
  <c r="E364" i="1" s="1"/>
  <c r="E365" i="1" s="1"/>
  <c r="E366" i="1" s="1"/>
  <c r="E231" i="1"/>
  <c r="E232" i="1" s="1"/>
  <c r="E233" i="1" s="1"/>
  <c r="E234" i="1" s="1"/>
  <c r="E235" i="1" s="1"/>
  <c r="E217" i="1"/>
  <c r="E218" i="1" s="1"/>
  <c r="E219" i="1" s="1"/>
  <c r="E220" i="1" s="1"/>
  <c r="E221" i="1" s="1"/>
  <c r="E479" i="1"/>
  <c r="E480" i="1" s="1"/>
  <c r="E481" i="1" s="1"/>
  <c r="E482" i="1" s="1"/>
  <c r="E483" i="1" s="1"/>
  <c r="E348" i="1"/>
  <c r="E349" i="1" s="1"/>
  <c r="E350" i="1" s="1"/>
  <c r="E351" i="1" s="1"/>
  <c r="E352" i="1" s="1"/>
  <c r="E465" i="1"/>
  <c r="E466" i="1" s="1"/>
  <c r="E467" i="1" s="1"/>
  <c r="E468" i="1" s="1"/>
  <c r="E469" i="1" s="1"/>
  <c r="E334" i="1"/>
  <c r="E335" i="1" s="1"/>
  <c r="E336" i="1" s="1"/>
  <c r="E337" i="1" s="1"/>
  <c r="E338" i="1" s="1"/>
  <c r="E203" i="1"/>
  <c r="E204" i="1" s="1"/>
  <c r="E205" i="1" s="1"/>
  <c r="E206" i="1" s="1"/>
  <c r="E207" i="1" s="1"/>
  <c r="E451" i="1"/>
  <c r="E452" i="1" s="1"/>
  <c r="E453" i="1" s="1"/>
  <c r="E454" i="1" s="1"/>
  <c r="E455" i="1" s="1"/>
  <c r="E320" i="1"/>
  <c r="E321" i="1" s="1"/>
  <c r="E322" i="1" s="1"/>
  <c r="E323" i="1" s="1"/>
  <c r="E324" i="1" s="1"/>
  <c r="E189" i="1"/>
  <c r="E190" i="1" s="1"/>
  <c r="E191" i="1" s="1"/>
  <c r="E192" i="1" s="1"/>
  <c r="E193" i="1" s="1"/>
  <c r="E103" i="1"/>
  <c r="E104" i="1" s="1"/>
  <c r="E105" i="1" s="1"/>
  <c r="E106" i="1" s="1"/>
  <c r="E107" i="1" s="1"/>
  <c r="E85" i="1"/>
  <c r="E86" i="1" s="1"/>
  <c r="E87" i="1" s="1"/>
  <c r="E88" i="1" s="1"/>
  <c r="E89" i="1" s="1"/>
  <c r="E68" i="1"/>
  <c r="E69" i="1" s="1"/>
  <c r="E70" i="1" s="1"/>
  <c r="E71" i="1" s="1"/>
  <c r="E72" i="1" s="1"/>
  <c r="D90" i="1"/>
  <c r="B153" i="1" l="1"/>
  <c r="D160" i="1"/>
  <c r="D432" i="1"/>
  <c r="D301" i="1"/>
  <c r="D170" i="1"/>
  <c r="D153" i="1"/>
  <c r="D284" i="1"/>
  <c r="D291" i="1"/>
  <c r="D415" i="1"/>
  <c r="D422" i="1"/>
  <c r="E526" i="1" l="1"/>
  <c r="E527" i="1" s="1"/>
  <c r="E528" i="1" s="1"/>
  <c r="E529" i="1" s="1"/>
  <c r="E530" i="1" s="1"/>
  <c r="E531" i="1" s="1"/>
  <c r="E532" i="1" s="1"/>
  <c r="E533" i="1" s="1"/>
  <c r="E517" i="1"/>
  <c r="E518" i="1" s="1"/>
  <c r="E519" i="1" s="1"/>
  <c r="E520" i="1" s="1"/>
  <c r="E521" i="1" s="1"/>
  <c r="E522" i="1" s="1"/>
  <c r="E523" i="1" s="1"/>
  <c r="E524" i="1" s="1"/>
  <c r="E508" i="1"/>
  <c r="E509" i="1" s="1"/>
  <c r="E510" i="1" s="1"/>
  <c r="E511" i="1" s="1"/>
  <c r="E512" i="1" s="1"/>
  <c r="E513" i="1" s="1"/>
  <c r="E514" i="1" s="1"/>
  <c r="E515" i="1" s="1"/>
  <c r="E499" i="1"/>
  <c r="E500" i="1" s="1"/>
  <c r="E501" i="1" s="1"/>
  <c r="E502" i="1" s="1"/>
  <c r="E503" i="1" s="1"/>
  <c r="E504" i="1" s="1"/>
  <c r="E505" i="1" s="1"/>
  <c r="E506" i="1" s="1"/>
  <c r="E398" i="1"/>
  <c r="E399" i="1" s="1"/>
  <c r="E400" i="1" s="1"/>
  <c r="E401" i="1" s="1"/>
  <c r="E402" i="1" s="1"/>
  <c r="E403" i="1" s="1"/>
  <c r="E404" i="1" s="1"/>
  <c r="E405" i="1" s="1"/>
  <c r="E389" i="1"/>
  <c r="E390" i="1" s="1"/>
  <c r="E391" i="1" s="1"/>
  <c r="E392" i="1" s="1"/>
  <c r="E393" i="1" s="1"/>
  <c r="E394" i="1" s="1"/>
  <c r="E395" i="1" s="1"/>
  <c r="E396" i="1" s="1"/>
  <c r="E377" i="1"/>
  <c r="E378" i="1" s="1"/>
  <c r="E379" i="1" s="1"/>
  <c r="E380" i="1" s="1"/>
  <c r="E381" i="1" s="1"/>
  <c r="E382" i="1" s="1"/>
  <c r="E383" i="1" s="1"/>
  <c r="E384" i="1" s="1"/>
  <c r="E385" i="1" s="1"/>
  <c r="E386" i="1" s="1"/>
  <c r="E387" i="1" s="1"/>
  <c r="E368" i="1"/>
  <c r="E369" i="1" s="1"/>
  <c r="E370" i="1" s="1"/>
  <c r="E371" i="1" s="1"/>
  <c r="E372" i="1" s="1"/>
  <c r="E373" i="1" s="1"/>
  <c r="E374" i="1" s="1"/>
  <c r="E375" i="1" s="1"/>
  <c r="E267" i="1"/>
  <c r="E268" i="1" s="1"/>
  <c r="E269" i="1" s="1"/>
  <c r="E270" i="1" s="1"/>
  <c r="E271" i="1" s="1"/>
  <c r="E272" i="1" s="1"/>
  <c r="E273" i="1" s="1"/>
  <c r="E274" i="1" s="1"/>
  <c r="E255" i="1"/>
  <c r="E256" i="1" s="1"/>
  <c r="E257" i="1" s="1"/>
  <c r="E258" i="1" s="1"/>
  <c r="E259" i="1" s="1"/>
  <c r="E260" i="1" s="1"/>
  <c r="E261" i="1" s="1"/>
  <c r="E262" i="1" s="1"/>
  <c r="E263" i="1" s="1"/>
  <c r="E264" i="1" s="1"/>
  <c r="E265" i="1" s="1"/>
  <c r="E246" i="1"/>
  <c r="E247" i="1" s="1"/>
  <c r="E248" i="1" s="1"/>
  <c r="E249" i="1" s="1"/>
  <c r="E250" i="1" s="1"/>
  <c r="E251" i="1" s="1"/>
  <c r="E252" i="1" s="1"/>
  <c r="E253" i="1" s="1"/>
  <c r="E237" i="1"/>
  <c r="E238" i="1" s="1"/>
  <c r="E239" i="1" s="1"/>
  <c r="E240" i="1" s="1"/>
  <c r="E241" i="1" s="1"/>
  <c r="E242" i="1" s="1"/>
  <c r="E243" i="1" s="1"/>
  <c r="E244" i="1" s="1"/>
  <c r="E136" i="1"/>
  <c r="E137" i="1" s="1"/>
  <c r="E138" i="1" s="1"/>
  <c r="E139" i="1" s="1"/>
  <c r="E140" i="1" s="1"/>
  <c r="E141" i="1" s="1"/>
  <c r="E142" i="1" s="1"/>
  <c r="E143" i="1" s="1"/>
  <c r="E127" i="1"/>
  <c r="E128" i="1" s="1"/>
  <c r="E129" i="1" s="1"/>
  <c r="E130" i="1" s="1"/>
  <c r="E131" i="1" s="1"/>
  <c r="E132" i="1" s="1"/>
  <c r="E133" i="1" s="1"/>
  <c r="E134" i="1" s="1"/>
  <c r="E118" i="1"/>
  <c r="E119" i="1" s="1"/>
  <c r="E120" i="1" s="1"/>
  <c r="E121" i="1" s="1"/>
  <c r="E122" i="1" s="1"/>
  <c r="E123" i="1" s="1"/>
  <c r="E124" i="1" s="1"/>
  <c r="E125" i="1" s="1"/>
  <c r="D117" i="1"/>
  <c r="B275" i="1" l="1"/>
  <c r="M275" i="1"/>
  <c r="Q275" i="1"/>
  <c r="Q525" i="1"/>
  <c r="M525" i="1"/>
  <c r="B525" i="1"/>
  <c r="Q516" i="1"/>
  <c r="M516" i="1"/>
  <c r="B516" i="1"/>
  <c r="Q507" i="1"/>
  <c r="M507" i="1"/>
  <c r="B507" i="1"/>
  <c r="Q498" i="1"/>
  <c r="M498" i="1"/>
  <c r="B498" i="1"/>
  <c r="Q492" i="1"/>
  <c r="M492" i="1"/>
  <c r="B492" i="1"/>
  <c r="E490" i="1"/>
  <c r="E491" i="1" s="1"/>
  <c r="Q489" i="1"/>
  <c r="M489" i="1"/>
  <c r="B489" i="1"/>
  <c r="E485" i="1"/>
  <c r="E486" i="1" s="1"/>
  <c r="E487" i="1" s="1"/>
  <c r="E488" i="1" s="1"/>
  <c r="Q484" i="1"/>
  <c r="M484" i="1"/>
  <c r="B484" i="1"/>
  <c r="Q478" i="1"/>
  <c r="M478" i="1"/>
  <c r="B478" i="1"/>
  <c r="E476" i="1"/>
  <c r="E477" i="1" s="1"/>
  <c r="Q475" i="1"/>
  <c r="M475" i="1"/>
  <c r="B475" i="1"/>
  <c r="E471" i="1"/>
  <c r="E472" i="1" s="1"/>
  <c r="E473" i="1" s="1"/>
  <c r="E474" i="1" s="1"/>
  <c r="Q470" i="1"/>
  <c r="M470" i="1"/>
  <c r="B470" i="1"/>
  <c r="Q464" i="1"/>
  <c r="M464" i="1"/>
  <c r="B464" i="1"/>
  <c r="E462" i="1"/>
  <c r="E463" i="1" s="1"/>
  <c r="Q461" i="1"/>
  <c r="M461" i="1"/>
  <c r="B461" i="1"/>
  <c r="E457" i="1"/>
  <c r="E458" i="1" s="1"/>
  <c r="E459" i="1" s="1"/>
  <c r="E460" i="1" s="1"/>
  <c r="Q456" i="1"/>
  <c r="M456" i="1"/>
  <c r="B456" i="1"/>
  <c r="Q450" i="1"/>
  <c r="M450" i="1"/>
  <c r="B450" i="1"/>
  <c r="E448" i="1"/>
  <c r="E449" i="1" s="1"/>
  <c r="P447" i="1"/>
  <c r="M447" i="1" s="1"/>
  <c r="E443" i="1"/>
  <c r="E444" i="1" s="1"/>
  <c r="E445" i="1" s="1"/>
  <c r="E446" i="1" s="1"/>
  <c r="Q442" i="1"/>
  <c r="M442" i="1"/>
  <c r="B442" i="1"/>
  <c r="Q432" i="1"/>
  <c r="M432" i="1"/>
  <c r="B432" i="1"/>
  <c r="Q422" i="1"/>
  <c r="M422" i="1"/>
  <c r="B422" i="1"/>
  <c r="Q415" i="1"/>
  <c r="M415" i="1"/>
  <c r="B415" i="1"/>
  <c r="Q406" i="1"/>
  <c r="M406" i="1"/>
  <c r="B406" i="1"/>
  <c r="Q397" i="1"/>
  <c r="M397" i="1"/>
  <c r="B397" i="1"/>
  <c r="Q388" i="1"/>
  <c r="M388" i="1"/>
  <c r="B388" i="1"/>
  <c r="Q376" i="1"/>
  <c r="M376" i="1"/>
  <c r="B376" i="1"/>
  <c r="Q367" i="1"/>
  <c r="M367" i="1"/>
  <c r="B367" i="1"/>
  <c r="Q361" i="1"/>
  <c r="M361" i="1"/>
  <c r="B361" i="1"/>
  <c r="E359" i="1"/>
  <c r="E360" i="1" s="1"/>
  <c r="Q358" i="1"/>
  <c r="M358" i="1"/>
  <c r="B358" i="1"/>
  <c r="E354" i="1"/>
  <c r="E355" i="1" s="1"/>
  <c r="E356" i="1" s="1"/>
  <c r="E357" i="1" s="1"/>
  <c r="Q353" i="1"/>
  <c r="M353" i="1"/>
  <c r="B353" i="1"/>
  <c r="Q347" i="1"/>
  <c r="M347" i="1"/>
  <c r="B347" i="1"/>
  <c r="E345" i="1"/>
  <c r="E346" i="1" s="1"/>
  <c r="Q344" i="1"/>
  <c r="M344" i="1"/>
  <c r="B344" i="1"/>
  <c r="E340" i="1"/>
  <c r="E341" i="1" s="1"/>
  <c r="E342" i="1" s="1"/>
  <c r="E343" i="1" s="1"/>
  <c r="Q339" i="1"/>
  <c r="M339" i="1"/>
  <c r="B339" i="1"/>
  <c r="Q333" i="1"/>
  <c r="M333" i="1"/>
  <c r="B333" i="1"/>
  <c r="E331" i="1"/>
  <c r="E332" i="1" s="1"/>
  <c r="Q330" i="1"/>
  <c r="M330" i="1"/>
  <c r="B330" i="1"/>
  <c r="E326" i="1"/>
  <c r="E327" i="1" s="1"/>
  <c r="E328" i="1" s="1"/>
  <c r="E329" i="1" s="1"/>
  <c r="Q325" i="1"/>
  <c r="M325" i="1"/>
  <c r="B325" i="1"/>
  <c r="Q319" i="1"/>
  <c r="M319" i="1"/>
  <c r="B319" i="1"/>
  <c r="E317" i="1"/>
  <c r="E318" i="1" s="1"/>
  <c r="Q316" i="1"/>
  <c r="M316" i="1"/>
  <c r="B316" i="1"/>
  <c r="E312" i="1"/>
  <c r="E313" i="1" s="1"/>
  <c r="E314" i="1" s="1"/>
  <c r="E315" i="1" s="1"/>
  <c r="Q311" i="1"/>
  <c r="M311" i="1"/>
  <c r="B311" i="1"/>
  <c r="Q301" i="1"/>
  <c r="M301" i="1"/>
  <c r="B301" i="1"/>
  <c r="Q291" i="1"/>
  <c r="M291" i="1"/>
  <c r="B291" i="1"/>
  <c r="Q284" i="1"/>
  <c r="M284" i="1"/>
  <c r="B284" i="1"/>
  <c r="J475" i="1"/>
  <c r="D516" i="1"/>
  <c r="D376" i="1"/>
  <c r="D507" i="1"/>
  <c r="J361" i="1"/>
  <c r="D484" i="1"/>
  <c r="J284" i="1"/>
  <c r="J291" i="1"/>
  <c r="D358" i="1"/>
  <c r="D406" i="1"/>
  <c r="J470" i="1"/>
  <c r="D319" i="1"/>
  <c r="J461" i="1"/>
  <c r="J516" i="1"/>
  <c r="J415" i="1"/>
  <c r="D330" i="1"/>
  <c r="D333" i="1"/>
  <c r="D464" i="1"/>
  <c r="D361" i="1"/>
  <c r="J347" i="1"/>
  <c r="J344" i="1"/>
  <c r="J498" i="1"/>
  <c r="D489" i="1"/>
  <c r="D311" i="1"/>
  <c r="D442" i="1"/>
  <c r="D347" i="1"/>
  <c r="D450" i="1"/>
  <c r="J316" i="1"/>
  <c r="J333" i="1"/>
  <c r="D525" i="1"/>
  <c r="J450" i="1"/>
  <c r="J489" i="1"/>
  <c r="D447" i="1"/>
  <c r="J330" i="1"/>
  <c r="J406" i="1"/>
  <c r="J301" i="1"/>
  <c r="J388" i="1"/>
  <c r="D470" i="1"/>
  <c r="J478" i="1"/>
  <c r="D367" i="1"/>
  <c r="J464" i="1"/>
  <c r="J367" i="1"/>
  <c r="J325" i="1"/>
  <c r="D397" i="1"/>
  <c r="J492" i="1"/>
  <c r="J311" i="1"/>
  <c r="J456" i="1"/>
  <c r="J397" i="1"/>
  <c r="J442" i="1"/>
  <c r="D275" i="1"/>
  <c r="J507" i="1"/>
  <c r="J275" i="1"/>
  <c r="D492" i="1"/>
  <c r="D388" i="1"/>
  <c r="J422" i="1"/>
  <c r="J358" i="1"/>
  <c r="J339" i="1"/>
  <c r="D353" i="1"/>
  <c r="D498" i="1"/>
  <c r="D461" i="1"/>
  <c r="J376" i="1"/>
  <c r="D475" i="1"/>
  <c r="D108" i="1"/>
  <c r="J108" i="1"/>
  <c r="D456" i="1"/>
  <c r="J447" i="1"/>
  <c r="D344" i="1"/>
  <c r="J525" i="1"/>
  <c r="J319" i="1"/>
  <c r="D478" i="1"/>
  <c r="J353" i="1"/>
  <c r="D325" i="1"/>
  <c r="D339" i="1"/>
  <c r="D316" i="1"/>
  <c r="J484" i="1"/>
  <c r="J432" i="1"/>
  <c r="S275" i="1" l="1"/>
  <c r="R275" i="1"/>
  <c r="Q447" i="1"/>
  <c r="B447" i="1"/>
  <c r="R347" i="1"/>
  <c r="S284" i="1"/>
  <c r="S311" i="1"/>
  <c r="S319" i="1"/>
  <c r="S339" i="1"/>
  <c r="S347" i="1"/>
  <c r="S367" i="1"/>
  <c r="S316" i="1"/>
  <c r="R325" i="1"/>
  <c r="R333" i="1"/>
  <c r="S344" i="1"/>
  <c r="R353" i="1"/>
  <c r="R361" i="1"/>
  <c r="R388" i="1"/>
  <c r="R415" i="1"/>
  <c r="S422" i="1"/>
  <c r="R447" i="1"/>
  <c r="R319" i="1"/>
  <c r="R339" i="1"/>
  <c r="R301" i="1"/>
  <c r="S325" i="1"/>
  <c r="S333" i="1"/>
  <c r="S353" i="1"/>
  <c r="S361" i="1"/>
  <c r="S388" i="1"/>
  <c r="R311" i="1"/>
  <c r="S330" i="1"/>
  <c r="S358" i="1"/>
  <c r="R367" i="1"/>
  <c r="R397" i="1"/>
  <c r="S415" i="1"/>
  <c r="R284" i="1"/>
  <c r="S291" i="1"/>
  <c r="R316" i="1"/>
  <c r="R330" i="1"/>
  <c r="R344" i="1"/>
  <c r="R358" i="1"/>
  <c r="S376" i="1"/>
  <c r="S406" i="1"/>
  <c r="R422" i="1"/>
  <c r="S432" i="1"/>
  <c r="S450" i="1"/>
  <c r="S456" i="1"/>
  <c r="S464" i="1"/>
  <c r="S470" i="1"/>
  <c r="S478" i="1"/>
  <c r="S484" i="1"/>
  <c r="S492" i="1"/>
  <c r="S498" i="1"/>
  <c r="S516" i="1"/>
  <c r="R525" i="1"/>
  <c r="R507" i="1"/>
  <c r="S525" i="1"/>
  <c r="R442" i="1"/>
  <c r="S447" i="1"/>
  <c r="R461" i="1"/>
  <c r="R475" i="1"/>
  <c r="R489" i="1"/>
  <c r="S507" i="1"/>
  <c r="R291" i="1"/>
  <c r="S301" i="1"/>
  <c r="R376" i="1"/>
  <c r="S397" i="1"/>
  <c r="R406" i="1"/>
  <c r="R432" i="1"/>
  <c r="S442" i="1"/>
  <c r="R450" i="1"/>
  <c r="R456" i="1"/>
  <c r="S461" i="1"/>
  <c r="R464" i="1"/>
  <c r="R470" i="1"/>
  <c r="S475" i="1"/>
  <c r="R478" i="1"/>
  <c r="R484" i="1"/>
  <c r="S489" i="1"/>
  <c r="R492" i="1"/>
  <c r="R498" i="1"/>
  <c r="R516" i="1"/>
  <c r="P185" i="1"/>
  <c r="B185" i="1" s="1"/>
  <c r="Q266" i="1"/>
  <c r="M266" i="1"/>
  <c r="B266" i="1"/>
  <c r="Q254" i="1"/>
  <c r="M254" i="1"/>
  <c r="B254" i="1"/>
  <c r="Q245" i="1"/>
  <c r="M245" i="1"/>
  <c r="B245" i="1"/>
  <c r="Q236" i="1"/>
  <c r="M236" i="1"/>
  <c r="B236" i="1"/>
  <c r="Q230" i="1"/>
  <c r="M230" i="1"/>
  <c r="B230" i="1"/>
  <c r="E228" i="1"/>
  <c r="E229" i="1" s="1"/>
  <c r="Q227" i="1"/>
  <c r="M227" i="1"/>
  <c r="B227" i="1"/>
  <c r="E223" i="1"/>
  <c r="E224" i="1" s="1"/>
  <c r="E225" i="1" s="1"/>
  <c r="E226" i="1" s="1"/>
  <c r="Q222" i="1"/>
  <c r="M222" i="1"/>
  <c r="B222" i="1"/>
  <c r="Q216" i="1"/>
  <c r="M216" i="1"/>
  <c r="B216" i="1"/>
  <c r="E214" i="1"/>
  <c r="E215" i="1" s="1"/>
  <c r="Q213" i="1"/>
  <c r="M213" i="1"/>
  <c r="B213" i="1"/>
  <c r="E209" i="1"/>
  <c r="E210" i="1" s="1"/>
  <c r="E211" i="1" s="1"/>
  <c r="E212" i="1" s="1"/>
  <c r="Q208" i="1"/>
  <c r="M208" i="1"/>
  <c r="B208" i="1"/>
  <c r="Q202" i="1"/>
  <c r="M202" i="1"/>
  <c r="B202" i="1"/>
  <c r="E200" i="1"/>
  <c r="E201" i="1" s="1"/>
  <c r="Q199" i="1"/>
  <c r="M199" i="1"/>
  <c r="B199" i="1"/>
  <c r="E195" i="1"/>
  <c r="E196" i="1" s="1"/>
  <c r="E197" i="1" s="1"/>
  <c r="E198" i="1" s="1"/>
  <c r="Q194" i="1"/>
  <c r="M194" i="1"/>
  <c r="B194" i="1"/>
  <c r="Q188" i="1"/>
  <c r="M188" i="1"/>
  <c r="B188" i="1"/>
  <c r="E186" i="1"/>
  <c r="E187" i="1" s="1"/>
  <c r="E181" i="1"/>
  <c r="E182" i="1" s="1"/>
  <c r="E183" i="1" s="1"/>
  <c r="E184" i="1" s="1"/>
  <c r="Q180" i="1"/>
  <c r="M180" i="1"/>
  <c r="B180" i="1"/>
  <c r="Q170" i="1"/>
  <c r="M170" i="1"/>
  <c r="B170" i="1"/>
  <c r="Q160" i="1"/>
  <c r="M160" i="1"/>
  <c r="B160" i="1"/>
  <c r="Q153" i="1"/>
  <c r="M153" i="1"/>
  <c r="Q144" i="1"/>
  <c r="M144" i="1"/>
  <c r="B144" i="1"/>
  <c r="E96" i="1"/>
  <c r="E97" i="1" s="1"/>
  <c r="E98" i="1" s="1"/>
  <c r="E99" i="1" s="1"/>
  <c r="E100" i="1" s="1"/>
  <c r="E101" i="1" s="1"/>
  <c r="E91" i="1"/>
  <c r="E92" i="1" s="1"/>
  <c r="E93" i="1" s="1"/>
  <c r="E94" i="1" s="1"/>
  <c r="E79" i="1"/>
  <c r="E80" i="1" s="1"/>
  <c r="E81" i="1" s="1"/>
  <c r="E82" i="1" s="1"/>
  <c r="E83" i="1" s="1"/>
  <c r="E74" i="1"/>
  <c r="E75" i="1" s="1"/>
  <c r="E76" i="1" s="1"/>
  <c r="E77" i="1" s="1"/>
  <c r="E62" i="1"/>
  <c r="E63" i="1" s="1"/>
  <c r="E64" i="1" s="1"/>
  <c r="E65" i="1" s="1"/>
  <c r="E66" i="1" s="1"/>
  <c r="E57" i="1"/>
  <c r="E58" i="1" s="1"/>
  <c r="E59" i="1" s="1"/>
  <c r="E60" i="1" s="1"/>
  <c r="E39" i="1"/>
  <c r="E40" i="1" s="1"/>
  <c r="E41" i="1" s="1"/>
  <c r="E42" i="1" s="1"/>
  <c r="D188" i="1"/>
  <c r="J102" i="1"/>
  <c r="D213" i="1"/>
  <c r="D199" i="1"/>
  <c r="J188" i="1"/>
  <c r="D102" i="1"/>
  <c r="J56" i="1"/>
  <c r="J50" i="1"/>
  <c r="D254" i="1"/>
  <c r="J117" i="1"/>
  <c r="J230" i="1"/>
  <c r="D135" i="1"/>
  <c r="D194" i="1"/>
  <c r="D84" i="1"/>
  <c r="D180" i="1"/>
  <c r="D208" i="1"/>
  <c r="J170" i="1"/>
  <c r="J126" i="1"/>
  <c r="D50" i="1"/>
  <c r="D266" i="1"/>
  <c r="J202" i="1"/>
  <c r="D144" i="1"/>
  <c r="J266" i="1"/>
  <c r="J194" i="1"/>
  <c r="J216" i="1"/>
  <c r="D56" i="1"/>
  <c r="D222" i="1"/>
  <c r="D236" i="1"/>
  <c r="J180" i="1"/>
  <c r="J135" i="1"/>
  <c r="J222" i="1"/>
  <c r="J199" i="1"/>
  <c r="D202" i="1"/>
  <c r="J254" i="1"/>
  <c r="J84" i="1"/>
  <c r="J208" i="1"/>
  <c r="J160" i="1"/>
  <c r="J236" i="1"/>
  <c r="J38" i="1"/>
  <c r="J153" i="1"/>
  <c r="D67" i="1"/>
  <c r="J2" i="1"/>
  <c r="D126" i="1"/>
  <c r="D28" i="1"/>
  <c r="J73" i="1"/>
  <c r="D227" i="1"/>
  <c r="J28" i="1"/>
  <c r="J245" i="1"/>
  <c r="J18" i="1"/>
  <c r="J144" i="1"/>
  <c r="J185" i="1"/>
  <c r="D73" i="1"/>
  <c r="D245" i="1"/>
  <c r="J227" i="1"/>
  <c r="J213" i="1"/>
  <c r="D38" i="1"/>
  <c r="J67" i="1"/>
  <c r="D11" i="1"/>
  <c r="D2" i="1"/>
  <c r="D216" i="1"/>
  <c r="J11" i="1"/>
  <c r="D230" i="1"/>
  <c r="J90" i="1"/>
  <c r="D185" i="1"/>
  <c r="D18" i="1"/>
  <c r="M185" i="1" l="1"/>
  <c r="Q185" i="1"/>
  <c r="S254" i="1"/>
  <c r="R266" i="1"/>
  <c r="S144" i="1"/>
  <c r="R160" i="1"/>
  <c r="S170" i="1"/>
  <c r="R245" i="1"/>
  <c r="S266" i="1"/>
  <c r="R170" i="1"/>
  <c r="S188" i="1"/>
  <c r="S194" i="1"/>
  <c r="S216" i="1"/>
  <c r="S236" i="1"/>
  <c r="R199" i="1"/>
  <c r="R213" i="1"/>
  <c r="R227" i="1"/>
  <c r="S245" i="1"/>
  <c r="R144" i="1"/>
  <c r="S180" i="1"/>
  <c r="S202" i="1"/>
  <c r="S208" i="1"/>
  <c r="S222" i="1"/>
  <c r="S230" i="1"/>
  <c r="R153" i="1"/>
  <c r="S160" i="1"/>
  <c r="R185" i="1"/>
  <c r="S153" i="1"/>
  <c r="R180" i="1"/>
  <c r="S185" i="1"/>
  <c r="R188" i="1"/>
  <c r="R194" i="1"/>
  <c r="S199" i="1"/>
  <c r="R202" i="1"/>
  <c r="R208" i="1"/>
  <c r="S213" i="1"/>
  <c r="R216" i="1"/>
  <c r="R222" i="1"/>
  <c r="S227" i="1"/>
  <c r="R230" i="1"/>
  <c r="R236" i="1"/>
  <c r="R254" i="1"/>
  <c r="S38" i="1"/>
  <c r="S61" i="1"/>
  <c r="S95" i="1"/>
  <c r="S11" i="1"/>
  <c r="S43" i="1"/>
  <c r="S90" i="1"/>
  <c r="R117" i="1"/>
  <c r="S102" i="1"/>
  <c r="S73" i="1"/>
  <c r="S126" i="1"/>
  <c r="R108" i="1"/>
  <c r="S67" i="1"/>
  <c r="S84" i="1"/>
  <c r="S50" i="1"/>
  <c r="R126" i="1"/>
  <c r="S117" i="1"/>
  <c r="S108" i="1"/>
  <c r="S78" i="1"/>
  <c r="S28" i="1"/>
  <c r="S18" i="1"/>
  <c r="S135" i="1"/>
  <c r="R135" i="1"/>
  <c r="S56" i="1"/>
  <c r="R56" i="1"/>
  <c r="R84" i="1"/>
  <c r="R38" i="1"/>
  <c r="R61" i="1"/>
  <c r="R50" i="1"/>
  <c r="R78" i="1"/>
  <c r="R11" i="1"/>
  <c r="R90" i="1"/>
  <c r="R102" i="1"/>
  <c r="R73" i="1"/>
  <c r="R28" i="1"/>
  <c r="R95" i="1"/>
  <c r="R18" i="1"/>
  <c r="R43" i="1"/>
  <c r="R67" i="1"/>
  <c r="S2" i="1"/>
  <c r="Q135" i="1"/>
  <c r="Q126" i="1"/>
  <c r="Q117" i="1"/>
  <c r="Q108" i="1"/>
  <c r="Q102" i="1"/>
  <c r="Q95" i="1"/>
  <c r="Q90" i="1"/>
  <c r="Q78" i="1"/>
  <c r="Q73" i="1"/>
  <c r="Q67" i="1"/>
  <c r="Q61" i="1"/>
  <c r="Q56" i="1"/>
  <c r="Q50" i="1"/>
  <c r="Q43" i="1"/>
  <c r="Q38" i="1"/>
  <c r="Q28" i="1"/>
  <c r="Q18" i="1"/>
  <c r="Q11" i="1"/>
  <c r="Q2" i="1"/>
  <c r="M135" i="1" l="1"/>
  <c r="B135" i="1"/>
  <c r="M126" i="1"/>
  <c r="B126" i="1"/>
  <c r="M117" i="1"/>
  <c r="B117" i="1"/>
  <c r="M102" i="1"/>
  <c r="B102" i="1"/>
  <c r="M95" i="1"/>
  <c r="B95" i="1"/>
  <c r="M90" i="1"/>
  <c r="B90" i="1"/>
  <c r="M84" i="1"/>
  <c r="B84" i="1"/>
  <c r="M78" i="1"/>
  <c r="B78" i="1"/>
  <c r="M73" i="1"/>
  <c r="B73" i="1"/>
  <c r="M67" i="1"/>
  <c r="B67" i="1"/>
  <c r="M61" i="1"/>
  <c r="B61" i="1"/>
  <c r="M56" i="1"/>
  <c r="B56" i="1"/>
  <c r="B38" i="1"/>
  <c r="Q84" i="1" l="1"/>
  <c r="M38" i="1"/>
  <c r="B43" i="1"/>
  <c r="M43" i="1"/>
  <c r="E44" i="1"/>
  <c r="E45" i="1" s="1"/>
  <c r="E46" i="1" s="1"/>
  <c r="E47" i="1" s="1"/>
  <c r="E48" i="1" s="1"/>
  <c r="E49" i="1" s="1"/>
  <c r="B50" i="1"/>
  <c r="M50" i="1"/>
  <c r="E51" i="1"/>
  <c r="E52" i="1" s="1"/>
  <c r="E53" i="1" s="1"/>
  <c r="E54" i="1" s="1"/>
  <c r="E55" i="1" s="1"/>
  <c r="B108" i="1"/>
  <c r="M108" i="1" l="1"/>
  <c r="E109" i="1"/>
  <c r="E110" i="1" s="1"/>
  <c r="E111" i="1" s="1"/>
  <c r="E112" i="1" s="1"/>
  <c r="E113" i="1" s="1"/>
  <c r="E114" i="1" s="1"/>
  <c r="E115" i="1" s="1"/>
  <c r="E116" i="1" s="1"/>
  <c r="E19" i="1"/>
  <c r="E20" i="1" l="1"/>
  <c r="E21" i="1" s="1"/>
  <c r="E22" i="1" s="1"/>
  <c r="E23" i="1" s="1"/>
  <c r="M11" i="1"/>
  <c r="M18" i="1"/>
  <c r="M28" i="1"/>
  <c r="M2" i="1"/>
  <c r="B11" i="1"/>
  <c r="B18" i="1"/>
  <c r="B28" i="1"/>
  <c r="B2" i="1"/>
  <c r="E29" i="1"/>
  <c r="E30" i="1" s="1"/>
  <c r="E12" i="1"/>
  <c r="E13" i="1" s="1"/>
  <c r="E3" i="1"/>
  <c r="E4" i="1" s="1"/>
  <c r="E5" i="1" s="1"/>
  <c r="E6" i="1" s="1"/>
  <c r="E7" i="1" s="1"/>
  <c r="E8" i="1" s="1"/>
  <c r="E9" i="1" s="1"/>
  <c r="E10" i="1" s="1"/>
  <c r="E31" i="1" l="1"/>
  <c r="E32" i="1" s="1"/>
  <c r="E33" i="1" s="1"/>
  <c r="E34" i="1" s="1"/>
  <c r="E35" i="1" s="1"/>
  <c r="E36" i="1" s="1"/>
  <c r="E37" i="1" s="1"/>
  <c r="E14" i="1"/>
  <c r="E15" i="1" s="1"/>
  <c r="E16" i="1" s="1"/>
  <c r="E17" i="1" s="1"/>
  <c r="E24" i="1"/>
  <c r="E25" i="1" s="1"/>
  <c r="E26" i="1" s="1"/>
  <c r="E27" i="1" s="1"/>
  <c r="R2" i="1"/>
  <c r="C2" i="44"/>
  <c r="C5" i="44"/>
  <c r="A1" i="44"/>
  <c r="C9" i="44"/>
  <c r="C10" i="44"/>
  <c r="C4" i="44"/>
  <c r="C3" i="44"/>
  <c r="C11" i="44"/>
  <c r="C7" i="44"/>
  <c r="C8" i="44"/>
  <c r="C6" i="44"/>
</calcChain>
</file>

<file path=xl/sharedStrings.xml><?xml version="1.0" encoding="utf-8"?>
<sst xmlns="http://schemas.openxmlformats.org/spreadsheetml/2006/main" count="3662" uniqueCount="529">
  <si>
    <t>Field Name</t>
  </si>
  <si>
    <t>Width</t>
  </si>
  <si>
    <t>Bits</t>
  </si>
  <si>
    <t>Description</t>
  </si>
  <si>
    <t>Need to latch for at-speed scan?</t>
  </si>
  <si>
    <t>COMMON</t>
  </si>
  <si>
    <t>NO</t>
  </si>
  <si>
    <t>1'b0</t>
  </si>
  <si>
    <t>YES</t>
  </si>
  <si>
    <t>FFDIV</t>
  </si>
  <si>
    <t>DEBUF</t>
  </si>
  <si>
    <t>HEX2DEC</t>
  </si>
  <si>
    <t>DEC2HEX</t>
  </si>
  <si>
    <t>PULSE</t>
  </si>
  <si>
    <t>SEBUF</t>
  </si>
  <si>
    <t>wr</t>
  </si>
  <si>
    <t>r</t>
  </si>
  <si>
    <t>hw type</t>
  </si>
  <si>
    <t>hwclr</t>
  </si>
  <si>
    <t>we</t>
  </si>
  <si>
    <t>PHMOD</t>
  </si>
  <si>
    <t>Reg Offset</t>
  </si>
  <si>
    <t>CMU</t>
  </si>
  <si>
    <t>default type</t>
  </si>
  <si>
    <t>Reg Type</t>
  </si>
  <si>
    <t>WR</t>
  </si>
  <si>
    <t>RO</t>
  </si>
  <si>
    <t>REG_TYPE</t>
  </si>
  <si>
    <t>DEFAULT_TYPE</t>
  </si>
  <si>
    <t>soft strap</t>
  </si>
  <si>
    <t>default</t>
  </si>
  <si>
    <t>strap</t>
  </si>
  <si>
    <t>fuse</t>
  </si>
  <si>
    <t>Reg Name</t>
  </si>
  <si>
    <t>Sus Well</t>
  </si>
  <si>
    <t>Date</t>
  </si>
  <si>
    <t>Default</t>
  </si>
  <si>
    <t>Revision</t>
  </si>
  <si>
    <t>Comment</t>
  </si>
  <si>
    <t>Removing un-allocated registers from the list (PLLDIVRATIOS_1, PLLSEQUENCE_0 &amp; DFT_2)</t>
  </si>
  <si>
    <t>10/12/2012</t>
  </si>
  <si>
    <t>All reserved registers type changed to RO type</t>
  </si>
  <si>
    <t>1.0 - POLO</t>
  </si>
  <si>
    <t>Default change: [[CONFIG_1]] changed From 32'b00100000000000000000000000000000 To  32'b001000S0000000000000000000000000</t>
  </si>
  <si>
    <t>CHV PROD</t>
  </si>
  <si>
    <t>Default change: [[DFT_1]] changed From 32'b00110000000000000100010000000000To  32'b0011000000000000SSSS110000000000</t>
  </si>
  <si>
    <t>BXT/DNV - RTL0p8</t>
  </si>
  <si>
    <t>Register byte name changes:
1) PLLSEQUENCE_1 --&gt; PLLSEQUENCE_0
2) DFT_3 --&gt; DFT_2</t>
  </si>
  <si>
    <t>New register byts:
1) DFT_BIST - Control the fbdiv SHMOO HVM test
2) CALIB_MNTR - RO register for calibration information loggin</t>
  </si>
  <si>
    <t>DFT_0: Modified registers
1) dcofine_val[10:0] --&gt; dcofine_val[8:0]</t>
  </si>
  <si>
    <t>FILTER_OBS: Modified registers
1) fine_min[10:0] --&gt; fine_min[8:0]
2) fine_max[10:0] --&gt; fine_max[8:0]
3) Added spare registers: spare_filter[3:0]</t>
  </si>
  <si>
    <t>SFRCONFIG_0: Modified registers
1) sfrlpfres_ovrd_sel
2) sfrlpfres_ovrd_val
3) digmode_en</t>
  </si>
  <si>
    <t>25/6/2013</t>
  </si>
  <si>
    <t>Default change: [[PLLDIVRATIOS_0]] changed From 32'bSSSSSSSS011001000000000000000000 To  32'bSSSSSSSS011001000001000000000000</t>
  </si>
  <si>
    <t>Default change: [[FILTER_OBS]] changed From 32'b10000000000000000000000000000000 To  32'b11111111100000000000000000000000</t>
  </si>
  <si>
    <t>Default change: [[DFT_BIST]] changed From 32'b00000000000000000100000000000000 To  32'b00000000000000000110000000000000</t>
  </si>
  <si>
    <t>Default change: [[CALIB_MNTR]] changed From 32'b00000000000000000000000000000000 To  32'b10000000000000000000000000000000</t>
  </si>
  <si>
    <t>Default change: [[CALIB_MNTR]] changed From 32'b10000000000000000000000000000000 To  32'b10001000000000000000000000000000</t>
  </si>
  <si>
    <t>Default change: [[CALIB_MNTR]] changed From 32'b10001000000000000000000000000000 To  32'b10001000011100000000000000000000</t>
  </si>
  <si>
    <t>Default change: [[DFT_0]] changed From 32'b00000000000000000000000000000000 To  32'b10000100000000001111110000000000</t>
  </si>
  <si>
    <t>Default change: [[DFT_1]] changed From 32'b10000100000000001111110000000000 To  32'b0011000000000000SSSSSS0000000000</t>
  </si>
  <si>
    <t>BXT/DNV - RTL1p0</t>
  </si>
  <si>
    <t>BXT/DNV - POLO</t>
  </si>
  <si>
    <t>Default register updates [FILTER_OBS]:
1) pe_min[4:0] --&gt; 5'b01111
2) pe_max[4:0] --&gt; 5'b10000</t>
  </si>
  <si>
    <t>Renamed registers [DFT_1]:
1) Fine_p2p  --&gt; fine_pe_minmax_p2p
2) Fine_minmaxen --&gt; fine_pe_minmaxen
3) Fine_minmaxrst --&gt; fine_pe_minmaxrst</t>
  </si>
  <si>
    <t>Removed registers [DFT_1]:
1) Pe_minmaxrst
2) Pe_minmaxen
3) Disable_autoclkgate</t>
  </si>
  <si>
    <t>Renamed register [DFT_2]:
1) lock_testfail --&gt; narrow_lock</t>
  </si>
  <si>
    <t>Added register [DFT_1]:
1) p2p_fine_pe_selsect</t>
  </si>
  <si>
    <t>RW</t>
  </si>
  <si>
    <t>sar_array_spare</t>
  </si>
  <si>
    <t>sar_array_sapre (routed)</t>
  </si>
  <si>
    <t>nob</t>
  </si>
  <si>
    <t>dac_reset_force_dfx</t>
  </si>
  <si>
    <t>dac_clear_force_dfx</t>
  </si>
  <si>
    <t>dac_clear_dis</t>
  </si>
  <si>
    <t>osc_speed</t>
  </si>
  <si>
    <t>rstb</t>
  </si>
  <si>
    <t>force DAC and memory reset</t>
  </si>
  <si>
    <t>force DAC clear (short dacp to dacn)</t>
  </si>
  <si>
    <t>disable DAC clear at the end of SAR conversion</t>
  </si>
  <si>
    <t>all SARs reset bar</t>
  </si>
  <si>
    <t>3'b001</t>
  </si>
  <si>
    <t>Default change: [[reg015]] changed From 32'b00000001000000100000000000000000 To  32'b00000000000000000000000000000000</t>
  </si>
  <si>
    <t>Default change: [[sar_common_ctl]] changed From 32'b00000000000000000000000000000000 To  32'b00000001000000100000000000000000</t>
  </si>
  <si>
    <t>1'b1</t>
  </si>
  <si>
    <t>refgen_cm</t>
  </si>
  <si>
    <t>refgen_dfx</t>
  </si>
  <si>
    <t>6'b000000</t>
  </si>
  <si>
    <t>2'b00</t>
  </si>
  <si>
    <t>control slicers loop delay. 
0=min_delay 
2'b11=max_delay
osc_speed bit 11 - not connected</t>
  </si>
  <si>
    <t>th_boost_select</t>
  </si>
  <si>
    <t>5'b00000</t>
  </si>
  <si>
    <t>Reg Soconline Offset</t>
  </si>
  <si>
    <r>
      <rPr>
        <b/>
        <sz val="11"/>
        <color theme="1"/>
        <rFont val="Calibri"/>
        <family val="2"/>
        <scheme val="minor"/>
      </rPr>
      <t>nober of bits:</t>
    </r>
    <r>
      <rPr>
        <sz val="11"/>
        <color theme="1"/>
        <rFont val="Calibri"/>
        <family val="2"/>
        <scheme val="minor"/>
      </rPr>
      <t xml:space="preserve">
bits 24:23 
2'b00 - 5 bits
2'b01 - 6 bits
2'b10 - 7 bits
2'b11 - 8 bits
</t>
    </r>
    <r>
      <rPr>
        <b/>
        <sz val="11"/>
        <color theme="1"/>
        <rFont val="Calibri"/>
        <family val="2"/>
        <scheme val="minor"/>
      </rPr>
      <t>bit 25</t>
    </r>
    <r>
      <rPr>
        <sz val="11"/>
        <color theme="1"/>
        <rFont val="Calibri"/>
        <family val="2"/>
        <scheme val="minor"/>
      </rPr>
      <t xml:space="preserve">
1'b0 - 8th data bit = valid
1'b1 - 8th data bit = SAR 8th bit</t>
    </r>
  </si>
  <si>
    <t>3'b010</t>
  </si>
  <si>
    <t>24'b000000010001001100000000</t>
  </si>
  <si>
    <t>user define</t>
  </si>
  <si>
    <t>SP0</t>
  </si>
  <si>
    <t>2'b0</t>
  </si>
  <si>
    <t xml:space="preserve">Domain </t>
  </si>
  <si>
    <t>decoder pin</t>
  </si>
  <si>
    <t>Default change: [[QVT0_QURTET0]] changed From  To  32'b00000000000000000000000000000000</t>
  </si>
  <si>
    <t>not implement yet</t>
  </si>
  <si>
    <t>5'b0</t>
  </si>
  <si>
    <t>Default change: [[SAR_COMMON_REG0]] changed From 32'b00000000000000000000000000000000 To  32'b00000001110000000000000000000000</t>
  </si>
  <si>
    <t>Default change: [[SAR_COMMON_REG1]] changed From 32'b00000001110000000000000000000000 To  32'b00000000000000000000000000000000</t>
  </si>
  <si>
    <t>SA ADDRESS</t>
  </si>
  <si>
    <t>Default change: [[QUAD0_QURTET0]] changed From 32'b00000000000000000000000000000000 To  32'b00000000000000000000000000000001</t>
  </si>
  <si>
    <t>Default change: [[QUAD0_QURTET0]] changed From 32'b00000000000000000000000000000001 To  32'b00100000000000000000000000000001</t>
  </si>
  <si>
    <t>Default change: [[QUAD0_QURTET0]] changed From 32'b00100000000000000000000000000001 To  32'b00100000000000000000000000000000</t>
  </si>
  <si>
    <t>Default change: [[QUAD0_QURTET0]] changed From 32'b00100000000000000000000000000000 To  32'b00100010000000000000000000000000</t>
  </si>
  <si>
    <t>Default change: [[QUAD0_QURTET0]] changed From 32'b00100010000000000000000000000000 To  32'b00100010000000000000000000000001</t>
  </si>
  <si>
    <t>Default change: [[QUAD0_QURTET0]] changed From 32'b00100010000000000000000000000001 To  32'b00100010000000000000000000000000</t>
  </si>
  <si>
    <t>Default change: [[QUAD0_QURTET0]] changed From 32'b00100010000000000000000000000000 To  32'b00100000000000000000000000000000</t>
  </si>
  <si>
    <t>Default change: [[QUAD0_QURTET0]] changed From 32'b00100000000000000000000000000000 To  32'b00000000000000000000000000000000</t>
  </si>
  <si>
    <t>8'b0</t>
  </si>
  <si>
    <t>spare</t>
  </si>
  <si>
    <t>prebuff_amon_ctl</t>
  </si>
  <si>
    <t>prebuff_bias_en</t>
  </si>
  <si>
    <t>pi0_en</t>
  </si>
  <si>
    <t>pi0_phase_gry</t>
  </si>
  <si>
    <t>Spare</t>
  </si>
  <si>
    <t>6'b0</t>
  </si>
  <si>
    <t>Prebuff gain ctrl</t>
  </si>
  <si>
    <t>enable prebuff</t>
  </si>
  <si>
    <t>QUAD0_PI0_PREBUFF</t>
  </si>
  <si>
    <t>QUAD0_PI1_PREBUFF</t>
  </si>
  <si>
    <t>QUAD0_PI3_PREBUFF</t>
  </si>
  <si>
    <t>Default change: [[QUAD0_PI0_PREBUFF]] changed From 32'b00000000000000000000000000000000 To  32'b00000000000000000000011000000000</t>
  </si>
  <si>
    <t>PREBUFF's resistor control - impact gain</t>
  </si>
  <si>
    <t>14'b11111111111111</t>
  </si>
  <si>
    <t>Default change: [[QUAD0_PI3_PREBUFF]] changed From 32'b00000000000000000000011000000000 To  32'b00000111111111111110011000000000</t>
  </si>
  <si>
    <t>Default change: [[QUAD0_PI3_PREBUFF]] changed From 32'b00000111111111111110011000000000 To  32'b00000000000000000000011000000000</t>
  </si>
  <si>
    <t>Default change: [[QUAD0_PI3_PREBUFF]] changed From 32'b00000000000000000000000000000000 To  32'b00000111111111111110011000000000</t>
  </si>
  <si>
    <t>pi3_en</t>
  </si>
  <si>
    <t>pi3_phase_gry</t>
  </si>
  <si>
    <t xml:space="preserve">Prebuff  offxet corection polarity </t>
  </si>
  <si>
    <t xml:space="preserve">Prebuff DAC negative LSB </t>
  </si>
  <si>
    <t>Prebuff CM current thief enable</t>
  </si>
  <si>
    <t>Default change: [[QUAD0_QURTET2]] changed From 32'b00000111111111111110011000000000 To  32'b00000000000000000000011000000000</t>
  </si>
  <si>
    <t>pi1_en</t>
  </si>
  <si>
    <t>pi1_phase_gry</t>
  </si>
  <si>
    <t>QUAD0_PI2_PREBUFF</t>
  </si>
  <si>
    <t>Sapre</t>
  </si>
  <si>
    <t>pi_all_col3</t>
  </si>
  <si>
    <t>pi_all_col2</t>
  </si>
  <si>
    <t>PI configuration per quarts - for pin cl3</t>
  </si>
  <si>
    <t>PI configuration per quarts - for pin cl2</t>
  </si>
  <si>
    <t>pi2_en</t>
  </si>
  <si>
    <t>pi2_phase_gry</t>
  </si>
  <si>
    <t>ffe0_tap_cp1_control</t>
  </si>
  <si>
    <t>FFE positive tap 1 controls</t>
  </si>
  <si>
    <t>spare1</t>
  </si>
  <si>
    <t>ffe0_tap_cp2_control</t>
  </si>
  <si>
    <t>QUAD0_FFE0_REG0</t>
  </si>
  <si>
    <t>QUAD0_FFE0_REG1</t>
  </si>
  <si>
    <t>ffe0_tap_cm1_control</t>
  </si>
  <si>
    <t>ffe0_tap_cm2_control</t>
  </si>
  <si>
    <t>FFE negitive tap 2 controls</t>
  </si>
  <si>
    <t>FFE negative tap 1 controls</t>
  </si>
  <si>
    <t>FFE positive tap 2 controls</t>
  </si>
  <si>
    <t>QUAD0_SUMMER0</t>
  </si>
  <si>
    <t>summer0_dfx</t>
  </si>
  <si>
    <t>summer0_ofc</t>
  </si>
  <si>
    <t>QUAD0_FFE3_REG0</t>
  </si>
  <si>
    <t>QUAD0_FFE3_REG1</t>
  </si>
  <si>
    <t>QUAD0_SUMMER3</t>
  </si>
  <si>
    <t>ffe3_tap_cp1_control</t>
  </si>
  <si>
    <t>ffe3_tap_cp2_control</t>
  </si>
  <si>
    <t>ffe3_tap_cm2_control</t>
  </si>
  <si>
    <t>ffe3_tap_cm1_control</t>
  </si>
  <si>
    <t>summer3_dfx</t>
  </si>
  <si>
    <t>summer3_ofc</t>
  </si>
  <si>
    <t>QUAD0_FFE1_REG0</t>
  </si>
  <si>
    <t>QUAD0_FFE1_REG1</t>
  </si>
  <si>
    <t>QUAD0_SUMMER1</t>
  </si>
  <si>
    <t>ffe1_tap_cp1_control</t>
  </si>
  <si>
    <t>ffe1_tap_cp2_control</t>
  </si>
  <si>
    <t>ffe1_tap_cm2_control</t>
  </si>
  <si>
    <t>ffe1_tap_cm1_control</t>
  </si>
  <si>
    <t>summer1_dfx</t>
  </si>
  <si>
    <t>summer1_ofc</t>
  </si>
  <si>
    <t>QUAD0_FFE2_REG0</t>
  </si>
  <si>
    <t>QUAD0_FFE2_REG1</t>
  </si>
  <si>
    <t>QUAD0_SUMMER2</t>
  </si>
  <si>
    <t>ffe2_tap_cp1_control</t>
  </si>
  <si>
    <t>ffe2_tap_cp2_control</t>
  </si>
  <si>
    <t>ffe2_tap_cm2_control</t>
  </si>
  <si>
    <t>ffe2_tap_cm1_control</t>
  </si>
  <si>
    <t>summer2_dfx</t>
  </si>
  <si>
    <t>summer2_ofc</t>
  </si>
  <si>
    <t>NSF bias control bits</t>
  </si>
  <si>
    <t>CM FB amplifier bias control bits</t>
  </si>
  <si>
    <t>FFE tap - bias control bits</t>
  </si>
  <si>
    <t>QUAD0_IBIAS_CTRL0</t>
  </si>
  <si>
    <t>QUAD0_IBIAS_CTRL1</t>
  </si>
  <si>
    <t>QUAD0_IBIAS_CTRL2</t>
  </si>
  <si>
    <t>QUAD3_PI0_PREBUFF</t>
  </si>
  <si>
    <t>QUAD3_PI3_PREBUFF</t>
  </si>
  <si>
    <t>QUAD3_PI1_PREBUFF</t>
  </si>
  <si>
    <t>QUAD3_PI2_PREBUFF</t>
  </si>
  <si>
    <t>QUAD3_FFE0_REG0</t>
  </si>
  <si>
    <t>QUAD3_FFE0_REG1</t>
  </si>
  <si>
    <t>QUAD3_SUMMER0</t>
  </si>
  <si>
    <t>QUAD3_FFE3_REG0</t>
  </si>
  <si>
    <t>QUAD3_FFE3_REG1</t>
  </si>
  <si>
    <t>QUAD3_SUMMER3</t>
  </si>
  <si>
    <t>QUAD3_FFE1_REG0</t>
  </si>
  <si>
    <t>QUAD3_FFE1_REG1</t>
  </si>
  <si>
    <t>QUAD3_SUMMER1</t>
  </si>
  <si>
    <t>QUAD3_FFE2_REG0</t>
  </si>
  <si>
    <t>QUAD3_FFE2_REG1</t>
  </si>
  <si>
    <t>QUAD3_SUMMER2</t>
  </si>
  <si>
    <t>QUAD3_IBIAS_CTRL0</t>
  </si>
  <si>
    <t>QUAD3_IBIAS_CTRL1</t>
  </si>
  <si>
    <t>QUAD3_IBIAS_CTRL2</t>
  </si>
  <si>
    <t>Default change: [[QUAD3_PI2_PREBUFF]] changed From 32'b00000000000000001000011000000000 To  32'b00000000000000000000011000000000</t>
  </si>
  <si>
    <t>Default change: [[QUAD3_PI2_PREBUFF]] changed From 32'b00000000000000000000011000000000 To  32'b00000000000000010000011000000000</t>
  </si>
  <si>
    <t>Default change: [[QUAD2_PI2_PREBUFF]] changed From 32'b00000000000000001000011000000000 To  32'b00000000000000011000011000000000</t>
  </si>
  <si>
    <t>QUAD0_IBIAS_CTRL3</t>
  </si>
  <si>
    <t>QUAD3_IBIAS_CTRL3</t>
  </si>
  <si>
    <t>Default change: [[QUAD0_PI0_PREBUFF]] changed From 32'b00000000000000000000011000000000 To  32'b00000000000000000000111000000000</t>
  </si>
  <si>
    <t>Default change: [[QUAD0_PI3_PREBUFF]] changed From 32'b00000111111111111110011000000000 To  32'b00000111111111111110111000000000</t>
  </si>
  <si>
    <t>Default change: [[QUAD0_PI1_PREBUFF]] changed From 32'b00000000000000000000011000000000 To  32'b00000000000000000000111000000000</t>
  </si>
  <si>
    <t>Default change: [[QUAD0_PI2_PREBUFF]] changed From 32'b00000000000000001000011000000000 To  32'b00000000000000001000111000000000</t>
  </si>
  <si>
    <t>Default change: [[QUAD0_PI0_PREBUFF]] changed From 32'b00000000000000000000111000000000 To  32'b00000000000000000010111000000000</t>
  </si>
  <si>
    <t>Default change: [[QUAD3_PI0_PREBUFF]] changed From 32'b00000000000000000000011000000000 To  32'b00000000000000000000111000000000</t>
  </si>
  <si>
    <t>Default change: [[QUAD3_PI3_PREBUFF]] changed From 32'b00000111111111111110011000000000 To  32'b00000111111111111110111000000000</t>
  </si>
  <si>
    <t>Default change: [[QUAD3_PI1_PREBUFF]] changed From 32'b00000000000000000000011000000000 To  32'b00000000000000000000111000000000</t>
  </si>
  <si>
    <t>Default change: [[QUAD3_PI2_PREBUFF]] changed From 32'b00000000000000010000011000000000 To  32'b00000000000000010000111000000000</t>
  </si>
  <si>
    <t>Default change: [[QUAD3_PI0_PREBUFF]] changed From 32'b00000000000000000000111000000000 To  32'b00000000000000000010111000000000</t>
  </si>
  <si>
    <t>Default change: [[QUAD1_PI0_PREBUFF]] changed From 32'b00000000000000000000011000000000 To  32'b00000000000000000000111000000000</t>
  </si>
  <si>
    <t>Default change: [[QUAD1_PI0_PREBUFF]] changed From 32'b00000000000000000000111000000000 To  32'b00000000000000000010111000000000</t>
  </si>
  <si>
    <t>Default change: [[QUAD1_PI3_PREBUFF]] changed From 32'b00000111111111111110011000000000 To  32'b00000111111111111110111000000000</t>
  </si>
  <si>
    <t>Default change: [[QUAD1_PI1_PREBUFF]] changed From 32'b00000000000000000000011000000000 To  32'b00000000000000000000111000000000</t>
  </si>
  <si>
    <t>Default change: [[QUAD1_PI2_PREBUFF]] changed From 32'b00000000000000001000011000000000 To  32'b00000000000000001000111000000000</t>
  </si>
  <si>
    <t>Default change: [[QUAD2_PI0_PREBUFF]] changed From 32'b00000000000000000000011000000000 To  32'b00000000000000000010011000000000</t>
  </si>
  <si>
    <t>Default change: [[QUAD2_PI0_PREBUFF]] changed From 32'b00000000000000000010011000000000 To  32'b00000000000000000010111000000000</t>
  </si>
  <si>
    <t>Default change: [[QUAD2_PI3_PREBUFF]] changed From 32'b00000111111111111110011000000000 To  32'b00000111111111111110111000000000</t>
  </si>
  <si>
    <t>Default change: [[QUAD2_PI1_PREBUFF]] changed From 32'b00000000000000000000011000000000 To  32'b00000000000000000000111000000000</t>
  </si>
  <si>
    <t>Default change: [[QUAD2_PI2_PREBUFF]] changed From 32'b00000000000000011000011000000000 To  32'b00000000000000011000111000000000</t>
  </si>
  <si>
    <t>Default change: [[QUAD0_PI0_PREBUFF]] changed From 32'b00000000000000000010111000000000 To  32'b01111110000000000010111000000000</t>
  </si>
  <si>
    <t>Default change: [[QUAD3_PI0_PREBUFF]] changed From 32'b00000000000000000010111000000000 To  32'b01111110000000000010111000000000</t>
  </si>
  <si>
    <t>Default change: [[QUAD1_PI0_PREBUFF]] changed From 32'b00000000000000000010111000000000 To  32'b01111110000000000010111000000000</t>
  </si>
  <si>
    <t>Default change: [[QUAD2_PI0_PREBUFF]] changed From 32'b00000000000000000010111000000000 To  32'b01111110000000000010111000000000</t>
  </si>
  <si>
    <t>16'b0</t>
  </si>
  <si>
    <t>Default change: [[QUAD0_PI1_PREBUFF]] changed From 32'b00000111111111111110111000000000 To  32'b00000000000000000000111000000000</t>
  </si>
  <si>
    <t>Default change: [[QUAD0_PI2_PREBUFF]] changed From 32'b00000000000000000000000000000000 To  32'b00000000000000001000111000000000</t>
  </si>
  <si>
    <t>Default change: [[QUAD0_FFE0_REG0]] changed From 32'b00000000000000001000111000000000 To  32'b00000000000000000000000000000000</t>
  </si>
  <si>
    <t>prebuff_ofc_polarity</t>
  </si>
  <si>
    <t>Reset  value</t>
  </si>
  <si>
    <t>Reset Value</t>
  </si>
  <si>
    <t>Reset Value(HEX)</t>
  </si>
  <si>
    <t>prebuff_cm_n_shift</t>
  </si>
  <si>
    <t>prebuff_gm_nsw0</t>
  </si>
  <si>
    <t>prebuff_gm_psw0</t>
  </si>
  <si>
    <t>Rnable current thief in prebuff</t>
  </si>
  <si>
    <t>prebuff_res_ctl_b</t>
  </si>
  <si>
    <t>FFE 0 DFX controls</t>
  </si>
  <si>
    <t>ffe0_dfx_ctrll</t>
  </si>
  <si>
    <t>ffe3_dfx_ctrll</t>
  </si>
  <si>
    <t>ffe1_dfx_ctrll</t>
  </si>
  <si>
    <t>FFE 1 DFX controls</t>
  </si>
  <si>
    <t>ffe2_dfx_ctrll</t>
  </si>
  <si>
    <t>FFE 2 DFX controls</t>
  </si>
  <si>
    <t>QUAD1_PI0_PREBUFF</t>
  </si>
  <si>
    <t>QUAD1_PI3_PREBUFF</t>
  </si>
  <si>
    <t>QUAD1_PI1_PREBUFF</t>
  </si>
  <si>
    <t>QUAD1_PI2_PREBUFF</t>
  </si>
  <si>
    <t>QUAD1_FFE0_REG0</t>
  </si>
  <si>
    <t>QUAD1_FFE0_REG1</t>
  </si>
  <si>
    <t>QUAD1_SUMMER0</t>
  </si>
  <si>
    <t>QUAD1_FFE3_REG0</t>
  </si>
  <si>
    <t>QUAD1_FFE3_REG1</t>
  </si>
  <si>
    <t>QUAD1_SUMMER3</t>
  </si>
  <si>
    <t>QUAD1_FFE1_REG0</t>
  </si>
  <si>
    <t>QUAD1_FFE1_REG1</t>
  </si>
  <si>
    <t>QUAD1_SUMMER1</t>
  </si>
  <si>
    <t>QUAD1_FFE2_REG0</t>
  </si>
  <si>
    <t>QUAD1_FFE2_REG1</t>
  </si>
  <si>
    <t>QUAD1_SUMMER2</t>
  </si>
  <si>
    <t>QUAD1_IBIAS_CTRL0</t>
  </si>
  <si>
    <t>QUAD1_IBIAS_CTRL1</t>
  </si>
  <si>
    <t>QUAD1_IBIAS_CTRL2</t>
  </si>
  <si>
    <t>QUAD2_PI0_PREBUFF</t>
  </si>
  <si>
    <t>QUAD2_PI3_PREBUFF</t>
  </si>
  <si>
    <t>QUAD2_PI1_PREBUFF</t>
  </si>
  <si>
    <t>QUAD2_PI2_PREBUFF</t>
  </si>
  <si>
    <t>QUAD2_FFE0_REG0</t>
  </si>
  <si>
    <t>QUAD2_FFE0_REG1</t>
  </si>
  <si>
    <t>QUAD2_SUMMER0</t>
  </si>
  <si>
    <t>QUAD2_FFE3_REG0</t>
  </si>
  <si>
    <t>QUAD2_FFE3_REG1</t>
  </si>
  <si>
    <t>QUAD2_SUMMER3</t>
  </si>
  <si>
    <t>QUAD2_FFE1_REG0</t>
  </si>
  <si>
    <t>QUAD2_FFE1_REG1</t>
  </si>
  <si>
    <t>QUAD2_SUMMER1</t>
  </si>
  <si>
    <t>QUAD2_FFE2_REG0</t>
  </si>
  <si>
    <t>QUAD2_FFE2_REG1</t>
  </si>
  <si>
    <t>QUAD2_SUMMER2</t>
  </si>
  <si>
    <t>QUAD2_IBIAS_CTRL0</t>
  </si>
  <si>
    <t>QUAD2_IBIAS_CTRL3</t>
  </si>
  <si>
    <t>QUAD2_IBIAS_CTRL1</t>
  </si>
  <si>
    <t>QUAD2_IBIAS_CTRL2</t>
  </si>
  <si>
    <t>QUAD1_IBIAS_CTRL3</t>
  </si>
  <si>
    <t>10'b0001100000</t>
  </si>
  <si>
    <t>summer_0_bias_ctrl</t>
  </si>
  <si>
    <t>nsf_0_bias_ctrl</t>
  </si>
  <si>
    <t>gm_c0_0_bias_ctrl</t>
  </si>
  <si>
    <t>cmfb_0_bias_ctrl</t>
  </si>
  <si>
    <t>gm_tap_0_bias_ctrl</t>
  </si>
  <si>
    <t>ofc_0_bias_ctrl</t>
  </si>
  <si>
    <t>Summer bias control bits</t>
  </si>
  <si>
    <t>cadcade_0_bias_ctrl</t>
  </si>
  <si>
    <t>FFE C0 bias control</t>
  </si>
  <si>
    <t>summee cascade bias control</t>
  </si>
  <si>
    <t>offset corection bias control</t>
  </si>
  <si>
    <t>4'b1111</t>
  </si>
  <si>
    <t>4'b0111</t>
  </si>
  <si>
    <t>4'b1000</t>
  </si>
  <si>
    <t>4'b0000</t>
  </si>
  <si>
    <t>summer_12_bias_ctrl</t>
  </si>
  <si>
    <t>nsf_12_bias_ctrl</t>
  </si>
  <si>
    <t>cadcade_12_bias_ctrl</t>
  </si>
  <si>
    <t>gm_c0_12_bias_ctrl</t>
  </si>
  <si>
    <t>gm_tap_12_bias_ctrl</t>
  </si>
  <si>
    <t>cmfb_12_bias_ctrl</t>
  </si>
  <si>
    <t>ofc_12_bias_ctrl</t>
  </si>
  <si>
    <t>summer_4_bias_ctrl</t>
  </si>
  <si>
    <t>nsf_4_bias_ctrl</t>
  </si>
  <si>
    <t>cadcade_4_bias_ctrl</t>
  </si>
  <si>
    <t>gm_c0_4_bias_ctrl</t>
  </si>
  <si>
    <t>gm_tap_4_bias_ctrl</t>
  </si>
  <si>
    <t>cmfb_4_bias_ctrl</t>
  </si>
  <si>
    <t>ofc_4_bias_ctrl</t>
  </si>
  <si>
    <t>summer_8_bias_ctrl</t>
  </si>
  <si>
    <t>nsf_8_bias_ctrl</t>
  </si>
  <si>
    <t>cadcade_8_bias_ctrl</t>
  </si>
  <si>
    <t>gm_c0_8_bias_ctrl</t>
  </si>
  <si>
    <t>gm_tap_8_bias_ctrl</t>
  </si>
  <si>
    <t>cmfb_8_bias_ctrl</t>
  </si>
  <si>
    <t>ofc_8_bias_ctrl</t>
  </si>
  <si>
    <t>summer_3_bias_ctrl</t>
  </si>
  <si>
    <t>nsf_3_bias_ctrl</t>
  </si>
  <si>
    <t>cadcade_3_bias_ctrl</t>
  </si>
  <si>
    <t>gm_c0_3_bias_ctrl</t>
  </si>
  <si>
    <t>gm_tap_3_bias_ctrl</t>
  </si>
  <si>
    <t>cmfb_3_bias_ctrl</t>
  </si>
  <si>
    <t>ofc_3_bias_ctrl</t>
  </si>
  <si>
    <t>summer_15_bias_ctrl</t>
  </si>
  <si>
    <t>nsf_15_bias_ctrl</t>
  </si>
  <si>
    <t>cadcade_15_bias_ctrl</t>
  </si>
  <si>
    <t>gm_c0_15_bias_ctrl</t>
  </si>
  <si>
    <t>gm_tap_15_bias_ctrl</t>
  </si>
  <si>
    <t>cmfb_15_bias_ctrl</t>
  </si>
  <si>
    <t>ofc_15_bias_ctrl</t>
  </si>
  <si>
    <t>summer_7_bias_ctrl</t>
  </si>
  <si>
    <t>nsf_7_bias_ctrl</t>
  </si>
  <si>
    <t>cadcade_7_bias_ctrl</t>
  </si>
  <si>
    <t>gm_c0_7_bias_ctrl</t>
  </si>
  <si>
    <t>gm_tap_7_bias_ctrl</t>
  </si>
  <si>
    <t>cmfb_7_bias_ctrl</t>
  </si>
  <si>
    <t>ofc_7_bias_ctrl</t>
  </si>
  <si>
    <t>summer_11_bias_ctrl</t>
  </si>
  <si>
    <t>nsf_11_bias_ctrl</t>
  </si>
  <si>
    <t>cadcade_11_bias_ctrl</t>
  </si>
  <si>
    <t>gm_c0_11_bias_ctrl</t>
  </si>
  <si>
    <t>gm_tap_11_bias_ctrl</t>
  </si>
  <si>
    <t>cmfb_1_bias_ctrl</t>
  </si>
  <si>
    <t>cmfb_11_bias_ctrl</t>
  </si>
  <si>
    <t>ofc_1_bias_ctrl</t>
  </si>
  <si>
    <t>ofc_11_bias_ctrl</t>
  </si>
  <si>
    <t>summer_1_bias_ctrl</t>
  </si>
  <si>
    <t>nsf_1_bias_ctrl</t>
  </si>
  <si>
    <t>cadcade_1_bias_ctrl</t>
  </si>
  <si>
    <t>gm_c0_1_bias_ctrl</t>
  </si>
  <si>
    <t>gm_tap_1_bias_ctrl</t>
  </si>
  <si>
    <t>summer_13_bias_ctrl</t>
  </si>
  <si>
    <t>nsf_13_bias_ctrl</t>
  </si>
  <si>
    <t>cadcade_13_bias_ctrl</t>
  </si>
  <si>
    <t>gm_c0_13_bias_ctrl</t>
  </si>
  <si>
    <t>gm_tap_13_bias_ctrl</t>
  </si>
  <si>
    <t>cmfb_13_bias_ctrl</t>
  </si>
  <si>
    <t>ofc_13_bias_ctrl</t>
  </si>
  <si>
    <t>summer_5_bias_ctrl</t>
  </si>
  <si>
    <t>nsf_5_bias_ctrl</t>
  </si>
  <si>
    <t>cadcade_5_bias_ctrl</t>
  </si>
  <si>
    <t>gm_c0_5_bias_ctrl</t>
  </si>
  <si>
    <t>gm_tap_5_bias_ctrl</t>
  </si>
  <si>
    <t>cmfb_5_bias_ctrl</t>
  </si>
  <si>
    <t>ofc_5_bias_ctrl</t>
  </si>
  <si>
    <t>summer_9_bias_ctrl</t>
  </si>
  <si>
    <t>nsf_9_bias_ctrl</t>
  </si>
  <si>
    <t>cadcade_9_bias_ctrl</t>
  </si>
  <si>
    <t>gm_c0_9_bias_ctrl</t>
  </si>
  <si>
    <t>gm_tap_9_bias_ctrl</t>
  </si>
  <si>
    <t>cmfb_9_bias_ctrl</t>
  </si>
  <si>
    <t>ofc_9_bias_ctrl</t>
  </si>
  <si>
    <t>summer_2_bias_ctrl</t>
  </si>
  <si>
    <t>nsf_2_bias_ctrl</t>
  </si>
  <si>
    <t>cadcade_2_bias_ctrl</t>
  </si>
  <si>
    <t>gm_c0_2_bias_ctrl</t>
  </si>
  <si>
    <t>gm_tap_2_bias_ctrl</t>
  </si>
  <si>
    <t>cmfb_2_bias_ctrl</t>
  </si>
  <si>
    <t>ofc_2_bias_ctrl</t>
  </si>
  <si>
    <t>summer_14_bias_ctrl</t>
  </si>
  <si>
    <t>nsf_14_bias_ctrl</t>
  </si>
  <si>
    <t>cadcade_14_bias_ctrl</t>
  </si>
  <si>
    <t>gm_c0_14_bias_ctrl</t>
  </si>
  <si>
    <t>gm_tap_14_bias_ctrl</t>
  </si>
  <si>
    <t>cmfb_14_bias_ctrl</t>
  </si>
  <si>
    <t>ofc_14_bias_ctrl</t>
  </si>
  <si>
    <t>summer_10_bias_ctrl</t>
  </si>
  <si>
    <t>nsf_10_bias_ctrl</t>
  </si>
  <si>
    <t>cadcade_10_bias_ctrl</t>
  </si>
  <si>
    <t>gm_c0_10_bias_ctrl</t>
  </si>
  <si>
    <t>gm_tap_10_bias_ctrl</t>
  </si>
  <si>
    <t>cmfb_10_bias_ctrl</t>
  </si>
  <si>
    <t>ofc_10_bias_ctrl</t>
  </si>
  <si>
    <t>en_b_master_summer</t>
  </si>
  <si>
    <t>en_b_nsf</t>
  </si>
  <si>
    <t>en_b_sum</t>
  </si>
  <si>
    <t>en_b_vref</t>
  </si>
  <si>
    <t>sum_master_bias_ctrl_bar</t>
  </si>
  <si>
    <t>en_master_nbias</t>
  </si>
  <si>
    <t>en_gm</t>
  </si>
  <si>
    <t>en_cmfb</t>
  </si>
  <si>
    <t>en_offset</t>
  </si>
  <si>
    <t>All nbias master enable (gm_c, gm_tap, cmfb, offset)</t>
  </si>
  <si>
    <t>gm bias enable</t>
  </si>
  <si>
    <t>CMFB bias enable</t>
  </si>
  <si>
    <t>offset corection bias enable</t>
  </si>
  <si>
    <t>nbias_master_ctrl</t>
  </si>
  <si>
    <t>All nbias master bias control (gm_c, gm_tap, cmfb, offset)</t>
  </si>
  <si>
    <t>Summer master bias enable</t>
  </si>
  <si>
    <t>Enable bar for nsf bias</t>
  </si>
  <si>
    <t>Enable bar for summer bias</t>
  </si>
  <si>
    <t xml:space="preserve">Enable bar for vref bias </t>
  </si>
  <si>
    <t xml:space="preserve">Summer master bias controls - bar </t>
  </si>
  <si>
    <t>Amon cnontrols</t>
  </si>
  <si>
    <t>Summe and FFE enable</t>
  </si>
  <si>
    <t>summer0_res_control</t>
  </si>
  <si>
    <t xml:space="preserve">DFX for summer </t>
  </si>
  <si>
    <t>Summer offset corection</t>
  </si>
  <si>
    <t>Summer CM FB amplifier offset correction</t>
  </si>
  <si>
    <t>Summer  gain control</t>
  </si>
  <si>
    <t>summer0_and_ffe0_en</t>
  </si>
  <si>
    <t>summer0_cmfb_ofc</t>
  </si>
  <si>
    <t>summer3_res_control</t>
  </si>
  <si>
    <t>summer3_cmfb_ofc</t>
  </si>
  <si>
    <t>summer1_res_control</t>
  </si>
  <si>
    <t>summer1_cmfb_ofc</t>
  </si>
  <si>
    <t>summer2_res_control</t>
  </si>
  <si>
    <t>summer2_cmfb_ofc</t>
  </si>
  <si>
    <t>NVM_value</t>
  </si>
  <si>
    <t>NVM value</t>
  </si>
  <si>
    <t>NVM value(HEX)</t>
  </si>
  <si>
    <t>summer3_and_ffe3_en</t>
  </si>
  <si>
    <t>summer1_and_ffe1_en</t>
  </si>
  <si>
    <t>summer2_and_ffe2_en</t>
  </si>
  <si>
    <t>8'b10110011</t>
  </si>
  <si>
    <t>6'b111000</t>
  </si>
  <si>
    <t>6'b000111</t>
  </si>
  <si>
    <t>5'b00001</t>
  </si>
  <si>
    <t>11'b01100010000</t>
  </si>
  <si>
    <t>summer_6_bias_ctrl</t>
  </si>
  <si>
    <t>nsf_6_bias_ctrl</t>
  </si>
  <si>
    <t>cadcade_6_bias_ctrl</t>
  </si>
  <si>
    <t>gm_c0_6_bias_ctrl</t>
  </si>
  <si>
    <t>gm_tap_6_bias_ctrl</t>
  </si>
  <si>
    <t>cmfb_6_bias_ctrl</t>
  </si>
  <si>
    <t>ofc_6_bias_ctrl</t>
  </si>
  <si>
    <t>4'b0100</t>
  </si>
  <si>
    <t>4'b1011</t>
  </si>
  <si>
    <t>4'b1101</t>
  </si>
  <si>
    <t>4'b0001</t>
  </si>
  <si>
    <t>reg0_spare</t>
  </si>
  <si>
    <t>prebuf_spare</t>
  </si>
  <si>
    <t>prebuff_ofc_fine</t>
  </si>
  <si>
    <t>reg0_spare2</t>
  </si>
  <si>
    <t>pi0_dis_dir</t>
  </si>
  <si>
    <t>reg3_spare</t>
  </si>
  <si>
    <t>reg3_spare2</t>
  </si>
  <si>
    <t>reg01_spare</t>
  </si>
  <si>
    <t>reg01_spare2</t>
  </si>
  <si>
    <t>reg02_spare</t>
  </si>
  <si>
    <t>prebuff_ofc_coarse</t>
  </si>
  <si>
    <t>reg02_spare2</t>
  </si>
  <si>
    <t>ofsset fine control</t>
  </si>
  <si>
    <t>amod select</t>
  </si>
  <si>
    <t>enable all pi's in this quad</t>
  </si>
  <si>
    <t>PI phase control. GRAY code</t>
  </si>
  <si>
    <t>disable direction bit. If dis_dit=1'b0, the pi_clk is pulled to vss, otherwise pi_clk is pulled to vcc</t>
  </si>
  <si>
    <t>4'b0</t>
  </si>
  <si>
    <t>3'b0</t>
  </si>
  <si>
    <t>11'b110001000</t>
  </si>
  <si>
    <t>2'b11</t>
  </si>
  <si>
    <t>ffe0_dfx_ctrl</t>
  </si>
  <si>
    <t>ffe0_dcd_ctrl0</t>
  </si>
  <si>
    <t>ffe0_cap_ctrl0</t>
  </si>
  <si>
    <t>ffe0_amon_vcc_sel_b_l</t>
  </si>
  <si>
    <t>ffe0_spare_ctrl_l</t>
  </si>
  <si>
    <t>ffe0_reg0_spare</t>
  </si>
  <si>
    <t>dcd control - will be romover</t>
  </si>
  <si>
    <t>cap control</t>
  </si>
  <si>
    <t>dcmon select</t>
  </si>
  <si>
    <t>ffe3_pi_clkmntr_b_en</t>
  </si>
  <si>
    <t>ffe3_trist_buff_b_en</t>
  </si>
  <si>
    <t>ffe3_dcd_ctrl3</t>
  </si>
  <si>
    <t>ffe3_cap_ctrl3</t>
  </si>
  <si>
    <t>will be removed</t>
  </si>
  <si>
    <t>clk monitor input b en</t>
  </si>
  <si>
    <t>tri-state buffer en</t>
  </si>
  <si>
    <t>ffe1_pi_clkmntr_a_en</t>
  </si>
  <si>
    <t>ffe1_trist_buff_a_en</t>
  </si>
  <si>
    <t>ffe1_dcd_ctrl3</t>
  </si>
  <si>
    <t>ffe1_cap_ctrl3</t>
  </si>
  <si>
    <t>clk monitor input a en</t>
  </si>
  <si>
    <t>ffe2_dcd_ctrl0</t>
  </si>
  <si>
    <t>ffe2_cap_ctrl0</t>
  </si>
  <si>
    <t>ffe2_amon_vcc_sel_b_r</t>
  </si>
  <si>
    <t>ffe2_spare_ctrl_r</t>
  </si>
  <si>
    <t>ffe2_reg2_spare</t>
  </si>
  <si>
    <t>pi3_dis_dir</t>
  </si>
  <si>
    <t>pi1_dis_dir</t>
  </si>
  <si>
    <t>pi2_dis_dir</t>
  </si>
  <si>
    <t>spare4</t>
  </si>
  <si>
    <t>spare3</t>
  </si>
  <si>
    <t>spare2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</si>
</sst>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8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0"/>
      <color indexed="8"/>
      <name val="Neo Sans Intel"/>
      <family val="2"/>
    </font>
    <font>
      <sz val="10"/>
      <color indexed="8"/>
      <name val="Neo Sans Intel"/>
      <family val="2"/>
    </font>
    <font>
      <b/>
      <sz val="10"/>
      <color indexed="60"/>
      <name val="Neo Sans Inte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10"/>
      <name val="Neo Sans Intel"/>
      <family val="2"/>
    </font>
  </fonts>
  <fills count="43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BEFDBB"/>
        <bgColor indexed="26"/>
      </patternFill>
    </fill>
    <fill>
      <patternFill patternType="solid">
        <fgColor theme="3" tint="0.79998168889431442"/>
        <bgColor indexed="26"/>
      </patternFill>
    </fill>
    <fill>
      <patternFill patternType="solid">
        <fgColor theme="3" tint="0.39997558519241921"/>
        <bgColor indexed="26"/>
      </patternFill>
    </fill>
    <fill>
      <patternFill patternType="solid">
        <fgColor theme="3" tint="0.59999389629810485"/>
        <bgColor indexed="26"/>
      </patternFill>
    </fill>
    <fill>
      <patternFill patternType="solid">
        <fgColor theme="6" tint="0.59999389629810485"/>
        <bgColor indexed="26"/>
      </patternFill>
    </fill>
    <fill>
      <patternFill patternType="solid">
        <fgColor theme="6" tint="0.39997558519241921"/>
        <bgColor indexed="26"/>
      </patternFill>
    </fill>
    <fill>
      <patternFill patternType="solid">
        <fgColor rgb="FFBBF2FD"/>
        <bgColor indexed="26"/>
      </patternFill>
    </fill>
    <fill>
      <patternFill patternType="solid">
        <fgColor theme="6" tint="0.79998168889431442"/>
        <bgColor indexed="26"/>
      </patternFill>
    </fill>
    <fill>
      <patternFill patternType="solid">
        <fgColor theme="9" tint="0.79998168889431442"/>
        <bgColor indexed="26"/>
      </patternFill>
    </fill>
    <fill>
      <patternFill patternType="solid">
        <fgColor theme="9" tint="0.59999389629810485"/>
        <bgColor indexed="26"/>
      </patternFill>
    </fill>
    <fill>
      <patternFill patternType="solid">
        <fgColor theme="9" tint="0.39997558519241921"/>
        <bgColor indexed="26"/>
      </patternFill>
    </fill>
    <fill>
      <patternFill patternType="solid">
        <fgColor theme="5" tint="0.79998168889431442"/>
        <bgColor indexed="26"/>
      </patternFill>
    </fill>
    <fill>
      <patternFill patternType="solid">
        <fgColor theme="5" tint="0.59999389629810485"/>
        <bgColor indexed="26"/>
      </patternFill>
    </fill>
    <fill>
      <patternFill patternType="solid">
        <fgColor theme="5" tint="0.39997558519241921"/>
        <bgColor indexed="26"/>
      </patternFill>
    </fill>
    <fill>
      <patternFill patternType="solid">
        <fgColor rgb="FFFFFF00"/>
        <bgColor indexed="64"/>
      </patternFill>
    </fill>
  </fills>
  <borders count="5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58">
    <xf numFmtId="0" fontId="0" fillId="0" borderId="0"/>
    <xf numFmtId="0" fontId="28" fillId="2" borderId="0" applyNumberFormat="0" applyBorder="0" applyAlignment="0" applyProtection="0"/>
    <xf numFmtId="0" fontId="28" fillId="3" borderId="0" applyNumberFormat="0" applyBorder="0" applyAlignment="0" applyProtection="0"/>
    <xf numFmtId="0" fontId="28" fillId="4" borderId="0" applyNumberFormat="0" applyBorder="0" applyAlignment="0" applyProtection="0"/>
    <xf numFmtId="0" fontId="28" fillId="5" borderId="0" applyNumberFormat="0" applyBorder="0" applyAlignment="0" applyProtection="0"/>
    <xf numFmtId="0" fontId="28" fillId="6" borderId="0" applyNumberFormat="0" applyBorder="0" applyAlignment="0" applyProtection="0"/>
    <xf numFmtId="0" fontId="28" fillId="7" borderId="0" applyNumberFormat="0" applyBorder="0" applyAlignment="0" applyProtection="0"/>
    <xf numFmtId="0" fontId="28" fillId="8" borderId="0" applyNumberFormat="0" applyBorder="0" applyAlignment="0" applyProtection="0"/>
    <xf numFmtId="0" fontId="28" fillId="9" borderId="0" applyNumberFormat="0" applyBorder="0" applyAlignment="0" applyProtection="0"/>
    <xf numFmtId="0" fontId="28" fillId="10" borderId="0" applyNumberFormat="0" applyBorder="0" applyAlignment="0" applyProtection="0"/>
    <xf numFmtId="0" fontId="28" fillId="5" borderId="0" applyNumberFormat="0" applyBorder="0" applyAlignment="0" applyProtection="0"/>
    <xf numFmtId="0" fontId="28" fillId="8" borderId="0" applyNumberFormat="0" applyBorder="0" applyAlignment="0" applyProtection="0"/>
    <xf numFmtId="0" fontId="28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9" borderId="0" applyNumberFormat="0" applyBorder="0" applyAlignment="0" applyProtection="0"/>
    <xf numFmtId="0" fontId="11" fillId="3" borderId="0" applyNumberFormat="0" applyBorder="0" applyAlignment="0" applyProtection="0"/>
    <xf numFmtId="0" fontId="12" fillId="20" borderId="1" applyNumberFormat="0" applyAlignment="0" applyProtection="0"/>
    <xf numFmtId="0" fontId="13" fillId="21" borderId="2" applyNumberFormat="0" applyAlignment="0" applyProtection="0"/>
    <xf numFmtId="0" fontId="14" fillId="0" borderId="0" applyNumberFormat="0" applyFill="0" applyBorder="0" applyAlignment="0" applyProtection="0"/>
    <xf numFmtId="0" fontId="15" fillId="4" borderId="0" applyNumberFormat="0" applyBorder="0" applyAlignment="0" applyProtection="0"/>
    <xf numFmtId="0" fontId="16" fillId="0" borderId="3" applyNumberFormat="0" applyFill="0" applyAlignment="0" applyProtection="0"/>
    <xf numFmtId="0" fontId="17" fillId="0" borderId="4" applyNumberFormat="0" applyFill="0" applyAlignment="0" applyProtection="0"/>
    <xf numFmtId="0" fontId="18" fillId="0" borderId="5" applyNumberFormat="0" applyFill="0" applyAlignment="0" applyProtection="0"/>
    <xf numFmtId="0" fontId="18" fillId="0" borderId="0" applyNumberFormat="0" applyFill="0" applyBorder="0" applyAlignment="0" applyProtection="0"/>
    <xf numFmtId="0" fontId="19" fillId="7" borderId="1" applyNumberFormat="0" applyAlignment="0" applyProtection="0"/>
    <xf numFmtId="0" fontId="20" fillId="0" borderId="6" applyNumberFormat="0" applyFill="0" applyAlignment="0" applyProtection="0"/>
    <xf numFmtId="0" fontId="21" fillId="22" borderId="0" applyNumberFormat="0" applyBorder="0" applyAlignment="0" applyProtection="0"/>
    <xf numFmtId="0" fontId="22" fillId="0" borderId="0"/>
    <xf numFmtId="0" fontId="22" fillId="0" borderId="0"/>
    <xf numFmtId="0" fontId="29" fillId="0" borderId="0"/>
    <xf numFmtId="0" fontId="28" fillId="23" borderId="7" applyNumberFormat="0" applyAlignment="0" applyProtection="0"/>
    <xf numFmtId="0" fontId="23" fillId="20" borderId="8" applyNumberFormat="0" applyAlignment="0" applyProtection="0"/>
    <xf numFmtId="0" fontId="24" fillId="0" borderId="0" applyNumberFormat="0" applyFill="0" applyBorder="0" applyAlignment="0" applyProtection="0"/>
    <xf numFmtId="0" fontId="25" fillId="0" borderId="9" applyNumberFormat="0" applyFill="0" applyAlignment="0" applyProtection="0"/>
    <xf numFmtId="0" fontId="26" fillId="0" borderId="0" applyNumberFormat="0" applyFill="0" applyBorder="0" applyAlignment="0" applyProtection="0"/>
    <xf numFmtId="0" fontId="33" fillId="25" borderId="0" applyNumberFormat="0" applyBorder="0" applyAlignment="0" applyProtection="0"/>
    <xf numFmtId="0" fontId="34" fillId="26" borderId="14" applyNumberFormat="0" applyAlignment="0" applyProtection="0"/>
    <xf numFmtId="0" fontId="23" fillId="20" borderId="24" applyNumberFormat="0" applyAlignment="0" applyProtection="0"/>
    <xf numFmtId="0" fontId="28" fillId="23" borderId="23" applyNumberFormat="0" applyAlignment="0" applyProtection="0"/>
    <xf numFmtId="0" fontId="25" fillId="0" borderId="29" applyNumberFormat="0" applyFill="0" applyAlignment="0" applyProtection="0"/>
    <xf numFmtId="0" fontId="23" fillId="20" borderId="28" applyNumberFormat="0" applyAlignment="0" applyProtection="0"/>
    <xf numFmtId="0" fontId="28" fillId="23" borderId="27" applyNumberFormat="0" applyAlignment="0" applyProtection="0"/>
    <xf numFmtId="0" fontId="19" fillId="7" borderId="22" applyNumberFormat="0" applyAlignment="0" applyProtection="0"/>
    <xf numFmtId="0" fontId="19" fillId="7" borderId="26" applyNumberFormat="0" applyAlignment="0" applyProtection="0"/>
    <xf numFmtId="0" fontId="12" fillId="20" borderId="22" applyNumberFormat="0" applyAlignment="0" applyProtection="0"/>
    <xf numFmtId="0" fontId="12" fillId="20" borderId="26" applyNumberFormat="0" applyAlignment="0" applyProtection="0"/>
    <xf numFmtId="0" fontId="9" fillId="0" borderId="0"/>
    <xf numFmtId="0" fontId="25" fillId="0" borderId="25" applyNumberFormat="0" applyFill="0" applyAlignment="0" applyProtection="0"/>
  </cellStyleXfs>
  <cellXfs count="161">
    <xf numFmtId="0" fontId="0" fillId="0" borderId="0" xfId="0"/>
    <xf numFmtId="0" fontId="27" fillId="0" borderId="0" xfId="0" applyFont="1" applyBorder="1" applyAlignment="1">
      <alignment wrapText="1"/>
    </xf>
    <xf numFmtId="0" fontId="0" fillId="0" borderId="0" xfId="0" applyFill="1" applyBorder="1" applyAlignment="1">
      <alignment wrapText="1"/>
    </xf>
    <xf numFmtId="0" fontId="0" fillId="0" borderId="0" xfId="0" applyBorder="1"/>
    <xf numFmtId="0" fontId="0" fillId="0" borderId="17" xfId="0" applyBorder="1"/>
    <xf numFmtId="0" fontId="0" fillId="0" borderId="18" xfId="0" applyBorder="1"/>
    <xf numFmtId="0" fontId="0" fillId="0" borderId="12" xfId="0" applyBorder="1"/>
    <xf numFmtId="0" fontId="0" fillId="0" borderId="13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16" xfId="0" applyBorder="1"/>
    <xf numFmtId="0" fontId="35" fillId="0" borderId="15" xfId="0" applyFont="1" applyBorder="1" applyAlignment="1">
      <alignment horizontal="center"/>
    </xf>
    <xf numFmtId="0" fontId="35" fillId="0" borderId="15" xfId="0" applyFont="1" applyBorder="1" applyAlignment="1">
      <alignment horizontal="center" vertical="center"/>
    </xf>
    <xf numFmtId="0" fontId="35" fillId="0" borderId="15" xfId="0" applyFont="1" applyBorder="1" applyAlignment="1">
      <alignment horizontal="center" vertical="center" wrapText="1"/>
    </xf>
    <xf numFmtId="0" fontId="0" fillId="0" borderId="15" xfId="0" applyBorder="1" applyAlignment="1">
      <alignment horizontal="center"/>
    </xf>
    <xf numFmtId="0" fontId="0" fillId="0" borderId="15" xfId="0" applyBorder="1" applyAlignment="1">
      <alignment horizontal="left" wrapText="1"/>
    </xf>
    <xf numFmtId="0" fontId="0" fillId="0" borderId="0" xfId="0" applyBorder="1" applyAlignment="1">
      <alignment horizontal="center" vertical="center" wrapText="1"/>
    </xf>
    <xf numFmtId="49" fontId="31" fillId="0" borderId="33" xfId="0" applyNumberFormat="1" applyFont="1" applyBorder="1" applyAlignment="1">
      <alignment horizontal="center" vertical="center" wrapText="1"/>
    </xf>
    <xf numFmtId="0" fontId="0" fillId="0" borderId="33" xfId="0" applyBorder="1" applyAlignment="1">
      <alignment horizontal="left" wrapText="1"/>
    </xf>
    <xf numFmtId="0" fontId="0" fillId="0" borderId="15" xfId="0" quotePrefix="1" applyBorder="1" applyAlignment="1">
      <alignment horizontal="center"/>
    </xf>
    <xf numFmtId="14" fontId="0" fillId="0" borderId="15" xfId="0" applyNumberFormat="1" applyBorder="1" applyAlignment="1">
      <alignment horizontal="center"/>
    </xf>
    <xf numFmtId="14" fontId="0" fillId="0" borderId="15" xfId="0" applyNumberFormat="1" applyBorder="1" applyAlignment="1">
      <alignment horizontal="center" vertical="center"/>
    </xf>
    <xf numFmtId="0" fontId="0" fillId="0" borderId="33" xfId="0" applyBorder="1" applyAlignment="1">
      <alignment horizontal="center" vertical="center" wrapText="1"/>
    </xf>
    <xf numFmtId="0" fontId="8" fillId="0" borderId="33" xfId="39" applyFont="1" applyBorder="1" applyAlignment="1">
      <alignment wrapText="1"/>
    </xf>
    <xf numFmtId="0" fontId="8" fillId="0" borderId="34" xfId="39" applyFont="1" applyBorder="1" applyAlignment="1">
      <alignment wrapText="1"/>
    </xf>
    <xf numFmtId="0" fontId="7" fillId="0" borderId="33" xfId="39" applyFont="1" applyBorder="1" applyAlignment="1">
      <alignment wrapText="1"/>
    </xf>
    <xf numFmtId="0" fontId="0" fillId="0" borderId="33" xfId="0" applyFill="1" applyBorder="1" applyAlignment="1">
      <alignment horizontal="center" wrapText="1"/>
    </xf>
    <xf numFmtId="0" fontId="6" fillId="0" borderId="33" xfId="39" applyFont="1" applyBorder="1" applyAlignment="1">
      <alignment wrapText="1"/>
    </xf>
    <xf numFmtId="0" fontId="5" fillId="0" borderId="33" xfId="39" applyFont="1" applyBorder="1" applyAlignment="1">
      <alignment wrapText="1"/>
    </xf>
    <xf numFmtId="0" fontId="4" fillId="0" borderId="33" xfId="39" applyFont="1" applyBorder="1" applyAlignment="1">
      <alignment wrapText="1"/>
    </xf>
    <xf numFmtId="49" fontId="0" fillId="0" borderId="0" xfId="0" applyNumberFormat="1" applyBorder="1" applyAlignment="1">
      <alignment horizontal="center" vertical="center" wrapText="1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left" wrapText="1"/>
    </xf>
    <xf numFmtId="0" fontId="3" fillId="0" borderId="33" xfId="39" applyFont="1" applyBorder="1" applyAlignment="1">
      <alignment wrapText="1"/>
    </xf>
    <xf numFmtId="0" fontId="2" fillId="0" borderId="33" xfId="39" applyFont="1" applyBorder="1" applyAlignment="1">
      <alignment wrapText="1"/>
    </xf>
    <xf numFmtId="0" fontId="36" fillId="0" borderId="40" xfId="0" applyFont="1" applyBorder="1" applyAlignment="1">
      <alignment horizontal="left" vertical="center"/>
    </xf>
    <xf numFmtId="0" fontId="30" fillId="27" borderId="42" xfId="0" applyFont="1" applyFill="1" applyBorder="1" applyAlignment="1">
      <alignment horizontal="center" vertical="center" wrapText="1"/>
    </xf>
    <xf numFmtId="49" fontId="30" fillId="27" borderId="42" xfId="0" applyNumberFormat="1" applyFont="1" applyFill="1" applyBorder="1" applyAlignment="1">
      <alignment horizontal="center" vertical="center" wrapText="1"/>
    </xf>
    <xf numFmtId="0" fontId="30" fillId="27" borderId="43" xfId="0" applyFont="1" applyFill="1" applyBorder="1" applyAlignment="1">
      <alignment horizontal="center" vertical="center" wrapText="1"/>
    </xf>
    <xf numFmtId="0" fontId="30" fillId="27" borderId="35" xfId="0" applyFont="1" applyFill="1" applyBorder="1" applyAlignment="1">
      <alignment horizontal="center" vertical="center" wrapText="1"/>
    </xf>
    <xf numFmtId="0" fontId="37" fillId="0" borderId="40" xfId="39" applyFont="1" applyFill="1" applyBorder="1" applyAlignment="1">
      <alignment horizontal="center" vertical="center" wrapText="1"/>
    </xf>
    <xf numFmtId="0" fontId="25" fillId="0" borderId="40" xfId="0" applyFont="1" applyFill="1" applyBorder="1" applyAlignment="1">
      <alignment horizontal="center" wrapText="1"/>
    </xf>
    <xf numFmtId="49" fontId="30" fillId="0" borderId="40" xfId="0" applyNumberFormat="1" applyFont="1" applyBorder="1" applyAlignment="1">
      <alignment horizontal="center" vertical="center" wrapText="1"/>
    </xf>
    <xf numFmtId="0" fontId="36" fillId="0" borderId="40" xfId="39" applyFont="1" applyBorder="1" applyAlignment="1">
      <alignment wrapText="1"/>
    </xf>
    <xf numFmtId="49" fontId="30" fillId="0" borderId="40" xfId="0" applyNumberFormat="1" applyFont="1" applyFill="1" applyBorder="1" applyAlignment="1">
      <alignment horizontal="center" vertical="center" wrapText="1"/>
    </xf>
    <xf numFmtId="0" fontId="37" fillId="0" borderId="40" xfId="37" applyFont="1" applyBorder="1" applyAlignment="1">
      <alignment horizontal="center" vertical="center" wrapText="1"/>
    </xf>
    <xf numFmtId="0" fontId="30" fillId="0" borderId="40" xfId="0" applyFont="1" applyBorder="1" applyAlignment="1">
      <alignment horizontal="center" vertical="center" wrapText="1"/>
    </xf>
    <xf numFmtId="0" fontId="30" fillId="24" borderId="40" xfId="0" applyFont="1" applyFill="1" applyBorder="1" applyAlignment="1">
      <alignment wrapText="1"/>
    </xf>
    <xf numFmtId="0" fontId="36" fillId="0" borderId="40" xfId="39" applyFont="1" applyBorder="1" applyAlignment="1">
      <alignment vertical="center" wrapText="1"/>
    </xf>
    <xf numFmtId="0" fontId="30" fillId="0" borderId="40" xfId="0" applyNumberFormat="1" applyFont="1" applyBorder="1" applyAlignment="1">
      <alignment horizontal="center" vertical="center" wrapText="1"/>
    </xf>
    <xf numFmtId="49" fontId="30" fillId="0" borderId="40" xfId="0" quotePrefix="1" applyNumberFormat="1" applyFont="1" applyBorder="1" applyAlignment="1">
      <alignment horizontal="center" vertical="center" wrapText="1"/>
    </xf>
    <xf numFmtId="0" fontId="32" fillId="22" borderId="47" xfId="36" applyNumberFormat="1" applyFont="1" applyBorder="1" applyAlignment="1" applyProtection="1">
      <alignment vertical="center" wrapText="1"/>
    </xf>
    <xf numFmtId="0" fontId="32" fillId="34" borderId="47" xfId="36" applyNumberFormat="1" applyFont="1" applyFill="1" applyBorder="1" applyAlignment="1" applyProtection="1">
      <alignment vertical="center" wrapText="1"/>
    </xf>
    <xf numFmtId="0" fontId="32" fillId="34" borderId="49" xfId="36" applyNumberFormat="1" applyFont="1" applyFill="1" applyBorder="1" applyAlignment="1" applyProtection="1">
      <alignment vertical="center" wrapText="1"/>
    </xf>
    <xf numFmtId="0" fontId="32" fillId="28" borderId="17" xfId="36" applyNumberFormat="1" applyFont="1" applyFill="1" applyBorder="1" applyAlignment="1" applyProtection="1">
      <alignment horizontal="center" vertical="center" wrapText="1"/>
    </xf>
    <xf numFmtId="0" fontId="32" fillId="28" borderId="32" xfId="36" applyNumberFormat="1" applyFont="1" applyFill="1" applyBorder="1" applyAlignment="1" applyProtection="1">
      <alignment horizontal="center" vertical="center" wrapText="1"/>
    </xf>
    <xf numFmtId="0" fontId="32" fillId="28" borderId="44" xfId="36" applyNumberFormat="1" applyFont="1" applyFill="1" applyBorder="1" applyAlignment="1" applyProtection="1">
      <alignment horizontal="center" vertical="center" wrapText="1"/>
    </xf>
    <xf numFmtId="0" fontId="32" fillId="30" borderId="32" xfId="36" applyNumberFormat="1" applyFont="1" applyFill="1" applyBorder="1" applyAlignment="1" applyProtection="1">
      <alignment horizontal="center" vertical="center" wrapText="1"/>
    </xf>
    <xf numFmtId="0" fontId="30" fillId="24" borderId="54" xfId="0" applyFont="1" applyFill="1" applyBorder="1" applyAlignment="1">
      <alignment wrapText="1"/>
    </xf>
    <xf numFmtId="0" fontId="32" fillId="22" borderId="52" xfId="36" applyNumberFormat="1" applyFont="1" applyBorder="1" applyAlignment="1" applyProtection="1">
      <alignment vertical="center" wrapText="1"/>
    </xf>
    <xf numFmtId="0" fontId="32" fillId="34" borderId="52" xfId="36" applyNumberFormat="1" applyFont="1" applyFill="1" applyBorder="1" applyAlignment="1" applyProtection="1">
      <alignment vertical="center" wrapText="1"/>
    </xf>
    <xf numFmtId="0" fontId="25" fillId="0" borderId="0" xfId="0" applyFont="1" applyFill="1" applyBorder="1" applyAlignment="1">
      <alignment wrapText="1"/>
    </xf>
    <xf numFmtId="0" fontId="25" fillId="0" borderId="40" xfId="0" applyFont="1" applyFill="1" applyBorder="1" applyAlignment="1">
      <alignment wrapText="1"/>
    </xf>
    <xf numFmtId="0" fontId="36" fillId="0" borderId="40" xfId="39" applyFont="1" applyBorder="1" applyAlignment="1">
      <alignment vertical="center"/>
    </xf>
    <xf numFmtId="49" fontId="30" fillId="42" borderId="40" xfId="0" applyNumberFormat="1" applyFont="1" applyFill="1" applyBorder="1" applyAlignment="1">
      <alignment horizontal="center" vertical="center" wrapText="1"/>
    </xf>
    <xf numFmtId="0" fontId="36" fillId="0" borderId="52" xfId="0" applyFont="1" applyBorder="1" applyAlignment="1">
      <alignment horizontal="left" vertical="center"/>
    </xf>
    <xf numFmtId="0" fontId="37" fillId="0" borderId="52" xfId="39" applyFont="1" applyFill="1" applyBorder="1" applyAlignment="1">
      <alignment horizontal="center" vertical="center" wrapText="1"/>
    </xf>
    <xf numFmtId="49" fontId="30" fillId="0" borderId="53" xfId="0" applyNumberFormat="1" applyFont="1" applyBorder="1" applyAlignment="1">
      <alignment horizontal="center" vertical="center" wrapText="1"/>
    </xf>
    <xf numFmtId="0" fontId="36" fillId="0" borderId="52" xfId="39" applyFont="1" applyBorder="1" applyAlignment="1">
      <alignment vertical="center" wrapText="1"/>
    </xf>
    <xf numFmtId="0" fontId="32" fillId="28" borderId="45" xfId="36" applyNumberFormat="1" applyFont="1" applyFill="1" applyBorder="1" applyAlignment="1" applyProtection="1">
      <alignment horizontal="center" vertical="center" wrapText="1"/>
    </xf>
    <xf numFmtId="0" fontId="32" fillId="28" borderId="32" xfId="36" applyNumberFormat="1" applyFont="1" applyFill="1" applyBorder="1" applyAlignment="1" applyProtection="1">
      <alignment horizontal="center" vertical="center" wrapText="1"/>
    </xf>
    <xf numFmtId="0" fontId="32" fillId="28" borderId="57" xfId="36" applyNumberFormat="1" applyFont="1" applyFill="1" applyBorder="1" applyAlignment="1" applyProtection="1">
      <alignment horizontal="center" vertical="center" wrapText="1"/>
    </xf>
    <xf numFmtId="0" fontId="32" fillId="28" borderId="35" xfId="36" applyNumberFormat="1" applyFont="1" applyFill="1" applyBorder="1" applyAlignment="1" applyProtection="1">
      <alignment horizontal="center" vertical="center" wrapText="1"/>
    </xf>
    <xf numFmtId="0" fontId="32" fillId="28" borderId="17" xfId="36" applyNumberFormat="1" applyFont="1" applyFill="1" applyBorder="1" applyAlignment="1" applyProtection="1">
      <alignment horizontal="center" vertical="center" wrapText="1"/>
    </xf>
    <xf numFmtId="0" fontId="32" fillId="28" borderId="18" xfId="36" applyNumberFormat="1" applyFont="1" applyFill="1" applyBorder="1" applyAlignment="1" applyProtection="1">
      <alignment horizontal="center" vertical="center" wrapText="1"/>
    </xf>
    <xf numFmtId="0" fontId="32" fillId="41" borderId="39" xfId="36" applyNumberFormat="1" applyFont="1" applyFill="1" applyBorder="1" applyAlignment="1" applyProtection="1">
      <alignment horizontal="center" vertical="center" wrapText="1"/>
    </xf>
    <xf numFmtId="0" fontId="32" fillId="41" borderId="46" xfId="36" applyNumberFormat="1" applyFont="1" applyFill="1" applyBorder="1" applyAlignment="1" applyProtection="1">
      <alignment horizontal="center" vertical="center" wrapText="1"/>
    </xf>
    <xf numFmtId="0" fontId="32" fillId="41" borderId="45" xfId="36" applyNumberFormat="1" applyFont="1" applyFill="1" applyBorder="1" applyAlignment="1" applyProtection="1">
      <alignment horizontal="center" vertical="center" wrapText="1"/>
    </xf>
    <xf numFmtId="0" fontId="32" fillId="41" borderId="32" xfId="36" applyNumberFormat="1" applyFont="1" applyFill="1" applyBorder="1" applyAlignment="1" applyProtection="1">
      <alignment horizontal="center" vertical="center" wrapText="1"/>
    </xf>
    <xf numFmtId="0" fontId="32" fillId="22" borderId="47" xfId="36" applyNumberFormat="1" applyFont="1" applyBorder="1" applyAlignment="1" applyProtection="1">
      <alignment horizontal="center" vertical="center" wrapText="1"/>
    </xf>
    <xf numFmtId="0" fontId="32" fillId="22" borderId="48" xfId="36" applyNumberFormat="1" applyFont="1" applyBorder="1" applyAlignment="1" applyProtection="1">
      <alignment horizontal="center" vertical="center" wrapText="1"/>
    </xf>
    <xf numFmtId="0" fontId="32" fillId="22" borderId="49" xfId="36" applyNumberFormat="1" applyFont="1" applyBorder="1" applyAlignment="1" applyProtection="1">
      <alignment horizontal="center" vertical="center" wrapText="1"/>
    </xf>
    <xf numFmtId="0" fontId="32" fillId="34" borderId="47" xfId="36" applyNumberFormat="1" applyFont="1" applyFill="1" applyBorder="1" applyAlignment="1" applyProtection="1">
      <alignment horizontal="center" vertical="center" wrapText="1"/>
    </xf>
    <xf numFmtId="0" fontId="32" fillId="34" borderId="48" xfId="36" applyNumberFormat="1" applyFont="1" applyFill="1" applyBorder="1" applyAlignment="1" applyProtection="1">
      <alignment horizontal="center" vertical="center" wrapText="1"/>
    </xf>
    <xf numFmtId="0" fontId="32" fillId="34" borderId="49" xfId="36" applyNumberFormat="1" applyFont="1" applyFill="1" applyBorder="1" applyAlignment="1" applyProtection="1">
      <alignment horizontal="center" vertical="center" wrapText="1"/>
    </xf>
    <xf numFmtId="0" fontId="32" fillId="28" borderId="42" xfId="36" applyNumberFormat="1" applyFont="1" applyFill="1" applyBorder="1" applyAlignment="1" applyProtection="1">
      <alignment horizontal="center" vertical="center" wrapText="1"/>
    </xf>
    <xf numFmtId="0" fontId="32" fillId="28" borderId="41" xfId="36" applyNumberFormat="1" applyFont="1" applyFill="1" applyBorder="1" applyAlignment="1" applyProtection="1">
      <alignment horizontal="center" vertical="center" wrapText="1"/>
    </xf>
    <xf numFmtId="0" fontId="32" fillId="28" borderId="44" xfId="36" applyNumberFormat="1" applyFont="1" applyFill="1" applyBorder="1" applyAlignment="1" applyProtection="1">
      <alignment horizontal="center" vertical="center" wrapText="1"/>
    </xf>
    <xf numFmtId="0" fontId="32" fillId="28" borderId="31" xfId="36" applyNumberFormat="1" applyFont="1" applyFill="1" applyBorder="1" applyAlignment="1" applyProtection="1">
      <alignment horizontal="center" vertical="center" wrapText="1"/>
    </xf>
    <xf numFmtId="0" fontId="32" fillId="28" borderId="50" xfId="36" applyNumberFormat="1" applyFont="1" applyFill="1" applyBorder="1" applyAlignment="1" applyProtection="1">
      <alignment horizontal="center" vertical="center" wrapText="1"/>
    </xf>
    <xf numFmtId="0" fontId="32" fillId="28" borderId="51" xfId="36" applyNumberFormat="1" applyFont="1" applyFill="1" applyBorder="1" applyAlignment="1" applyProtection="1">
      <alignment horizontal="center" vertical="center" wrapText="1"/>
    </xf>
    <xf numFmtId="0" fontId="32" fillId="40" borderId="37" xfId="36" applyNumberFormat="1" applyFont="1" applyFill="1" applyBorder="1" applyAlignment="1" applyProtection="1">
      <alignment horizontal="center" vertical="center" wrapText="1"/>
    </xf>
    <xf numFmtId="0" fontId="32" fillId="40" borderId="10" xfId="36" applyNumberFormat="1" applyFont="1" applyFill="1" applyBorder="1" applyAlignment="1" applyProtection="1">
      <alignment horizontal="center" vertical="center" wrapText="1"/>
    </xf>
    <xf numFmtId="0" fontId="32" fillId="40" borderId="40" xfId="36" applyNumberFormat="1" applyFont="1" applyFill="1" applyBorder="1" applyAlignment="1" applyProtection="1">
      <alignment horizontal="center" vertical="center" wrapText="1"/>
    </xf>
    <xf numFmtId="0" fontId="32" fillId="28" borderId="10" xfId="36" applyNumberFormat="1" applyFont="1" applyFill="1" applyBorder="1" applyAlignment="1" applyProtection="1">
      <alignment horizontal="center" vertical="center" wrapText="1"/>
    </xf>
    <xf numFmtId="0" fontId="32" fillId="28" borderId="40" xfId="36" applyNumberFormat="1" applyFont="1" applyFill="1" applyBorder="1" applyAlignment="1" applyProtection="1">
      <alignment horizontal="center" vertical="center" wrapText="1"/>
    </xf>
    <xf numFmtId="0" fontId="32" fillId="28" borderId="38" xfId="36" applyNumberFormat="1" applyFont="1" applyFill="1" applyBorder="1" applyAlignment="1" applyProtection="1">
      <alignment horizontal="center" vertical="center" wrapText="1"/>
    </xf>
    <xf numFmtId="0" fontId="32" fillId="28" borderId="11" xfId="36" applyNumberFormat="1" applyFont="1" applyFill="1" applyBorder="1" applyAlignment="1" applyProtection="1">
      <alignment horizontal="center" vertical="center" wrapText="1"/>
    </xf>
    <xf numFmtId="0" fontId="32" fillId="40" borderId="36" xfId="36" applyNumberFormat="1" applyFont="1" applyFill="1" applyBorder="1" applyAlignment="1" applyProtection="1">
      <alignment horizontal="center" vertical="center" wrapText="1"/>
    </xf>
    <xf numFmtId="0" fontId="32" fillId="39" borderId="37" xfId="36" applyNumberFormat="1" applyFont="1" applyFill="1" applyBorder="1" applyAlignment="1" applyProtection="1">
      <alignment horizontal="center" vertical="center" wrapText="1"/>
    </xf>
    <xf numFmtId="0" fontId="32" fillId="39" borderId="10" xfId="36" applyNumberFormat="1" applyFont="1" applyFill="1" applyBorder="1" applyAlignment="1" applyProtection="1">
      <alignment horizontal="center" vertical="center" wrapText="1"/>
    </xf>
    <xf numFmtId="0" fontId="32" fillId="39" borderId="40" xfId="36" applyNumberFormat="1" applyFont="1" applyFill="1" applyBorder="1" applyAlignment="1" applyProtection="1">
      <alignment horizontal="center" vertical="center" wrapText="1"/>
    </xf>
    <xf numFmtId="0" fontId="32" fillId="39" borderId="36" xfId="36" applyNumberFormat="1" applyFont="1" applyFill="1" applyBorder="1" applyAlignment="1" applyProtection="1">
      <alignment horizontal="center" vertical="center" wrapText="1"/>
    </xf>
    <xf numFmtId="0" fontId="32" fillId="38" borderId="39" xfId="36" applyNumberFormat="1" applyFont="1" applyFill="1" applyBorder="1" applyAlignment="1" applyProtection="1">
      <alignment horizontal="center" vertical="center" wrapText="1"/>
    </xf>
    <xf numFmtId="0" fontId="32" fillId="38" borderId="46" xfId="36" applyNumberFormat="1" applyFont="1" applyFill="1" applyBorder="1" applyAlignment="1" applyProtection="1">
      <alignment horizontal="center" vertical="center" wrapText="1"/>
    </xf>
    <xf numFmtId="0" fontId="32" fillId="38" borderId="45" xfId="36" applyNumberFormat="1" applyFont="1" applyFill="1" applyBorder="1" applyAlignment="1" applyProtection="1">
      <alignment horizontal="center" vertical="center" wrapText="1"/>
    </xf>
    <xf numFmtId="0" fontId="32" fillId="38" borderId="32" xfId="36" applyNumberFormat="1" applyFont="1" applyFill="1" applyBorder="1" applyAlignment="1" applyProtection="1">
      <alignment horizontal="center" vertical="center" wrapText="1"/>
    </xf>
    <xf numFmtId="0" fontId="32" fillId="37" borderId="37" xfId="36" applyNumberFormat="1" applyFont="1" applyFill="1" applyBorder="1" applyAlignment="1" applyProtection="1">
      <alignment horizontal="center" vertical="center" wrapText="1"/>
    </xf>
    <xf numFmtId="0" fontId="32" fillId="37" borderId="10" xfId="36" applyNumberFormat="1" applyFont="1" applyFill="1" applyBorder="1" applyAlignment="1" applyProtection="1">
      <alignment horizontal="center" vertical="center" wrapText="1"/>
    </xf>
    <xf numFmtId="0" fontId="32" fillId="37" borderId="40" xfId="36" applyNumberFormat="1" applyFont="1" applyFill="1" applyBorder="1" applyAlignment="1" applyProtection="1">
      <alignment horizontal="center" vertical="center" wrapText="1"/>
    </xf>
    <xf numFmtId="0" fontId="32" fillId="37" borderId="36" xfId="36" applyNumberFormat="1" applyFont="1" applyFill="1" applyBorder="1" applyAlignment="1" applyProtection="1">
      <alignment horizontal="center" vertical="center" wrapText="1"/>
    </xf>
    <xf numFmtId="0" fontId="32" fillId="36" borderId="37" xfId="36" applyNumberFormat="1" applyFont="1" applyFill="1" applyBorder="1" applyAlignment="1" applyProtection="1">
      <alignment horizontal="center" vertical="center" wrapText="1"/>
    </xf>
    <xf numFmtId="0" fontId="32" fillId="36" borderId="10" xfId="36" applyNumberFormat="1" applyFont="1" applyFill="1" applyBorder="1" applyAlignment="1" applyProtection="1">
      <alignment horizontal="center" vertical="center" wrapText="1"/>
    </xf>
    <xf numFmtId="0" fontId="32" fillId="36" borderId="40" xfId="36" applyNumberFormat="1" applyFont="1" applyFill="1" applyBorder="1" applyAlignment="1" applyProtection="1">
      <alignment horizontal="center" vertical="center" wrapText="1"/>
    </xf>
    <xf numFmtId="0" fontId="32" fillId="36" borderId="36" xfId="36" applyNumberFormat="1" applyFont="1" applyFill="1" applyBorder="1" applyAlignment="1" applyProtection="1">
      <alignment horizontal="center" vertical="center" wrapText="1"/>
    </xf>
    <xf numFmtId="0" fontId="32" fillId="30" borderId="39" xfId="36" applyNumberFormat="1" applyFont="1" applyFill="1" applyBorder="1" applyAlignment="1" applyProtection="1">
      <alignment horizontal="center" vertical="center" wrapText="1"/>
    </xf>
    <xf numFmtId="0" fontId="32" fillId="30" borderId="46" xfId="36" applyNumberFormat="1" applyFont="1" applyFill="1" applyBorder="1" applyAlignment="1" applyProtection="1">
      <alignment horizontal="center" vertical="center" wrapText="1"/>
    </xf>
    <xf numFmtId="0" fontId="32" fillId="30" borderId="45" xfId="36" applyNumberFormat="1" applyFont="1" applyFill="1" applyBorder="1" applyAlignment="1" applyProtection="1">
      <alignment horizontal="center" vertical="center" wrapText="1"/>
    </xf>
    <xf numFmtId="0" fontId="32" fillId="30" borderId="32" xfId="36" applyNumberFormat="1" applyFont="1" applyFill="1" applyBorder="1" applyAlignment="1" applyProtection="1">
      <alignment horizontal="center" vertical="center" wrapText="1"/>
    </xf>
    <xf numFmtId="0" fontId="32" fillId="22" borderId="52" xfId="36" applyNumberFormat="1" applyFont="1" applyBorder="1" applyAlignment="1" applyProtection="1">
      <alignment horizontal="center" vertical="center" wrapText="1"/>
    </xf>
    <xf numFmtId="0" fontId="32" fillId="22" borderId="53" xfId="36" applyNumberFormat="1" applyFont="1" applyBorder="1" applyAlignment="1" applyProtection="1">
      <alignment horizontal="center" vertical="center" wrapText="1"/>
    </xf>
    <xf numFmtId="0" fontId="32" fillId="22" borderId="54" xfId="36" applyNumberFormat="1" applyFont="1" applyBorder="1" applyAlignment="1" applyProtection="1">
      <alignment horizontal="center" vertical="center" wrapText="1"/>
    </xf>
    <xf numFmtId="0" fontId="32" fillId="31" borderId="37" xfId="36" applyNumberFormat="1" applyFont="1" applyFill="1" applyBorder="1" applyAlignment="1" applyProtection="1">
      <alignment horizontal="center" vertical="center" wrapText="1"/>
    </xf>
    <xf numFmtId="0" fontId="32" fillId="31" borderId="10" xfId="36" applyNumberFormat="1" applyFont="1" applyFill="1" applyBorder="1" applyAlignment="1" applyProtection="1">
      <alignment horizontal="center" vertical="center" wrapText="1"/>
    </xf>
    <xf numFmtId="0" fontId="32" fillId="31" borderId="40" xfId="36" applyNumberFormat="1" applyFont="1" applyFill="1" applyBorder="1" applyAlignment="1" applyProtection="1">
      <alignment horizontal="center" vertical="center" wrapText="1"/>
    </xf>
    <xf numFmtId="0" fontId="32" fillId="31" borderId="36" xfId="36" applyNumberFormat="1" applyFont="1" applyFill="1" applyBorder="1" applyAlignment="1" applyProtection="1">
      <alignment horizontal="center" vertical="center" wrapText="1"/>
    </xf>
    <xf numFmtId="0" fontId="32" fillId="29" borderId="37" xfId="36" applyNumberFormat="1" applyFont="1" applyFill="1" applyBorder="1" applyAlignment="1" applyProtection="1">
      <alignment horizontal="center" vertical="center" wrapText="1"/>
    </xf>
    <xf numFmtId="0" fontId="32" fillId="29" borderId="10" xfId="36" applyNumberFormat="1" applyFont="1" applyFill="1" applyBorder="1" applyAlignment="1" applyProtection="1">
      <alignment horizontal="center" vertical="center" wrapText="1"/>
    </xf>
    <xf numFmtId="0" fontId="32" fillId="29" borderId="40" xfId="36" applyNumberFormat="1" applyFont="1" applyFill="1" applyBorder="1" applyAlignment="1" applyProtection="1">
      <alignment horizontal="center" vertical="center" wrapText="1"/>
    </xf>
    <xf numFmtId="0" fontId="32" fillId="29" borderId="36" xfId="36" applyNumberFormat="1" applyFont="1" applyFill="1" applyBorder="1" applyAlignment="1" applyProtection="1">
      <alignment horizontal="center" vertical="center" wrapText="1"/>
    </xf>
    <xf numFmtId="0" fontId="32" fillId="30" borderId="55" xfId="36" applyNumberFormat="1" applyFont="1" applyFill="1" applyBorder="1" applyAlignment="1" applyProtection="1">
      <alignment horizontal="center" vertical="center" wrapText="1"/>
    </xf>
    <xf numFmtId="0" fontId="32" fillId="31" borderId="39" xfId="36" applyNumberFormat="1" applyFont="1" applyFill="1" applyBorder="1" applyAlignment="1" applyProtection="1">
      <alignment horizontal="center" vertical="center" wrapText="1"/>
    </xf>
    <xf numFmtId="0" fontId="32" fillId="31" borderId="46" xfId="36" applyNumberFormat="1" applyFont="1" applyFill="1" applyBorder="1" applyAlignment="1" applyProtection="1">
      <alignment horizontal="center" vertical="center" wrapText="1"/>
    </xf>
    <xf numFmtId="0" fontId="32" fillId="31" borderId="55" xfId="36" applyNumberFormat="1" applyFont="1" applyFill="1" applyBorder="1" applyAlignment="1" applyProtection="1">
      <alignment horizontal="center" vertical="center" wrapText="1"/>
    </xf>
    <xf numFmtId="0" fontId="32" fillId="31" borderId="45" xfId="36" applyNumberFormat="1" applyFont="1" applyFill="1" applyBorder="1" applyAlignment="1" applyProtection="1">
      <alignment horizontal="center" vertical="center" wrapText="1"/>
    </xf>
    <xf numFmtId="0" fontId="32" fillId="31" borderId="32" xfId="36" applyNumberFormat="1" applyFont="1" applyFill="1" applyBorder="1" applyAlignment="1" applyProtection="1">
      <alignment horizontal="center" vertical="center" wrapText="1"/>
    </xf>
    <xf numFmtId="0" fontId="32" fillId="31" borderId="57" xfId="36" applyNumberFormat="1" applyFont="1" applyFill="1" applyBorder="1" applyAlignment="1" applyProtection="1">
      <alignment horizontal="center" vertical="center" wrapText="1"/>
    </xf>
    <xf numFmtId="0" fontId="32" fillId="35" borderId="39" xfId="36" applyNumberFormat="1" applyFont="1" applyFill="1" applyBorder="1" applyAlignment="1" applyProtection="1">
      <alignment horizontal="center" vertical="center" wrapText="1"/>
    </xf>
    <xf numFmtId="0" fontId="32" fillId="35" borderId="46" xfId="36" applyNumberFormat="1" applyFont="1" applyFill="1" applyBorder="1" applyAlignment="1" applyProtection="1">
      <alignment horizontal="center" vertical="center" wrapText="1"/>
    </xf>
    <xf numFmtId="0" fontId="32" fillId="35" borderId="45" xfId="36" applyNumberFormat="1" applyFont="1" applyFill="1" applyBorder="1" applyAlignment="1" applyProtection="1">
      <alignment horizontal="center" vertical="center" wrapText="1"/>
    </xf>
    <xf numFmtId="0" fontId="32" fillId="35" borderId="32" xfId="36" applyNumberFormat="1" applyFont="1" applyFill="1" applyBorder="1" applyAlignment="1" applyProtection="1">
      <alignment horizontal="center" vertical="center" wrapText="1"/>
    </xf>
    <xf numFmtId="0" fontId="32" fillId="35" borderId="56" xfId="36" applyNumberFormat="1" applyFont="1" applyFill="1" applyBorder="1" applyAlignment="1" applyProtection="1">
      <alignment horizontal="center" vertical="center" wrapText="1"/>
    </xf>
    <xf numFmtId="0" fontId="32" fillId="35" borderId="55" xfId="36" applyNumberFormat="1" applyFont="1" applyFill="1" applyBorder="1" applyAlignment="1" applyProtection="1">
      <alignment horizontal="center" vertical="center" wrapText="1"/>
    </xf>
    <xf numFmtId="0" fontId="32" fillId="35" borderId="57" xfId="36" applyNumberFormat="1" applyFont="1" applyFill="1" applyBorder="1" applyAlignment="1" applyProtection="1">
      <alignment horizontal="center" vertical="center" wrapText="1"/>
    </xf>
    <xf numFmtId="0" fontId="32" fillId="35" borderId="37" xfId="36" applyNumberFormat="1" applyFont="1" applyFill="1" applyBorder="1" applyAlignment="1" applyProtection="1">
      <alignment horizontal="center" vertical="center" wrapText="1"/>
    </xf>
    <xf numFmtId="0" fontId="32" fillId="35" borderId="10" xfId="36" applyNumberFormat="1" applyFont="1" applyFill="1" applyBorder="1" applyAlignment="1" applyProtection="1">
      <alignment horizontal="center" vertical="center" wrapText="1"/>
    </xf>
    <xf numFmtId="0" fontId="32" fillId="35" borderId="40" xfId="36" applyNumberFormat="1" applyFont="1" applyFill="1" applyBorder="1" applyAlignment="1" applyProtection="1">
      <alignment horizontal="center" vertical="center" wrapText="1"/>
    </xf>
    <xf numFmtId="0" fontId="32" fillId="32" borderId="37" xfId="36" applyNumberFormat="1" applyFont="1" applyFill="1" applyBorder="1" applyAlignment="1" applyProtection="1">
      <alignment horizontal="center" vertical="center" wrapText="1"/>
    </xf>
    <xf numFmtId="0" fontId="32" fillId="32" borderId="10" xfId="36" applyNumberFormat="1" applyFont="1" applyFill="1" applyBorder="1" applyAlignment="1" applyProtection="1">
      <alignment horizontal="center" vertical="center" wrapText="1"/>
    </xf>
    <xf numFmtId="0" fontId="32" fillId="32" borderId="40" xfId="36" applyNumberFormat="1" applyFont="1" applyFill="1" applyBorder="1" applyAlignment="1" applyProtection="1">
      <alignment horizontal="center" vertical="center" wrapText="1"/>
    </xf>
    <xf numFmtId="0" fontId="32" fillId="32" borderId="36" xfId="36" applyNumberFormat="1" applyFont="1" applyFill="1" applyBorder="1" applyAlignment="1" applyProtection="1">
      <alignment horizontal="center" vertical="center" wrapText="1"/>
    </xf>
    <xf numFmtId="0" fontId="32" fillId="33" borderId="39" xfId="36" applyNumberFormat="1" applyFont="1" applyFill="1" applyBorder="1" applyAlignment="1" applyProtection="1">
      <alignment horizontal="center" vertical="center" wrapText="1"/>
    </xf>
    <xf numFmtId="0" fontId="32" fillId="33" borderId="46" xfId="36" applyNumberFormat="1" applyFont="1" applyFill="1" applyBorder="1" applyAlignment="1" applyProtection="1">
      <alignment horizontal="center" vertical="center" wrapText="1"/>
    </xf>
    <xf numFmtId="0" fontId="32" fillId="33" borderId="45" xfId="36" applyNumberFormat="1" applyFont="1" applyFill="1" applyBorder="1" applyAlignment="1" applyProtection="1">
      <alignment horizontal="center" vertical="center" wrapText="1"/>
    </xf>
    <xf numFmtId="0" fontId="32" fillId="33" borderId="32" xfId="36" applyNumberFormat="1" applyFont="1" applyFill="1" applyBorder="1" applyAlignment="1" applyProtection="1">
      <alignment horizontal="center" vertical="center" wrapText="1"/>
    </xf>
    <xf numFmtId="0" fontId="32" fillId="22" borderId="10" xfId="36" applyNumberFormat="1" applyFont="1" applyBorder="1" applyAlignment="1" applyProtection="1">
      <alignment horizontal="center" vertical="center" wrapText="1"/>
    </xf>
    <xf numFmtId="0" fontId="32" fillId="22" borderId="11" xfId="36" applyNumberFormat="1" applyFont="1" applyBorder="1" applyAlignment="1" applyProtection="1">
      <alignment horizontal="center" vertical="center" wrapText="1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</cellXfs>
  <cellStyles count="58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alculation 2" xfId="54" xr:uid="{00000000-0005-0000-0000-00001A000000}"/>
    <cellStyle name="Calculation 3" xfId="55" xr:uid="{00000000-0005-0000-0000-00001B000000}"/>
    <cellStyle name="Check Cell" xfId="27" builtinId="23" customBuiltin="1"/>
    <cellStyle name="Check Cell 2" xfId="46" xr:uid="{00000000-0005-0000-0000-00001D000000}"/>
    <cellStyle name="Explanatory Text" xfId="28" builtinId="53" customBuiltin="1"/>
    <cellStyle name="Good" xfId="29" builtinId="26" customBuiltin="1"/>
    <cellStyle name="Good 2" xfId="45" xr:uid="{00000000-0005-0000-0000-000020000000}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Input 2" xfId="52" xr:uid="{00000000-0005-0000-0000-000026000000}"/>
    <cellStyle name="Input 3" xfId="53" xr:uid="{00000000-0005-0000-0000-000027000000}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B000000}"/>
    <cellStyle name="Normal 2 2" xfId="38" xr:uid="{00000000-0005-0000-0000-00002C000000}"/>
    <cellStyle name="Normal 3" xfId="39" xr:uid="{00000000-0005-0000-0000-00002D000000}"/>
    <cellStyle name="Normal 3 2" xfId="56" xr:uid="{00000000-0005-0000-0000-00002E000000}"/>
    <cellStyle name="Note" xfId="40" builtinId="10" customBuiltin="1"/>
    <cellStyle name="Note 2" xfId="48" xr:uid="{00000000-0005-0000-0000-000030000000}"/>
    <cellStyle name="Note 3" xfId="51" xr:uid="{00000000-0005-0000-0000-000031000000}"/>
    <cellStyle name="Output" xfId="41" builtinId="21" customBuiltin="1"/>
    <cellStyle name="Output 2" xfId="47" xr:uid="{00000000-0005-0000-0000-000033000000}"/>
    <cellStyle name="Output 3" xfId="50" xr:uid="{00000000-0005-0000-0000-000034000000}"/>
    <cellStyle name="Title" xfId="42" builtinId="15" customBuiltin="1"/>
    <cellStyle name="Total" xfId="43" builtinId="25" customBuiltin="1"/>
    <cellStyle name="Total 2" xfId="57" xr:uid="{00000000-0005-0000-0000-000037000000}"/>
    <cellStyle name="Total 3" xfId="49" xr:uid="{00000000-0005-0000-0000-000038000000}"/>
    <cellStyle name="Warning Text" xfId="44" builtinId="11" customBuiltin="1"/>
  </cellStyles>
  <dxfs count="397"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</dxfs>
  <tableStyles count="0" defaultTableStyle="TableStyleMedium2" defaultPivotStyle="PivotStyleLight16"/>
  <colors>
    <mruColors>
      <color rgb="FFBBF2FD"/>
      <color rgb="FF00CCFF"/>
      <color rgb="FFFF9999"/>
      <color rgb="FFFCBCFC"/>
      <color rgb="FFC6FFB9"/>
      <color rgb="FFBEFD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harepoint.ger.ith.intel.com/Users/uvirobni/AppData/Local/Microsoft/Windows/Temporary%20Internet%20Files/Content.Outlook/KURMAHKO/p1269_iCLK_CAS_Signal_Bucketing_LP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SC_Grandioso"/>
      <sheetName val="SSCa"/>
      <sheetName val="SSCa_PI"/>
      <sheetName val="SSCa_Postdiv"/>
      <sheetName val="SSCa_AsyncLogic"/>
      <sheetName val="SSCd"/>
      <sheetName val="GEN Diff Buffer"/>
      <sheetName val="GEN MoDDIV"/>
      <sheetName val="GEN SE Buffer"/>
      <sheetName val="Non-SSC Divtop"/>
      <sheetName val="Diff Buffer"/>
      <sheetName val="CBTOP"/>
      <sheetName val="CBANA"/>
      <sheetName val="CBTOP_OLD"/>
      <sheetName val="iref bias"/>
      <sheetName val="OSC"/>
      <sheetName val="SFR"/>
      <sheetName val="LCPLLTOP"/>
      <sheetName val="Mon Port"/>
      <sheetName val="CML2CMOS"/>
      <sheetName val="c69pxpllshr_inbufreftop"/>
      <sheetName val="c69pxpllshr_inbuftop"/>
      <sheetName val="List"/>
      <sheetName val="sandbox"/>
      <sheetName val="Sheet1"/>
      <sheetName val="Crapo"/>
      <sheetName val="Sheet8"/>
      <sheetName val="Sheet9"/>
      <sheetName val="Sheet10"/>
      <sheetName val="Sheet11"/>
      <sheetName val="Sheet11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1">
          <cell r="J1" t="str">
            <v>FUSE (high priority)  w/ internally hard tied register default</v>
          </cell>
        </row>
        <row r="2">
          <cell r="J2" t="str">
            <v>FUSE (nice to have)  w/ internally hard tied register default</v>
          </cell>
        </row>
        <row r="3">
          <cell r="J3" t="str">
            <v>PIN/STRAP - externally hard tied register default</v>
          </cell>
        </row>
        <row r="4">
          <cell r="J4" t="str">
            <v>Internally hard tied register default (no fuse)</v>
          </cell>
        </row>
        <row r="5">
          <cell r="J5" t="str">
            <v>N/A</v>
          </cell>
        </row>
      </sheetData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</sheetPr>
  <dimension ref="A1:S533"/>
  <sheetViews>
    <sheetView tabSelected="1" zoomScale="85" zoomScaleNormal="85" workbookViewId="0">
      <pane ySplit="1" topLeftCell="A520" activePane="bottomLeft" state="frozen"/>
      <selection pane="bottomLeft" activeCell="C2" sqref="A2:XFD533"/>
    </sheetView>
  </sheetViews>
  <sheetFormatPr defaultColWidth="9.109375" defaultRowHeight="14.4"/>
  <cols>
    <col min="1" max="1" width="32.33203125" style="32" customWidth="1"/>
    <col min="2" max="2" width="11.44140625" style="33" bestFit="1" customWidth="1"/>
    <col min="3" max="3" width="48.6640625" style="17" bestFit="1" customWidth="1"/>
    <col min="4" max="4" width="6.6640625" style="17" bestFit="1" customWidth="1"/>
    <col min="5" max="5" width="15.88671875" style="31" customWidth="1"/>
    <col min="6" max="6" width="23.5546875" style="31" bestFit="1" customWidth="1"/>
    <col min="7" max="7" width="23.33203125" style="31" bestFit="1" customWidth="1"/>
    <col min="8" max="8" width="68" style="1" customWidth="1"/>
    <col min="9" max="9" width="10" style="17" bestFit="1" customWidth="1"/>
    <col min="10" max="10" width="12.88671875" style="17" bestFit="1" customWidth="1"/>
    <col min="11" max="11" width="12.33203125" style="32" customWidth="1"/>
    <col min="12" max="12" width="26.44140625" style="32" bestFit="1" customWidth="1"/>
    <col min="13" max="16" width="11.44140625" style="33" bestFit="1" customWidth="1"/>
    <col min="17" max="17" width="16.44140625" style="33" bestFit="1" customWidth="1"/>
    <col min="18" max="19" width="42.109375" style="33" bestFit="1" customWidth="1"/>
    <col min="20" max="22" width="9.109375" style="2"/>
    <col min="23" max="23" width="42.6640625" style="2" bestFit="1" customWidth="1"/>
    <col min="24" max="16384" width="9.109375" style="2"/>
  </cols>
  <sheetData>
    <row r="1" spans="1:19" ht="40.200000000000003" thickBot="1">
      <c r="A1" s="37" t="s">
        <v>33</v>
      </c>
      <c r="B1" s="37" t="s">
        <v>21</v>
      </c>
      <c r="C1" s="37" t="s">
        <v>0</v>
      </c>
      <c r="D1" s="37" t="s">
        <v>1</v>
      </c>
      <c r="E1" s="38" t="s">
        <v>2</v>
      </c>
      <c r="F1" s="38" t="s">
        <v>455</v>
      </c>
      <c r="G1" s="38" t="s">
        <v>250</v>
      </c>
      <c r="H1" s="37" t="s">
        <v>3</v>
      </c>
      <c r="I1" s="37" t="s">
        <v>24</v>
      </c>
      <c r="J1" s="37" t="s">
        <v>23</v>
      </c>
      <c r="K1" s="37" t="s">
        <v>34</v>
      </c>
      <c r="L1" s="37" t="s">
        <v>4</v>
      </c>
      <c r="M1" s="39" t="s">
        <v>92</v>
      </c>
      <c r="N1" s="40" t="s">
        <v>96</v>
      </c>
      <c r="O1" s="40" t="s">
        <v>99</v>
      </c>
      <c r="P1" s="40" t="s">
        <v>100</v>
      </c>
      <c r="Q1" s="40" t="s">
        <v>106</v>
      </c>
      <c r="R1" s="40" t="s">
        <v>456</v>
      </c>
      <c r="S1" s="40" t="s">
        <v>252</v>
      </c>
    </row>
    <row r="2" spans="1:19">
      <c r="A2" s="130" t="s">
        <v>125</v>
      </c>
      <c r="B2" s="128" t="str">
        <f>DEC2HEX(P2*4)</f>
        <v>0</v>
      </c>
      <c r="C2" s="52" t="s">
        <v>454</v>
      </c>
      <c r="D2" s="80" t="str">
        <f>bitConcat1(F3:F10)</f>
        <v>32'b00000000000000010000100000000000</v>
      </c>
      <c r="E2" s="81"/>
      <c r="F2" s="81"/>
      <c r="G2" s="82"/>
      <c r="H2" s="53" t="s">
        <v>251</v>
      </c>
      <c r="I2" s="54"/>
      <c r="J2" s="83" t="str">
        <f>bitConcat1(G3:G10)</f>
        <v>32'b00000000000000010000000000000000</v>
      </c>
      <c r="K2" s="84"/>
      <c r="L2" s="85"/>
      <c r="M2" s="95" t="str">
        <f>DEC2HEX(_xlfn.BITLSHIFT(O2,7)+4*P2)</f>
        <v>400</v>
      </c>
      <c r="N2" s="95" t="s">
        <v>97</v>
      </c>
      <c r="O2" s="95">
        <v>8</v>
      </c>
      <c r="P2" s="98">
        <v>0</v>
      </c>
      <c r="Q2" s="98" t="str">
        <f>DEC2HEX(_xlfn.BITLSHIFT(O2,5)+P2)</f>
        <v>100</v>
      </c>
      <c r="R2" s="73" t="str">
        <f>BIN2HEX(LEFT(RIGHT(D2,32),4))&amp;BIN2HEX(LEFT(RIGHT(D2,28),4))&amp;BIN2HEX(LEFT(RIGHT(D2,24),4))&amp;BIN2HEX(LEFT(RIGHT(D2,20),4))&amp;BIN2HEX(LEFT(RIGHT(D2,16),4))&amp;BIN2HEX(LEFT(RIGHT(D2,12),4))&amp;BIN2HEX(LEFT(RIGHT(D2,8),4))&amp;BIN2HEX(LEFT(RIGHT(D2,4),4))</f>
        <v>00010800</v>
      </c>
      <c r="S2" s="73" t="str">
        <f>BIN2HEX(LEFT(RIGHT(J2,32),4))&amp;BIN2HEX(LEFT(RIGHT(J2,28),4))&amp;BIN2HEX(LEFT(RIGHT(J2,24),4))&amp;BIN2HEX(LEFT(RIGHT(J2,20),4))&amp;BIN2HEX(LEFT(RIGHT(J2,16),4))&amp;BIN2HEX(LEFT(RIGHT(J2,12),4))&amp;BIN2HEX(LEFT(RIGHT(J2,8),4))&amp;BIN2HEX(LEFT(RIGHT(J2,4),4))</f>
        <v>00010000</v>
      </c>
    </row>
    <row r="3" spans="1:19">
      <c r="A3" s="127"/>
      <c r="B3" s="129"/>
      <c r="C3" s="36" t="s">
        <v>476</v>
      </c>
      <c r="D3" s="41">
        <v>1</v>
      </c>
      <c r="E3" s="42" t="str">
        <f>IF(D3&gt;1,(31)&amp;":"&amp;(31-D3+1),(31-D3+1)&amp;":"&amp;(31-D3+1))</f>
        <v>31:31</v>
      </c>
      <c r="F3" s="43" t="s">
        <v>7</v>
      </c>
      <c r="G3" s="43" t="s">
        <v>7</v>
      </c>
      <c r="H3" s="49" t="s">
        <v>138</v>
      </c>
      <c r="I3" s="45" t="s">
        <v>68</v>
      </c>
      <c r="J3" s="46" t="s">
        <v>36</v>
      </c>
      <c r="K3" s="47" t="s">
        <v>6</v>
      </c>
      <c r="L3" s="48"/>
      <c r="M3" s="96"/>
      <c r="N3" s="96"/>
      <c r="O3" s="96"/>
      <c r="P3" s="97"/>
      <c r="Q3" s="97"/>
      <c r="R3" s="74"/>
      <c r="S3" s="74"/>
    </row>
    <row r="4" spans="1:19">
      <c r="A4" s="127"/>
      <c r="B4" s="129"/>
      <c r="C4" s="36" t="s">
        <v>477</v>
      </c>
      <c r="D4" s="41">
        <v>6</v>
      </c>
      <c r="E4" s="50" t="str">
        <f>(MID(E3,SEARCH(":",E3)+1,2)-1) &amp; ":" &amp; (MID(E3,SEARCH(":",E3)+1,2)-D4)</f>
        <v>30:25</v>
      </c>
      <c r="F4" s="43" t="s">
        <v>122</v>
      </c>
      <c r="G4" s="43" t="s">
        <v>122</v>
      </c>
      <c r="H4" s="49" t="s">
        <v>439</v>
      </c>
      <c r="I4" s="45" t="s">
        <v>68</v>
      </c>
      <c r="J4" s="46" t="s">
        <v>36</v>
      </c>
      <c r="K4" s="47" t="s">
        <v>6</v>
      </c>
      <c r="L4" s="48"/>
      <c r="M4" s="96"/>
      <c r="N4" s="96"/>
      <c r="O4" s="96"/>
      <c r="P4" s="97"/>
      <c r="Q4" s="97"/>
      <c r="R4" s="74"/>
      <c r="S4" s="74"/>
    </row>
    <row r="5" spans="1:19">
      <c r="A5" s="127"/>
      <c r="B5" s="129"/>
      <c r="C5" s="36" t="s">
        <v>478</v>
      </c>
      <c r="D5" s="41">
        <v>4</v>
      </c>
      <c r="E5" s="50" t="str">
        <f t="shared" ref="E5:E10" si="0">(MID(E4,SEARCH(":",E4)+1,2)-1) &amp; ":" &amp; (MID(E4,SEARCH(":",E4)+1,2)-D5)</f>
        <v>24:21</v>
      </c>
      <c r="F5" s="43" t="s">
        <v>493</v>
      </c>
      <c r="G5" s="43" t="s">
        <v>493</v>
      </c>
      <c r="H5" s="49" t="s">
        <v>488</v>
      </c>
      <c r="I5" s="45" t="s">
        <v>68</v>
      </c>
      <c r="J5" s="46" t="s">
        <v>36</v>
      </c>
      <c r="K5" s="47" t="s">
        <v>6</v>
      </c>
      <c r="L5" s="48"/>
      <c r="M5" s="96"/>
      <c r="N5" s="96"/>
      <c r="O5" s="96"/>
      <c r="P5" s="97"/>
      <c r="Q5" s="97"/>
      <c r="R5" s="74"/>
      <c r="S5" s="74"/>
    </row>
    <row r="6" spans="1:19">
      <c r="A6" s="127"/>
      <c r="B6" s="129"/>
      <c r="C6" s="36" t="s">
        <v>117</v>
      </c>
      <c r="D6" s="41">
        <v>5</v>
      </c>
      <c r="E6" s="50" t="str">
        <f t="shared" si="0"/>
        <v>20:16</v>
      </c>
      <c r="F6" s="43" t="s">
        <v>463</v>
      </c>
      <c r="G6" s="43" t="s">
        <v>463</v>
      </c>
      <c r="H6" s="49" t="s">
        <v>489</v>
      </c>
      <c r="I6" s="45" t="s">
        <v>68</v>
      </c>
      <c r="J6" s="46" t="s">
        <v>36</v>
      </c>
      <c r="K6" s="47" t="s">
        <v>6</v>
      </c>
      <c r="L6" s="48"/>
      <c r="M6" s="96"/>
      <c r="N6" s="96"/>
      <c r="O6" s="96"/>
      <c r="P6" s="97"/>
      <c r="Q6" s="97"/>
      <c r="R6" s="74"/>
      <c r="S6" s="74"/>
    </row>
    <row r="7" spans="1:19">
      <c r="A7" s="127"/>
      <c r="B7" s="129"/>
      <c r="C7" s="36" t="s">
        <v>479</v>
      </c>
      <c r="D7" s="41">
        <v>3</v>
      </c>
      <c r="E7" s="50" t="str">
        <f t="shared" si="0"/>
        <v>15:13</v>
      </c>
      <c r="F7" s="43" t="s">
        <v>494</v>
      </c>
      <c r="G7" s="43" t="s">
        <v>494</v>
      </c>
      <c r="H7" s="49" t="s">
        <v>116</v>
      </c>
      <c r="I7" s="45" t="s">
        <v>68</v>
      </c>
      <c r="J7" s="46" t="s">
        <v>36</v>
      </c>
      <c r="K7" s="47" t="s">
        <v>6</v>
      </c>
      <c r="L7" s="48"/>
      <c r="M7" s="96"/>
      <c r="N7" s="96"/>
      <c r="O7" s="96"/>
      <c r="P7" s="97"/>
      <c r="Q7" s="97"/>
      <c r="R7" s="74"/>
      <c r="S7" s="74"/>
    </row>
    <row r="8" spans="1:19">
      <c r="A8" s="127"/>
      <c r="B8" s="129"/>
      <c r="C8" s="36" t="s">
        <v>480</v>
      </c>
      <c r="D8" s="41">
        <v>1</v>
      </c>
      <c r="E8" s="50" t="str">
        <f t="shared" si="0"/>
        <v>12:12</v>
      </c>
      <c r="F8" s="43" t="s">
        <v>7</v>
      </c>
      <c r="G8" s="43" t="s">
        <v>7</v>
      </c>
      <c r="H8" s="64" t="s">
        <v>492</v>
      </c>
      <c r="I8" s="45" t="s">
        <v>68</v>
      </c>
      <c r="J8" s="46" t="s">
        <v>36</v>
      </c>
      <c r="K8" s="47" t="s">
        <v>6</v>
      </c>
      <c r="L8" s="48"/>
      <c r="M8" s="96"/>
      <c r="N8" s="96"/>
      <c r="O8" s="96"/>
      <c r="P8" s="97"/>
      <c r="Q8" s="97"/>
      <c r="R8" s="74"/>
      <c r="S8" s="74"/>
    </row>
    <row r="9" spans="1:19">
      <c r="A9" s="127"/>
      <c r="B9" s="129"/>
      <c r="C9" s="36" t="s">
        <v>119</v>
      </c>
      <c r="D9" s="41">
        <v>1</v>
      </c>
      <c r="E9" s="50" t="str">
        <f t="shared" si="0"/>
        <v>11:11</v>
      </c>
      <c r="F9" s="65" t="s">
        <v>84</v>
      </c>
      <c r="G9" s="43" t="s">
        <v>7</v>
      </c>
      <c r="H9" s="49" t="s">
        <v>490</v>
      </c>
      <c r="I9" s="45" t="s">
        <v>68</v>
      </c>
      <c r="J9" s="46" t="s">
        <v>36</v>
      </c>
      <c r="K9" s="47" t="s">
        <v>6</v>
      </c>
      <c r="L9" s="48"/>
      <c r="M9" s="96"/>
      <c r="N9" s="96"/>
      <c r="O9" s="96"/>
      <c r="P9" s="97"/>
      <c r="Q9" s="97"/>
      <c r="R9" s="74"/>
      <c r="S9" s="74"/>
    </row>
    <row r="10" spans="1:19" ht="15" thickBot="1">
      <c r="A10" s="127"/>
      <c r="B10" s="129"/>
      <c r="C10" s="36" t="s">
        <v>120</v>
      </c>
      <c r="D10" s="41">
        <v>11</v>
      </c>
      <c r="E10" s="50" t="str">
        <f t="shared" si="0"/>
        <v>10:0</v>
      </c>
      <c r="F10" s="43" t="s">
        <v>495</v>
      </c>
      <c r="G10" s="43" t="s">
        <v>495</v>
      </c>
      <c r="H10" s="49" t="s">
        <v>491</v>
      </c>
      <c r="I10" s="45" t="s">
        <v>68</v>
      </c>
      <c r="J10" s="46" t="s">
        <v>36</v>
      </c>
      <c r="K10" s="47" t="s">
        <v>6</v>
      </c>
      <c r="L10" s="48"/>
      <c r="M10" s="96"/>
      <c r="N10" s="96"/>
      <c r="O10" s="96"/>
      <c r="P10" s="97"/>
      <c r="Q10" s="97"/>
      <c r="R10" s="74"/>
      <c r="S10" s="74"/>
    </row>
    <row r="11" spans="1:19" ht="15.75" customHeight="1">
      <c r="A11" s="127" t="s">
        <v>127</v>
      </c>
      <c r="B11" s="128" t="str">
        <f t="shared" ref="B11" si="1">DEC2HEX(P11*4)</f>
        <v>C</v>
      </c>
      <c r="C11" s="52" t="s">
        <v>454</v>
      </c>
      <c r="D11" s="80" t="str">
        <f>bitConcat1(F12:F17)</f>
        <v>32'b00111111111111110000101100010000</v>
      </c>
      <c r="E11" s="81"/>
      <c r="F11" s="81"/>
      <c r="G11" s="82"/>
      <c r="H11" s="53" t="s">
        <v>251</v>
      </c>
      <c r="I11" s="54"/>
      <c r="J11" s="83" t="str">
        <f>bitConcat1(G12:G17)</f>
        <v>32'b00111111111111110000001100010000</v>
      </c>
      <c r="K11" s="84"/>
      <c r="L11" s="85"/>
      <c r="M11" s="95" t="str">
        <f t="shared" ref="M11" si="2">DEC2HEX(_xlfn.BITLSHIFT(O11,7)+4*P11)</f>
        <v>40C</v>
      </c>
      <c r="N11" s="96" t="s">
        <v>97</v>
      </c>
      <c r="O11" s="96">
        <v>8</v>
      </c>
      <c r="P11" s="97">
        <v>3</v>
      </c>
      <c r="Q11" s="98" t="str">
        <f>DEC2HEX(_xlfn.BITLSHIFT(O11,5)+P11)</f>
        <v>103</v>
      </c>
      <c r="R11" s="73" t="str">
        <f>BIN2HEX(LEFT(RIGHT(D11,32),4))&amp;BIN2HEX(LEFT(RIGHT(D11,28),4))&amp;BIN2HEX(LEFT(RIGHT(D11,24),4))&amp;BIN2HEX(LEFT(RIGHT(D11,20),4))&amp;BIN2HEX(LEFT(RIGHT(D11,16),4))&amp;BIN2HEX(LEFT(RIGHT(D11,12),4))&amp;BIN2HEX(LEFT(RIGHT(D11,8),4))&amp;BIN2HEX(LEFT(RIGHT(D11,4),4))</f>
        <v>3FFF0B10</v>
      </c>
      <c r="S11" s="73" t="str">
        <f t="shared" ref="S11:S61" si="3">BIN2HEX(LEFT(RIGHT(J11,32),4))&amp;BIN2HEX(LEFT(RIGHT(J11,28),4))&amp;BIN2HEX(LEFT(RIGHT(J11,24),4))&amp;BIN2HEX(LEFT(RIGHT(J11,20),4))&amp;BIN2HEX(LEFT(RIGHT(J11,16),4))&amp;BIN2HEX(LEFT(RIGHT(J11,12),4))&amp;BIN2HEX(LEFT(RIGHT(J11,8),4))&amp;BIN2HEX(LEFT(RIGHT(J11,4),4))</f>
        <v>3FFF0310</v>
      </c>
    </row>
    <row r="12" spans="1:19">
      <c r="A12" s="127"/>
      <c r="B12" s="129"/>
      <c r="C12" s="36" t="s">
        <v>481</v>
      </c>
      <c r="D12" s="41">
        <v>2</v>
      </c>
      <c r="E12" s="42" t="str">
        <f>IF(D12&gt;1,(31)&amp;":"&amp;(31-D12+1),(31-D12+1)&amp;":"&amp;(31-D12+1))</f>
        <v>31:30</v>
      </c>
      <c r="F12" s="43" t="s">
        <v>98</v>
      </c>
      <c r="G12" s="43" t="s">
        <v>98</v>
      </c>
      <c r="H12" s="44" t="s">
        <v>121</v>
      </c>
      <c r="I12" s="45" t="s">
        <v>68</v>
      </c>
      <c r="J12" s="46" t="s">
        <v>36</v>
      </c>
      <c r="K12" s="47" t="s">
        <v>6</v>
      </c>
      <c r="L12" s="48"/>
      <c r="M12" s="96"/>
      <c r="N12" s="96"/>
      <c r="O12" s="96"/>
      <c r="P12" s="97"/>
      <c r="Q12" s="97"/>
      <c r="R12" s="74"/>
      <c r="S12" s="74"/>
    </row>
    <row r="13" spans="1:19">
      <c r="A13" s="127"/>
      <c r="B13" s="129"/>
      <c r="C13" s="36" t="s">
        <v>257</v>
      </c>
      <c r="D13" s="41">
        <v>14</v>
      </c>
      <c r="E13" s="50" t="str">
        <f>(MID(E12,SEARCH(":",E12)+1,2)-1) &amp; ":" &amp; (MID(E12,SEARCH(":",E12)+1,2)-D13)</f>
        <v>29:16</v>
      </c>
      <c r="F13" s="43" t="s">
        <v>130</v>
      </c>
      <c r="G13" s="43" t="s">
        <v>130</v>
      </c>
      <c r="H13" s="49" t="s">
        <v>129</v>
      </c>
      <c r="I13" s="45" t="s">
        <v>68</v>
      </c>
      <c r="J13" s="46" t="s">
        <v>36</v>
      </c>
      <c r="K13" s="47" t="s">
        <v>6</v>
      </c>
      <c r="L13" s="48"/>
      <c r="M13" s="96"/>
      <c r="N13" s="96"/>
      <c r="O13" s="96"/>
      <c r="P13" s="97"/>
      <c r="Q13" s="97"/>
      <c r="R13" s="74"/>
      <c r="S13" s="74"/>
    </row>
    <row r="14" spans="1:19">
      <c r="A14" s="127"/>
      <c r="B14" s="129"/>
      <c r="C14" s="36" t="s">
        <v>482</v>
      </c>
      <c r="D14" s="41">
        <v>3</v>
      </c>
      <c r="E14" s="50" t="str">
        <f t="shared" ref="E14:E17" si="4">(MID(E13,SEARCH(":",E13)+1,2)-1) &amp; ":" &amp; (MID(E13,SEARCH(":",E13)+1,2)-D14)</f>
        <v>15:13</v>
      </c>
      <c r="F14" s="43" t="s">
        <v>494</v>
      </c>
      <c r="G14" s="43" t="s">
        <v>494</v>
      </c>
      <c r="H14" s="49" t="s">
        <v>116</v>
      </c>
      <c r="I14" s="45" t="s">
        <v>68</v>
      </c>
      <c r="J14" s="46" t="s">
        <v>36</v>
      </c>
      <c r="K14" s="47" t="s">
        <v>6</v>
      </c>
      <c r="L14" s="48"/>
      <c r="M14" s="96"/>
      <c r="N14" s="96"/>
      <c r="O14" s="96"/>
      <c r="P14" s="97"/>
      <c r="Q14" s="97"/>
      <c r="R14" s="74"/>
      <c r="S14" s="74"/>
    </row>
    <row r="15" spans="1:19">
      <c r="A15" s="127"/>
      <c r="B15" s="129"/>
      <c r="C15" s="36" t="s">
        <v>523</v>
      </c>
      <c r="D15" s="41">
        <v>1</v>
      </c>
      <c r="E15" s="50" t="str">
        <f t="shared" si="4"/>
        <v>12:12</v>
      </c>
      <c r="F15" s="43" t="s">
        <v>7</v>
      </c>
      <c r="G15" s="43" t="s">
        <v>7</v>
      </c>
      <c r="H15" s="64" t="s">
        <v>492</v>
      </c>
      <c r="I15" s="45" t="s">
        <v>68</v>
      </c>
      <c r="J15" s="46" t="s">
        <v>36</v>
      </c>
      <c r="K15" s="47" t="s">
        <v>6</v>
      </c>
      <c r="L15" s="48"/>
      <c r="M15" s="96"/>
      <c r="N15" s="96"/>
      <c r="O15" s="96"/>
      <c r="P15" s="97"/>
      <c r="Q15" s="97"/>
      <c r="R15" s="74"/>
      <c r="S15" s="74"/>
    </row>
    <row r="16" spans="1:19">
      <c r="A16" s="127"/>
      <c r="B16" s="129"/>
      <c r="C16" s="36" t="s">
        <v>134</v>
      </c>
      <c r="D16" s="41">
        <v>1</v>
      </c>
      <c r="E16" s="50" t="str">
        <f t="shared" si="4"/>
        <v>11:11</v>
      </c>
      <c r="F16" s="65" t="s">
        <v>84</v>
      </c>
      <c r="G16" s="43" t="s">
        <v>7</v>
      </c>
      <c r="H16" s="49" t="s">
        <v>490</v>
      </c>
      <c r="I16" s="45" t="s">
        <v>68</v>
      </c>
      <c r="J16" s="46" t="s">
        <v>36</v>
      </c>
      <c r="K16" s="47" t="s">
        <v>6</v>
      </c>
      <c r="L16" s="48"/>
      <c r="M16" s="96"/>
      <c r="N16" s="96"/>
      <c r="O16" s="96"/>
      <c r="P16" s="97"/>
      <c r="Q16" s="97"/>
      <c r="R16" s="74"/>
      <c r="S16" s="74"/>
    </row>
    <row r="17" spans="1:19" ht="15" thickBot="1">
      <c r="A17" s="127"/>
      <c r="B17" s="129"/>
      <c r="C17" s="36" t="s">
        <v>135</v>
      </c>
      <c r="D17" s="41">
        <v>11</v>
      </c>
      <c r="E17" s="50" t="str">
        <f t="shared" si="4"/>
        <v>10:0</v>
      </c>
      <c r="F17" s="43" t="s">
        <v>464</v>
      </c>
      <c r="G17" s="43" t="s">
        <v>464</v>
      </c>
      <c r="H17" s="49" t="s">
        <v>491</v>
      </c>
      <c r="I17" s="45" t="s">
        <v>68</v>
      </c>
      <c r="J17" s="46" t="s">
        <v>36</v>
      </c>
      <c r="K17" s="47" t="s">
        <v>6</v>
      </c>
      <c r="L17" s="48"/>
      <c r="M17" s="96"/>
      <c r="N17" s="96"/>
      <c r="O17" s="96"/>
      <c r="P17" s="97"/>
      <c r="Q17" s="97"/>
      <c r="R17" s="74"/>
      <c r="S17" s="74"/>
    </row>
    <row r="18" spans="1:19" ht="15.75" customHeight="1">
      <c r="A18" s="127" t="s">
        <v>126</v>
      </c>
      <c r="B18" s="128" t="str">
        <f t="shared" ref="B18" si="5">DEC2HEX(P18*4)</f>
        <v>4</v>
      </c>
      <c r="C18" s="52" t="s">
        <v>454</v>
      </c>
      <c r="D18" s="80" t="str">
        <f>bitConcat1(F19:F27)</f>
        <v>32'b00011100000011100000101100010000</v>
      </c>
      <c r="E18" s="81"/>
      <c r="F18" s="81"/>
      <c r="G18" s="82"/>
      <c r="H18" s="53" t="s">
        <v>251</v>
      </c>
      <c r="I18" s="54"/>
      <c r="J18" s="83" t="str">
        <f>bitConcat1(G19:G27)</f>
        <v>32'b00011100000011100000001100010000</v>
      </c>
      <c r="K18" s="84"/>
      <c r="L18" s="85"/>
      <c r="M18" s="95" t="str">
        <f t="shared" ref="M18" si="6">DEC2HEX(_xlfn.BITLSHIFT(O18,7)+4*P18)</f>
        <v>404</v>
      </c>
      <c r="N18" s="96" t="s">
        <v>97</v>
      </c>
      <c r="O18" s="96">
        <v>8</v>
      </c>
      <c r="P18" s="97">
        <v>1</v>
      </c>
      <c r="Q18" s="98" t="str">
        <f>DEC2HEX(_xlfn.BITLSHIFT(O18,5)+P18)</f>
        <v>101</v>
      </c>
      <c r="R18" s="73" t="str">
        <f t="shared" ref="R18:R73" si="7">BIN2HEX(LEFT(RIGHT(D18,32),4))&amp;BIN2HEX(LEFT(RIGHT(D18,28),4))&amp;BIN2HEX(LEFT(RIGHT(D18,24),4))&amp;BIN2HEX(LEFT(RIGHT(D18,20),4))&amp;BIN2HEX(LEFT(RIGHT(D18,16),4))&amp;BIN2HEX(LEFT(RIGHT(D18,12),4))&amp;BIN2HEX(LEFT(RIGHT(D18,8),4))&amp;BIN2HEX(LEFT(RIGHT(D18,4),4))</f>
        <v>1C0E0B10</v>
      </c>
      <c r="S18" s="73" t="str">
        <f t="shared" si="3"/>
        <v>1C0E0310</v>
      </c>
    </row>
    <row r="19" spans="1:19">
      <c r="A19" s="127"/>
      <c r="B19" s="129"/>
      <c r="C19" s="36" t="s">
        <v>483</v>
      </c>
      <c r="D19" s="41">
        <v>2</v>
      </c>
      <c r="E19" s="42" t="str">
        <f>IF(D19&gt;1,(31)&amp;":"&amp;(31-D19+1),(31-D19+1)&amp;":"&amp;(31-D19+1))</f>
        <v>31:30</v>
      </c>
      <c r="F19" s="43" t="s">
        <v>98</v>
      </c>
      <c r="G19" s="43" t="s">
        <v>98</v>
      </c>
      <c r="H19" s="44" t="s">
        <v>121</v>
      </c>
      <c r="I19" s="45" t="s">
        <v>68</v>
      </c>
      <c r="J19" s="46" t="s">
        <v>36</v>
      </c>
      <c r="K19" s="47" t="s">
        <v>6</v>
      </c>
      <c r="L19" s="48"/>
      <c r="M19" s="96"/>
      <c r="N19" s="96"/>
      <c r="O19" s="96"/>
      <c r="P19" s="97"/>
      <c r="Q19" s="97"/>
      <c r="R19" s="74"/>
      <c r="S19" s="74"/>
    </row>
    <row r="20" spans="1:19">
      <c r="A20" s="127"/>
      <c r="B20" s="129"/>
      <c r="C20" s="36" t="s">
        <v>253</v>
      </c>
      <c r="D20" s="41">
        <v>1</v>
      </c>
      <c r="E20" s="50" t="str">
        <f t="shared" ref="E20" si="8">(MID(E19,SEARCH(":",E19)+1,2)-1) &amp; ":" &amp; (MID(E19,SEARCH(":",E19)+1,2)-D20)</f>
        <v>29:29</v>
      </c>
      <c r="F20" s="43" t="s">
        <v>7</v>
      </c>
      <c r="G20" s="43" t="s">
        <v>7</v>
      </c>
      <c r="H20" s="49" t="s">
        <v>256</v>
      </c>
      <c r="I20" s="45" t="s">
        <v>68</v>
      </c>
      <c r="J20" s="46" t="s">
        <v>36</v>
      </c>
      <c r="K20" s="47" t="s">
        <v>6</v>
      </c>
      <c r="L20" s="48"/>
      <c r="M20" s="96"/>
      <c r="N20" s="96"/>
      <c r="O20" s="96"/>
      <c r="P20" s="97"/>
      <c r="Q20" s="97"/>
      <c r="R20" s="74"/>
      <c r="S20" s="74"/>
    </row>
    <row r="21" spans="1:19">
      <c r="A21" s="127"/>
      <c r="B21" s="129"/>
      <c r="C21" s="36" t="s">
        <v>254</v>
      </c>
      <c r="D21" s="41">
        <v>6</v>
      </c>
      <c r="E21" s="50" t="str">
        <f>(MID(E20,SEARCH(":",E20)+1,2)-1) &amp; ":" &amp; (MID(E20,SEARCH(":",E20)+1,2)-D21)</f>
        <v>28:23</v>
      </c>
      <c r="F21" s="43" t="s">
        <v>461</v>
      </c>
      <c r="G21" s="43" t="s">
        <v>461</v>
      </c>
      <c r="H21" s="49" t="s">
        <v>123</v>
      </c>
      <c r="I21" s="45" t="s">
        <v>68</v>
      </c>
      <c r="J21" s="46" t="s">
        <v>36</v>
      </c>
      <c r="K21" s="47" t="s">
        <v>6</v>
      </c>
      <c r="L21" s="48"/>
      <c r="M21" s="96"/>
      <c r="N21" s="96"/>
      <c r="O21" s="96"/>
      <c r="P21" s="97"/>
      <c r="Q21" s="97"/>
      <c r="R21" s="74"/>
      <c r="S21" s="74"/>
    </row>
    <row r="22" spans="1:19">
      <c r="A22" s="127"/>
      <c r="B22" s="129"/>
      <c r="C22" s="36" t="s">
        <v>255</v>
      </c>
      <c r="D22" s="41">
        <v>6</v>
      </c>
      <c r="E22" s="50" t="str">
        <f t="shared" ref="E22:E27" si="9">(MID(E21,SEARCH(":",E21)+1,2)-1) &amp; ":" &amp; (MID(E21,SEARCH(":",E21)+1,2)-D22)</f>
        <v>22:17</v>
      </c>
      <c r="F22" s="43" t="s">
        <v>462</v>
      </c>
      <c r="G22" s="43" t="s">
        <v>462</v>
      </c>
      <c r="H22" s="44" t="s">
        <v>123</v>
      </c>
      <c r="I22" s="45" t="s">
        <v>68</v>
      </c>
      <c r="J22" s="46" t="s">
        <v>36</v>
      </c>
      <c r="K22" s="47" t="s">
        <v>6</v>
      </c>
      <c r="L22" s="48"/>
      <c r="M22" s="96"/>
      <c r="N22" s="96"/>
      <c r="O22" s="96"/>
      <c r="P22" s="97"/>
      <c r="Q22" s="97"/>
      <c r="R22" s="74"/>
      <c r="S22" s="74"/>
    </row>
    <row r="23" spans="1:19">
      <c r="A23" s="127"/>
      <c r="B23" s="129"/>
      <c r="C23" s="36" t="s">
        <v>118</v>
      </c>
      <c r="D23" s="41">
        <v>1</v>
      </c>
      <c r="E23" s="50" t="str">
        <f t="shared" si="9"/>
        <v>16:16</v>
      </c>
      <c r="F23" s="43" t="s">
        <v>7</v>
      </c>
      <c r="G23" s="43" t="s">
        <v>7</v>
      </c>
      <c r="H23" s="44" t="s">
        <v>124</v>
      </c>
      <c r="I23" s="45" t="s">
        <v>68</v>
      </c>
      <c r="J23" s="46" t="s">
        <v>36</v>
      </c>
      <c r="K23" s="47" t="s">
        <v>6</v>
      </c>
      <c r="L23" s="48"/>
      <c r="M23" s="96"/>
      <c r="N23" s="96"/>
      <c r="O23" s="96"/>
      <c r="P23" s="97"/>
      <c r="Q23" s="97"/>
      <c r="R23" s="74"/>
      <c r="S23" s="74"/>
    </row>
    <row r="24" spans="1:19">
      <c r="A24" s="127"/>
      <c r="B24" s="129"/>
      <c r="C24" s="36" t="s">
        <v>484</v>
      </c>
      <c r="D24" s="41">
        <v>3</v>
      </c>
      <c r="E24" s="50" t="str">
        <f t="shared" si="9"/>
        <v>15:13</v>
      </c>
      <c r="F24" s="43" t="s">
        <v>494</v>
      </c>
      <c r="G24" s="43" t="s">
        <v>494</v>
      </c>
      <c r="H24" s="49" t="s">
        <v>116</v>
      </c>
      <c r="I24" s="45" t="s">
        <v>68</v>
      </c>
      <c r="J24" s="46" t="s">
        <v>36</v>
      </c>
      <c r="K24" s="47" t="s">
        <v>6</v>
      </c>
      <c r="L24" s="48"/>
      <c r="M24" s="96"/>
      <c r="N24" s="96"/>
      <c r="O24" s="96"/>
      <c r="P24" s="97"/>
      <c r="Q24" s="97"/>
      <c r="R24" s="74"/>
      <c r="S24" s="74"/>
    </row>
    <row r="25" spans="1:19">
      <c r="A25" s="127"/>
      <c r="B25" s="129"/>
      <c r="C25" s="36" t="s">
        <v>524</v>
      </c>
      <c r="D25" s="41">
        <v>1</v>
      </c>
      <c r="E25" s="50" t="str">
        <f t="shared" si="9"/>
        <v>12:12</v>
      </c>
      <c r="F25" s="43" t="s">
        <v>7</v>
      </c>
      <c r="G25" s="43" t="s">
        <v>7</v>
      </c>
      <c r="H25" s="64" t="s">
        <v>492</v>
      </c>
      <c r="I25" s="45" t="s">
        <v>68</v>
      </c>
      <c r="J25" s="46" t="s">
        <v>36</v>
      </c>
      <c r="K25" s="47" t="s">
        <v>6</v>
      </c>
      <c r="L25" s="48"/>
      <c r="M25" s="96"/>
      <c r="N25" s="96"/>
      <c r="O25" s="96"/>
      <c r="P25" s="97"/>
      <c r="Q25" s="97"/>
      <c r="R25" s="74"/>
      <c r="S25" s="74"/>
    </row>
    <row r="26" spans="1:19">
      <c r="A26" s="127"/>
      <c r="B26" s="129"/>
      <c r="C26" s="36" t="s">
        <v>140</v>
      </c>
      <c r="D26" s="41">
        <v>1</v>
      </c>
      <c r="E26" s="50" t="str">
        <f t="shared" si="9"/>
        <v>11:11</v>
      </c>
      <c r="F26" s="65" t="s">
        <v>84</v>
      </c>
      <c r="G26" s="43" t="s">
        <v>7</v>
      </c>
      <c r="H26" s="49" t="s">
        <v>490</v>
      </c>
      <c r="I26" s="45" t="s">
        <v>68</v>
      </c>
      <c r="J26" s="46" t="s">
        <v>36</v>
      </c>
      <c r="K26" s="47" t="s">
        <v>6</v>
      </c>
      <c r="L26" s="48"/>
      <c r="M26" s="96"/>
      <c r="N26" s="96"/>
      <c r="O26" s="96"/>
      <c r="P26" s="97"/>
      <c r="Q26" s="97"/>
      <c r="R26" s="74"/>
      <c r="S26" s="74"/>
    </row>
    <row r="27" spans="1:19" ht="15" thickBot="1">
      <c r="A27" s="127"/>
      <c r="B27" s="129"/>
      <c r="C27" s="36" t="s">
        <v>141</v>
      </c>
      <c r="D27" s="41">
        <v>11</v>
      </c>
      <c r="E27" s="50" t="str">
        <f t="shared" si="9"/>
        <v>10:0</v>
      </c>
      <c r="F27" s="43" t="s">
        <v>464</v>
      </c>
      <c r="G27" s="43" t="s">
        <v>464</v>
      </c>
      <c r="H27" s="49" t="s">
        <v>491</v>
      </c>
      <c r="I27" s="45" t="s">
        <v>68</v>
      </c>
      <c r="J27" s="46" t="s">
        <v>36</v>
      </c>
      <c r="K27" s="47" t="s">
        <v>6</v>
      </c>
      <c r="L27" s="48"/>
      <c r="M27" s="96"/>
      <c r="N27" s="96"/>
      <c r="O27" s="96"/>
      <c r="P27" s="97"/>
      <c r="Q27" s="97"/>
      <c r="R27" s="74"/>
      <c r="S27" s="74"/>
    </row>
    <row r="28" spans="1:19" ht="15.75" customHeight="1">
      <c r="A28" s="127" t="s">
        <v>142</v>
      </c>
      <c r="B28" s="128" t="str">
        <f t="shared" ref="B28:B38" si="10">DEC2HEX(P28*4)</f>
        <v>8</v>
      </c>
      <c r="C28" s="52" t="s">
        <v>454</v>
      </c>
      <c r="D28" s="80" t="str">
        <f>bitConcat1(F29:F37)</f>
        <v>32'b00000000000011000000101100010000</v>
      </c>
      <c r="E28" s="81"/>
      <c r="F28" s="81"/>
      <c r="G28" s="82"/>
      <c r="H28" s="53" t="s">
        <v>251</v>
      </c>
      <c r="I28" s="54"/>
      <c r="J28" s="83" t="str">
        <f>bitConcat1(G29:G37)</f>
        <v>32'b00000000000011000000001100010000</v>
      </c>
      <c r="K28" s="84"/>
      <c r="L28" s="85"/>
      <c r="M28" s="95" t="str">
        <f t="shared" ref="M28" si="11">DEC2HEX(_xlfn.BITLSHIFT(O28,7)+4*P28)</f>
        <v>408</v>
      </c>
      <c r="N28" s="96" t="s">
        <v>97</v>
      </c>
      <c r="O28" s="96">
        <v>8</v>
      </c>
      <c r="P28" s="97">
        <v>2</v>
      </c>
      <c r="Q28" s="98" t="str">
        <f>DEC2HEX(_xlfn.BITLSHIFT(O28,5)+P28)</f>
        <v>102</v>
      </c>
      <c r="R28" s="73" t="str">
        <f t="shared" si="7"/>
        <v>000C0B10</v>
      </c>
      <c r="S28" s="73" t="str">
        <f t="shared" si="3"/>
        <v>000C0310</v>
      </c>
    </row>
    <row r="29" spans="1:19">
      <c r="A29" s="127"/>
      <c r="B29" s="129"/>
      <c r="C29" s="36" t="s">
        <v>485</v>
      </c>
      <c r="D29" s="41">
        <v>6</v>
      </c>
      <c r="E29" s="42" t="str">
        <f>IF(D29&gt;1,(31)&amp;":"&amp;(31-D29+1),(31-D29+1)&amp;":"&amp;(31-D29+1))</f>
        <v>31:26</v>
      </c>
      <c r="F29" s="43" t="s">
        <v>122</v>
      </c>
      <c r="G29" s="43" t="s">
        <v>122</v>
      </c>
      <c r="H29" s="44" t="s">
        <v>143</v>
      </c>
      <c r="I29" s="45" t="s">
        <v>68</v>
      </c>
      <c r="J29" s="46" t="s">
        <v>36</v>
      </c>
      <c r="K29" s="47" t="s">
        <v>6</v>
      </c>
      <c r="L29" s="48"/>
      <c r="M29" s="96"/>
      <c r="N29" s="96"/>
      <c r="O29" s="96"/>
      <c r="P29" s="97"/>
      <c r="Q29" s="97"/>
      <c r="R29" s="74"/>
      <c r="S29" s="74"/>
    </row>
    <row r="30" spans="1:19">
      <c r="A30" s="127"/>
      <c r="B30" s="129"/>
      <c r="C30" s="36" t="s">
        <v>486</v>
      </c>
      <c r="D30" s="41">
        <v>5</v>
      </c>
      <c r="E30" s="50" t="str">
        <f t="shared" ref="E30:E37" si="12">(MID(E29,SEARCH(":",E29)+1,2)-1) &amp; ":" &amp; (MID(E29,SEARCH(":",E29)+1,2)-D30)</f>
        <v>25:21</v>
      </c>
      <c r="F30" s="43" t="s">
        <v>103</v>
      </c>
      <c r="G30" s="43" t="s">
        <v>103</v>
      </c>
      <c r="H30" s="44" t="s">
        <v>137</v>
      </c>
      <c r="I30" s="45" t="s">
        <v>68</v>
      </c>
      <c r="J30" s="46" t="s">
        <v>36</v>
      </c>
      <c r="K30" s="47" t="s">
        <v>6</v>
      </c>
      <c r="L30" s="48"/>
      <c r="M30" s="96"/>
      <c r="N30" s="96"/>
      <c r="O30" s="96"/>
      <c r="P30" s="97"/>
      <c r="Q30" s="97"/>
      <c r="R30" s="74"/>
      <c r="S30" s="74"/>
    </row>
    <row r="31" spans="1:19">
      <c r="A31" s="127"/>
      <c r="B31" s="129"/>
      <c r="C31" s="36" t="s">
        <v>249</v>
      </c>
      <c r="D31" s="41">
        <v>1</v>
      </c>
      <c r="E31" s="50" t="str">
        <f t="shared" si="12"/>
        <v>20:20</v>
      </c>
      <c r="F31" s="43" t="s">
        <v>7</v>
      </c>
      <c r="G31" s="43" t="s">
        <v>7</v>
      </c>
      <c r="H31" s="49" t="s">
        <v>136</v>
      </c>
      <c r="I31" s="45" t="s">
        <v>68</v>
      </c>
      <c r="J31" s="46" t="s">
        <v>36</v>
      </c>
      <c r="K31" s="47" t="s">
        <v>6</v>
      </c>
      <c r="L31" s="48"/>
      <c r="M31" s="96"/>
      <c r="N31" s="96"/>
      <c r="O31" s="96"/>
      <c r="P31" s="97"/>
      <c r="Q31" s="97"/>
      <c r="R31" s="74"/>
      <c r="S31" s="74"/>
    </row>
    <row r="32" spans="1:19">
      <c r="A32" s="127"/>
      <c r="B32" s="129"/>
      <c r="C32" s="36" t="s">
        <v>144</v>
      </c>
      <c r="D32" s="41">
        <v>2</v>
      </c>
      <c r="E32" s="50" t="str">
        <f t="shared" si="12"/>
        <v>19:18</v>
      </c>
      <c r="F32" s="43" t="s">
        <v>496</v>
      </c>
      <c r="G32" s="43" t="s">
        <v>496</v>
      </c>
      <c r="H32" s="49" t="s">
        <v>146</v>
      </c>
      <c r="I32" s="45" t="s">
        <v>68</v>
      </c>
      <c r="J32" s="46" t="s">
        <v>36</v>
      </c>
      <c r="K32" s="47" t="s">
        <v>6</v>
      </c>
      <c r="L32" s="48"/>
      <c r="M32" s="96"/>
      <c r="N32" s="96"/>
      <c r="O32" s="96"/>
      <c r="P32" s="97"/>
      <c r="Q32" s="97"/>
      <c r="R32" s="74"/>
      <c r="S32" s="74"/>
    </row>
    <row r="33" spans="1:19">
      <c r="A33" s="127"/>
      <c r="B33" s="129"/>
      <c r="C33" s="36" t="s">
        <v>145</v>
      </c>
      <c r="D33" s="41">
        <v>2</v>
      </c>
      <c r="E33" s="50" t="str">
        <f t="shared" si="12"/>
        <v>17:16</v>
      </c>
      <c r="F33" s="43" t="s">
        <v>98</v>
      </c>
      <c r="G33" s="43" t="s">
        <v>98</v>
      </c>
      <c r="H33" s="49" t="s">
        <v>147</v>
      </c>
      <c r="I33" s="45" t="s">
        <v>68</v>
      </c>
      <c r="J33" s="46" t="s">
        <v>36</v>
      </c>
      <c r="K33" s="47" t="s">
        <v>6</v>
      </c>
      <c r="L33" s="48"/>
      <c r="M33" s="96"/>
      <c r="N33" s="96"/>
      <c r="O33" s="96"/>
      <c r="P33" s="97"/>
      <c r="Q33" s="97"/>
      <c r="R33" s="74"/>
      <c r="S33" s="74"/>
    </row>
    <row r="34" spans="1:19">
      <c r="A34" s="127"/>
      <c r="B34" s="129"/>
      <c r="C34" s="36" t="s">
        <v>487</v>
      </c>
      <c r="D34" s="41">
        <v>3</v>
      </c>
      <c r="E34" s="50" t="str">
        <f t="shared" si="12"/>
        <v>15:13</v>
      </c>
      <c r="F34" s="43" t="s">
        <v>494</v>
      </c>
      <c r="G34" s="43" t="s">
        <v>494</v>
      </c>
      <c r="H34" s="49" t="s">
        <v>116</v>
      </c>
      <c r="I34" s="45" t="s">
        <v>68</v>
      </c>
      <c r="J34" s="46" t="s">
        <v>36</v>
      </c>
      <c r="K34" s="47" t="s">
        <v>6</v>
      </c>
      <c r="L34" s="48"/>
      <c r="M34" s="96"/>
      <c r="N34" s="96"/>
      <c r="O34" s="96"/>
      <c r="P34" s="97"/>
      <c r="Q34" s="97"/>
      <c r="R34" s="74"/>
      <c r="S34" s="74"/>
    </row>
    <row r="35" spans="1:19">
      <c r="A35" s="127"/>
      <c r="B35" s="129"/>
      <c r="C35" s="36" t="s">
        <v>525</v>
      </c>
      <c r="D35" s="41">
        <v>1</v>
      </c>
      <c r="E35" s="50" t="str">
        <f t="shared" si="12"/>
        <v>12:12</v>
      </c>
      <c r="F35" s="43" t="s">
        <v>7</v>
      </c>
      <c r="G35" s="43" t="s">
        <v>7</v>
      </c>
      <c r="H35" s="64" t="s">
        <v>492</v>
      </c>
      <c r="I35" s="45" t="s">
        <v>68</v>
      </c>
      <c r="J35" s="46" t="s">
        <v>36</v>
      </c>
      <c r="K35" s="47" t="s">
        <v>6</v>
      </c>
      <c r="L35" s="48"/>
      <c r="M35" s="96"/>
      <c r="N35" s="96"/>
      <c r="O35" s="96"/>
      <c r="P35" s="97"/>
      <c r="Q35" s="97"/>
      <c r="R35" s="74"/>
      <c r="S35" s="74"/>
    </row>
    <row r="36" spans="1:19">
      <c r="A36" s="127"/>
      <c r="B36" s="129"/>
      <c r="C36" s="36" t="s">
        <v>148</v>
      </c>
      <c r="D36" s="41">
        <v>1</v>
      </c>
      <c r="E36" s="50" t="str">
        <f t="shared" si="12"/>
        <v>11:11</v>
      </c>
      <c r="F36" s="65" t="s">
        <v>84</v>
      </c>
      <c r="G36" s="43" t="s">
        <v>7</v>
      </c>
      <c r="H36" s="49" t="s">
        <v>490</v>
      </c>
      <c r="I36" s="45" t="s">
        <v>68</v>
      </c>
      <c r="J36" s="46" t="s">
        <v>36</v>
      </c>
      <c r="K36" s="47" t="s">
        <v>6</v>
      </c>
      <c r="L36" s="48"/>
      <c r="M36" s="96"/>
      <c r="N36" s="96"/>
      <c r="O36" s="96"/>
      <c r="P36" s="97"/>
      <c r="Q36" s="97"/>
      <c r="R36" s="74"/>
      <c r="S36" s="74"/>
    </row>
    <row r="37" spans="1:19" ht="15" thickBot="1">
      <c r="A37" s="127"/>
      <c r="B37" s="129"/>
      <c r="C37" s="36" t="s">
        <v>149</v>
      </c>
      <c r="D37" s="41">
        <v>11</v>
      </c>
      <c r="E37" s="50" t="str">
        <f t="shared" si="12"/>
        <v>10:0</v>
      </c>
      <c r="F37" s="43" t="s">
        <v>464</v>
      </c>
      <c r="G37" s="43" t="s">
        <v>464</v>
      </c>
      <c r="H37" s="49" t="s">
        <v>491</v>
      </c>
      <c r="I37" s="45" t="s">
        <v>68</v>
      </c>
      <c r="J37" s="46" t="s">
        <v>36</v>
      </c>
      <c r="K37" s="47" t="s">
        <v>6</v>
      </c>
      <c r="L37" s="48"/>
      <c r="M37" s="96"/>
      <c r="N37" s="96"/>
      <c r="O37" s="96"/>
      <c r="P37" s="97"/>
      <c r="Q37" s="97"/>
      <c r="R37" s="74"/>
      <c r="S37" s="74"/>
    </row>
    <row r="38" spans="1:19" ht="15.75" customHeight="1">
      <c r="A38" s="126" t="s">
        <v>154</v>
      </c>
      <c r="B38" s="124" t="str">
        <f t="shared" si="10"/>
        <v>0</v>
      </c>
      <c r="C38" s="52" t="s">
        <v>454</v>
      </c>
      <c r="D38" s="80" t="str">
        <f>bitConcat1(F39:F42)</f>
        <v>32'b00000000000000000000000000000000</v>
      </c>
      <c r="E38" s="81"/>
      <c r="F38" s="81"/>
      <c r="G38" s="82"/>
      <c r="H38" s="53" t="s">
        <v>251</v>
      </c>
      <c r="I38" s="54"/>
      <c r="J38" s="83" t="str">
        <f>bitConcat1(G39:G43)</f>
        <v>32'b00000000000000000000000000000000</v>
      </c>
      <c r="K38" s="84"/>
      <c r="L38" s="85"/>
      <c r="M38" s="95" t="str">
        <f t="shared" ref="M38" si="13">DEC2HEX(_xlfn.BITLSHIFT(O38,7)+4*P38)</f>
        <v>300</v>
      </c>
      <c r="N38" s="95" t="s">
        <v>97</v>
      </c>
      <c r="O38" s="95">
        <v>6</v>
      </c>
      <c r="P38" s="98">
        <v>0</v>
      </c>
      <c r="Q38" s="98" t="str">
        <f>DEC2HEX(_xlfn.BITLSHIFT(O38,5)+P38)</f>
        <v>C0</v>
      </c>
      <c r="R38" s="73" t="str">
        <f t="shared" si="7"/>
        <v>00000000</v>
      </c>
      <c r="S38" s="73" t="str">
        <f t="shared" si="3"/>
        <v>00000000</v>
      </c>
    </row>
    <row r="39" spans="1:19">
      <c r="A39" s="123"/>
      <c r="B39" s="125"/>
      <c r="C39" s="36" t="s">
        <v>157</v>
      </c>
      <c r="D39" s="41">
        <v>8</v>
      </c>
      <c r="E39" s="42" t="str">
        <f>IF(D39&gt;1,(31)&amp;":"&amp;(31-D39+1),(31-D39+1)&amp;":"&amp;(31-D39+1))</f>
        <v>31:24</v>
      </c>
      <c r="F39" s="43" t="s">
        <v>115</v>
      </c>
      <c r="G39" s="43" t="s">
        <v>115</v>
      </c>
      <c r="H39" s="44" t="s">
        <v>158</v>
      </c>
      <c r="I39" s="45" t="s">
        <v>68</v>
      </c>
      <c r="J39" s="46" t="s">
        <v>36</v>
      </c>
      <c r="K39" s="47" t="s">
        <v>6</v>
      </c>
      <c r="L39" s="48"/>
      <c r="M39" s="96"/>
      <c r="N39" s="96"/>
      <c r="O39" s="96"/>
      <c r="P39" s="97"/>
      <c r="Q39" s="97"/>
      <c r="R39" s="74"/>
      <c r="S39" s="74"/>
    </row>
    <row r="40" spans="1:19">
      <c r="A40" s="123"/>
      <c r="B40" s="125"/>
      <c r="C40" s="36" t="s">
        <v>156</v>
      </c>
      <c r="D40" s="41">
        <v>8</v>
      </c>
      <c r="E40" s="50" t="str">
        <f t="shared" ref="E40" si="14">(MID(E39,SEARCH(":",E39)+1,2)-1) &amp; ":" &amp; (MID(E39,SEARCH(":",E39)+1,2)-D40)</f>
        <v>23:16</v>
      </c>
      <c r="F40" s="43" t="s">
        <v>115</v>
      </c>
      <c r="G40" s="43" t="s">
        <v>115</v>
      </c>
      <c r="H40" s="44" t="s">
        <v>159</v>
      </c>
      <c r="I40" s="45" t="s">
        <v>68</v>
      </c>
      <c r="J40" s="46" t="s">
        <v>36</v>
      </c>
      <c r="K40" s="47" t="s">
        <v>6</v>
      </c>
      <c r="L40" s="48"/>
      <c r="M40" s="96"/>
      <c r="N40" s="96"/>
      <c r="O40" s="96"/>
      <c r="P40" s="97"/>
      <c r="Q40" s="97"/>
      <c r="R40" s="74"/>
      <c r="S40" s="74"/>
    </row>
    <row r="41" spans="1:19">
      <c r="A41" s="123"/>
      <c r="B41" s="125"/>
      <c r="C41" s="36" t="s">
        <v>150</v>
      </c>
      <c r="D41" s="41">
        <v>8</v>
      </c>
      <c r="E41" s="50" t="str">
        <f>(MID(E40,SEARCH(":",E40)+1,2)-1) &amp; ":" &amp; (MID(E40,SEARCH(":",E40)+1,2)-D41)</f>
        <v>15:8</v>
      </c>
      <c r="F41" s="43" t="s">
        <v>115</v>
      </c>
      <c r="G41" s="43" t="s">
        <v>115</v>
      </c>
      <c r="H41" s="44" t="s">
        <v>151</v>
      </c>
      <c r="I41" s="45" t="s">
        <v>68</v>
      </c>
      <c r="J41" s="46" t="s">
        <v>36</v>
      </c>
      <c r="K41" s="47" t="s">
        <v>6</v>
      </c>
      <c r="L41" s="48"/>
      <c r="M41" s="96"/>
      <c r="N41" s="96"/>
      <c r="O41" s="96"/>
      <c r="P41" s="97"/>
      <c r="Q41" s="97"/>
      <c r="R41" s="74"/>
      <c r="S41" s="74"/>
    </row>
    <row r="42" spans="1:19" ht="15" thickBot="1">
      <c r="A42" s="123"/>
      <c r="B42" s="125"/>
      <c r="C42" s="36" t="s">
        <v>153</v>
      </c>
      <c r="D42" s="41">
        <v>8</v>
      </c>
      <c r="E42" s="50" t="str">
        <f>(MID(E41,SEARCH(":",E41)+1,2)-1) &amp; ":" &amp; (MID(E41,SEARCH(":",E41)+1,2)-D42)</f>
        <v>7:0</v>
      </c>
      <c r="F42" s="43" t="s">
        <v>115</v>
      </c>
      <c r="G42" s="43" t="s">
        <v>115</v>
      </c>
      <c r="H42" s="44" t="s">
        <v>160</v>
      </c>
      <c r="I42" s="45" t="s">
        <v>68</v>
      </c>
      <c r="J42" s="46" t="s">
        <v>36</v>
      </c>
      <c r="K42" s="47" t="s">
        <v>6</v>
      </c>
      <c r="L42" s="48"/>
      <c r="M42" s="96"/>
      <c r="N42" s="96"/>
      <c r="O42" s="96"/>
      <c r="P42" s="97"/>
      <c r="Q42" s="97"/>
      <c r="R42" s="74"/>
      <c r="S42" s="75"/>
    </row>
    <row r="43" spans="1:19">
      <c r="A43" s="132" t="s">
        <v>155</v>
      </c>
      <c r="B43" s="135" t="str">
        <f t="shared" ref="B43:B50" si="15">DEC2HEX(P43*4)</f>
        <v>4</v>
      </c>
      <c r="C43" s="52" t="s">
        <v>454</v>
      </c>
      <c r="D43" s="80" t="str">
        <f>bitConcat1(F44:F49)</f>
        <v>32'b00000000000000000000000000000000</v>
      </c>
      <c r="E43" s="81"/>
      <c r="F43" s="81"/>
      <c r="G43" s="82"/>
      <c r="H43" s="53" t="s">
        <v>251</v>
      </c>
      <c r="I43" s="54"/>
      <c r="J43" s="83" t="str">
        <f>bitConcat1(G44:G49)</f>
        <v>32'b00000000000000000000000000000000</v>
      </c>
      <c r="K43" s="84"/>
      <c r="L43" s="85"/>
      <c r="M43" s="70" t="str">
        <f t="shared" ref="M43" si="16">DEC2HEX(_xlfn.BITLSHIFT(O43,7)+4*P43)</f>
        <v>304</v>
      </c>
      <c r="N43" s="70" t="s">
        <v>97</v>
      </c>
      <c r="O43" s="70">
        <v>6</v>
      </c>
      <c r="P43" s="70">
        <v>1</v>
      </c>
      <c r="Q43" s="70" t="str">
        <f>DEC2HEX(_xlfn.BITLSHIFT(O43,5)+P43)</f>
        <v>C1</v>
      </c>
      <c r="R43" s="70" t="str">
        <f t="shared" si="7"/>
        <v>00000000</v>
      </c>
      <c r="S43" s="70" t="str">
        <f t="shared" si="3"/>
        <v>00000000</v>
      </c>
    </row>
    <row r="44" spans="1:19">
      <c r="A44" s="133"/>
      <c r="B44" s="136"/>
      <c r="C44" s="36" t="s">
        <v>497</v>
      </c>
      <c r="D44" s="41">
        <v>16</v>
      </c>
      <c r="E44" s="42" t="str">
        <f>IF(D44&gt;1,(31)&amp;":"&amp;(31-D44+1),(31-D44+1)&amp;":"&amp;(31-D44+1))</f>
        <v>31:16</v>
      </c>
      <c r="F44" s="43" t="s">
        <v>245</v>
      </c>
      <c r="G44" s="43" t="s">
        <v>245</v>
      </c>
      <c r="H44" s="44" t="s">
        <v>258</v>
      </c>
      <c r="I44" s="45" t="s">
        <v>68</v>
      </c>
      <c r="J44" s="46" t="s">
        <v>36</v>
      </c>
      <c r="K44" s="47" t="s">
        <v>6</v>
      </c>
      <c r="L44" s="48"/>
      <c r="M44" s="71"/>
      <c r="N44" s="71"/>
      <c r="O44" s="71"/>
      <c r="P44" s="71"/>
      <c r="Q44" s="71"/>
      <c r="R44" s="71"/>
      <c r="S44" s="71"/>
    </row>
    <row r="45" spans="1:19" ht="15.75" customHeight="1">
      <c r="A45" s="133"/>
      <c r="B45" s="136"/>
      <c r="C45" s="36" t="s">
        <v>498</v>
      </c>
      <c r="D45" s="41">
        <v>6</v>
      </c>
      <c r="E45" s="50" t="str">
        <f>(MID(E44,SEARCH(":",E44)+1,2)-1) &amp; ":" &amp; (MID(E44,SEARCH(":",E44)+1,2)-D45)</f>
        <v>15:10</v>
      </c>
      <c r="F45" s="43" t="s">
        <v>122</v>
      </c>
      <c r="G45" s="43" t="s">
        <v>122</v>
      </c>
      <c r="H45" s="49" t="s">
        <v>503</v>
      </c>
      <c r="I45" s="45" t="s">
        <v>68</v>
      </c>
      <c r="J45" s="46" t="s">
        <v>36</v>
      </c>
      <c r="K45" s="47" t="s">
        <v>6</v>
      </c>
      <c r="L45" s="48"/>
      <c r="M45" s="71"/>
      <c r="N45" s="71"/>
      <c r="O45" s="71"/>
      <c r="P45" s="71"/>
      <c r="Q45" s="71"/>
      <c r="R45" s="71"/>
      <c r="S45" s="71"/>
    </row>
    <row r="46" spans="1:19" ht="15.75" customHeight="1">
      <c r="A46" s="133"/>
      <c r="B46" s="136"/>
      <c r="C46" s="66" t="s">
        <v>499</v>
      </c>
      <c r="D46" s="67">
        <v>5</v>
      </c>
      <c r="E46" s="50" t="str">
        <f t="shared" ref="E46:E49" si="17">(MID(E45,SEARCH(":",E45)+1,2)-1) &amp; ":" &amp; (MID(E45,SEARCH(":",E45)+1,2)-D46)</f>
        <v>9:5</v>
      </c>
      <c r="F46" s="43" t="s">
        <v>103</v>
      </c>
      <c r="G46" s="68" t="s">
        <v>103</v>
      </c>
      <c r="H46" s="69" t="s">
        <v>504</v>
      </c>
      <c r="I46" s="45" t="s">
        <v>68</v>
      </c>
      <c r="J46" s="46" t="s">
        <v>36</v>
      </c>
      <c r="K46" s="47" t="s">
        <v>6</v>
      </c>
      <c r="L46" s="59"/>
      <c r="M46" s="71"/>
      <c r="N46" s="71"/>
      <c r="O46" s="71"/>
      <c r="P46" s="71"/>
      <c r="Q46" s="71"/>
      <c r="R46" s="71"/>
      <c r="S46" s="71"/>
    </row>
    <row r="47" spans="1:19" ht="15.75" customHeight="1">
      <c r="A47" s="133"/>
      <c r="B47" s="136"/>
      <c r="C47" s="66" t="s">
        <v>500</v>
      </c>
      <c r="D47" s="67">
        <v>2</v>
      </c>
      <c r="E47" s="50" t="str">
        <f t="shared" si="17"/>
        <v>4:3</v>
      </c>
      <c r="F47" s="43" t="s">
        <v>98</v>
      </c>
      <c r="G47" s="68" t="s">
        <v>98</v>
      </c>
      <c r="H47" s="69" t="s">
        <v>505</v>
      </c>
      <c r="I47" s="45" t="s">
        <v>68</v>
      </c>
      <c r="J47" s="46" t="s">
        <v>36</v>
      </c>
      <c r="K47" s="47" t="s">
        <v>6</v>
      </c>
      <c r="L47" s="59"/>
      <c r="M47" s="71"/>
      <c r="N47" s="71"/>
      <c r="O47" s="71"/>
      <c r="P47" s="71"/>
      <c r="Q47" s="71"/>
      <c r="R47" s="71"/>
      <c r="S47" s="71"/>
    </row>
    <row r="48" spans="1:19" ht="15.75" customHeight="1">
      <c r="A48" s="133"/>
      <c r="B48" s="136"/>
      <c r="C48" s="66" t="s">
        <v>501</v>
      </c>
      <c r="D48" s="67">
        <v>2</v>
      </c>
      <c r="E48" s="50" t="str">
        <f t="shared" si="17"/>
        <v>2:1</v>
      </c>
      <c r="F48" s="43" t="s">
        <v>98</v>
      </c>
      <c r="G48" s="68" t="s">
        <v>98</v>
      </c>
      <c r="H48" s="69" t="s">
        <v>116</v>
      </c>
      <c r="I48" s="45" t="s">
        <v>68</v>
      </c>
      <c r="J48" s="46" t="s">
        <v>36</v>
      </c>
      <c r="K48" s="47" t="s">
        <v>6</v>
      </c>
      <c r="L48" s="59"/>
      <c r="M48" s="71"/>
      <c r="N48" s="71"/>
      <c r="O48" s="71"/>
      <c r="P48" s="71"/>
      <c r="Q48" s="71"/>
      <c r="R48" s="71"/>
      <c r="S48" s="71"/>
    </row>
    <row r="49" spans="1:19" ht="15.75" customHeight="1" thickBot="1">
      <c r="A49" s="134"/>
      <c r="B49" s="137"/>
      <c r="C49" s="66" t="s">
        <v>502</v>
      </c>
      <c r="D49" s="67">
        <v>1</v>
      </c>
      <c r="E49" s="50" t="str">
        <f t="shared" si="17"/>
        <v>0:0</v>
      </c>
      <c r="F49" s="43" t="s">
        <v>7</v>
      </c>
      <c r="G49" s="68" t="s">
        <v>7</v>
      </c>
      <c r="H49" s="69" t="s">
        <v>116</v>
      </c>
      <c r="I49" s="45" t="s">
        <v>68</v>
      </c>
      <c r="J49" s="46" t="s">
        <v>36</v>
      </c>
      <c r="K49" s="47" t="s">
        <v>6</v>
      </c>
      <c r="L49" s="59"/>
      <c r="M49" s="72"/>
      <c r="N49" s="72"/>
      <c r="O49" s="72"/>
      <c r="P49" s="72"/>
      <c r="Q49" s="72"/>
      <c r="R49" s="72"/>
      <c r="S49" s="72"/>
    </row>
    <row r="50" spans="1:19">
      <c r="A50" s="123" t="s">
        <v>161</v>
      </c>
      <c r="B50" s="124" t="str">
        <f t="shared" si="15"/>
        <v>8</v>
      </c>
      <c r="C50" s="52" t="s">
        <v>454</v>
      </c>
      <c r="D50" s="80" t="str">
        <f>bitConcat1(F51:F55)</f>
        <v>32'b00000000101100110001100000100000</v>
      </c>
      <c r="E50" s="81"/>
      <c r="F50" s="81"/>
      <c r="G50" s="82"/>
      <c r="H50" s="53" t="s">
        <v>251</v>
      </c>
      <c r="I50" s="54"/>
      <c r="J50" s="83" t="str">
        <f>bitConcat1(G51:G55)</f>
        <v>32'b00000000000000000001100000000000</v>
      </c>
      <c r="K50" s="84"/>
      <c r="L50" s="85"/>
      <c r="M50" s="95" t="str">
        <f t="shared" ref="M50" si="18">DEC2HEX(_xlfn.BITLSHIFT(O50,7)+4*P50)</f>
        <v>308</v>
      </c>
      <c r="N50" s="96" t="s">
        <v>97</v>
      </c>
      <c r="O50" s="96">
        <v>6</v>
      </c>
      <c r="P50" s="97">
        <v>2</v>
      </c>
      <c r="Q50" s="98" t="str">
        <f>DEC2HEX(_xlfn.BITLSHIFT(O50,5)+P50)</f>
        <v>C2</v>
      </c>
      <c r="R50" s="73" t="str">
        <f t="shared" si="7"/>
        <v>00B31820</v>
      </c>
      <c r="S50" s="73" t="str">
        <f t="shared" si="3"/>
        <v>00001800</v>
      </c>
    </row>
    <row r="51" spans="1:19">
      <c r="A51" s="123"/>
      <c r="B51" s="125"/>
      <c r="C51" s="36" t="s">
        <v>162</v>
      </c>
      <c r="D51" s="41">
        <v>8</v>
      </c>
      <c r="E51" s="42" t="str">
        <f>IF(D51&gt;1,(31)&amp;":"&amp;(31-D51+1),(31-D51+1)&amp;":"&amp;(31-D51+1))</f>
        <v>31:24</v>
      </c>
      <c r="F51" s="43" t="s">
        <v>115</v>
      </c>
      <c r="G51" s="43" t="s">
        <v>115</v>
      </c>
      <c r="H51" s="44" t="s">
        <v>442</v>
      </c>
      <c r="I51" s="45" t="s">
        <v>68</v>
      </c>
      <c r="J51" s="46" t="s">
        <v>36</v>
      </c>
      <c r="K51" s="47" t="s">
        <v>6</v>
      </c>
      <c r="L51" s="48"/>
      <c r="M51" s="96"/>
      <c r="N51" s="96"/>
      <c r="O51" s="96"/>
      <c r="P51" s="97"/>
      <c r="Q51" s="97"/>
      <c r="R51" s="74"/>
      <c r="S51" s="74"/>
    </row>
    <row r="52" spans="1:19">
      <c r="A52" s="123"/>
      <c r="B52" s="125"/>
      <c r="C52" s="36" t="s">
        <v>441</v>
      </c>
      <c r="D52" s="41">
        <v>8</v>
      </c>
      <c r="E52" s="50" t="str">
        <f>(MID(E51,SEARCH(":",E51)+1,2)-1) &amp; ":" &amp; (MID(E51,SEARCH(":",E51)+1,2)-D52)</f>
        <v>23:16</v>
      </c>
      <c r="F52" s="43" t="s">
        <v>460</v>
      </c>
      <c r="G52" s="43" t="s">
        <v>115</v>
      </c>
      <c r="H52" s="49" t="s">
        <v>445</v>
      </c>
      <c r="I52" s="45" t="s">
        <v>68</v>
      </c>
      <c r="J52" s="46" t="s">
        <v>36</v>
      </c>
      <c r="K52" s="47" t="s">
        <v>6</v>
      </c>
      <c r="L52" s="48"/>
      <c r="M52" s="96"/>
      <c r="N52" s="96"/>
      <c r="O52" s="96"/>
      <c r="P52" s="97"/>
      <c r="Q52" s="97"/>
      <c r="R52" s="74"/>
      <c r="S52" s="74"/>
    </row>
    <row r="53" spans="1:19">
      <c r="A53" s="123"/>
      <c r="B53" s="125"/>
      <c r="C53" s="36" t="s">
        <v>163</v>
      </c>
      <c r="D53" s="41">
        <v>10</v>
      </c>
      <c r="E53" s="50" t="str">
        <f t="shared" ref="E53:E55" si="19">(MID(E52,SEARCH(":",E52)+1,2)-1) &amp; ":" &amp; (MID(E52,SEARCH(":",E52)+1,2)-D53)</f>
        <v>15:6</v>
      </c>
      <c r="F53" s="43" t="s">
        <v>305</v>
      </c>
      <c r="G53" s="43" t="s">
        <v>305</v>
      </c>
      <c r="H53" s="44" t="s">
        <v>443</v>
      </c>
      <c r="I53" s="45" t="s">
        <v>68</v>
      </c>
      <c r="J53" s="46" t="s">
        <v>36</v>
      </c>
      <c r="K53" s="47" t="s">
        <v>6</v>
      </c>
      <c r="L53" s="48"/>
      <c r="M53" s="96"/>
      <c r="N53" s="96"/>
      <c r="O53" s="96"/>
      <c r="P53" s="97"/>
      <c r="Q53" s="97"/>
      <c r="R53" s="74"/>
      <c r="S53" s="74"/>
    </row>
    <row r="54" spans="1:19" ht="15.75" customHeight="1">
      <c r="A54" s="123"/>
      <c r="B54" s="125"/>
      <c r="C54" s="36" t="s">
        <v>446</v>
      </c>
      <c r="D54" s="41">
        <v>1</v>
      </c>
      <c r="E54" s="50" t="str">
        <f t="shared" si="19"/>
        <v>5:5</v>
      </c>
      <c r="F54" s="43" t="s">
        <v>84</v>
      </c>
      <c r="G54" s="43" t="s">
        <v>7</v>
      </c>
      <c r="H54" s="49" t="s">
        <v>440</v>
      </c>
      <c r="I54" s="45" t="s">
        <v>68</v>
      </c>
      <c r="J54" s="46" t="s">
        <v>36</v>
      </c>
      <c r="K54" s="47" t="s">
        <v>6</v>
      </c>
      <c r="L54" s="48"/>
      <c r="M54" s="96"/>
      <c r="N54" s="96"/>
      <c r="O54" s="96"/>
      <c r="P54" s="97"/>
      <c r="Q54" s="97"/>
      <c r="R54" s="74"/>
      <c r="S54" s="74"/>
    </row>
    <row r="55" spans="1:19" ht="15" thickBot="1">
      <c r="A55" s="123"/>
      <c r="B55" s="125"/>
      <c r="C55" s="36" t="s">
        <v>447</v>
      </c>
      <c r="D55" s="41">
        <v>5</v>
      </c>
      <c r="E55" s="50" t="str">
        <f t="shared" si="19"/>
        <v>4:0</v>
      </c>
      <c r="F55" s="43" t="s">
        <v>103</v>
      </c>
      <c r="G55" s="43" t="s">
        <v>103</v>
      </c>
      <c r="H55" s="49" t="s">
        <v>444</v>
      </c>
      <c r="I55" s="45" t="s">
        <v>68</v>
      </c>
      <c r="J55" s="46" t="s">
        <v>36</v>
      </c>
      <c r="K55" s="47" t="s">
        <v>6</v>
      </c>
      <c r="L55" s="48"/>
      <c r="M55" s="96"/>
      <c r="N55" s="96"/>
      <c r="O55" s="96"/>
      <c r="P55" s="97"/>
      <c r="Q55" s="97"/>
      <c r="R55" s="75"/>
      <c r="S55" s="75"/>
    </row>
    <row r="56" spans="1:19" ht="15.75" customHeight="1">
      <c r="A56" s="126" t="s">
        <v>164</v>
      </c>
      <c r="B56" s="124" t="str">
        <f t="shared" ref="B56" si="20">DEC2HEX(P56*4)</f>
        <v>C</v>
      </c>
      <c r="C56" s="52" t="s">
        <v>454</v>
      </c>
      <c r="D56" s="80" t="str">
        <f>bitConcat1(F57:F60)</f>
        <v>32'b00000000000000000000000000000000</v>
      </c>
      <c r="E56" s="81"/>
      <c r="F56" s="81"/>
      <c r="G56" s="82"/>
      <c r="H56" s="53" t="s">
        <v>251</v>
      </c>
      <c r="I56" s="54"/>
      <c r="J56" s="83" t="str">
        <f>bitConcat1(G57:G60)</f>
        <v>32'b00000000000000000000000000000000</v>
      </c>
      <c r="K56" s="84"/>
      <c r="L56" s="85"/>
      <c r="M56" s="95" t="str">
        <f t="shared" ref="M56" si="21">DEC2HEX(_xlfn.BITLSHIFT(O56,7)+4*P56)</f>
        <v>30C</v>
      </c>
      <c r="N56" s="95" t="s">
        <v>97</v>
      </c>
      <c r="O56" s="95">
        <v>6</v>
      </c>
      <c r="P56" s="98">
        <v>3</v>
      </c>
      <c r="Q56" s="98" t="str">
        <f>DEC2HEX(_xlfn.BITLSHIFT(O56,5)+P56)</f>
        <v>C3</v>
      </c>
      <c r="R56" s="73" t="str">
        <f t="shared" si="7"/>
        <v>00000000</v>
      </c>
      <c r="S56" s="73" t="str">
        <f t="shared" si="3"/>
        <v>00000000</v>
      </c>
    </row>
    <row r="57" spans="1:19">
      <c r="A57" s="123"/>
      <c r="B57" s="125"/>
      <c r="C57" s="36" t="s">
        <v>169</v>
      </c>
      <c r="D57" s="41">
        <v>8</v>
      </c>
      <c r="E57" s="42" t="str">
        <f>IF(D57&gt;1,(31)&amp;":"&amp;(31-D57+1),(31-D57+1)&amp;":"&amp;(31-D57+1))</f>
        <v>31:24</v>
      </c>
      <c r="F57" s="43" t="s">
        <v>115</v>
      </c>
      <c r="G57" s="43" t="s">
        <v>115</v>
      </c>
      <c r="H57" s="44" t="s">
        <v>158</v>
      </c>
      <c r="I57" s="45" t="s">
        <v>68</v>
      </c>
      <c r="J57" s="46" t="s">
        <v>36</v>
      </c>
      <c r="K57" s="47" t="s">
        <v>6</v>
      </c>
      <c r="L57" s="48"/>
      <c r="M57" s="96"/>
      <c r="N57" s="96"/>
      <c r="O57" s="96"/>
      <c r="P57" s="97"/>
      <c r="Q57" s="97"/>
      <c r="R57" s="74"/>
      <c r="S57" s="74"/>
    </row>
    <row r="58" spans="1:19">
      <c r="A58" s="123"/>
      <c r="B58" s="125"/>
      <c r="C58" s="36" t="s">
        <v>170</v>
      </c>
      <c r="D58" s="41">
        <v>8</v>
      </c>
      <c r="E58" s="50" t="str">
        <f t="shared" ref="E58" si="22">(MID(E57,SEARCH(":",E57)+1,2)-1) &amp; ":" &amp; (MID(E57,SEARCH(":",E57)+1,2)-D58)</f>
        <v>23:16</v>
      </c>
      <c r="F58" s="43" t="s">
        <v>115</v>
      </c>
      <c r="G58" s="43" t="s">
        <v>115</v>
      </c>
      <c r="H58" s="44" t="s">
        <v>159</v>
      </c>
      <c r="I58" s="45" t="s">
        <v>68</v>
      </c>
      <c r="J58" s="46" t="s">
        <v>36</v>
      </c>
      <c r="K58" s="47" t="s">
        <v>6</v>
      </c>
      <c r="L58" s="48"/>
      <c r="M58" s="96"/>
      <c r="N58" s="96"/>
      <c r="O58" s="96"/>
      <c r="P58" s="97"/>
      <c r="Q58" s="97"/>
      <c r="R58" s="74"/>
      <c r="S58" s="74"/>
    </row>
    <row r="59" spans="1:19">
      <c r="A59" s="123"/>
      <c r="B59" s="125"/>
      <c r="C59" s="36" t="s">
        <v>167</v>
      </c>
      <c r="D59" s="41">
        <v>8</v>
      </c>
      <c r="E59" s="50" t="str">
        <f>(MID(E58,SEARCH(":",E58)+1,2)-1) &amp; ":" &amp; (MID(E58,SEARCH(":",E58)+1,2)-D59)</f>
        <v>15:8</v>
      </c>
      <c r="F59" s="43" t="s">
        <v>115</v>
      </c>
      <c r="G59" s="43" t="s">
        <v>115</v>
      </c>
      <c r="H59" s="44" t="s">
        <v>151</v>
      </c>
      <c r="I59" s="45" t="s">
        <v>68</v>
      </c>
      <c r="J59" s="46" t="s">
        <v>36</v>
      </c>
      <c r="K59" s="47" t="s">
        <v>6</v>
      </c>
      <c r="L59" s="48"/>
      <c r="M59" s="96"/>
      <c r="N59" s="96"/>
      <c r="O59" s="96"/>
      <c r="P59" s="97"/>
      <c r="Q59" s="97"/>
      <c r="R59" s="74"/>
      <c r="S59" s="74"/>
    </row>
    <row r="60" spans="1:19" ht="15" thickBot="1">
      <c r="A60" s="123"/>
      <c r="B60" s="125"/>
      <c r="C60" s="36" t="s">
        <v>168</v>
      </c>
      <c r="D60" s="41">
        <v>8</v>
      </c>
      <c r="E60" s="50" t="str">
        <f>(MID(E59,SEARCH(":",E59)+1,2)-1) &amp; ":" &amp; (MID(E59,SEARCH(":",E59)+1,2)-D60)</f>
        <v>7:0</v>
      </c>
      <c r="F60" s="43" t="s">
        <v>115</v>
      </c>
      <c r="G60" s="43" t="s">
        <v>115</v>
      </c>
      <c r="H60" s="44" t="s">
        <v>160</v>
      </c>
      <c r="I60" s="45" t="s">
        <v>68</v>
      </c>
      <c r="J60" s="46" t="s">
        <v>36</v>
      </c>
      <c r="K60" s="47" t="s">
        <v>6</v>
      </c>
      <c r="L60" s="48"/>
      <c r="M60" s="96"/>
      <c r="N60" s="96"/>
      <c r="O60" s="96"/>
      <c r="P60" s="97"/>
      <c r="Q60" s="97"/>
      <c r="R60" s="75"/>
      <c r="S60" s="75"/>
    </row>
    <row r="61" spans="1:19" ht="15" customHeight="1">
      <c r="A61" s="123" t="s">
        <v>165</v>
      </c>
      <c r="B61" s="124" t="str">
        <f t="shared" ref="B61" si="23">DEC2HEX(P61*4)</f>
        <v>10</v>
      </c>
      <c r="C61" s="52" t="s">
        <v>454</v>
      </c>
      <c r="D61" s="80" t="str">
        <f>bitConcat1(F62:F66)</f>
        <v>32'b00000000000000000000000000000000</v>
      </c>
      <c r="E61" s="81"/>
      <c r="F61" s="81"/>
      <c r="G61" s="82"/>
      <c r="H61" s="53" t="s">
        <v>251</v>
      </c>
      <c r="I61" s="54"/>
      <c r="J61" s="83" t="str">
        <f>bitConcat1(G62:G66)</f>
        <v>32'b00000000000000000000000000000000</v>
      </c>
      <c r="K61" s="84"/>
      <c r="L61" s="85"/>
      <c r="M61" s="95" t="str">
        <f t="shared" ref="M61" si="24">DEC2HEX(_xlfn.BITLSHIFT(O61,7)+4*P61)</f>
        <v>310</v>
      </c>
      <c r="N61" s="96" t="s">
        <v>97</v>
      </c>
      <c r="O61" s="96">
        <v>6</v>
      </c>
      <c r="P61" s="97">
        <v>4</v>
      </c>
      <c r="Q61" s="98" t="str">
        <f>DEC2HEX(_xlfn.BITLSHIFT(O61,5)+P61)</f>
        <v>C4</v>
      </c>
      <c r="R61" s="73" t="str">
        <f t="shared" si="7"/>
        <v>00000000</v>
      </c>
      <c r="S61" s="73" t="str">
        <f t="shared" si="3"/>
        <v>00000000</v>
      </c>
    </row>
    <row r="62" spans="1:19">
      <c r="A62" s="123"/>
      <c r="B62" s="125"/>
      <c r="C62" s="36" t="s">
        <v>260</v>
      </c>
      <c r="D62" s="41">
        <v>16</v>
      </c>
      <c r="E62" s="42" t="str">
        <f>IF(D62&gt;1,(31)&amp;":"&amp;(31-D62+1),(31-D62+1)&amp;":"&amp;(31-D62+1))</f>
        <v>31:16</v>
      </c>
      <c r="F62" s="43" t="s">
        <v>245</v>
      </c>
      <c r="G62" s="43" t="s">
        <v>245</v>
      </c>
      <c r="H62" s="44" t="s">
        <v>258</v>
      </c>
      <c r="I62" s="45" t="s">
        <v>68</v>
      </c>
      <c r="J62" s="46" t="s">
        <v>36</v>
      </c>
      <c r="K62" s="47" t="s">
        <v>6</v>
      </c>
      <c r="L62" s="48"/>
      <c r="M62" s="96"/>
      <c r="N62" s="96"/>
      <c r="O62" s="96"/>
      <c r="P62" s="97"/>
      <c r="Q62" s="97"/>
      <c r="R62" s="74"/>
      <c r="S62" s="74"/>
    </row>
    <row r="63" spans="1:19">
      <c r="A63" s="123"/>
      <c r="B63" s="125"/>
      <c r="C63" s="36" t="s">
        <v>506</v>
      </c>
      <c r="D63" s="41">
        <v>4</v>
      </c>
      <c r="E63" s="42" t="str">
        <f>(MID(E62,SEARCH(":",E62)+1,2)-1) &amp; ":" &amp; (MID(E62,SEARCH(":",E62)+1,2)-D63)</f>
        <v>15:12</v>
      </c>
      <c r="F63" s="43" t="s">
        <v>493</v>
      </c>
      <c r="G63" s="43" t="s">
        <v>493</v>
      </c>
      <c r="H63" s="44" t="s">
        <v>511</v>
      </c>
      <c r="I63" s="45" t="s">
        <v>68</v>
      </c>
      <c r="J63" s="46" t="s">
        <v>36</v>
      </c>
      <c r="K63" s="47" t="s">
        <v>6</v>
      </c>
      <c r="L63" s="48"/>
      <c r="M63" s="96"/>
      <c r="N63" s="96"/>
      <c r="O63" s="96"/>
      <c r="P63" s="97"/>
      <c r="Q63" s="97"/>
      <c r="R63" s="74"/>
      <c r="S63" s="74"/>
    </row>
    <row r="64" spans="1:19">
      <c r="A64" s="123"/>
      <c r="B64" s="125"/>
      <c r="C64" s="36" t="s">
        <v>507</v>
      </c>
      <c r="D64" s="41">
        <v>1</v>
      </c>
      <c r="E64" s="42" t="str">
        <f t="shared" ref="E64:E66" si="25">(MID(E63,SEARCH(":",E63)+1,2)-1) &amp; ":" &amp; (MID(E63,SEARCH(":",E63)+1,2)-D64)</f>
        <v>11:11</v>
      </c>
      <c r="F64" s="43" t="s">
        <v>7</v>
      </c>
      <c r="G64" s="43" t="s">
        <v>7</v>
      </c>
      <c r="H64" s="44" t="s">
        <v>512</v>
      </c>
      <c r="I64" s="45" t="s">
        <v>68</v>
      </c>
      <c r="J64" s="46" t="s">
        <v>36</v>
      </c>
      <c r="K64" s="47" t="s">
        <v>6</v>
      </c>
      <c r="L64" s="48"/>
      <c r="M64" s="96"/>
      <c r="N64" s="96"/>
      <c r="O64" s="96"/>
      <c r="P64" s="97"/>
      <c r="Q64" s="97"/>
      <c r="R64" s="74"/>
      <c r="S64" s="74"/>
    </row>
    <row r="65" spans="1:19">
      <c r="A65" s="123"/>
      <c r="B65" s="125"/>
      <c r="C65" s="36" t="s">
        <v>508</v>
      </c>
      <c r="D65" s="41">
        <v>6</v>
      </c>
      <c r="E65" s="42" t="str">
        <f t="shared" si="25"/>
        <v>10:5</v>
      </c>
      <c r="F65" s="43" t="s">
        <v>122</v>
      </c>
      <c r="G65" s="43" t="s">
        <v>122</v>
      </c>
      <c r="H65" s="44" t="s">
        <v>510</v>
      </c>
      <c r="I65" s="45" t="s">
        <v>68</v>
      </c>
      <c r="J65" s="46" t="s">
        <v>36</v>
      </c>
      <c r="K65" s="47" t="s">
        <v>6</v>
      </c>
      <c r="L65" s="48"/>
      <c r="M65" s="96"/>
      <c r="N65" s="96"/>
      <c r="O65" s="96"/>
      <c r="P65" s="97"/>
      <c r="Q65" s="97"/>
      <c r="R65" s="74"/>
      <c r="S65" s="74"/>
    </row>
    <row r="66" spans="1:19" ht="15" thickBot="1">
      <c r="A66" s="123"/>
      <c r="B66" s="125"/>
      <c r="C66" s="36" t="s">
        <v>509</v>
      </c>
      <c r="D66" s="41">
        <v>5</v>
      </c>
      <c r="E66" s="42" t="str">
        <f t="shared" si="25"/>
        <v>4:0</v>
      </c>
      <c r="F66" s="43" t="s">
        <v>103</v>
      </c>
      <c r="G66" s="43" t="s">
        <v>103</v>
      </c>
      <c r="H66" s="44" t="s">
        <v>504</v>
      </c>
      <c r="I66" s="45" t="s">
        <v>68</v>
      </c>
      <c r="J66" s="46" t="s">
        <v>36</v>
      </c>
      <c r="K66" s="47" t="s">
        <v>6</v>
      </c>
      <c r="L66" s="48"/>
      <c r="M66" s="96"/>
      <c r="N66" s="96"/>
      <c r="O66" s="96"/>
      <c r="P66" s="97"/>
      <c r="Q66" s="97"/>
      <c r="R66" s="74"/>
      <c r="S66" s="74"/>
    </row>
    <row r="67" spans="1:19">
      <c r="A67" s="123" t="s">
        <v>166</v>
      </c>
      <c r="B67" s="124" t="str">
        <f t="shared" ref="B67" si="26">DEC2HEX(P67*4)</f>
        <v>14</v>
      </c>
      <c r="C67" s="52" t="s">
        <v>454</v>
      </c>
      <c r="D67" s="80" t="str">
        <f>bitConcat1(F68:F72)</f>
        <v>32'b00000000101100110001100000100000</v>
      </c>
      <c r="E67" s="81"/>
      <c r="F67" s="81"/>
      <c r="G67" s="82"/>
      <c r="H67" s="53" t="s">
        <v>251</v>
      </c>
      <c r="I67" s="54"/>
      <c r="J67" s="83" t="str">
        <f>bitConcat1(G68:G72)</f>
        <v>32'b00000000000000000001100000000000</v>
      </c>
      <c r="K67" s="84"/>
      <c r="L67" s="85"/>
      <c r="M67" s="95" t="str">
        <f t="shared" ref="M67" si="27">DEC2HEX(_xlfn.BITLSHIFT(O67,7)+4*P67)</f>
        <v>314</v>
      </c>
      <c r="N67" s="96" t="s">
        <v>97</v>
      </c>
      <c r="O67" s="96">
        <v>6</v>
      </c>
      <c r="P67" s="97">
        <v>5</v>
      </c>
      <c r="Q67" s="98" t="str">
        <f>DEC2HEX(_xlfn.BITLSHIFT(O67,5)+P67)</f>
        <v>C5</v>
      </c>
      <c r="R67" s="73" t="str">
        <f t="shared" si="7"/>
        <v>00B31820</v>
      </c>
      <c r="S67" s="73" t="str">
        <f t="shared" ref="S67:S135" si="28">BIN2HEX(LEFT(RIGHT(J67,32),4))&amp;BIN2HEX(LEFT(RIGHT(J67,28),4))&amp;BIN2HEX(LEFT(RIGHT(J67,24),4))&amp;BIN2HEX(LEFT(RIGHT(J67,20),4))&amp;BIN2HEX(LEFT(RIGHT(J67,16),4))&amp;BIN2HEX(LEFT(RIGHT(J67,12),4))&amp;BIN2HEX(LEFT(RIGHT(J67,8),4))&amp;BIN2HEX(LEFT(RIGHT(J67,4),4))</f>
        <v>00001800</v>
      </c>
    </row>
    <row r="68" spans="1:19">
      <c r="A68" s="123"/>
      <c r="B68" s="125"/>
      <c r="C68" s="36" t="s">
        <v>171</v>
      </c>
      <c r="D68" s="41">
        <v>8</v>
      </c>
      <c r="E68" s="42" t="str">
        <f>IF(D68&gt;1,(31)&amp;":"&amp;(31-D68+1),(31-D68+1)&amp;":"&amp;(31-D68+1))</f>
        <v>31:24</v>
      </c>
      <c r="F68" s="43" t="s">
        <v>115</v>
      </c>
      <c r="G68" s="43" t="s">
        <v>115</v>
      </c>
      <c r="H68" s="44" t="s">
        <v>442</v>
      </c>
      <c r="I68" s="45" t="s">
        <v>68</v>
      </c>
      <c r="J68" s="46" t="s">
        <v>36</v>
      </c>
      <c r="K68" s="47" t="s">
        <v>6</v>
      </c>
      <c r="L68" s="48"/>
      <c r="M68" s="96"/>
      <c r="N68" s="96"/>
      <c r="O68" s="96"/>
      <c r="P68" s="97"/>
      <c r="Q68" s="97"/>
      <c r="R68" s="74"/>
      <c r="S68" s="74"/>
    </row>
    <row r="69" spans="1:19">
      <c r="A69" s="123"/>
      <c r="B69" s="125"/>
      <c r="C69" s="36" t="s">
        <v>448</v>
      </c>
      <c r="D69" s="41">
        <v>8</v>
      </c>
      <c r="E69" s="50" t="str">
        <f>(MID(E68,SEARCH(":",E68)+1,2)-1) &amp; ":" &amp; (MID(E68,SEARCH(":",E68)+1,2)-D69)</f>
        <v>23:16</v>
      </c>
      <c r="F69" s="43" t="s">
        <v>460</v>
      </c>
      <c r="G69" s="43" t="s">
        <v>115</v>
      </c>
      <c r="H69" s="49" t="s">
        <v>445</v>
      </c>
      <c r="I69" s="45" t="s">
        <v>68</v>
      </c>
      <c r="J69" s="46" t="s">
        <v>36</v>
      </c>
      <c r="K69" s="47" t="s">
        <v>6</v>
      </c>
      <c r="L69" s="48"/>
      <c r="M69" s="96"/>
      <c r="N69" s="96"/>
      <c r="O69" s="96"/>
      <c r="P69" s="97"/>
      <c r="Q69" s="97"/>
      <c r="R69" s="74"/>
      <c r="S69" s="74"/>
    </row>
    <row r="70" spans="1:19">
      <c r="A70" s="123"/>
      <c r="B70" s="125"/>
      <c r="C70" s="36" t="s">
        <v>172</v>
      </c>
      <c r="D70" s="41">
        <v>10</v>
      </c>
      <c r="E70" s="50" t="str">
        <f t="shared" ref="E70:E72" si="29">(MID(E69,SEARCH(":",E69)+1,2)-1) &amp; ":" &amp; (MID(E69,SEARCH(":",E69)+1,2)-D70)</f>
        <v>15:6</v>
      </c>
      <c r="F70" s="43" t="s">
        <v>305</v>
      </c>
      <c r="G70" s="43" t="s">
        <v>305</v>
      </c>
      <c r="H70" s="44" t="s">
        <v>443</v>
      </c>
      <c r="I70" s="45" t="s">
        <v>68</v>
      </c>
      <c r="J70" s="46" t="s">
        <v>36</v>
      </c>
      <c r="K70" s="47" t="s">
        <v>6</v>
      </c>
      <c r="L70" s="48"/>
      <c r="M70" s="96"/>
      <c r="N70" s="96"/>
      <c r="O70" s="96"/>
      <c r="P70" s="97"/>
      <c r="Q70" s="97"/>
      <c r="R70" s="74"/>
      <c r="S70" s="74"/>
    </row>
    <row r="71" spans="1:19" ht="15.75" customHeight="1">
      <c r="A71" s="123"/>
      <c r="B71" s="125"/>
      <c r="C71" s="36" t="s">
        <v>457</v>
      </c>
      <c r="D71" s="41">
        <v>1</v>
      </c>
      <c r="E71" s="50" t="str">
        <f t="shared" si="29"/>
        <v>5:5</v>
      </c>
      <c r="F71" s="43" t="s">
        <v>84</v>
      </c>
      <c r="G71" s="43" t="s">
        <v>7</v>
      </c>
      <c r="H71" s="49" t="s">
        <v>440</v>
      </c>
      <c r="I71" s="45" t="s">
        <v>68</v>
      </c>
      <c r="J71" s="46" t="s">
        <v>36</v>
      </c>
      <c r="K71" s="47" t="s">
        <v>6</v>
      </c>
      <c r="L71" s="48"/>
      <c r="M71" s="96"/>
      <c r="N71" s="96"/>
      <c r="O71" s="96"/>
      <c r="P71" s="97"/>
      <c r="Q71" s="97"/>
      <c r="R71" s="74"/>
      <c r="S71" s="74"/>
    </row>
    <row r="72" spans="1:19" ht="15" thickBot="1">
      <c r="A72" s="123"/>
      <c r="B72" s="125"/>
      <c r="C72" s="36" t="s">
        <v>449</v>
      </c>
      <c r="D72" s="41">
        <v>5</v>
      </c>
      <c r="E72" s="50" t="str">
        <f t="shared" si="29"/>
        <v>4:0</v>
      </c>
      <c r="F72" s="43" t="s">
        <v>103</v>
      </c>
      <c r="G72" s="43" t="s">
        <v>103</v>
      </c>
      <c r="H72" s="49" t="s">
        <v>444</v>
      </c>
      <c r="I72" s="45" t="s">
        <v>68</v>
      </c>
      <c r="J72" s="46" t="s">
        <v>36</v>
      </c>
      <c r="K72" s="47" t="s">
        <v>6</v>
      </c>
      <c r="L72" s="48"/>
      <c r="M72" s="96"/>
      <c r="N72" s="96"/>
      <c r="O72" s="96"/>
      <c r="P72" s="97"/>
      <c r="Q72" s="97"/>
      <c r="R72" s="75"/>
      <c r="S72" s="75"/>
    </row>
    <row r="73" spans="1:19" ht="15.75" customHeight="1">
      <c r="A73" s="126" t="s">
        <v>173</v>
      </c>
      <c r="B73" s="124" t="str">
        <f t="shared" ref="B73" si="30">DEC2HEX(P73*4)</f>
        <v>18</v>
      </c>
      <c r="C73" s="52" t="s">
        <v>454</v>
      </c>
      <c r="D73" s="80" t="str">
        <f>bitConcat1(F74:F77)</f>
        <v>32'b00000000000000000000000000000000</v>
      </c>
      <c r="E73" s="81"/>
      <c r="F73" s="81"/>
      <c r="G73" s="82"/>
      <c r="H73" s="53" t="s">
        <v>251</v>
      </c>
      <c r="I73" s="54"/>
      <c r="J73" s="83" t="str">
        <f>bitConcat1(G74:G77)</f>
        <v>32'b00000000000000000000000000000000</v>
      </c>
      <c r="K73" s="84"/>
      <c r="L73" s="85"/>
      <c r="M73" s="95" t="str">
        <f t="shared" ref="M73" si="31">DEC2HEX(_xlfn.BITLSHIFT(O73,7)+4*P73)</f>
        <v>318</v>
      </c>
      <c r="N73" s="95" t="s">
        <v>97</v>
      </c>
      <c r="O73" s="95">
        <v>6</v>
      </c>
      <c r="P73" s="98">
        <v>6</v>
      </c>
      <c r="Q73" s="98" t="str">
        <f>DEC2HEX(_xlfn.BITLSHIFT(O73,5)+P73)</f>
        <v>C6</v>
      </c>
      <c r="R73" s="73" t="str">
        <f t="shared" si="7"/>
        <v>00000000</v>
      </c>
      <c r="S73" s="73" t="str">
        <f t="shared" si="28"/>
        <v>00000000</v>
      </c>
    </row>
    <row r="74" spans="1:19">
      <c r="A74" s="123"/>
      <c r="B74" s="125"/>
      <c r="C74" s="36" t="s">
        <v>178</v>
      </c>
      <c r="D74" s="41">
        <v>8</v>
      </c>
      <c r="E74" s="42" t="str">
        <f>IF(D74&gt;1,(31)&amp;":"&amp;(31-D74+1),(31-D74+1)&amp;":"&amp;(31-D74+1))</f>
        <v>31:24</v>
      </c>
      <c r="F74" s="43" t="s">
        <v>115</v>
      </c>
      <c r="G74" s="43" t="s">
        <v>115</v>
      </c>
      <c r="H74" s="44" t="s">
        <v>158</v>
      </c>
      <c r="I74" s="45" t="s">
        <v>68</v>
      </c>
      <c r="J74" s="46" t="s">
        <v>36</v>
      </c>
      <c r="K74" s="47" t="s">
        <v>6</v>
      </c>
      <c r="L74" s="48"/>
      <c r="M74" s="96"/>
      <c r="N74" s="96"/>
      <c r="O74" s="96"/>
      <c r="P74" s="97"/>
      <c r="Q74" s="97"/>
      <c r="R74" s="74"/>
      <c r="S74" s="74"/>
    </row>
    <row r="75" spans="1:19">
      <c r="A75" s="123"/>
      <c r="B75" s="125"/>
      <c r="C75" s="36" t="s">
        <v>179</v>
      </c>
      <c r="D75" s="41">
        <v>8</v>
      </c>
      <c r="E75" s="50" t="str">
        <f t="shared" ref="E75" si="32">(MID(E74,SEARCH(":",E74)+1,2)-1) &amp; ":" &amp; (MID(E74,SEARCH(":",E74)+1,2)-D75)</f>
        <v>23:16</v>
      </c>
      <c r="F75" s="43" t="s">
        <v>115</v>
      </c>
      <c r="G75" s="43" t="s">
        <v>115</v>
      </c>
      <c r="H75" s="44" t="s">
        <v>159</v>
      </c>
      <c r="I75" s="45" t="s">
        <v>68</v>
      </c>
      <c r="J75" s="46" t="s">
        <v>36</v>
      </c>
      <c r="K75" s="47" t="s">
        <v>6</v>
      </c>
      <c r="L75" s="48"/>
      <c r="M75" s="96"/>
      <c r="N75" s="96"/>
      <c r="O75" s="96"/>
      <c r="P75" s="97"/>
      <c r="Q75" s="97"/>
      <c r="R75" s="74"/>
      <c r="S75" s="74"/>
    </row>
    <row r="76" spans="1:19">
      <c r="A76" s="123"/>
      <c r="B76" s="125"/>
      <c r="C76" s="36" t="s">
        <v>176</v>
      </c>
      <c r="D76" s="41">
        <v>8</v>
      </c>
      <c r="E76" s="50" t="str">
        <f>(MID(E75,SEARCH(":",E75)+1,2)-1) &amp; ":" &amp; (MID(E75,SEARCH(":",E75)+1,2)-D76)</f>
        <v>15:8</v>
      </c>
      <c r="F76" s="43" t="s">
        <v>115</v>
      </c>
      <c r="G76" s="43" t="s">
        <v>115</v>
      </c>
      <c r="H76" s="44" t="s">
        <v>151</v>
      </c>
      <c r="I76" s="45" t="s">
        <v>68</v>
      </c>
      <c r="J76" s="46" t="s">
        <v>36</v>
      </c>
      <c r="K76" s="47" t="s">
        <v>6</v>
      </c>
      <c r="L76" s="48"/>
      <c r="M76" s="96"/>
      <c r="N76" s="96"/>
      <c r="O76" s="96"/>
      <c r="P76" s="97"/>
      <c r="Q76" s="97"/>
      <c r="R76" s="74"/>
      <c r="S76" s="74"/>
    </row>
    <row r="77" spans="1:19" ht="15" thickBot="1">
      <c r="A77" s="123"/>
      <c r="B77" s="125"/>
      <c r="C77" s="36" t="s">
        <v>177</v>
      </c>
      <c r="D77" s="41">
        <v>8</v>
      </c>
      <c r="E77" s="50" t="str">
        <f>(MID(E76,SEARCH(":",E76)+1,2)-1) &amp; ":" &amp; (MID(E76,SEARCH(":",E76)+1,2)-D77)</f>
        <v>7:0</v>
      </c>
      <c r="F77" s="43" t="s">
        <v>115</v>
      </c>
      <c r="G77" s="43" t="s">
        <v>115</v>
      </c>
      <c r="H77" s="44" t="s">
        <v>160</v>
      </c>
      <c r="I77" s="45" t="s">
        <v>68</v>
      </c>
      <c r="J77" s="46" t="s">
        <v>36</v>
      </c>
      <c r="K77" s="47" t="s">
        <v>6</v>
      </c>
      <c r="L77" s="48"/>
      <c r="M77" s="96"/>
      <c r="N77" s="96"/>
      <c r="O77" s="96"/>
      <c r="P77" s="97"/>
      <c r="Q77" s="97"/>
      <c r="R77" s="75"/>
      <c r="S77" s="75"/>
    </row>
    <row r="78" spans="1:19">
      <c r="A78" s="123" t="s">
        <v>174</v>
      </c>
      <c r="B78" s="124" t="str">
        <f t="shared" ref="B78" si="33">DEC2HEX(P78*4)</f>
        <v>1C</v>
      </c>
      <c r="C78" s="52" t="s">
        <v>454</v>
      </c>
      <c r="D78" s="80" t="str">
        <f>bitConcat1(F79:F83)</f>
        <v>32'b00000000000000000000000000000000</v>
      </c>
      <c r="E78" s="81"/>
      <c r="F78" s="81"/>
      <c r="G78" s="82"/>
      <c r="H78" s="53" t="s">
        <v>251</v>
      </c>
      <c r="I78" s="54"/>
      <c r="J78" s="83" t="str">
        <f>bitConcat1(G79:G83)</f>
        <v>32'b00000000000000000000000000000000</v>
      </c>
      <c r="K78" s="84"/>
      <c r="L78" s="85"/>
      <c r="M78" s="95" t="str">
        <f t="shared" ref="M78" si="34">DEC2HEX(_xlfn.BITLSHIFT(O78,7)+4*P78)</f>
        <v>31C</v>
      </c>
      <c r="N78" s="96" t="s">
        <v>97</v>
      </c>
      <c r="O78" s="96">
        <v>6</v>
      </c>
      <c r="P78" s="97">
        <v>7</v>
      </c>
      <c r="Q78" s="98" t="str">
        <f>DEC2HEX(_xlfn.BITLSHIFT(O78,5)+P78)</f>
        <v>C7</v>
      </c>
      <c r="R78" s="73" t="str">
        <f t="shared" ref="R78:R95" si="35">BIN2HEX(LEFT(RIGHT(D78,32),4))&amp;BIN2HEX(LEFT(RIGHT(D78,28),4))&amp;BIN2HEX(LEFT(RIGHT(D78,24),4))&amp;BIN2HEX(LEFT(RIGHT(D78,20),4))&amp;BIN2HEX(LEFT(RIGHT(D78,16),4))&amp;BIN2HEX(LEFT(RIGHT(D78,12),4))&amp;BIN2HEX(LEFT(RIGHT(D78,8),4))&amp;BIN2HEX(LEFT(RIGHT(D78,4),4))</f>
        <v>00000000</v>
      </c>
      <c r="S78" s="73" t="str">
        <f t="shared" si="28"/>
        <v>00000000</v>
      </c>
    </row>
    <row r="79" spans="1:19">
      <c r="A79" s="123"/>
      <c r="B79" s="125"/>
      <c r="C79" s="36" t="s">
        <v>261</v>
      </c>
      <c r="D79" s="41">
        <v>16</v>
      </c>
      <c r="E79" s="42" t="str">
        <f>IF(D79&gt;1,(31)&amp;":"&amp;(31-D79+1),(31-D79+1)&amp;":"&amp;(31-D79+1))</f>
        <v>31:16</v>
      </c>
      <c r="F79" s="43" t="s">
        <v>245</v>
      </c>
      <c r="G79" s="43" t="s">
        <v>245</v>
      </c>
      <c r="H79" s="44" t="s">
        <v>262</v>
      </c>
      <c r="I79" s="45" t="s">
        <v>68</v>
      </c>
      <c r="J79" s="46" t="s">
        <v>36</v>
      </c>
      <c r="K79" s="47" t="s">
        <v>6</v>
      </c>
      <c r="L79" s="48"/>
      <c r="M79" s="96"/>
      <c r="N79" s="96"/>
      <c r="O79" s="96"/>
      <c r="P79" s="97"/>
      <c r="Q79" s="97"/>
      <c r="R79" s="74"/>
      <c r="S79" s="74"/>
    </row>
    <row r="80" spans="1:19">
      <c r="A80" s="123"/>
      <c r="B80" s="125"/>
      <c r="C80" s="36" t="s">
        <v>513</v>
      </c>
      <c r="D80" s="41">
        <v>4</v>
      </c>
      <c r="E80" s="42" t="str">
        <f>(MID(E79,SEARCH(":",E79)+1,2)-1) &amp; ":" &amp; (MID(E79,SEARCH(":",E79)+1,2)-D80)</f>
        <v>15:12</v>
      </c>
      <c r="F80" s="43" t="s">
        <v>493</v>
      </c>
      <c r="G80" s="43" t="s">
        <v>493</v>
      </c>
      <c r="H80" s="44" t="s">
        <v>517</v>
      </c>
      <c r="I80" s="45" t="s">
        <v>68</v>
      </c>
      <c r="J80" s="46" t="s">
        <v>36</v>
      </c>
      <c r="K80" s="47" t="s">
        <v>6</v>
      </c>
      <c r="L80" s="48"/>
      <c r="M80" s="96"/>
      <c r="N80" s="96"/>
      <c r="O80" s="96"/>
      <c r="P80" s="97"/>
      <c r="Q80" s="97"/>
      <c r="R80" s="74"/>
      <c r="S80" s="74"/>
    </row>
    <row r="81" spans="1:19">
      <c r="A81" s="123"/>
      <c r="B81" s="125"/>
      <c r="C81" s="36" t="s">
        <v>514</v>
      </c>
      <c r="D81" s="41">
        <v>1</v>
      </c>
      <c r="E81" s="42" t="str">
        <f t="shared" ref="E81:E83" si="36">(MID(E80,SEARCH(":",E80)+1,2)-1) &amp; ":" &amp; (MID(E80,SEARCH(":",E80)+1,2)-D81)</f>
        <v>11:11</v>
      </c>
      <c r="F81" s="43" t="s">
        <v>7</v>
      </c>
      <c r="G81" s="43" t="s">
        <v>7</v>
      </c>
      <c r="H81" s="44" t="s">
        <v>512</v>
      </c>
      <c r="I81" s="45" t="s">
        <v>68</v>
      </c>
      <c r="J81" s="46" t="s">
        <v>36</v>
      </c>
      <c r="K81" s="47" t="s">
        <v>6</v>
      </c>
      <c r="L81" s="48"/>
      <c r="M81" s="96"/>
      <c r="N81" s="96"/>
      <c r="O81" s="96"/>
      <c r="P81" s="97"/>
      <c r="Q81" s="97"/>
      <c r="R81" s="74"/>
      <c r="S81" s="74"/>
    </row>
    <row r="82" spans="1:19">
      <c r="A82" s="123"/>
      <c r="B82" s="125"/>
      <c r="C82" s="36" t="s">
        <v>515</v>
      </c>
      <c r="D82" s="41">
        <v>6</v>
      </c>
      <c r="E82" s="42" t="str">
        <f t="shared" si="36"/>
        <v>10:5</v>
      </c>
      <c r="F82" s="43" t="s">
        <v>122</v>
      </c>
      <c r="G82" s="43" t="s">
        <v>122</v>
      </c>
      <c r="H82" s="44" t="s">
        <v>510</v>
      </c>
      <c r="I82" s="45" t="s">
        <v>68</v>
      </c>
      <c r="J82" s="46" t="s">
        <v>36</v>
      </c>
      <c r="K82" s="47" t="s">
        <v>6</v>
      </c>
      <c r="L82" s="48"/>
      <c r="M82" s="96"/>
      <c r="N82" s="96"/>
      <c r="O82" s="96"/>
      <c r="P82" s="97"/>
      <c r="Q82" s="97"/>
      <c r="R82" s="74"/>
      <c r="S82" s="74"/>
    </row>
    <row r="83" spans="1:19" ht="15.75" customHeight="1" thickBot="1">
      <c r="A83" s="123"/>
      <c r="B83" s="125"/>
      <c r="C83" s="36" t="s">
        <v>516</v>
      </c>
      <c r="D83" s="41">
        <v>5</v>
      </c>
      <c r="E83" s="42" t="str">
        <f t="shared" si="36"/>
        <v>4:0</v>
      </c>
      <c r="F83" s="43" t="s">
        <v>103</v>
      </c>
      <c r="G83" s="43" t="s">
        <v>103</v>
      </c>
      <c r="H83" s="44" t="s">
        <v>504</v>
      </c>
      <c r="I83" s="45" t="s">
        <v>68</v>
      </c>
      <c r="J83" s="46" t="s">
        <v>36</v>
      </c>
      <c r="K83" s="47" t="s">
        <v>6</v>
      </c>
      <c r="L83" s="48"/>
      <c r="M83" s="96"/>
      <c r="N83" s="96"/>
      <c r="O83" s="96"/>
      <c r="P83" s="97"/>
      <c r="Q83" s="97"/>
      <c r="R83" s="75"/>
      <c r="S83" s="75"/>
    </row>
    <row r="84" spans="1:19">
      <c r="A84" s="123" t="s">
        <v>175</v>
      </c>
      <c r="B84" s="124" t="str">
        <f t="shared" ref="B84" si="37">DEC2HEX(P84*4)</f>
        <v>20</v>
      </c>
      <c r="C84" s="52" t="s">
        <v>454</v>
      </c>
      <c r="D84" s="80" t="str">
        <f>bitConcat1(F85:F89)</f>
        <v>32'b00000000101100110001100000100000</v>
      </c>
      <c r="E84" s="81"/>
      <c r="F84" s="81"/>
      <c r="G84" s="82"/>
      <c r="H84" s="53" t="s">
        <v>251</v>
      </c>
      <c r="I84" s="54"/>
      <c r="J84" s="83" t="str">
        <f>bitConcat1(G85:G89)</f>
        <v>32'b00000000000000000001100000000000</v>
      </c>
      <c r="K84" s="84"/>
      <c r="L84" s="85"/>
      <c r="M84" s="95" t="str">
        <f t="shared" ref="M84" si="38">DEC2HEX(_xlfn.BITLSHIFT(O84,7)+4*P84)</f>
        <v>320</v>
      </c>
      <c r="N84" s="96" t="s">
        <v>97</v>
      </c>
      <c r="O84" s="96">
        <v>6</v>
      </c>
      <c r="P84" s="97">
        <v>8</v>
      </c>
      <c r="Q84" s="98" t="str">
        <f t="shared" ref="Q84" si="39">DEC2HEX(_xlfn.BITLSHIFT(O84,5)+P84*4)</f>
        <v>E0</v>
      </c>
      <c r="R84" s="73" t="str">
        <f t="shared" si="35"/>
        <v>00B31820</v>
      </c>
      <c r="S84" s="73" t="str">
        <f t="shared" si="28"/>
        <v>00001800</v>
      </c>
    </row>
    <row r="85" spans="1:19">
      <c r="A85" s="123"/>
      <c r="B85" s="125"/>
      <c r="C85" s="36" t="s">
        <v>180</v>
      </c>
      <c r="D85" s="41">
        <v>8</v>
      </c>
      <c r="E85" s="42" t="str">
        <f>IF(D85&gt;1,(31)&amp;":"&amp;(31-D85+1),(31-D85+1)&amp;":"&amp;(31-D85+1))</f>
        <v>31:24</v>
      </c>
      <c r="F85" s="43" t="s">
        <v>115</v>
      </c>
      <c r="G85" s="43" t="s">
        <v>115</v>
      </c>
      <c r="H85" s="44" t="s">
        <v>442</v>
      </c>
      <c r="I85" s="45" t="s">
        <v>68</v>
      </c>
      <c r="J85" s="46" t="s">
        <v>36</v>
      </c>
      <c r="K85" s="47" t="s">
        <v>6</v>
      </c>
      <c r="L85" s="48"/>
      <c r="M85" s="96"/>
      <c r="N85" s="96"/>
      <c r="O85" s="96"/>
      <c r="P85" s="97"/>
      <c r="Q85" s="97"/>
      <c r="R85" s="74"/>
      <c r="S85" s="74"/>
    </row>
    <row r="86" spans="1:19">
      <c r="A86" s="123"/>
      <c r="B86" s="125"/>
      <c r="C86" s="36" t="s">
        <v>450</v>
      </c>
      <c r="D86" s="41">
        <v>8</v>
      </c>
      <c r="E86" s="50" t="str">
        <f>(MID(E85,SEARCH(":",E85)+1,2)-1) &amp; ":" &amp; (MID(E85,SEARCH(":",E85)+1,2)-D86)</f>
        <v>23:16</v>
      </c>
      <c r="F86" s="43" t="s">
        <v>460</v>
      </c>
      <c r="G86" s="43" t="s">
        <v>115</v>
      </c>
      <c r="H86" s="49" t="s">
        <v>445</v>
      </c>
      <c r="I86" s="45" t="s">
        <v>68</v>
      </c>
      <c r="J86" s="46" t="s">
        <v>36</v>
      </c>
      <c r="K86" s="47" t="s">
        <v>6</v>
      </c>
      <c r="L86" s="48"/>
      <c r="M86" s="96"/>
      <c r="N86" s="96"/>
      <c r="O86" s="96"/>
      <c r="P86" s="97"/>
      <c r="Q86" s="97"/>
      <c r="R86" s="74"/>
      <c r="S86" s="74"/>
    </row>
    <row r="87" spans="1:19">
      <c r="A87" s="123"/>
      <c r="B87" s="125"/>
      <c r="C87" s="36" t="s">
        <v>181</v>
      </c>
      <c r="D87" s="41">
        <v>10</v>
      </c>
      <c r="E87" s="50" t="str">
        <f t="shared" ref="E87:E89" si="40">(MID(E86,SEARCH(":",E86)+1,2)-1) &amp; ":" &amp; (MID(E86,SEARCH(":",E86)+1,2)-D87)</f>
        <v>15:6</v>
      </c>
      <c r="F87" s="43" t="s">
        <v>305</v>
      </c>
      <c r="G87" s="43" t="s">
        <v>305</v>
      </c>
      <c r="H87" s="44" t="s">
        <v>443</v>
      </c>
      <c r="I87" s="45" t="s">
        <v>68</v>
      </c>
      <c r="J87" s="46" t="s">
        <v>36</v>
      </c>
      <c r="K87" s="47" t="s">
        <v>6</v>
      </c>
      <c r="L87" s="48"/>
      <c r="M87" s="96"/>
      <c r="N87" s="96"/>
      <c r="O87" s="96"/>
      <c r="P87" s="97"/>
      <c r="Q87" s="97"/>
      <c r="R87" s="74"/>
      <c r="S87" s="74"/>
    </row>
    <row r="88" spans="1:19" ht="15.75" customHeight="1">
      <c r="A88" s="123"/>
      <c r="B88" s="125"/>
      <c r="C88" s="36" t="s">
        <v>458</v>
      </c>
      <c r="D88" s="41">
        <v>1</v>
      </c>
      <c r="E88" s="50" t="str">
        <f t="shared" si="40"/>
        <v>5:5</v>
      </c>
      <c r="F88" s="43" t="s">
        <v>84</v>
      </c>
      <c r="G88" s="43" t="s">
        <v>7</v>
      </c>
      <c r="H88" s="49" t="s">
        <v>440</v>
      </c>
      <c r="I88" s="45" t="s">
        <v>68</v>
      </c>
      <c r="J88" s="46" t="s">
        <v>36</v>
      </c>
      <c r="K88" s="47" t="s">
        <v>6</v>
      </c>
      <c r="L88" s="48"/>
      <c r="M88" s="96"/>
      <c r="N88" s="96"/>
      <c r="O88" s="96"/>
      <c r="P88" s="97"/>
      <c r="Q88" s="97"/>
      <c r="R88" s="74"/>
      <c r="S88" s="74"/>
    </row>
    <row r="89" spans="1:19" ht="15" thickBot="1">
      <c r="A89" s="123"/>
      <c r="B89" s="125"/>
      <c r="C89" s="36" t="s">
        <v>451</v>
      </c>
      <c r="D89" s="41">
        <v>5</v>
      </c>
      <c r="E89" s="50" t="str">
        <f t="shared" si="40"/>
        <v>4:0</v>
      </c>
      <c r="F89" s="43" t="s">
        <v>103</v>
      </c>
      <c r="G89" s="43" t="s">
        <v>103</v>
      </c>
      <c r="H89" s="49" t="s">
        <v>444</v>
      </c>
      <c r="I89" s="45" t="s">
        <v>68</v>
      </c>
      <c r="J89" s="46" t="s">
        <v>36</v>
      </c>
      <c r="K89" s="47" t="s">
        <v>6</v>
      </c>
      <c r="L89" s="48"/>
      <c r="M89" s="96"/>
      <c r="N89" s="96"/>
      <c r="O89" s="96"/>
      <c r="P89" s="97"/>
      <c r="Q89" s="97"/>
      <c r="R89" s="75"/>
      <c r="S89" s="75"/>
    </row>
    <row r="90" spans="1:19" ht="15.75" customHeight="1">
      <c r="A90" s="126" t="s">
        <v>182</v>
      </c>
      <c r="B90" s="124" t="str">
        <f t="shared" ref="B90" si="41">DEC2HEX(P90*4)</f>
        <v>24</v>
      </c>
      <c r="C90" s="52" t="s">
        <v>454</v>
      </c>
      <c r="D90" s="80" t="str">
        <f>bitConcat1(F91:F94)</f>
        <v>32'b00000000000000000000000000000000</v>
      </c>
      <c r="E90" s="81"/>
      <c r="F90" s="81"/>
      <c r="G90" s="82"/>
      <c r="H90" s="53" t="s">
        <v>251</v>
      </c>
      <c r="I90" s="54"/>
      <c r="J90" s="83" t="str">
        <f>bitConcat1(G91:G94)</f>
        <v>32'b00000000000000000000000000000000</v>
      </c>
      <c r="K90" s="84"/>
      <c r="L90" s="85"/>
      <c r="M90" s="95" t="str">
        <f t="shared" ref="M90" si="42">DEC2HEX(_xlfn.BITLSHIFT(O90,7)+4*P90)</f>
        <v>324</v>
      </c>
      <c r="N90" s="95" t="s">
        <v>97</v>
      </c>
      <c r="O90" s="95">
        <v>6</v>
      </c>
      <c r="P90" s="98">
        <v>9</v>
      </c>
      <c r="Q90" s="98" t="str">
        <f>DEC2HEX(_xlfn.BITLSHIFT(O90,5)+P90)</f>
        <v>C9</v>
      </c>
      <c r="R90" s="73" t="str">
        <f t="shared" si="35"/>
        <v>00000000</v>
      </c>
      <c r="S90" s="73" t="str">
        <f t="shared" si="28"/>
        <v>00000000</v>
      </c>
    </row>
    <row r="91" spans="1:19">
      <c r="A91" s="123"/>
      <c r="B91" s="125"/>
      <c r="C91" s="36" t="s">
        <v>187</v>
      </c>
      <c r="D91" s="41">
        <v>8</v>
      </c>
      <c r="E91" s="42" t="str">
        <f>IF(D91&gt;1,(31)&amp;":"&amp;(31-D91+1),(31-D91+1)&amp;":"&amp;(31-D91+1))</f>
        <v>31:24</v>
      </c>
      <c r="F91" s="43" t="s">
        <v>115</v>
      </c>
      <c r="G91" s="43" t="s">
        <v>115</v>
      </c>
      <c r="H91" s="44" t="s">
        <v>158</v>
      </c>
      <c r="I91" s="45" t="s">
        <v>68</v>
      </c>
      <c r="J91" s="46" t="s">
        <v>36</v>
      </c>
      <c r="K91" s="47" t="s">
        <v>6</v>
      </c>
      <c r="L91" s="48"/>
      <c r="M91" s="96"/>
      <c r="N91" s="96"/>
      <c r="O91" s="96"/>
      <c r="P91" s="97"/>
      <c r="Q91" s="97"/>
      <c r="R91" s="74"/>
      <c r="S91" s="74"/>
    </row>
    <row r="92" spans="1:19">
      <c r="A92" s="123"/>
      <c r="B92" s="125"/>
      <c r="C92" s="36" t="s">
        <v>188</v>
      </c>
      <c r="D92" s="41">
        <v>8</v>
      </c>
      <c r="E92" s="50" t="str">
        <f t="shared" ref="E92" si="43">(MID(E91,SEARCH(":",E91)+1,2)-1) &amp; ":" &amp; (MID(E91,SEARCH(":",E91)+1,2)-D92)</f>
        <v>23:16</v>
      </c>
      <c r="F92" s="43" t="s">
        <v>115</v>
      </c>
      <c r="G92" s="43" t="s">
        <v>115</v>
      </c>
      <c r="H92" s="44" t="s">
        <v>159</v>
      </c>
      <c r="I92" s="45" t="s">
        <v>68</v>
      </c>
      <c r="J92" s="46" t="s">
        <v>36</v>
      </c>
      <c r="K92" s="47" t="s">
        <v>6</v>
      </c>
      <c r="L92" s="48"/>
      <c r="M92" s="96"/>
      <c r="N92" s="96"/>
      <c r="O92" s="96"/>
      <c r="P92" s="97"/>
      <c r="Q92" s="97"/>
      <c r="R92" s="74"/>
      <c r="S92" s="74"/>
    </row>
    <row r="93" spans="1:19">
      <c r="A93" s="123"/>
      <c r="B93" s="125"/>
      <c r="C93" s="36" t="s">
        <v>185</v>
      </c>
      <c r="D93" s="41">
        <v>8</v>
      </c>
      <c r="E93" s="50" t="str">
        <f>(MID(E92,SEARCH(":",E92)+1,2)-1) &amp; ":" &amp; (MID(E92,SEARCH(":",E92)+1,2)-D93)</f>
        <v>15:8</v>
      </c>
      <c r="F93" s="43" t="s">
        <v>115</v>
      </c>
      <c r="G93" s="43" t="s">
        <v>115</v>
      </c>
      <c r="H93" s="44" t="s">
        <v>151</v>
      </c>
      <c r="I93" s="45" t="s">
        <v>68</v>
      </c>
      <c r="J93" s="46" t="s">
        <v>36</v>
      </c>
      <c r="K93" s="47" t="s">
        <v>6</v>
      </c>
      <c r="L93" s="48"/>
      <c r="M93" s="96"/>
      <c r="N93" s="96"/>
      <c r="O93" s="96"/>
      <c r="P93" s="97"/>
      <c r="Q93" s="97"/>
      <c r="R93" s="74"/>
      <c r="S93" s="74"/>
    </row>
    <row r="94" spans="1:19" ht="15" thickBot="1">
      <c r="A94" s="123"/>
      <c r="B94" s="125"/>
      <c r="C94" s="36" t="s">
        <v>186</v>
      </c>
      <c r="D94" s="41">
        <v>8</v>
      </c>
      <c r="E94" s="50" t="str">
        <f>(MID(E93,SEARCH(":",E93)+1,2)-1) &amp; ":" &amp; (MID(E93,SEARCH(":",E93)+1,2)-D94)</f>
        <v>7:0</v>
      </c>
      <c r="F94" s="43" t="s">
        <v>115</v>
      </c>
      <c r="G94" s="43" t="s">
        <v>115</v>
      </c>
      <c r="H94" s="44" t="s">
        <v>160</v>
      </c>
      <c r="I94" s="45" t="s">
        <v>68</v>
      </c>
      <c r="J94" s="46" t="s">
        <v>36</v>
      </c>
      <c r="K94" s="47" t="s">
        <v>6</v>
      </c>
      <c r="L94" s="48"/>
      <c r="M94" s="96"/>
      <c r="N94" s="96"/>
      <c r="O94" s="96"/>
      <c r="P94" s="97"/>
      <c r="Q94" s="97"/>
      <c r="R94" s="75"/>
      <c r="S94" s="75"/>
    </row>
    <row r="95" spans="1:19">
      <c r="A95" s="123" t="s">
        <v>183</v>
      </c>
      <c r="B95" s="124" t="str">
        <f t="shared" ref="B95" si="44">DEC2HEX(P95*4)</f>
        <v>28</v>
      </c>
      <c r="C95" s="52" t="s">
        <v>454</v>
      </c>
      <c r="D95" s="80" t="str">
        <f>bitConcat1(F96:F101)</f>
        <v>32'b00000000000000000000000000000000</v>
      </c>
      <c r="E95" s="81"/>
      <c r="F95" s="81"/>
      <c r="G95" s="82"/>
      <c r="H95" s="53" t="s">
        <v>251</v>
      </c>
      <c r="I95" s="54"/>
      <c r="J95" s="83" t="str">
        <f>bitConcat1(G96:G101)</f>
        <v>32'b00000000000000000000000000000000</v>
      </c>
      <c r="K95" s="84"/>
      <c r="L95" s="85"/>
      <c r="M95" s="95" t="str">
        <f t="shared" ref="M95" si="45">DEC2HEX(_xlfn.BITLSHIFT(O95,7)+4*P95)</f>
        <v>328</v>
      </c>
      <c r="N95" s="96" t="s">
        <v>97</v>
      </c>
      <c r="O95" s="96">
        <v>6</v>
      </c>
      <c r="P95" s="97">
        <v>10</v>
      </c>
      <c r="Q95" s="98" t="str">
        <f>DEC2HEX(_xlfn.BITLSHIFT(O95,5)+P95)</f>
        <v>CA</v>
      </c>
      <c r="R95" s="73" t="str">
        <f t="shared" si="35"/>
        <v>00000000</v>
      </c>
      <c r="S95" s="73" t="str">
        <f t="shared" si="28"/>
        <v>00000000</v>
      </c>
    </row>
    <row r="96" spans="1:19">
      <c r="A96" s="123"/>
      <c r="B96" s="125"/>
      <c r="C96" s="36" t="s">
        <v>263</v>
      </c>
      <c r="D96" s="41">
        <v>16</v>
      </c>
      <c r="E96" s="42" t="str">
        <f>IF(D96&gt;1,(31)&amp;":"&amp;(31-D96+1),(31-D96+1)&amp;":"&amp;(31-D96+1))</f>
        <v>31:16</v>
      </c>
      <c r="F96" s="43" t="s">
        <v>245</v>
      </c>
      <c r="G96" s="43" t="s">
        <v>245</v>
      </c>
      <c r="H96" s="44" t="s">
        <v>264</v>
      </c>
      <c r="I96" s="45" t="s">
        <v>68</v>
      </c>
      <c r="J96" s="46" t="s">
        <v>36</v>
      </c>
      <c r="K96" s="47" t="s">
        <v>6</v>
      </c>
      <c r="L96" s="48"/>
      <c r="M96" s="96"/>
      <c r="N96" s="96"/>
      <c r="O96" s="96"/>
      <c r="P96" s="97"/>
      <c r="Q96" s="97"/>
      <c r="R96" s="74"/>
      <c r="S96" s="74"/>
    </row>
    <row r="97" spans="1:19">
      <c r="A97" s="123"/>
      <c r="B97" s="125"/>
      <c r="C97" s="36" t="s">
        <v>518</v>
      </c>
      <c r="D97" s="41">
        <v>6</v>
      </c>
      <c r="E97" s="50" t="str">
        <f>(MID(E96,SEARCH(":",E96)+1,2)-1) &amp; ":" &amp; (MID(E96,SEARCH(":",E96)+1,2)-D97)</f>
        <v>15:10</v>
      </c>
      <c r="F97" s="43" t="s">
        <v>122</v>
      </c>
      <c r="G97" s="43" t="s">
        <v>122</v>
      </c>
      <c r="H97" s="49" t="s">
        <v>503</v>
      </c>
      <c r="I97" s="45" t="s">
        <v>68</v>
      </c>
      <c r="J97" s="46" t="s">
        <v>36</v>
      </c>
      <c r="K97" s="47" t="s">
        <v>6</v>
      </c>
      <c r="L97" s="48"/>
      <c r="M97" s="96"/>
      <c r="N97" s="96"/>
      <c r="O97" s="96"/>
      <c r="P97" s="97"/>
      <c r="Q97" s="97"/>
      <c r="R97" s="74"/>
      <c r="S97" s="74"/>
    </row>
    <row r="98" spans="1:19">
      <c r="A98" s="123"/>
      <c r="B98" s="125"/>
      <c r="C98" s="66" t="s">
        <v>519</v>
      </c>
      <c r="D98" s="67">
        <v>5</v>
      </c>
      <c r="E98" s="50" t="str">
        <f t="shared" ref="E98:E101" si="46">(MID(E97,SEARCH(":",E97)+1,2)-1) &amp; ":" &amp; (MID(E97,SEARCH(":",E97)+1,2)-D98)</f>
        <v>9:5</v>
      </c>
      <c r="F98" s="43" t="s">
        <v>103</v>
      </c>
      <c r="G98" s="68" t="s">
        <v>103</v>
      </c>
      <c r="H98" s="69" t="s">
        <v>504</v>
      </c>
      <c r="I98" s="45" t="s">
        <v>68</v>
      </c>
      <c r="J98" s="46" t="s">
        <v>36</v>
      </c>
      <c r="K98" s="47" t="s">
        <v>6</v>
      </c>
      <c r="L98" s="48"/>
      <c r="M98" s="96"/>
      <c r="N98" s="96"/>
      <c r="O98" s="96"/>
      <c r="P98" s="97"/>
      <c r="Q98" s="97"/>
      <c r="R98" s="74"/>
      <c r="S98" s="74"/>
    </row>
    <row r="99" spans="1:19">
      <c r="A99" s="123"/>
      <c r="B99" s="125"/>
      <c r="C99" s="66" t="s">
        <v>520</v>
      </c>
      <c r="D99" s="67">
        <v>2</v>
      </c>
      <c r="E99" s="50" t="str">
        <f t="shared" si="46"/>
        <v>4:3</v>
      </c>
      <c r="F99" s="43" t="s">
        <v>98</v>
      </c>
      <c r="G99" s="68" t="s">
        <v>98</v>
      </c>
      <c r="H99" s="69" t="s">
        <v>505</v>
      </c>
      <c r="I99" s="45" t="s">
        <v>68</v>
      </c>
      <c r="J99" s="46" t="s">
        <v>36</v>
      </c>
      <c r="K99" s="47" t="s">
        <v>6</v>
      </c>
      <c r="L99" s="48"/>
      <c r="M99" s="96"/>
      <c r="N99" s="96"/>
      <c r="O99" s="96"/>
      <c r="P99" s="97"/>
      <c r="Q99" s="97"/>
      <c r="R99" s="74"/>
      <c r="S99" s="74"/>
    </row>
    <row r="100" spans="1:19">
      <c r="A100" s="123"/>
      <c r="B100" s="125"/>
      <c r="C100" s="66" t="s">
        <v>521</v>
      </c>
      <c r="D100" s="67">
        <v>2</v>
      </c>
      <c r="E100" s="50" t="str">
        <f t="shared" si="46"/>
        <v>2:1</v>
      </c>
      <c r="F100" s="43" t="s">
        <v>98</v>
      </c>
      <c r="G100" s="68" t="s">
        <v>98</v>
      </c>
      <c r="H100" s="69" t="s">
        <v>116</v>
      </c>
      <c r="I100" s="45" t="s">
        <v>68</v>
      </c>
      <c r="J100" s="46" t="s">
        <v>36</v>
      </c>
      <c r="K100" s="47" t="s">
        <v>6</v>
      </c>
      <c r="L100" s="48"/>
      <c r="M100" s="96"/>
      <c r="N100" s="96"/>
      <c r="O100" s="96"/>
      <c r="P100" s="97"/>
      <c r="Q100" s="97"/>
      <c r="R100" s="74"/>
      <c r="S100" s="74"/>
    </row>
    <row r="101" spans="1:19" ht="15.75" customHeight="1" thickBot="1">
      <c r="A101" s="123"/>
      <c r="B101" s="125"/>
      <c r="C101" s="66" t="s">
        <v>522</v>
      </c>
      <c r="D101" s="67">
        <v>1</v>
      </c>
      <c r="E101" s="50" t="str">
        <f t="shared" si="46"/>
        <v>0:0</v>
      </c>
      <c r="F101" s="43" t="s">
        <v>7</v>
      </c>
      <c r="G101" s="68" t="s">
        <v>7</v>
      </c>
      <c r="H101" s="69" t="s">
        <v>116</v>
      </c>
      <c r="I101" s="45" t="s">
        <v>68</v>
      </c>
      <c r="J101" s="46" t="s">
        <v>36</v>
      </c>
      <c r="K101" s="47" t="s">
        <v>6</v>
      </c>
      <c r="L101" s="48"/>
      <c r="M101" s="96"/>
      <c r="N101" s="96"/>
      <c r="O101" s="96"/>
      <c r="P101" s="97"/>
      <c r="Q101" s="97"/>
      <c r="R101" s="75"/>
      <c r="S101" s="75"/>
    </row>
    <row r="102" spans="1:19">
      <c r="A102" s="123" t="s">
        <v>184</v>
      </c>
      <c r="B102" s="124" t="str">
        <f t="shared" ref="B102" si="47">DEC2HEX(P102*4)</f>
        <v>2C</v>
      </c>
      <c r="C102" s="52" t="s">
        <v>454</v>
      </c>
      <c r="D102" s="80" t="str">
        <f>bitConcat1(F103:F107)</f>
        <v>32'b00000000101100110001100000100000</v>
      </c>
      <c r="E102" s="81"/>
      <c r="F102" s="81"/>
      <c r="G102" s="82"/>
      <c r="H102" s="53" t="s">
        <v>251</v>
      </c>
      <c r="I102" s="54"/>
      <c r="J102" s="83" t="str">
        <f>bitConcat1(G103:G107)</f>
        <v>32'b00000000000000000001100000000000</v>
      </c>
      <c r="K102" s="84"/>
      <c r="L102" s="85"/>
      <c r="M102" s="95" t="str">
        <f t="shared" ref="M102" si="48">DEC2HEX(_xlfn.BITLSHIFT(O102,7)+4*P102)</f>
        <v>32C</v>
      </c>
      <c r="N102" s="96" t="s">
        <v>97</v>
      </c>
      <c r="O102" s="96">
        <v>6</v>
      </c>
      <c r="P102" s="97">
        <v>11</v>
      </c>
      <c r="Q102" s="98" t="str">
        <f>DEC2HEX(_xlfn.BITLSHIFT(O102,5)+P102)</f>
        <v>CB</v>
      </c>
      <c r="R102" s="73" t="str">
        <f>BIN2HEX(LEFT(RIGHT(D102,32),4))&amp;BIN2HEX(LEFT(RIGHT(D102,28),4))&amp;BIN2HEX(LEFT(RIGHT(D102,24),4))&amp;BIN2HEX(LEFT(RIGHT(D102,20),4))&amp;BIN2HEX(LEFT(RIGHT(D102,16),4))&amp;BIN2HEX(LEFT(RIGHT(D102,12),4))&amp;BIN2HEX(LEFT(RIGHT(D102,8),4))&amp;BIN2HEX(LEFT(RIGHT(D102,4),4))</f>
        <v>00B31820</v>
      </c>
      <c r="S102" s="73" t="str">
        <f t="shared" si="28"/>
        <v>00001800</v>
      </c>
    </row>
    <row r="103" spans="1:19">
      <c r="A103" s="123"/>
      <c r="B103" s="125"/>
      <c r="C103" s="36" t="s">
        <v>189</v>
      </c>
      <c r="D103" s="41">
        <v>8</v>
      </c>
      <c r="E103" s="42" t="str">
        <f>IF(D103&gt;1,(31)&amp;":"&amp;(31-D103+1),(31-D103+1)&amp;":"&amp;(31-D103+1))</f>
        <v>31:24</v>
      </c>
      <c r="F103" s="43" t="s">
        <v>115</v>
      </c>
      <c r="G103" s="43" t="s">
        <v>115</v>
      </c>
      <c r="H103" s="44" t="s">
        <v>442</v>
      </c>
      <c r="I103" s="45" t="s">
        <v>68</v>
      </c>
      <c r="J103" s="46" t="s">
        <v>36</v>
      </c>
      <c r="K103" s="47" t="s">
        <v>6</v>
      </c>
      <c r="L103" s="48"/>
      <c r="M103" s="96"/>
      <c r="N103" s="96"/>
      <c r="O103" s="96"/>
      <c r="P103" s="97"/>
      <c r="Q103" s="97"/>
      <c r="R103" s="74"/>
      <c r="S103" s="74"/>
    </row>
    <row r="104" spans="1:19">
      <c r="A104" s="123"/>
      <c r="B104" s="125"/>
      <c r="C104" s="36" t="s">
        <v>452</v>
      </c>
      <c r="D104" s="41">
        <v>8</v>
      </c>
      <c r="E104" s="50" t="str">
        <f>(MID(E103,SEARCH(":",E103)+1,2)-1) &amp; ":" &amp; (MID(E103,SEARCH(":",E103)+1,2)-D104)</f>
        <v>23:16</v>
      </c>
      <c r="F104" s="43" t="s">
        <v>460</v>
      </c>
      <c r="G104" s="43" t="s">
        <v>115</v>
      </c>
      <c r="H104" s="49" t="s">
        <v>445</v>
      </c>
      <c r="I104" s="45" t="s">
        <v>68</v>
      </c>
      <c r="J104" s="46" t="s">
        <v>36</v>
      </c>
      <c r="K104" s="47" t="s">
        <v>6</v>
      </c>
      <c r="L104" s="48"/>
      <c r="M104" s="96"/>
      <c r="N104" s="96"/>
      <c r="O104" s="96"/>
      <c r="P104" s="97"/>
      <c r="Q104" s="97"/>
      <c r="R104" s="74"/>
      <c r="S104" s="74"/>
    </row>
    <row r="105" spans="1:19">
      <c r="A105" s="123"/>
      <c r="B105" s="125"/>
      <c r="C105" s="36" t="s">
        <v>190</v>
      </c>
      <c r="D105" s="41">
        <v>10</v>
      </c>
      <c r="E105" s="50" t="str">
        <f t="shared" ref="E105:E107" si="49">(MID(E104,SEARCH(":",E104)+1,2)-1) &amp; ":" &amp; (MID(E104,SEARCH(":",E104)+1,2)-D105)</f>
        <v>15:6</v>
      </c>
      <c r="F105" s="43" t="s">
        <v>305</v>
      </c>
      <c r="G105" s="43" t="s">
        <v>305</v>
      </c>
      <c r="H105" s="44" t="s">
        <v>443</v>
      </c>
      <c r="I105" s="45" t="s">
        <v>68</v>
      </c>
      <c r="J105" s="46" t="s">
        <v>36</v>
      </c>
      <c r="K105" s="47" t="s">
        <v>6</v>
      </c>
      <c r="L105" s="48"/>
      <c r="M105" s="96"/>
      <c r="N105" s="96"/>
      <c r="O105" s="96"/>
      <c r="P105" s="97"/>
      <c r="Q105" s="97"/>
      <c r="R105" s="74"/>
      <c r="S105" s="74"/>
    </row>
    <row r="106" spans="1:19" ht="15.75" customHeight="1">
      <c r="A106" s="123"/>
      <c r="B106" s="125"/>
      <c r="C106" s="36" t="s">
        <v>459</v>
      </c>
      <c r="D106" s="41">
        <v>1</v>
      </c>
      <c r="E106" s="50" t="str">
        <f t="shared" si="49"/>
        <v>5:5</v>
      </c>
      <c r="F106" s="43" t="s">
        <v>84</v>
      </c>
      <c r="G106" s="43" t="s">
        <v>7</v>
      </c>
      <c r="H106" s="49" t="s">
        <v>440</v>
      </c>
      <c r="I106" s="45" t="s">
        <v>68</v>
      </c>
      <c r="J106" s="46" t="s">
        <v>36</v>
      </c>
      <c r="K106" s="47" t="s">
        <v>6</v>
      </c>
      <c r="L106" s="48"/>
      <c r="M106" s="96"/>
      <c r="N106" s="96"/>
      <c r="O106" s="96"/>
      <c r="P106" s="97"/>
      <c r="Q106" s="97"/>
      <c r="R106" s="74"/>
      <c r="S106" s="74"/>
    </row>
    <row r="107" spans="1:19" ht="15" thickBot="1">
      <c r="A107" s="123"/>
      <c r="B107" s="125"/>
      <c r="C107" s="36" t="s">
        <v>453</v>
      </c>
      <c r="D107" s="41">
        <v>5</v>
      </c>
      <c r="E107" s="50" t="str">
        <f t="shared" si="49"/>
        <v>4:0</v>
      </c>
      <c r="F107" s="43" t="s">
        <v>103</v>
      </c>
      <c r="G107" s="43" t="s">
        <v>103</v>
      </c>
      <c r="H107" s="49" t="s">
        <v>444</v>
      </c>
      <c r="I107" s="45" t="s">
        <v>68</v>
      </c>
      <c r="J107" s="46" t="s">
        <v>36</v>
      </c>
      <c r="K107" s="47" t="s">
        <v>6</v>
      </c>
      <c r="L107" s="48"/>
      <c r="M107" s="96"/>
      <c r="N107" s="96"/>
      <c r="O107" s="96"/>
      <c r="P107" s="97"/>
      <c r="Q107" s="97"/>
      <c r="R107" s="75"/>
      <c r="S107" s="75"/>
    </row>
    <row r="108" spans="1:19">
      <c r="A108" s="116" t="s">
        <v>194</v>
      </c>
      <c r="B108" s="118" t="str">
        <f>DEC2HEX(P108*4)</f>
        <v>30</v>
      </c>
      <c r="C108" s="52" t="s">
        <v>454</v>
      </c>
      <c r="D108" s="80" t="str">
        <f>bitConcat1(F109:F116)</f>
        <v>32'b11110111110101001011000101001111</v>
      </c>
      <c r="E108" s="81"/>
      <c r="F108" s="81"/>
      <c r="G108" s="82"/>
      <c r="H108" s="53" t="s">
        <v>251</v>
      </c>
      <c r="I108" s="54"/>
      <c r="J108" s="83" t="str">
        <f>bitConcat1(G109:G116)</f>
        <v>32'b11110111111110001000000010001111</v>
      </c>
      <c r="K108" s="84"/>
      <c r="L108" s="85"/>
      <c r="M108" s="70" t="str">
        <f t="shared" ref="M108" si="50">DEC2HEX(_xlfn.BITLSHIFT(O108,7)+4*P108)</f>
        <v>330</v>
      </c>
      <c r="N108" s="86" t="s">
        <v>97</v>
      </c>
      <c r="O108" s="86">
        <v>6</v>
      </c>
      <c r="P108" s="87">
        <v>12</v>
      </c>
      <c r="Q108" s="73" t="str">
        <f>DEC2HEX(_xlfn.BITLSHIFT(O108,5)+P108)</f>
        <v>CC</v>
      </c>
      <c r="R108" s="73" t="str">
        <f>BIN2HEX(LEFT(RIGHT(D108,32),4))&amp;BIN2HEX(LEFT(RIGHT(D108,28),4))&amp;BIN2HEX(LEFT(RIGHT(D108,24),4))&amp;BIN2HEX(LEFT(RIGHT(D108,20),4))&amp;BIN2HEX(LEFT(RIGHT(D108,16),4))&amp;BIN2HEX(LEFT(RIGHT(D108,12),4))&amp;BIN2HEX(LEFT(RIGHT(D108,8),4))&amp;BIN2HEX(LEFT(RIGHT(D108,4),4))</f>
        <v>F7D4B14F</v>
      </c>
      <c r="S108" s="73" t="str">
        <f t="shared" si="28"/>
        <v>F7F8808F</v>
      </c>
    </row>
    <row r="109" spans="1:19">
      <c r="A109" s="117"/>
      <c r="B109" s="119"/>
      <c r="C109" s="36" t="s">
        <v>306</v>
      </c>
      <c r="D109" s="41">
        <v>4</v>
      </c>
      <c r="E109" s="42" t="str">
        <f>IF(D109&gt;1,(31)&amp;":"&amp;(31-D109+1),(31-D109+1)&amp;":"&amp;(31-D109+1))</f>
        <v>31:28</v>
      </c>
      <c r="F109" s="43" t="s">
        <v>317</v>
      </c>
      <c r="G109" s="43" t="s">
        <v>317</v>
      </c>
      <c r="H109" s="44" t="s">
        <v>312</v>
      </c>
      <c r="I109" s="45" t="s">
        <v>68</v>
      </c>
      <c r="J109" s="46" t="s">
        <v>36</v>
      </c>
      <c r="K109" s="47" t="s">
        <v>6</v>
      </c>
      <c r="L109" s="48"/>
      <c r="M109" s="71"/>
      <c r="N109" s="71"/>
      <c r="O109" s="71"/>
      <c r="P109" s="88"/>
      <c r="Q109" s="74"/>
      <c r="R109" s="74"/>
      <c r="S109" s="74"/>
    </row>
    <row r="110" spans="1:19">
      <c r="A110" s="117"/>
      <c r="B110" s="119"/>
      <c r="C110" s="36" t="s">
        <v>307</v>
      </c>
      <c r="D110" s="41">
        <v>4</v>
      </c>
      <c r="E110" s="50" t="str">
        <f>(MID(E109,SEARCH(":",E109)+1,2)-1) &amp; ":" &amp; (MID(E109,SEARCH(":",E109)+1,2)-D110)</f>
        <v>27:24</v>
      </c>
      <c r="F110" s="43" t="s">
        <v>318</v>
      </c>
      <c r="G110" s="43" t="s">
        <v>318</v>
      </c>
      <c r="H110" s="49" t="s">
        <v>191</v>
      </c>
      <c r="I110" s="45" t="s">
        <v>68</v>
      </c>
      <c r="J110" s="46" t="s">
        <v>36</v>
      </c>
      <c r="K110" s="47" t="s">
        <v>6</v>
      </c>
      <c r="L110" s="48"/>
      <c r="M110" s="71"/>
      <c r="N110" s="71"/>
      <c r="O110" s="71"/>
      <c r="P110" s="88"/>
      <c r="Q110" s="74"/>
      <c r="R110" s="74"/>
      <c r="S110" s="74"/>
    </row>
    <row r="111" spans="1:19">
      <c r="A111" s="117"/>
      <c r="B111" s="119"/>
      <c r="C111" s="36" t="s">
        <v>313</v>
      </c>
      <c r="D111" s="41">
        <v>4</v>
      </c>
      <c r="E111" s="50" t="str">
        <f t="shared" ref="E111:E114" si="51">(MID(E110,SEARCH(":",E110)+1,2)-1) &amp; ":" &amp; (MID(E110,SEARCH(":",E110)+1,2)-D111)</f>
        <v>23:20</v>
      </c>
      <c r="F111" s="43" t="s">
        <v>474</v>
      </c>
      <c r="G111" s="43" t="s">
        <v>317</v>
      </c>
      <c r="H111" s="49" t="s">
        <v>315</v>
      </c>
      <c r="I111" s="45" t="s">
        <v>68</v>
      </c>
      <c r="J111" s="46" t="s">
        <v>36</v>
      </c>
      <c r="K111" s="47" t="s">
        <v>6</v>
      </c>
      <c r="L111" s="48"/>
      <c r="M111" s="71"/>
      <c r="N111" s="71"/>
      <c r="O111" s="71"/>
      <c r="P111" s="88"/>
      <c r="Q111" s="74"/>
      <c r="R111" s="74"/>
      <c r="S111" s="74"/>
    </row>
    <row r="112" spans="1:19">
      <c r="A112" s="117"/>
      <c r="B112" s="119"/>
      <c r="C112" s="36" t="s">
        <v>308</v>
      </c>
      <c r="D112" s="41">
        <v>4</v>
      </c>
      <c r="E112" s="50" t="str">
        <f t="shared" si="51"/>
        <v>19:16</v>
      </c>
      <c r="F112" s="43" t="s">
        <v>472</v>
      </c>
      <c r="G112" s="43" t="s">
        <v>319</v>
      </c>
      <c r="H112" s="49" t="s">
        <v>314</v>
      </c>
      <c r="I112" s="45" t="s">
        <v>68</v>
      </c>
      <c r="J112" s="46" t="s">
        <v>36</v>
      </c>
      <c r="K112" s="47" t="s">
        <v>6</v>
      </c>
      <c r="L112" s="48"/>
      <c r="M112" s="71"/>
      <c r="N112" s="71"/>
      <c r="O112" s="71"/>
      <c r="P112" s="88"/>
      <c r="Q112" s="74"/>
      <c r="R112" s="74"/>
      <c r="S112" s="74"/>
    </row>
    <row r="113" spans="1:19">
      <c r="A113" s="117"/>
      <c r="B113" s="119"/>
      <c r="C113" s="36" t="s">
        <v>310</v>
      </c>
      <c r="D113" s="41">
        <v>4</v>
      </c>
      <c r="E113" s="50" t="str">
        <f t="shared" si="51"/>
        <v>15:12</v>
      </c>
      <c r="F113" s="43" t="s">
        <v>473</v>
      </c>
      <c r="G113" s="43" t="s">
        <v>319</v>
      </c>
      <c r="H113" s="44" t="s">
        <v>193</v>
      </c>
      <c r="I113" s="45" t="s">
        <v>68</v>
      </c>
      <c r="J113" s="46" t="s">
        <v>36</v>
      </c>
      <c r="K113" s="47" t="s">
        <v>6</v>
      </c>
      <c r="L113" s="48"/>
      <c r="M113" s="71"/>
      <c r="N113" s="71"/>
      <c r="O113" s="71"/>
      <c r="P113" s="88"/>
      <c r="Q113" s="74"/>
      <c r="R113" s="74"/>
      <c r="S113" s="74"/>
    </row>
    <row r="114" spans="1:19" ht="15.75" customHeight="1">
      <c r="A114" s="117"/>
      <c r="B114" s="119"/>
      <c r="C114" s="36" t="s">
        <v>309</v>
      </c>
      <c r="D114" s="41">
        <v>4</v>
      </c>
      <c r="E114" s="50" t="str">
        <f t="shared" si="51"/>
        <v>11:8</v>
      </c>
      <c r="F114" s="43" t="s">
        <v>475</v>
      </c>
      <c r="G114" s="43" t="s">
        <v>320</v>
      </c>
      <c r="H114" s="44" t="s">
        <v>192</v>
      </c>
      <c r="I114" s="45" t="s">
        <v>68</v>
      </c>
      <c r="J114" s="46" t="s">
        <v>36</v>
      </c>
      <c r="K114" s="47" t="s">
        <v>6</v>
      </c>
      <c r="L114" s="48"/>
      <c r="M114" s="71"/>
      <c r="N114" s="71"/>
      <c r="O114" s="71"/>
      <c r="P114" s="88"/>
      <c r="Q114" s="74"/>
      <c r="R114" s="74"/>
      <c r="S114" s="74"/>
    </row>
    <row r="115" spans="1:19" ht="15" thickBot="1">
      <c r="A115" s="117"/>
      <c r="B115" s="119"/>
      <c r="C115" s="62" t="s">
        <v>311</v>
      </c>
      <c r="D115" s="41">
        <v>4</v>
      </c>
      <c r="E115" s="50" t="str">
        <f>(MID(E114,SEARCH(":",E114)+1,2)-1) &amp; ":" &amp; (MID(E114,SEARCH(":",E114)+1,2)-D115)</f>
        <v>7:4</v>
      </c>
      <c r="F115" s="43" t="s">
        <v>472</v>
      </c>
      <c r="G115" s="43" t="s">
        <v>319</v>
      </c>
      <c r="H115" s="62" t="s">
        <v>316</v>
      </c>
      <c r="I115" s="45" t="s">
        <v>68</v>
      </c>
      <c r="J115" s="46" t="s">
        <v>36</v>
      </c>
      <c r="K115" s="47" t="s">
        <v>6</v>
      </c>
      <c r="L115" s="48"/>
      <c r="M115" s="71"/>
      <c r="N115" s="71"/>
      <c r="O115" s="71"/>
      <c r="P115" s="88"/>
      <c r="Q115" s="74"/>
      <c r="R115" s="75"/>
      <c r="S115" s="75"/>
    </row>
    <row r="116" spans="1:19" ht="15" thickBot="1">
      <c r="A116" s="131"/>
      <c r="B116" s="58"/>
      <c r="C116" s="36" t="s">
        <v>152</v>
      </c>
      <c r="D116" s="41">
        <v>4</v>
      </c>
      <c r="E116" s="50" t="str">
        <f>(MID(E115,SEARCH(":",E115)+1,2)-1) &amp; ":" &amp; (MID(E115,SEARCH(":",E115)+1,2)-D116)</f>
        <v>3:0</v>
      </c>
      <c r="F116" s="51" t="s">
        <v>317</v>
      </c>
      <c r="G116" s="51" t="s">
        <v>317</v>
      </c>
      <c r="H116" s="44" t="s">
        <v>102</v>
      </c>
      <c r="I116" s="45" t="s">
        <v>68</v>
      </c>
      <c r="J116" s="46" t="s">
        <v>36</v>
      </c>
      <c r="K116" s="47" t="s">
        <v>6</v>
      </c>
      <c r="L116" s="59"/>
      <c r="M116" s="56"/>
      <c r="N116" s="56"/>
      <c r="O116" s="56"/>
      <c r="P116" s="57"/>
      <c r="Q116" s="55"/>
      <c r="R116" s="55"/>
      <c r="S116" s="55"/>
    </row>
    <row r="117" spans="1:19">
      <c r="A117" s="116" t="s">
        <v>219</v>
      </c>
      <c r="B117" s="118" t="str">
        <f t="shared" ref="B117" si="52">DEC2HEX(P117*4)</f>
        <v>34</v>
      </c>
      <c r="C117" s="60" t="s">
        <v>454</v>
      </c>
      <c r="D117" s="120" t="str">
        <f>bitConcat1(F118:F125)</f>
        <v>32'b11110111110101001011000101000000</v>
      </c>
      <c r="E117" s="121"/>
      <c r="F117" s="121"/>
      <c r="G117" s="122"/>
      <c r="H117" s="61" t="s">
        <v>251</v>
      </c>
      <c r="I117" s="54"/>
      <c r="J117" s="83" t="str">
        <f>bitConcat1(G118:G125)</f>
        <v>32'b11110111111110001000000010000000</v>
      </c>
      <c r="K117" s="84"/>
      <c r="L117" s="85"/>
      <c r="M117" s="70" t="str">
        <f t="shared" ref="M117" si="53">DEC2HEX(_xlfn.BITLSHIFT(O117,7)+4*P117)</f>
        <v>334</v>
      </c>
      <c r="N117" s="86" t="s">
        <v>97</v>
      </c>
      <c r="O117" s="86">
        <v>6</v>
      </c>
      <c r="P117" s="87">
        <v>13</v>
      </c>
      <c r="Q117" s="73" t="str">
        <f>DEC2HEX(_xlfn.BITLSHIFT(O117,5)+P117)</f>
        <v>CD</v>
      </c>
      <c r="R117" s="73" t="str">
        <f>BIN2HEX(LEFT(RIGHT(D117,32),4))&amp;BIN2HEX(LEFT(RIGHT(D117,28),4))&amp;BIN2HEX(LEFT(RIGHT(D117,24),4))&amp;BIN2HEX(LEFT(RIGHT(D117,20),4))&amp;BIN2HEX(LEFT(RIGHT(D117,16),4))&amp;BIN2HEX(LEFT(RIGHT(D117,12),4))&amp;BIN2HEX(LEFT(RIGHT(D117,8),4))&amp;BIN2HEX(LEFT(RIGHT(D117,4),4))</f>
        <v>F7D4B140</v>
      </c>
      <c r="S117" s="73" t="str">
        <f t="shared" si="28"/>
        <v>F7F88080</v>
      </c>
    </row>
    <row r="118" spans="1:19">
      <c r="A118" s="117"/>
      <c r="B118" s="119"/>
      <c r="C118" s="36" t="s">
        <v>321</v>
      </c>
      <c r="D118" s="41">
        <v>4</v>
      </c>
      <c r="E118" s="42" t="str">
        <f>IF(D118&gt;1,(31)&amp;":"&amp;(31-D118+1),(31-D118+1)&amp;":"&amp;(31-D118+1))</f>
        <v>31:28</v>
      </c>
      <c r="F118" s="43" t="s">
        <v>317</v>
      </c>
      <c r="G118" s="43" t="s">
        <v>317</v>
      </c>
      <c r="H118" s="44" t="s">
        <v>312</v>
      </c>
      <c r="I118" s="45" t="s">
        <v>68</v>
      </c>
      <c r="J118" s="46" t="s">
        <v>36</v>
      </c>
      <c r="K118" s="47" t="s">
        <v>6</v>
      </c>
      <c r="L118" s="48"/>
      <c r="M118" s="71"/>
      <c r="N118" s="71"/>
      <c r="O118" s="71"/>
      <c r="P118" s="88"/>
      <c r="Q118" s="74"/>
      <c r="R118" s="74"/>
      <c r="S118" s="74"/>
    </row>
    <row r="119" spans="1:19">
      <c r="A119" s="117"/>
      <c r="B119" s="119"/>
      <c r="C119" s="36" t="s">
        <v>322</v>
      </c>
      <c r="D119" s="41">
        <v>4</v>
      </c>
      <c r="E119" s="50" t="str">
        <f>(MID(E118,SEARCH(":",E118)+1,2)-1) &amp; ":" &amp; (MID(E118,SEARCH(":",E118)+1,2)-D119)</f>
        <v>27:24</v>
      </c>
      <c r="F119" s="43" t="s">
        <v>318</v>
      </c>
      <c r="G119" s="43" t="s">
        <v>318</v>
      </c>
      <c r="H119" s="49" t="s">
        <v>191</v>
      </c>
      <c r="I119" s="45" t="s">
        <v>68</v>
      </c>
      <c r="J119" s="46" t="s">
        <v>36</v>
      </c>
      <c r="K119" s="47" t="s">
        <v>6</v>
      </c>
      <c r="L119" s="48"/>
      <c r="M119" s="71"/>
      <c r="N119" s="71"/>
      <c r="O119" s="71"/>
      <c r="P119" s="88"/>
      <c r="Q119" s="74"/>
      <c r="R119" s="74"/>
      <c r="S119" s="74"/>
    </row>
    <row r="120" spans="1:19">
      <c r="A120" s="117"/>
      <c r="B120" s="119"/>
      <c r="C120" s="36" t="s">
        <v>323</v>
      </c>
      <c r="D120" s="41">
        <v>4</v>
      </c>
      <c r="E120" s="50" t="str">
        <f t="shared" ref="E120:E123" si="54">(MID(E119,SEARCH(":",E119)+1,2)-1) &amp; ":" &amp; (MID(E119,SEARCH(":",E119)+1,2)-D120)</f>
        <v>23:20</v>
      </c>
      <c r="F120" s="43" t="s">
        <v>474</v>
      </c>
      <c r="G120" s="43" t="s">
        <v>317</v>
      </c>
      <c r="H120" s="49" t="s">
        <v>315</v>
      </c>
      <c r="I120" s="45" t="s">
        <v>68</v>
      </c>
      <c r="J120" s="46" t="s">
        <v>36</v>
      </c>
      <c r="K120" s="47" t="s">
        <v>6</v>
      </c>
      <c r="L120" s="48"/>
      <c r="M120" s="71"/>
      <c r="N120" s="71"/>
      <c r="O120" s="71"/>
      <c r="P120" s="88"/>
      <c r="Q120" s="74"/>
      <c r="R120" s="74"/>
      <c r="S120" s="74"/>
    </row>
    <row r="121" spans="1:19">
      <c r="A121" s="117"/>
      <c r="B121" s="119"/>
      <c r="C121" s="36" t="s">
        <v>324</v>
      </c>
      <c r="D121" s="41">
        <v>4</v>
      </c>
      <c r="E121" s="50" t="str">
        <f t="shared" si="54"/>
        <v>19:16</v>
      </c>
      <c r="F121" s="43" t="s">
        <v>472</v>
      </c>
      <c r="G121" s="43" t="s">
        <v>319</v>
      </c>
      <c r="H121" s="49" t="s">
        <v>314</v>
      </c>
      <c r="I121" s="45" t="s">
        <v>68</v>
      </c>
      <c r="J121" s="46" t="s">
        <v>36</v>
      </c>
      <c r="K121" s="47" t="s">
        <v>6</v>
      </c>
      <c r="L121" s="48"/>
      <c r="M121" s="71"/>
      <c r="N121" s="71"/>
      <c r="O121" s="71"/>
      <c r="P121" s="88"/>
      <c r="Q121" s="74"/>
      <c r="R121" s="74"/>
      <c r="S121" s="74"/>
    </row>
    <row r="122" spans="1:19">
      <c r="A122" s="117"/>
      <c r="B122" s="119"/>
      <c r="C122" s="36" t="s">
        <v>325</v>
      </c>
      <c r="D122" s="41">
        <v>4</v>
      </c>
      <c r="E122" s="50" t="str">
        <f t="shared" si="54"/>
        <v>15:12</v>
      </c>
      <c r="F122" s="43" t="s">
        <v>473</v>
      </c>
      <c r="G122" s="43" t="s">
        <v>319</v>
      </c>
      <c r="H122" s="44" t="s">
        <v>193</v>
      </c>
      <c r="I122" s="45" t="s">
        <v>68</v>
      </c>
      <c r="J122" s="46" t="s">
        <v>36</v>
      </c>
      <c r="K122" s="47" t="s">
        <v>6</v>
      </c>
      <c r="L122" s="48"/>
      <c r="M122" s="71"/>
      <c r="N122" s="71"/>
      <c r="O122" s="71"/>
      <c r="P122" s="88"/>
      <c r="Q122" s="74"/>
      <c r="R122" s="74"/>
      <c r="S122" s="74"/>
    </row>
    <row r="123" spans="1:19" ht="15.75" customHeight="1">
      <c r="A123" s="117"/>
      <c r="B123" s="119"/>
      <c r="C123" s="36" t="s">
        <v>326</v>
      </c>
      <c r="D123" s="41">
        <v>4</v>
      </c>
      <c r="E123" s="50" t="str">
        <f t="shared" si="54"/>
        <v>11:8</v>
      </c>
      <c r="F123" s="43" t="s">
        <v>475</v>
      </c>
      <c r="G123" s="43" t="s">
        <v>320</v>
      </c>
      <c r="H123" s="44" t="s">
        <v>192</v>
      </c>
      <c r="I123" s="45" t="s">
        <v>68</v>
      </c>
      <c r="J123" s="46" t="s">
        <v>36</v>
      </c>
      <c r="K123" s="47" t="s">
        <v>6</v>
      </c>
      <c r="L123" s="48"/>
      <c r="M123" s="71"/>
      <c r="N123" s="71"/>
      <c r="O123" s="71"/>
      <c r="P123" s="88"/>
      <c r="Q123" s="74"/>
      <c r="R123" s="74"/>
      <c r="S123" s="74"/>
    </row>
    <row r="124" spans="1:19" ht="15.75" customHeight="1">
      <c r="A124" s="117"/>
      <c r="B124" s="119"/>
      <c r="C124" s="62" t="s">
        <v>327</v>
      </c>
      <c r="D124" s="41">
        <v>4</v>
      </c>
      <c r="E124" s="50" t="str">
        <f>(MID(E123,SEARCH(":",E123)+1,2)-1) &amp; ":" &amp; (MID(E123,SEARCH(":",E123)+1,2)-D124)</f>
        <v>7:4</v>
      </c>
      <c r="F124" s="43" t="s">
        <v>472</v>
      </c>
      <c r="G124" s="43" t="s">
        <v>319</v>
      </c>
      <c r="H124" s="62" t="s">
        <v>316</v>
      </c>
      <c r="I124" s="45" t="s">
        <v>68</v>
      </c>
      <c r="J124" s="46" t="s">
        <v>36</v>
      </c>
      <c r="K124" s="47" t="s">
        <v>6</v>
      </c>
      <c r="L124" s="48"/>
      <c r="M124" s="71"/>
      <c r="N124" s="71"/>
      <c r="O124" s="71"/>
      <c r="P124" s="88"/>
      <c r="Q124" s="74"/>
      <c r="R124" s="74"/>
      <c r="S124" s="74"/>
    </row>
    <row r="125" spans="1:19" ht="15" thickBot="1">
      <c r="A125" s="117"/>
      <c r="B125" s="119"/>
      <c r="C125" s="36" t="s">
        <v>528</v>
      </c>
      <c r="D125" s="41">
        <v>4</v>
      </c>
      <c r="E125" s="50" t="str">
        <f>(MID(E124,SEARCH(":",E124)+1,2)-1) &amp; ":" &amp; (MID(E124,SEARCH(":",E124)+1,2)-D125)</f>
        <v>3:0</v>
      </c>
      <c r="F125" s="51" t="s">
        <v>320</v>
      </c>
      <c r="G125" s="51" t="s">
        <v>320</v>
      </c>
      <c r="H125" s="44" t="s">
        <v>102</v>
      </c>
      <c r="I125" s="45" t="s">
        <v>68</v>
      </c>
      <c r="J125" s="46" t="s">
        <v>36</v>
      </c>
      <c r="K125" s="47" t="s">
        <v>6</v>
      </c>
      <c r="L125" s="48"/>
      <c r="M125" s="71"/>
      <c r="N125" s="71"/>
      <c r="O125" s="71"/>
      <c r="P125" s="88"/>
      <c r="Q125" s="74"/>
      <c r="R125" s="75"/>
      <c r="S125" s="75"/>
    </row>
    <row r="126" spans="1:19">
      <c r="A126" s="116" t="s">
        <v>195</v>
      </c>
      <c r="B126" s="118" t="str">
        <f t="shared" ref="B126" si="55">DEC2HEX(P126*4)</f>
        <v>38</v>
      </c>
      <c r="C126" s="52" t="s">
        <v>454</v>
      </c>
      <c r="D126" s="80" t="str">
        <f>bitConcat1(F127:F134)</f>
        <v>32'b11110111110101001011000101001111</v>
      </c>
      <c r="E126" s="81"/>
      <c r="F126" s="81"/>
      <c r="G126" s="82"/>
      <c r="H126" s="53" t="s">
        <v>251</v>
      </c>
      <c r="I126" s="54"/>
      <c r="J126" s="83" t="str">
        <f>bitConcat1(G127:G134)</f>
        <v>32'b11110111111110001000000010001111</v>
      </c>
      <c r="K126" s="84"/>
      <c r="L126" s="85"/>
      <c r="M126" s="70" t="str">
        <f t="shared" ref="M126" si="56">DEC2HEX(_xlfn.BITLSHIFT(O126,7)+4*P126)</f>
        <v>338</v>
      </c>
      <c r="N126" s="86" t="s">
        <v>97</v>
      </c>
      <c r="O126" s="86">
        <v>6</v>
      </c>
      <c r="P126" s="87">
        <v>14</v>
      </c>
      <c r="Q126" s="73" t="str">
        <f>DEC2HEX(_xlfn.BITLSHIFT(O126,5)+P126)</f>
        <v>CE</v>
      </c>
      <c r="R126" s="73" t="str">
        <f>BIN2HEX(LEFT(RIGHT(D126,32),4))&amp;BIN2HEX(LEFT(RIGHT(D126,28),4))&amp;BIN2HEX(LEFT(RIGHT(D126,24),4))&amp;BIN2HEX(LEFT(RIGHT(D126,20),4))&amp;BIN2HEX(LEFT(RIGHT(D126,16),4))&amp;BIN2HEX(LEFT(RIGHT(D126,12),4))&amp;BIN2HEX(LEFT(RIGHT(D126,8),4))&amp;BIN2HEX(LEFT(RIGHT(D126,4),4))</f>
        <v>F7D4B14F</v>
      </c>
      <c r="S126" s="73" t="str">
        <f t="shared" si="28"/>
        <v>F7F8808F</v>
      </c>
    </row>
    <row r="127" spans="1:19">
      <c r="A127" s="117"/>
      <c r="B127" s="119"/>
      <c r="C127" s="36" t="s">
        <v>328</v>
      </c>
      <c r="D127" s="41">
        <v>4</v>
      </c>
      <c r="E127" s="42" t="str">
        <f>IF(D127&gt;1,(31)&amp;":"&amp;(31-D127+1),(31-D127+1)&amp;":"&amp;(31-D127+1))</f>
        <v>31:28</v>
      </c>
      <c r="F127" s="43" t="s">
        <v>317</v>
      </c>
      <c r="G127" s="43" t="s">
        <v>317</v>
      </c>
      <c r="H127" s="44" t="s">
        <v>312</v>
      </c>
      <c r="I127" s="45" t="s">
        <v>68</v>
      </c>
      <c r="J127" s="46" t="s">
        <v>36</v>
      </c>
      <c r="K127" s="47" t="s">
        <v>6</v>
      </c>
      <c r="L127" s="48"/>
      <c r="M127" s="71"/>
      <c r="N127" s="71"/>
      <c r="O127" s="71"/>
      <c r="P127" s="88"/>
      <c r="Q127" s="74"/>
      <c r="R127" s="74"/>
      <c r="S127" s="74"/>
    </row>
    <row r="128" spans="1:19">
      <c r="A128" s="117"/>
      <c r="B128" s="119"/>
      <c r="C128" s="36" t="s">
        <v>329</v>
      </c>
      <c r="D128" s="41">
        <v>4</v>
      </c>
      <c r="E128" s="50" t="str">
        <f>(MID(E127,SEARCH(":",E127)+1,2)-1) &amp; ":" &amp; (MID(E127,SEARCH(":",E127)+1,2)-D128)</f>
        <v>27:24</v>
      </c>
      <c r="F128" s="43" t="s">
        <v>318</v>
      </c>
      <c r="G128" s="43" t="s">
        <v>318</v>
      </c>
      <c r="H128" s="49" t="s">
        <v>191</v>
      </c>
      <c r="I128" s="45" t="s">
        <v>68</v>
      </c>
      <c r="J128" s="46" t="s">
        <v>36</v>
      </c>
      <c r="K128" s="47" t="s">
        <v>6</v>
      </c>
      <c r="L128" s="48"/>
      <c r="M128" s="71"/>
      <c r="N128" s="71"/>
      <c r="O128" s="71"/>
      <c r="P128" s="88"/>
      <c r="Q128" s="74"/>
      <c r="R128" s="74"/>
      <c r="S128" s="74"/>
    </row>
    <row r="129" spans="1:19">
      <c r="A129" s="117"/>
      <c r="B129" s="119"/>
      <c r="C129" s="36" t="s">
        <v>330</v>
      </c>
      <c r="D129" s="41">
        <v>4</v>
      </c>
      <c r="E129" s="50" t="str">
        <f t="shared" ref="E129:E132" si="57">(MID(E128,SEARCH(":",E128)+1,2)-1) &amp; ":" &amp; (MID(E128,SEARCH(":",E128)+1,2)-D129)</f>
        <v>23:20</v>
      </c>
      <c r="F129" s="43" t="s">
        <v>474</v>
      </c>
      <c r="G129" s="43" t="s">
        <v>317</v>
      </c>
      <c r="H129" s="49" t="s">
        <v>315</v>
      </c>
      <c r="I129" s="45" t="s">
        <v>68</v>
      </c>
      <c r="J129" s="46" t="s">
        <v>36</v>
      </c>
      <c r="K129" s="47" t="s">
        <v>6</v>
      </c>
      <c r="L129" s="48"/>
      <c r="M129" s="71"/>
      <c r="N129" s="71"/>
      <c r="O129" s="71"/>
      <c r="P129" s="88"/>
      <c r="Q129" s="74"/>
      <c r="R129" s="74"/>
      <c r="S129" s="74"/>
    </row>
    <row r="130" spans="1:19">
      <c r="A130" s="117"/>
      <c r="B130" s="119"/>
      <c r="C130" s="36" t="s">
        <v>331</v>
      </c>
      <c r="D130" s="41">
        <v>4</v>
      </c>
      <c r="E130" s="50" t="str">
        <f t="shared" si="57"/>
        <v>19:16</v>
      </c>
      <c r="F130" s="43" t="s">
        <v>472</v>
      </c>
      <c r="G130" s="43" t="s">
        <v>319</v>
      </c>
      <c r="H130" s="49" t="s">
        <v>314</v>
      </c>
      <c r="I130" s="45" t="s">
        <v>68</v>
      </c>
      <c r="J130" s="46" t="s">
        <v>36</v>
      </c>
      <c r="K130" s="47" t="s">
        <v>6</v>
      </c>
      <c r="L130" s="48"/>
      <c r="M130" s="71"/>
      <c r="N130" s="71"/>
      <c r="O130" s="71"/>
      <c r="P130" s="88"/>
      <c r="Q130" s="74"/>
      <c r="R130" s="74"/>
      <c r="S130" s="74"/>
    </row>
    <row r="131" spans="1:19">
      <c r="A131" s="117"/>
      <c r="B131" s="119"/>
      <c r="C131" s="36" t="s">
        <v>332</v>
      </c>
      <c r="D131" s="41">
        <v>4</v>
      </c>
      <c r="E131" s="50" t="str">
        <f t="shared" si="57"/>
        <v>15:12</v>
      </c>
      <c r="F131" s="43" t="s">
        <v>473</v>
      </c>
      <c r="G131" s="43" t="s">
        <v>319</v>
      </c>
      <c r="H131" s="44" t="s">
        <v>193</v>
      </c>
      <c r="I131" s="45" t="s">
        <v>68</v>
      </c>
      <c r="J131" s="46" t="s">
        <v>36</v>
      </c>
      <c r="K131" s="47" t="s">
        <v>6</v>
      </c>
      <c r="L131" s="48"/>
      <c r="M131" s="71"/>
      <c r="N131" s="71"/>
      <c r="O131" s="71"/>
      <c r="P131" s="88"/>
      <c r="Q131" s="74"/>
      <c r="R131" s="74"/>
      <c r="S131" s="74"/>
    </row>
    <row r="132" spans="1:19">
      <c r="A132" s="117"/>
      <c r="B132" s="119"/>
      <c r="C132" s="36" t="s">
        <v>333</v>
      </c>
      <c r="D132" s="41">
        <v>4</v>
      </c>
      <c r="E132" s="50" t="str">
        <f t="shared" si="57"/>
        <v>11:8</v>
      </c>
      <c r="F132" s="43" t="s">
        <v>475</v>
      </c>
      <c r="G132" s="43" t="s">
        <v>320</v>
      </c>
      <c r="H132" s="44" t="s">
        <v>192</v>
      </c>
      <c r="I132" s="45" t="s">
        <v>68</v>
      </c>
      <c r="J132" s="46" t="s">
        <v>36</v>
      </c>
      <c r="K132" s="47" t="s">
        <v>6</v>
      </c>
      <c r="L132" s="48"/>
      <c r="M132" s="71"/>
      <c r="N132" s="71"/>
      <c r="O132" s="71"/>
      <c r="P132" s="88"/>
      <c r="Q132" s="74"/>
      <c r="R132" s="74"/>
      <c r="S132" s="74"/>
    </row>
    <row r="133" spans="1:19">
      <c r="A133" s="117"/>
      <c r="B133" s="119"/>
      <c r="C133" s="62" t="s">
        <v>334</v>
      </c>
      <c r="D133" s="41">
        <v>4</v>
      </c>
      <c r="E133" s="50" t="str">
        <f>(MID(E132,SEARCH(":",E132)+1,2)-1) &amp; ":" &amp; (MID(E132,SEARCH(":",E132)+1,2)-D133)</f>
        <v>7:4</v>
      </c>
      <c r="F133" s="43" t="s">
        <v>472</v>
      </c>
      <c r="G133" s="43" t="s">
        <v>319</v>
      </c>
      <c r="H133" s="62" t="s">
        <v>316</v>
      </c>
      <c r="I133" s="45" t="s">
        <v>68</v>
      </c>
      <c r="J133" s="46" t="s">
        <v>36</v>
      </c>
      <c r="K133" s="47" t="s">
        <v>6</v>
      </c>
      <c r="L133" s="48"/>
      <c r="M133" s="71"/>
      <c r="N133" s="71"/>
      <c r="O133" s="71"/>
      <c r="P133" s="88"/>
      <c r="Q133" s="74"/>
      <c r="R133" s="74"/>
      <c r="S133" s="74"/>
    </row>
    <row r="134" spans="1:19" ht="15" thickBot="1">
      <c r="A134" s="117"/>
      <c r="B134" s="119"/>
      <c r="C134" s="36" t="s">
        <v>527</v>
      </c>
      <c r="D134" s="41">
        <v>4</v>
      </c>
      <c r="E134" s="50" t="str">
        <f>(MID(E133,SEARCH(":",E133)+1,2)-1) &amp; ":" &amp; (MID(E133,SEARCH(":",E133)+1,2)-D134)</f>
        <v>3:0</v>
      </c>
      <c r="F134" s="51" t="s">
        <v>317</v>
      </c>
      <c r="G134" s="51" t="s">
        <v>317</v>
      </c>
      <c r="H134" s="44" t="s">
        <v>102</v>
      </c>
      <c r="I134" s="45" t="s">
        <v>68</v>
      </c>
      <c r="J134" s="46" t="s">
        <v>36</v>
      </c>
      <c r="K134" s="47" t="s">
        <v>6</v>
      </c>
      <c r="L134" s="48"/>
      <c r="M134" s="71"/>
      <c r="N134" s="71"/>
      <c r="O134" s="71"/>
      <c r="P134" s="88"/>
      <c r="Q134" s="74"/>
      <c r="R134" s="75"/>
      <c r="S134" s="75"/>
    </row>
    <row r="135" spans="1:19">
      <c r="A135" s="116" t="s">
        <v>196</v>
      </c>
      <c r="B135" s="118" t="str">
        <f t="shared" ref="B135" si="58">DEC2HEX(P135*4)</f>
        <v>3C</v>
      </c>
      <c r="C135" s="52" t="s">
        <v>454</v>
      </c>
      <c r="D135" s="80" t="str">
        <f>bitConcat1(F136:F143)</f>
        <v>32'b11110111110101001011000101000111</v>
      </c>
      <c r="E135" s="81"/>
      <c r="F135" s="81"/>
      <c r="G135" s="82"/>
      <c r="H135" s="53" t="s">
        <v>251</v>
      </c>
      <c r="I135" s="54"/>
      <c r="J135" s="83" t="str">
        <f>bitConcat1(G136:G143)</f>
        <v>32'b11110111111110001000000010000111</v>
      </c>
      <c r="K135" s="84"/>
      <c r="L135" s="85"/>
      <c r="M135" s="70" t="str">
        <f t="shared" ref="M135" si="59">DEC2HEX(_xlfn.BITLSHIFT(O135,7)+4*P135)</f>
        <v>33C</v>
      </c>
      <c r="N135" s="86" t="s">
        <v>97</v>
      </c>
      <c r="O135" s="86">
        <v>6</v>
      </c>
      <c r="P135" s="87">
        <v>15</v>
      </c>
      <c r="Q135" s="73" t="str">
        <f>DEC2HEX(_xlfn.BITLSHIFT(O135,5)+P135)</f>
        <v>CF</v>
      </c>
      <c r="R135" s="73" t="str">
        <f>BIN2HEX(LEFT(RIGHT(D135,32),4))&amp;BIN2HEX(LEFT(RIGHT(D135,28),4))&amp;BIN2HEX(LEFT(RIGHT(D135,24),4))&amp;BIN2HEX(LEFT(RIGHT(D135,20),4))&amp;BIN2HEX(LEFT(RIGHT(D135,16),4))&amp;BIN2HEX(LEFT(RIGHT(D135,12),4))&amp;BIN2HEX(LEFT(RIGHT(D135,8),4))&amp;BIN2HEX(LEFT(RIGHT(D135,4),4))</f>
        <v>F7D4B147</v>
      </c>
      <c r="S135" s="73" t="str">
        <f t="shared" si="28"/>
        <v>F7F88087</v>
      </c>
    </row>
    <row r="136" spans="1:19">
      <c r="A136" s="117"/>
      <c r="B136" s="119"/>
      <c r="C136" s="36" t="s">
        <v>335</v>
      </c>
      <c r="D136" s="41">
        <v>4</v>
      </c>
      <c r="E136" s="42" t="str">
        <f>IF(D136&gt;1,(31)&amp;":"&amp;(31-D136+1),(31-D136+1)&amp;":"&amp;(31-D136+1))</f>
        <v>31:28</v>
      </c>
      <c r="F136" s="43" t="s">
        <v>317</v>
      </c>
      <c r="G136" s="43" t="s">
        <v>317</v>
      </c>
      <c r="H136" s="44" t="s">
        <v>312</v>
      </c>
      <c r="I136" s="45" t="s">
        <v>68</v>
      </c>
      <c r="J136" s="46" t="s">
        <v>36</v>
      </c>
      <c r="K136" s="47" t="s">
        <v>6</v>
      </c>
      <c r="L136" s="48"/>
      <c r="M136" s="71"/>
      <c r="N136" s="71"/>
      <c r="O136" s="71"/>
      <c r="P136" s="88"/>
      <c r="Q136" s="74"/>
      <c r="R136" s="74"/>
      <c r="S136" s="74"/>
    </row>
    <row r="137" spans="1:19">
      <c r="A137" s="117"/>
      <c r="B137" s="119"/>
      <c r="C137" s="36" t="s">
        <v>336</v>
      </c>
      <c r="D137" s="41">
        <v>4</v>
      </c>
      <c r="E137" s="50" t="str">
        <f>(MID(E136,SEARCH(":",E136)+1,2)-1) &amp; ":" &amp; (MID(E136,SEARCH(":",E136)+1,2)-D137)</f>
        <v>27:24</v>
      </c>
      <c r="F137" s="43" t="s">
        <v>318</v>
      </c>
      <c r="G137" s="43" t="s">
        <v>318</v>
      </c>
      <c r="H137" s="49" t="s">
        <v>191</v>
      </c>
      <c r="I137" s="45" t="s">
        <v>68</v>
      </c>
      <c r="J137" s="46" t="s">
        <v>36</v>
      </c>
      <c r="K137" s="47" t="s">
        <v>6</v>
      </c>
      <c r="L137" s="48"/>
      <c r="M137" s="71"/>
      <c r="N137" s="71"/>
      <c r="O137" s="71"/>
      <c r="P137" s="88"/>
      <c r="Q137" s="74"/>
      <c r="R137" s="74"/>
      <c r="S137" s="74"/>
    </row>
    <row r="138" spans="1:19">
      <c r="A138" s="117"/>
      <c r="B138" s="119"/>
      <c r="C138" s="36" t="s">
        <v>337</v>
      </c>
      <c r="D138" s="41">
        <v>4</v>
      </c>
      <c r="E138" s="50" t="str">
        <f t="shared" ref="E138:E141" si="60">(MID(E137,SEARCH(":",E137)+1,2)-1) &amp; ":" &amp; (MID(E137,SEARCH(":",E137)+1,2)-D138)</f>
        <v>23:20</v>
      </c>
      <c r="F138" s="43" t="s">
        <v>474</v>
      </c>
      <c r="G138" s="43" t="s">
        <v>317</v>
      </c>
      <c r="H138" s="49" t="s">
        <v>315</v>
      </c>
      <c r="I138" s="45" t="s">
        <v>68</v>
      </c>
      <c r="J138" s="46" t="s">
        <v>36</v>
      </c>
      <c r="K138" s="47" t="s">
        <v>6</v>
      </c>
      <c r="L138" s="48"/>
      <c r="M138" s="71"/>
      <c r="N138" s="71"/>
      <c r="O138" s="71"/>
      <c r="P138" s="88"/>
      <c r="Q138" s="74"/>
      <c r="R138" s="74"/>
      <c r="S138" s="74"/>
    </row>
    <row r="139" spans="1:19">
      <c r="A139" s="117"/>
      <c r="B139" s="119"/>
      <c r="C139" s="36" t="s">
        <v>338</v>
      </c>
      <c r="D139" s="41">
        <v>4</v>
      </c>
      <c r="E139" s="50" t="str">
        <f t="shared" si="60"/>
        <v>19:16</v>
      </c>
      <c r="F139" s="43" t="s">
        <v>472</v>
      </c>
      <c r="G139" s="43" t="s">
        <v>319</v>
      </c>
      <c r="H139" s="49" t="s">
        <v>314</v>
      </c>
      <c r="I139" s="45" t="s">
        <v>68</v>
      </c>
      <c r="J139" s="46" t="s">
        <v>36</v>
      </c>
      <c r="K139" s="47" t="s">
        <v>6</v>
      </c>
      <c r="L139" s="48"/>
      <c r="M139" s="71"/>
      <c r="N139" s="71"/>
      <c r="O139" s="71"/>
      <c r="P139" s="88"/>
      <c r="Q139" s="74"/>
      <c r="R139" s="74"/>
      <c r="S139" s="74"/>
    </row>
    <row r="140" spans="1:19">
      <c r="A140" s="117"/>
      <c r="B140" s="119"/>
      <c r="C140" s="36" t="s">
        <v>339</v>
      </c>
      <c r="D140" s="41">
        <v>4</v>
      </c>
      <c r="E140" s="50" t="str">
        <f t="shared" si="60"/>
        <v>15:12</v>
      </c>
      <c r="F140" s="43" t="s">
        <v>473</v>
      </c>
      <c r="G140" s="43" t="s">
        <v>319</v>
      </c>
      <c r="H140" s="44" t="s">
        <v>193</v>
      </c>
      <c r="I140" s="45" t="s">
        <v>68</v>
      </c>
      <c r="J140" s="46" t="s">
        <v>36</v>
      </c>
      <c r="K140" s="47" t="s">
        <v>6</v>
      </c>
      <c r="L140" s="48"/>
      <c r="M140" s="71"/>
      <c r="N140" s="71"/>
      <c r="O140" s="71"/>
      <c r="P140" s="88"/>
      <c r="Q140" s="74"/>
      <c r="R140" s="74"/>
      <c r="S140" s="74"/>
    </row>
    <row r="141" spans="1:19">
      <c r="A141" s="117"/>
      <c r="B141" s="119"/>
      <c r="C141" s="36" t="s">
        <v>340</v>
      </c>
      <c r="D141" s="41">
        <v>4</v>
      </c>
      <c r="E141" s="50" t="str">
        <f t="shared" si="60"/>
        <v>11:8</v>
      </c>
      <c r="F141" s="43" t="s">
        <v>475</v>
      </c>
      <c r="G141" s="43" t="s">
        <v>320</v>
      </c>
      <c r="H141" s="44" t="s">
        <v>192</v>
      </c>
      <c r="I141" s="45" t="s">
        <v>68</v>
      </c>
      <c r="J141" s="46" t="s">
        <v>36</v>
      </c>
      <c r="K141" s="47" t="s">
        <v>6</v>
      </c>
      <c r="L141" s="48"/>
      <c r="M141" s="71"/>
      <c r="N141" s="71"/>
      <c r="O141" s="71"/>
      <c r="P141" s="88"/>
      <c r="Q141" s="74"/>
      <c r="R141" s="74"/>
      <c r="S141" s="74"/>
    </row>
    <row r="142" spans="1:19">
      <c r="A142" s="117"/>
      <c r="B142" s="119"/>
      <c r="C142" s="62" t="s">
        <v>341</v>
      </c>
      <c r="D142" s="41">
        <v>4</v>
      </c>
      <c r="E142" s="50" t="str">
        <f>(MID(E141,SEARCH(":",E141)+1,2)-1) &amp; ":" &amp; (MID(E141,SEARCH(":",E141)+1,2)-D142)</f>
        <v>7:4</v>
      </c>
      <c r="F142" s="43" t="s">
        <v>472</v>
      </c>
      <c r="G142" s="43" t="s">
        <v>319</v>
      </c>
      <c r="H142" s="62" t="s">
        <v>316</v>
      </c>
      <c r="I142" s="45" t="s">
        <v>68</v>
      </c>
      <c r="J142" s="46" t="s">
        <v>36</v>
      </c>
      <c r="K142" s="47" t="s">
        <v>6</v>
      </c>
      <c r="L142" s="48"/>
      <c r="M142" s="71"/>
      <c r="N142" s="71"/>
      <c r="O142" s="71"/>
      <c r="P142" s="88"/>
      <c r="Q142" s="74"/>
      <c r="R142" s="74"/>
      <c r="S142" s="74"/>
    </row>
    <row r="143" spans="1:19" ht="15" thickBot="1">
      <c r="A143" s="117"/>
      <c r="B143" s="119"/>
      <c r="C143" s="36" t="s">
        <v>526</v>
      </c>
      <c r="D143" s="41">
        <v>4</v>
      </c>
      <c r="E143" s="50" t="str">
        <f>(MID(E142,SEARCH(":",E142)+1,2)-1) &amp; ":" &amp; (MID(E142,SEARCH(":",E142)+1,2)-D143)</f>
        <v>3:0</v>
      </c>
      <c r="F143" s="51" t="s">
        <v>318</v>
      </c>
      <c r="G143" s="51" t="s">
        <v>318</v>
      </c>
      <c r="H143" s="44" t="s">
        <v>102</v>
      </c>
      <c r="I143" s="45" t="s">
        <v>68</v>
      </c>
      <c r="J143" s="46" t="s">
        <v>36</v>
      </c>
      <c r="K143" s="47" t="s">
        <v>6</v>
      </c>
      <c r="L143" s="48"/>
      <c r="M143" s="71"/>
      <c r="N143" s="71"/>
      <c r="O143" s="71"/>
      <c r="P143" s="88"/>
      <c r="Q143" s="74"/>
      <c r="R143" s="75"/>
      <c r="S143" s="75"/>
    </row>
    <row r="144" spans="1:19" ht="15" customHeight="1">
      <c r="A144" s="142" t="s">
        <v>197</v>
      </c>
      <c r="B144" s="140" t="str">
        <f>DEC2HEX(P144*4)</f>
        <v>30</v>
      </c>
      <c r="C144" s="52" t="s">
        <v>454</v>
      </c>
      <c r="D144" s="80" t="str">
        <f>bitConcat1(F145:F152)</f>
        <v>32'b00000000000000010000100000000000</v>
      </c>
      <c r="E144" s="81"/>
      <c r="F144" s="81"/>
      <c r="G144" s="82"/>
      <c r="H144" s="53" t="s">
        <v>251</v>
      </c>
      <c r="I144" s="54"/>
      <c r="J144" s="83" t="str">
        <f>bitConcat1(G145:G152)</f>
        <v>32'b00000000000000010000000000000000</v>
      </c>
      <c r="K144" s="84"/>
      <c r="L144" s="85"/>
      <c r="M144" s="95" t="str">
        <f>DEC2HEX(_xlfn.BITLSHIFT(O144,7)+4*P144)</f>
        <v>430</v>
      </c>
      <c r="N144" s="95" t="s">
        <v>97</v>
      </c>
      <c r="O144" s="95">
        <v>8</v>
      </c>
      <c r="P144" s="98">
        <v>12</v>
      </c>
      <c r="Q144" s="98" t="str">
        <f>DEC2HEX(_xlfn.BITLSHIFT(O144,5)+P144)</f>
        <v>10C</v>
      </c>
      <c r="R144" s="73" t="str">
        <f>BIN2HEX(LEFT(RIGHT(D144,32),4))&amp;BIN2HEX(LEFT(RIGHT(D144,28),4))&amp;BIN2HEX(LEFT(RIGHT(D144,24),4))&amp;BIN2HEX(LEFT(RIGHT(D144,20),4))&amp;BIN2HEX(LEFT(RIGHT(D144,16),4))&amp;BIN2HEX(LEFT(RIGHT(D144,12),4))&amp;BIN2HEX(LEFT(RIGHT(D144,8),4))&amp;BIN2HEX(LEFT(RIGHT(D144,4),4))</f>
        <v>00010800</v>
      </c>
      <c r="S144" s="73" t="str">
        <f>BIN2HEX(LEFT(RIGHT(J144,32),4))&amp;BIN2HEX(LEFT(RIGHT(J144,28),4))&amp;BIN2HEX(LEFT(RIGHT(J144,24),4))&amp;BIN2HEX(LEFT(RIGHT(J144,20),4))&amp;BIN2HEX(LEFT(RIGHT(J144,16),4))&amp;BIN2HEX(LEFT(RIGHT(J144,12),4))&amp;BIN2HEX(LEFT(RIGHT(J144,8),4))&amp;BIN2HEX(LEFT(RIGHT(J144,4),4))</f>
        <v>00010000</v>
      </c>
    </row>
    <row r="145" spans="1:19">
      <c r="A145" s="139"/>
      <c r="B145" s="141"/>
      <c r="C145" s="36" t="s">
        <v>476</v>
      </c>
      <c r="D145" s="41">
        <v>1</v>
      </c>
      <c r="E145" s="42" t="str">
        <f>IF(D145&gt;1,(31)&amp;":"&amp;(31-D145+1),(31-D145+1)&amp;":"&amp;(31-D145+1))</f>
        <v>31:31</v>
      </c>
      <c r="F145" s="43" t="s">
        <v>7</v>
      </c>
      <c r="G145" s="43" t="s">
        <v>7</v>
      </c>
      <c r="H145" s="49" t="s">
        <v>138</v>
      </c>
      <c r="I145" s="45" t="s">
        <v>68</v>
      </c>
      <c r="J145" s="46" t="s">
        <v>36</v>
      </c>
      <c r="K145" s="47" t="s">
        <v>6</v>
      </c>
      <c r="L145" s="48"/>
      <c r="M145" s="96"/>
      <c r="N145" s="96"/>
      <c r="O145" s="96"/>
      <c r="P145" s="97"/>
      <c r="Q145" s="97"/>
      <c r="R145" s="74"/>
      <c r="S145" s="74"/>
    </row>
    <row r="146" spans="1:19">
      <c r="A146" s="139"/>
      <c r="B146" s="141"/>
      <c r="C146" s="36" t="s">
        <v>477</v>
      </c>
      <c r="D146" s="41">
        <v>6</v>
      </c>
      <c r="E146" s="50" t="str">
        <f>(MID(E145,SEARCH(":",E145)+1,2)-1) &amp; ":" &amp; (MID(E145,SEARCH(":",E145)+1,2)-D146)</f>
        <v>30:25</v>
      </c>
      <c r="F146" s="43" t="s">
        <v>122</v>
      </c>
      <c r="G146" s="43" t="s">
        <v>122</v>
      </c>
      <c r="H146" s="49" t="s">
        <v>439</v>
      </c>
      <c r="I146" s="45" t="s">
        <v>68</v>
      </c>
      <c r="J146" s="46" t="s">
        <v>36</v>
      </c>
      <c r="K146" s="47" t="s">
        <v>6</v>
      </c>
      <c r="L146" s="48"/>
      <c r="M146" s="96"/>
      <c r="N146" s="96"/>
      <c r="O146" s="96"/>
      <c r="P146" s="97"/>
      <c r="Q146" s="97"/>
      <c r="R146" s="74"/>
      <c r="S146" s="74"/>
    </row>
    <row r="147" spans="1:19">
      <c r="A147" s="139"/>
      <c r="B147" s="141"/>
      <c r="C147" s="36" t="s">
        <v>478</v>
      </c>
      <c r="D147" s="41">
        <v>4</v>
      </c>
      <c r="E147" s="50" t="str">
        <f t="shared" ref="E147:E152" si="61">(MID(E146,SEARCH(":",E146)+1,2)-1) &amp; ":" &amp; (MID(E146,SEARCH(":",E146)+1,2)-D147)</f>
        <v>24:21</v>
      </c>
      <c r="F147" s="43" t="s">
        <v>493</v>
      </c>
      <c r="G147" s="43" t="s">
        <v>493</v>
      </c>
      <c r="H147" s="49" t="s">
        <v>488</v>
      </c>
      <c r="I147" s="45" t="s">
        <v>68</v>
      </c>
      <c r="J147" s="46" t="s">
        <v>36</v>
      </c>
      <c r="K147" s="47" t="s">
        <v>6</v>
      </c>
      <c r="L147" s="48"/>
      <c r="M147" s="96"/>
      <c r="N147" s="96"/>
      <c r="O147" s="96"/>
      <c r="P147" s="97"/>
      <c r="Q147" s="97"/>
      <c r="R147" s="74"/>
      <c r="S147" s="74"/>
    </row>
    <row r="148" spans="1:19">
      <c r="A148" s="139"/>
      <c r="B148" s="141"/>
      <c r="C148" s="36" t="s">
        <v>117</v>
      </c>
      <c r="D148" s="41">
        <v>5</v>
      </c>
      <c r="E148" s="50" t="str">
        <f t="shared" si="61"/>
        <v>20:16</v>
      </c>
      <c r="F148" s="43" t="s">
        <v>463</v>
      </c>
      <c r="G148" s="43" t="s">
        <v>463</v>
      </c>
      <c r="H148" s="49" t="s">
        <v>489</v>
      </c>
      <c r="I148" s="45" t="s">
        <v>68</v>
      </c>
      <c r="J148" s="46" t="s">
        <v>36</v>
      </c>
      <c r="K148" s="47" t="s">
        <v>6</v>
      </c>
      <c r="L148" s="48"/>
      <c r="M148" s="96"/>
      <c r="N148" s="96"/>
      <c r="O148" s="96"/>
      <c r="P148" s="97"/>
      <c r="Q148" s="97"/>
      <c r="R148" s="74"/>
      <c r="S148" s="74"/>
    </row>
    <row r="149" spans="1:19">
      <c r="A149" s="139"/>
      <c r="B149" s="141"/>
      <c r="C149" s="36" t="s">
        <v>479</v>
      </c>
      <c r="D149" s="41">
        <v>3</v>
      </c>
      <c r="E149" s="50" t="str">
        <f t="shared" si="61"/>
        <v>15:13</v>
      </c>
      <c r="F149" s="43" t="s">
        <v>494</v>
      </c>
      <c r="G149" s="43" t="s">
        <v>494</v>
      </c>
      <c r="H149" s="49" t="s">
        <v>116</v>
      </c>
      <c r="I149" s="45" t="s">
        <v>68</v>
      </c>
      <c r="J149" s="46" t="s">
        <v>36</v>
      </c>
      <c r="K149" s="47" t="s">
        <v>6</v>
      </c>
      <c r="L149" s="48"/>
      <c r="M149" s="96"/>
      <c r="N149" s="96"/>
      <c r="O149" s="96"/>
      <c r="P149" s="97"/>
      <c r="Q149" s="97"/>
      <c r="R149" s="74"/>
      <c r="S149" s="74"/>
    </row>
    <row r="150" spans="1:19">
      <c r="A150" s="139"/>
      <c r="B150" s="141"/>
      <c r="C150" s="36" t="s">
        <v>480</v>
      </c>
      <c r="D150" s="41">
        <v>1</v>
      </c>
      <c r="E150" s="50" t="str">
        <f t="shared" si="61"/>
        <v>12:12</v>
      </c>
      <c r="F150" s="43" t="s">
        <v>7</v>
      </c>
      <c r="G150" s="43" t="s">
        <v>7</v>
      </c>
      <c r="H150" s="64" t="s">
        <v>492</v>
      </c>
      <c r="I150" s="45" t="s">
        <v>68</v>
      </c>
      <c r="J150" s="46" t="s">
        <v>36</v>
      </c>
      <c r="K150" s="47"/>
      <c r="L150" s="48"/>
      <c r="M150" s="96"/>
      <c r="N150" s="96"/>
      <c r="O150" s="96"/>
      <c r="P150" s="97"/>
      <c r="Q150" s="97"/>
      <c r="R150" s="74"/>
      <c r="S150" s="74"/>
    </row>
    <row r="151" spans="1:19">
      <c r="A151" s="139"/>
      <c r="B151" s="141"/>
      <c r="C151" s="36" t="s">
        <v>119</v>
      </c>
      <c r="D151" s="41">
        <v>1</v>
      </c>
      <c r="E151" s="50" t="str">
        <f t="shared" si="61"/>
        <v>11:11</v>
      </c>
      <c r="F151" s="65" t="s">
        <v>84</v>
      </c>
      <c r="G151" s="43" t="s">
        <v>7</v>
      </c>
      <c r="H151" s="49" t="s">
        <v>490</v>
      </c>
      <c r="I151" s="45" t="s">
        <v>68</v>
      </c>
      <c r="J151" s="46" t="s">
        <v>36</v>
      </c>
      <c r="K151" s="47" t="s">
        <v>6</v>
      </c>
      <c r="L151" s="48"/>
      <c r="M151" s="96"/>
      <c r="N151" s="96"/>
      <c r="O151" s="96"/>
      <c r="P151" s="97"/>
      <c r="Q151" s="97"/>
      <c r="R151" s="74"/>
      <c r="S151" s="74"/>
    </row>
    <row r="152" spans="1:19" ht="15" thickBot="1">
      <c r="A152" s="143"/>
      <c r="B152" s="144"/>
      <c r="C152" s="36" t="s">
        <v>120</v>
      </c>
      <c r="D152" s="41">
        <v>11</v>
      </c>
      <c r="E152" s="50" t="str">
        <f t="shared" si="61"/>
        <v>10:0</v>
      </c>
      <c r="F152" s="43" t="s">
        <v>495</v>
      </c>
      <c r="G152" s="43" t="s">
        <v>495</v>
      </c>
      <c r="H152" s="49" t="s">
        <v>491</v>
      </c>
      <c r="I152" s="45" t="s">
        <v>68</v>
      </c>
      <c r="J152" s="46" t="s">
        <v>36</v>
      </c>
      <c r="K152" s="47" t="s">
        <v>6</v>
      </c>
      <c r="L152" s="48"/>
      <c r="M152" s="96"/>
      <c r="N152" s="96"/>
      <c r="O152" s="96"/>
      <c r="P152" s="97"/>
      <c r="Q152" s="97"/>
      <c r="R152" s="75"/>
      <c r="S152" s="75"/>
    </row>
    <row r="153" spans="1:19" ht="14.4" customHeight="1">
      <c r="A153" s="138" t="s">
        <v>198</v>
      </c>
      <c r="B153" s="140" t="str">
        <f t="shared" ref="B153" si="62">DEC2HEX(P153*4)</f>
        <v>3C</v>
      </c>
      <c r="C153" s="52" t="s">
        <v>454</v>
      </c>
      <c r="D153" s="80" t="str">
        <f>bitConcat1(F154:F159)</f>
        <v>32'b00111111111111110000101100010000</v>
      </c>
      <c r="E153" s="81"/>
      <c r="F153" s="81"/>
      <c r="G153" s="82"/>
      <c r="H153" s="53" t="s">
        <v>251</v>
      </c>
      <c r="I153" s="54"/>
      <c r="J153" s="83" t="str">
        <f>bitConcat1(G154:G159)</f>
        <v>32'b00111111111111110000001100010000</v>
      </c>
      <c r="K153" s="84"/>
      <c r="L153" s="85"/>
      <c r="M153" s="95" t="str">
        <f t="shared" ref="M153" si="63">DEC2HEX(_xlfn.BITLSHIFT(O153,7)+4*P153)</f>
        <v>43C</v>
      </c>
      <c r="N153" s="96" t="s">
        <v>97</v>
      </c>
      <c r="O153" s="96">
        <v>8</v>
      </c>
      <c r="P153" s="97">
        <v>15</v>
      </c>
      <c r="Q153" s="98" t="str">
        <f>DEC2HEX(_xlfn.BITLSHIFT(O153,5)+P153)</f>
        <v>10F</v>
      </c>
      <c r="R153" s="73" t="str">
        <f>BIN2HEX(LEFT(RIGHT(D153,32),4))&amp;BIN2HEX(LEFT(RIGHT(D153,28),4))&amp;BIN2HEX(LEFT(RIGHT(D153,24),4))&amp;BIN2HEX(LEFT(RIGHT(D153,20),4))&amp;BIN2HEX(LEFT(RIGHT(D153,16),4))&amp;BIN2HEX(LEFT(RIGHT(D153,12),4))&amp;BIN2HEX(LEFT(RIGHT(D153,8),4))&amp;BIN2HEX(LEFT(RIGHT(D153,4),4))</f>
        <v>3FFF0B10</v>
      </c>
      <c r="S153" s="73" t="str">
        <f t="shared" ref="S153" si="64">BIN2HEX(LEFT(RIGHT(J153,32),4))&amp;BIN2HEX(LEFT(RIGHT(J153,28),4))&amp;BIN2HEX(LEFT(RIGHT(J153,24),4))&amp;BIN2HEX(LEFT(RIGHT(J153,20),4))&amp;BIN2HEX(LEFT(RIGHT(J153,16),4))&amp;BIN2HEX(LEFT(RIGHT(J153,12),4))&amp;BIN2HEX(LEFT(RIGHT(J153,8),4))&amp;BIN2HEX(LEFT(RIGHT(J153,4),4))</f>
        <v>3FFF0310</v>
      </c>
    </row>
    <row r="154" spans="1:19" ht="15.75" customHeight="1">
      <c r="A154" s="139"/>
      <c r="B154" s="141"/>
      <c r="C154" s="36" t="s">
        <v>481</v>
      </c>
      <c r="D154" s="41">
        <v>2</v>
      </c>
      <c r="E154" s="42" t="str">
        <f>IF(D154&gt;1,(31)&amp;":"&amp;(31-D154+1),(31-D154+1)&amp;":"&amp;(31-D154+1))</f>
        <v>31:30</v>
      </c>
      <c r="F154" s="43" t="s">
        <v>98</v>
      </c>
      <c r="G154" s="43" t="s">
        <v>98</v>
      </c>
      <c r="H154" s="44" t="s">
        <v>121</v>
      </c>
      <c r="I154" s="45" t="s">
        <v>68</v>
      </c>
      <c r="J154" s="46" t="s">
        <v>36</v>
      </c>
      <c r="K154" s="47" t="s">
        <v>6</v>
      </c>
      <c r="L154" s="48"/>
      <c r="M154" s="96"/>
      <c r="N154" s="96"/>
      <c r="O154" s="96"/>
      <c r="P154" s="97"/>
      <c r="Q154" s="97"/>
      <c r="R154" s="74"/>
      <c r="S154" s="74"/>
    </row>
    <row r="155" spans="1:19">
      <c r="A155" s="139"/>
      <c r="B155" s="141"/>
      <c r="C155" s="36" t="s">
        <v>257</v>
      </c>
      <c r="D155" s="41">
        <v>14</v>
      </c>
      <c r="E155" s="50" t="str">
        <f>(MID(E154,SEARCH(":",E154)+1,2)-1) &amp; ":" &amp; (MID(E154,SEARCH(":",E154)+1,2)-D155)</f>
        <v>29:16</v>
      </c>
      <c r="F155" s="43" t="s">
        <v>130</v>
      </c>
      <c r="G155" s="43" t="s">
        <v>130</v>
      </c>
      <c r="H155" s="49" t="s">
        <v>129</v>
      </c>
      <c r="I155" s="45" t="s">
        <v>68</v>
      </c>
      <c r="J155" s="46" t="s">
        <v>36</v>
      </c>
      <c r="K155" s="47" t="s">
        <v>6</v>
      </c>
      <c r="L155" s="48"/>
      <c r="M155" s="96"/>
      <c r="N155" s="96"/>
      <c r="O155" s="96"/>
      <c r="P155" s="97"/>
      <c r="Q155" s="97"/>
      <c r="R155" s="74"/>
      <c r="S155" s="74"/>
    </row>
    <row r="156" spans="1:19">
      <c r="A156" s="139"/>
      <c r="B156" s="141"/>
      <c r="C156" s="36" t="s">
        <v>482</v>
      </c>
      <c r="D156" s="41">
        <v>3</v>
      </c>
      <c r="E156" s="50" t="str">
        <f t="shared" ref="E156:E159" si="65">(MID(E155,SEARCH(":",E155)+1,2)-1) &amp; ":" &amp; (MID(E155,SEARCH(":",E155)+1,2)-D156)</f>
        <v>15:13</v>
      </c>
      <c r="F156" s="43" t="s">
        <v>494</v>
      </c>
      <c r="G156" s="43" t="s">
        <v>494</v>
      </c>
      <c r="H156" s="49" t="s">
        <v>116</v>
      </c>
      <c r="I156" s="45" t="s">
        <v>68</v>
      </c>
      <c r="J156" s="46" t="s">
        <v>36</v>
      </c>
      <c r="K156" s="47" t="s">
        <v>6</v>
      </c>
      <c r="L156" s="48"/>
      <c r="M156" s="96"/>
      <c r="N156" s="96"/>
      <c r="O156" s="96"/>
      <c r="P156" s="97"/>
      <c r="Q156" s="97"/>
      <c r="R156" s="74"/>
      <c r="S156" s="74"/>
    </row>
    <row r="157" spans="1:19">
      <c r="A157" s="139"/>
      <c r="B157" s="141"/>
      <c r="C157" s="36" t="s">
        <v>480</v>
      </c>
      <c r="D157" s="41">
        <v>1</v>
      </c>
      <c r="E157" s="50" t="str">
        <f t="shared" si="65"/>
        <v>12:12</v>
      </c>
      <c r="F157" s="43" t="s">
        <v>7</v>
      </c>
      <c r="G157" s="43" t="s">
        <v>7</v>
      </c>
      <c r="H157" s="64" t="s">
        <v>492</v>
      </c>
      <c r="I157" s="45" t="s">
        <v>68</v>
      </c>
      <c r="J157" s="46" t="s">
        <v>36</v>
      </c>
      <c r="K157" s="47" t="s">
        <v>6</v>
      </c>
      <c r="L157" s="48"/>
      <c r="M157" s="96"/>
      <c r="N157" s="96"/>
      <c r="O157" s="96"/>
      <c r="P157" s="97"/>
      <c r="Q157" s="97"/>
      <c r="R157" s="74"/>
      <c r="S157" s="74"/>
    </row>
    <row r="158" spans="1:19">
      <c r="A158" s="139"/>
      <c r="B158" s="141"/>
      <c r="C158" s="36" t="s">
        <v>134</v>
      </c>
      <c r="D158" s="41">
        <v>1</v>
      </c>
      <c r="E158" s="50" t="str">
        <f t="shared" si="65"/>
        <v>11:11</v>
      </c>
      <c r="F158" s="65" t="s">
        <v>84</v>
      </c>
      <c r="G158" s="43" t="s">
        <v>7</v>
      </c>
      <c r="H158" s="49" t="s">
        <v>490</v>
      </c>
      <c r="I158" s="45" t="s">
        <v>68</v>
      </c>
      <c r="J158" s="46" t="s">
        <v>36</v>
      </c>
      <c r="K158" s="47" t="s">
        <v>6</v>
      </c>
      <c r="L158" s="48"/>
      <c r="M158" s="96"/>
      <c r="N158" s="96"/>
      <c r="O158" s="96"/>
      <c r="P158" s="97"/>
      <c r="Q158" s="97"/>
      <c r="R158" s="74"/>
      <c r="S158" s="74"/>
    </row>
    <row r="159" spans="1:19" ht="15" thickBot="1">
      <c r="A159" s="139"/>
      <c r="B159" s="141"/>
      <c r="C159" s="36" t="s">
        <v>135</v>
      </c>
      <c r="D159" s="41">
        <v>11</v>
      </c>
      <c r="E159" s="50" t="str">
        <f t="shared" si="65"/>
        <v>10:0</v>
      </c>
      <c r="F159" s="43" t="s">
        <v>464</v>
      </c>
      <c r="G159" s="43" t="s">
        <v>464</v>
      </c>
      <c r="H159" s="49" t="s">
        <v>491</v>
      </c>
      <c r="I159" s="45" t="s">
        <v>68</v>
      </c>
      <c r="J159" s="46" t="s">
        <v>36</v>
      </c>
      <c r="K159" s="47" t="s">
        <v>6</v>
      </c>
      <c r="L159" s="48"/>
      <c r="M159" s="96"/>
      <c r="N159" s="96"/>
      <c r="O159" s="96"/>
      <c r="P159" s="97"/>
      <c r="Q159" s="97"/>
      <c r="R159" s="74"/>
      <c r="S159" s="74"/>
    </row>
    <row r="160" spans="1:19" ht="14.4" customHeight="1">
      <c r="A160" s="145" t="s">
        <v>199</v>
      </c>
      <c r="B160" s="146" t="str">
        <f t="shared" ref="B160" si="66">DEC2HEX(P160*4)</f>
        <v>34</v>
      </c>
      <c r="C160" s="52" t="s">
        <v>454</v>
      </c>
      <c r="D160" s="80" t="str">
        <f>bitConcat1(F161:F169)</f>
        <v>32'b00011100000011100000101100010000</v>
      </c>
      <c r="E160" s="81"/>
      <c r="F160" s="81"/>
      <c r="G160" s="82"/>
      <c r="H160" s="53" t="s">
        <v>251</v>
      </c>
      <c r="I160" s="54"/>
      <c r="J160" s="83" t="str">
        <f>bitConcat1(G161:G169)</f>
        <v>32'b00011100000011100000001100010000</v>
      </c>
      <c r="K160" s="84"/>
      <c r="L160" s="85"/>
      <c r="M160" s="95" t="str">
        <f t="shared" ref="M160" si="67">DEC2HEX(_xlfn.BITLSHIFT(O160,7)+4*P160)</f>
        <v>434</v>
      </c>
      <c r="N160" s="96" t="s">
        <v>97</v>
      </c>
      <c r="O160" s="96">
        <v>8</v>
      </c>
      <c r="P160" s="97">
        <v>13</v>
      </c>
      <c r="Q160" s="98" t="str">
        <f>DEC2HEX(_xlfn.BITLSHIFT(O160,5)+P160)</f>
        <v>10D</v>
      </c>
      <c r="R160" s="73" t="str">
        <f>BIN2HEX(LEFT(RIGHT(D160,32),4))&amp;BIN2HEX(LEFT(RIGHT(D160,28),4))&amp;BIN2HEX(LEFT(RIGHT(D160,24),4))&amp;BIN2HEX(LEFT(RIGHT(D160,20),4))&amp;BIN2HEX(LEFT(RIGHT(D160,16),4))&amp;BIN2HEX(LEFT(RIGHT(D160,12),4))&amp;BIN2HEX(LEFT(RIGHT(D160,8),4))&amp;BIN2HEX(LEFT(RIGHT(D160,4),4))</f>
        <v>1C0E0B10</v>
      </c>
      <c r="S160" s="73" t="str">
        <f t="shared" ref="S160" si="68">BIN2HEX(LEFT(RIGHT(J160,32),4))&amp;BIN2HEX(LEFT(RIGHT(J160,28),4))&amp;BIN2HEX(LEFT(RIGHT(J160,24),4))&amp;BIN2HEX(LEFT(RIGHT(J160,20),4))&amp;BIN2HEX(LEFT(RIGHT(J160,16),4))&amp;BIN2HEX(LEFT(RIGHT(J160,12),4))&amp;BIN2HEX(LEFT(RIGHT(J160,8),4))&amp;BIN2HEX(LEFT(RIGHT(J160,4),4))</f>
        <v>1C0E0310</v>
      </c>
    </row>
    <row r="161" spans="1:19" ht="14.4" customHeight="1">
      <c r="A161" s="145"/>
      <c r="B161" s="147"/>
      <c r="C161" s="36" t="s">
        <v>483</v>
      </c>
      <c r="D161" s="41">
        <v>2</v>
      </c>
      <c r="E161" s="42" t="str">
        <f>IF(D161&gt;1,(31)&amp;":"&amp;(31-D161+1),(31-D161+1)&amp;":"&amp;(31-D161+1))</f>
        <v>31:30</v>
      </c>
      <c r="F161" s="43" t="s">
        <v>98</v>
      </c>
      <c r="G161" s="43" t="s">
        <v>98</v>
      </c>
      <c r="H161" s="44" t="s">
        <v>121</v>
      </c>
      <c r="I161" s="45" t="s">
        <v>68</v>
      </c>
      <c r="J161" s="46" t="s">
        <v>36</v>
      </c>
      <c r="K161" s="47" t="s">
        <v>6</v>
      </c>
      <c r="L161" s="48"/>
      <c r="M161" s="96"/>
      <c r="N161" s="96"/>
      <c r="O161" s="96"/>
      <c r="P161" s="97"/>
      <c r="Q161" s="97"/>
      <c r="R161" s="74"/>
      <c r="S161" s="74"/>
    </row>
    <row r="162" spans="1:19">
      <c r="A162" s="145"/>
      <c r="B162" s="147"/>
      <c r="C162" s="36" t="s">
        <v>253</v>
      </c>
      <c r="D162" s="41">
        <v>1</v>
      </c>
      <c r="E162" s="50" t="str">
        <f t="shared" ref="E162" si="69">(MID(E161,SEARCH(":",E161)+1,2)-1) &amp; ":" &amp; (MID(E161,SEARCH(":",E161)+1,2)-D162)</f>
        <v>29:29</v>
      </c>
      <c r="F162" s="43" t="s">
        <v>7</v>
      </c>
      <c r="G162" s="43" t="s">
        <v>7</v>
      </c>
      <c r="H162" s="49" t="s">
        <v>256</v>
      </c>
      <c r="I162" s="45" t="s">
        <v>68</v>
      </c>
      <c r="J162" s="46" t="s">
        <v>36</v>
      </c>
      <c r="K162" s="47" t="s">
        <v>6</v>
      </c>
      <c r="L162" s="48"/>
      <c r="M162" s="96"/>
      <c r="N162" s="96"/>
      <c r="O162" s="96"/>
      <c r="P162" s="97"/>
      <c r="Q162" s="97"/>
      <c r="R162" s="74"/>
      <c r="S162" s="74"/>
    </row>
    <row r="163" spans="1:19">
      <c r="A163" s="145"/>
      <c r="B163" s="147"/>
      <c r="C163" s="36" t="s">
        <v>254</v>
      </c>
      <c r="D163" s="41">
        <v>6</v>
      </c>
      <c r="E163" s="50" t="str">
        <f>(MID(E162,SEARCH(":",E162)+1,2)-1) &amp; ":" &amp; (MID(E162,SEARCH(":",E162)+1,2)-D163)</f>
        <v>28:23</v>
      </c>
      <c r="F163" s="43" t="s">
        <v>461</v>
      </c>
      <c r="G163" s="43" t="s">
        <v>461</v>
      </c>
      <c r="H163" s="49" t="s">
        <v>123</v>
      </c>
      <c r="I163" s="45" t="s">
        <v>68</v>
      </c>
      <c r="J163" s="46" t="s">
        <v>36</v>
      </c>
      <c r="K163" s="47" t="s">
        <v>6</v>
      </c>
      <c r="L163" s="48"/>
      <c r="M163" s="96"/>
      <c r="N163" s="96"/>
      <c r="O163" s="96"/>
      <c r="P163" s="97"/>
      <c r="Q163" s="97"/>
      <c r="R163" s="74"/>
      <c r="S163" s="74"/>
    </row>
    <row r="164" spans="1:19" ht="15.75" customHeight="1">
      <c r="A164" s="145"/>
      <c r="B164" s="147"/>
      <c r="C164" s="36" t="s">
        <v>255</v>
      </c>
      <c r="D164" s="41">
        <v>6</v>
      </c>
      <c r="E164" s="50" t="str">
        <f t="shared" ref="E164:E169" si="70">(MID(E163,SEARCH(":",E163)+1,2)-1) &amp; ":" &amp; (MID(E163,SEARCH(":",E163)+1,2)-D164)</f>
        <v>22:17</v>
      </c>
      <c r="F164" s="43" t="s">
        <v>462</v>
      </c>
      <c r="G164" s="43" t="s">
        <v>462</v>
      </c>
      <c r="H164" s="44" t="s">
        <v>123</v>
      </c>
      <c r="I164" s="45" t="s">
        <v>68</v>
      </c>
      <c r="J164" s="46" t="s">
        <v>36</v>
      </c>
      <c r="K164" s="47" t="s">
        <v>6</v>
      </c>
      <c r="L164" s="48"/>
      <c r="M164" s="96"/>
      <c r="N164" s="96"/>
      <c r="O164" s="96"/>
      <c r="P164" s="97"/>
      <c r="Q164" s="97"/>
      <c r="R164" s="74"/>
      <c r="S164" s="74"/>
    </row>
    <row r="165" spans="1:19" ht="15.75" customHeight="1">
      <c r="A165" s="145"/>
      <c r="B165" s="147"/>
      <c r="C165" s="36" t="s">
        <v>118</v>
      </c>
      <c r="D165" s="41">
        <v>1</v>
      </c>
      <c r="E165" s="50" t="str">
        <f t="shared" si="70"/>
        <v>16:16</v>
      </c>
      <c r="F165" s="43" t="s">
        <v>7</v>
      </c>
      <c r="G165" s="43" t="s">
        <v>7</v>
      </c>
      <c r="H165" s="44" t="s">
        <v>124</v>
      </c>
      <c r="I165" s="45" t="s">
        <v>68</v>
      </c>
      <c r="J165" s="46" t="s">
        <v>36</v>
      </c>
      <c r="K165" s="47" t="s">
        <v>6</v>
      </c>
      <c r="L165" s="48"/>
      <c r="M165" s="96"/>
      <c r="N165" s="96"/>
      <c r="O165" s="96"/>
      <c r="P165" s="97"/>
      <c r="Q165" s="97"/>
      <c r="R165" s="74"/>
      <c r="S165" s="74"/>
    </row>
    <row r="166" spans="1:19">
      <c r="A166" s="145"/>
      <c r="B166" s="147"/>
      <c r="C166" s="36" t="s">
        <v>484</v>
      </c>
      <c r="D166" s="41">
        <v>3</v>
      </c>
      <c r="E166" s="50" t="str">
        <f t="shared" si="70"/>
        <v>15:13</v>
      </c>
      <c r="F166" s="43" t="s">
        <v>494</v>
      </c>
      <c r="G166" s="43" t="s">
        <v>494</v>
      </c>
      <c r="H166" s="49" t="s">
        <v>116</v>
      </c>
      <c r="I166" s="45" t="s">
        <v>68</v>
      </c>
      <c r="J166" s="46" t="s">
        <v>36</v>
      </c>
      <c r="K166" s="47" t="s">
        <v>6</v>
      </c>
      <c r="L166" s="48"/>
      <c r="M166" s="96"/>
      <c r="N166" s="96"/>
      <c r="O166" s="96"/>
      <c r="P166" s="97"/>
      <c r="Q166" s="97"/>
      <c r="R166" s="74"/>
      <c r="S166" s="74"/>
    </row>
    <row r="167" spans="1:19">
      <c r="A167" s="145"/>
      <c r="B167" s="147"/>
      <c r="C167" s="36" t="s">
        <v>480</v>
      </c>
      <c r="D167" s="41">
        <v>1</v>
      </c>
      <c r="E167" s="50" t="str">
        <f t="shared" si="70"/>
        <v>12:12</v>
      </c>
      <c r="F167" s="43" t="s">
        <v>7</v>
      </c>
      <c r="G167" s="43" t="s">
        <v>7</v>
      </c>
      <c r="H167" s="64" t="s">
        <v>492</v>
      </c>
      <c r="I167" s="45" t="s">
        <v>68</v>
      </c>
      <c r="J167" s="46" t="s">
        <v>36</v>
      </c>
      <c r="K167" s="47" t="s">
        <v>6</v>
      </c>
      <c r="L167" s="48"/>
      <c r="M167" s="96"/>
      <c r="N167" s="96"/>
      <c r="O167" s="96"/>
      <c r="P167" s="97"/>
      <c r="Q167" s="97"/>
      <c r="R167" s="74"/>
      <c r="S167" s="74"/>
    </row>
    <row r="168" spans="1:19">
      <c r="A168" s="145"/>
      <c r="B168" s="147"/>
      <c r="C168" s="36" t="s">
        <v>140</v>
      </c>
      <c r="D168" s="41">
        <v>1</v>
      </c>
      <c r="E168" s="50" t="str">
        <f t="shared" si="70"/>
        <v>11:11</v>
      </c>
      <c r="F168" s="65" t="s">
        <v>84</v>
      </c>
      <c r="G168" s="43" t="s">
        <v>7</v>
      </c>
      <c r="H168" s="49" t="s">
        <v>490</v>
      </c>
      <c r="I168" s="45" t="s">
        <v>68</v>
      </c>
      <c r="J168" s="46" t="s">
        <v>36</v>
      </c>
      <c r="K168" s="47" t="s">
        <v>6</v>
      </c>
      <c r="L168" s="48"/>
      <c r="M168" s="96"/>
      <c r="N168" s="96"/>
      <c r="O168" s="96"/>
      <c r="P168" s="97"/>
      <c r="Q168" s="97"/>
      <c r="R168" s="74"/>
      <c r="S168" s="74"/>
    </row>
    <row r="169" spans="1:19" ht="15" thickBot="1">
      <c r="A169" s="145"/>
      <c r="B169" s="147"/>
      <c r="C169" s="36" t="s">
        <v>141</v>
      </c>
      <c r="D169" s="41">
        <v>11</v>
      </c>
      <c r="E169" s="50" t="str">
        <f t="shared" si="70"/>
        <v>10:0</v>
      </c>
      <c r="F169" s="43" t="s">
        <v>464</v>
      </c>
      <c r="G169" s="43" t="s">
        <v>464</v>
      </c>
      <c r="H169" s="49" t="s">
        <v>491</v>
      </c>
      <c r="I169" s="45" t="s">
        <v>68</v>
      </c>
      <c r="J169" s="46" t="s">
        <v>36</v>
      </c>
      <c r="K169" s="47" t="s">
        <v>6</v>
      </c>
      <c r="L169" s="48"/>
      <c r="M169" s="96"/>
      <c r="N169" s="96"/>
      <c r="O169" s="96"/>
      <c r="P169" s="97"/>
      <c r="Q169" s="97"/>
      <c r="R169" s="74"/>
      <c r="S169" s="74"/>
    </row>
    <row r="170" spans="1:19" ht="15.75" customHeight="1">
      <c r="A170" s="145" t="s">
        <v>200</v>
      </c>
      <c r="B170" s="146" t="str">
        <f t="shared" ref="B170" si="71">DEC2HEX(P170*4)</f>
        <v>38</v>
      </c>
      <c r="C170" s="52" t="s">
        <v>454</v>
      </c>
      <c r="D170" s="80" t="str">
        <f>bitConcat1(F171:F179)</f>
        <v>32'b00000000000011000000101100010000</v>
      </c>
      <c r="E170" s="81"/>
      <c r="F170" s="81"/>
      <c r="G170" s="82"/>
      <c r="H170" s="53" t="s">
        <v>251</v>
      </c>
      <c r="I170" s="54"/>
      <c r="J170" s="83" t="str">
        <f>bitConcat1(G171:G179)</f>
        <v>32'b00000000000011000000001100010000</v>
      </c>
      <c r="K170" s="84"/>
      <c r="L170" s="85"/>
      <c r="M170" s="95" t="str">
        <f t="shared" ref="M170" si="72">DEC2HEX(_xlfn.BITLSHIFT(O170,7)+4*P170)</f>
        <v>438</v>
      </c>
      <c r="N170" s="96" t="s">
        <v>97</v>
      </c>
      <c r="O170" s="96">
        <v>8</v>
      </c>
      <c r="P170" s="97">
        <v>14</v>
      </c>
      <c r="Q170" s="98" t="str">
        <f>DEC2HEX(_xlfn.BITLSHIFT(O170,5)+P170)</f>
        <v>10E</v>
      </c>
      <c r="R170" s="73" t="str">
        <f>BIN2HEX(LEFT(RIGHT(D170,32),4))&amp;BIN2HEX(LEFT(RIGHT(D170,28),4))&amp;BIN2HEX(LEFT(RIGHT(D170,24),4))&amp;BIN2HEX(LEFT(RIGHT(D170,20),4))&amp;BIN2HEX(LEFT(RIGHT(D170,16),4))&amp;BIN2HEX(LEFT(RIGHT(D170,12),4))&amp;BIN2HEX(LEFT(RIGHT(D170,8),4))&amp;BIN2HEX(LEFT(RIGHT(D170,4),4))</f>
        <v>000C0B10</v>
      </c>
      <c r="S170" s="73" t="str">
        <f t="shared" ref="S170" si="73">BIN2HEX(LEFT(RIGHT(J170,32),4))&amp;BIN2HEX(LEFT(RIGHT(J170,28),4))&amp;BIN2HEX(LEFT(RIGHT(J170,24),4))&amp;BIN2HEX(LEFT(RIGHT(J170,20),4))&amp;BIN2HEX(LEFT(RIGHT(J170,16),4))&amp;BIN2HEX(LEFT(RIGHT(J170,12),4))&amp;BIN2HEX(LEFT(RIGHT(J170,8),4))&amp;BIN2HEX(LEFT(RIGHT(J170,4),4))</f>
        <v>000C0310</v>
      </c>
    </row>
    <row r="171" spans="1:19">
      <c r="A171" s="145"/>
      <c r="B171" s="147"/>
      <c r="C171" s="36" t="s">
        <v>485</v>
      </c>
      <c r="D171" s="41">
        <v>6</v>
      </c>
      <c r="E171" s="42" t="str">
        <f>IF(D171&gt;1,(31)&amp;":"&amp;(31-D171+1),(31-D171+1)&amp;":"&amp;(31-D171+1))</f>
        <v>31:26</v>
      </c>
      <c r="F171" s="43" t="s">
        <v>122</v>
      </c>
      <c r="G171" s="43" t="s">
        <v>122</v>
      </c>
      <c r="H171" s="44" t="s">
        <v>143</v>
      </c>
      <c r="I171" s="45" t="s">
        <v>68</v>
      </c>
      <c r="J171" s="46" t="s">
        <v>36</v>
      </c>
      <c r="K171" s="47" t="s">
        <v>6</v>
      </c>
      <c r="L171" s="48"/>
      <c r="M171" s="96"/>
      <c r="N171" s="96"/>
      <c r="O171" s="96"/>
      <c r="P171" s="97"/>
      <c r="Q171" s="97"/>
      <c r="R171" s="74"/>
      <c r="S171" s="74"/>
    </row>
    <row r="172" spans="1:19">
      <c r="A172" s="145"/>
      <c r="B172" s="147"/>
      <c r="C172" s="36" t="s">
        <v>486</v>
      </c>
      <c r="D172" s="41">
        <v>5</v>
      </c>
      <c r="E172" s="50" t="str">
        <f t="shared" ref="E172:E179" si="74">(MID(E171,SEARCH(":",E171)+1,2)-1) &amp; ":" &amp; (MID(E171,SEARCH(":",E171)+1,2)-D172)</f>
        <v>25:21</v>
      </c>
      <c r="F172" s="43" t="s">
        <v>103</v>
      </c>
      <c r="G172" s="43" t="s">
        <v>103</v>
      </c>
      <c r="H172" s="44" t="s">
        <v>137</v>
      </c>
      <c r="I172" s="45" t="s">
        <v>68</v>
      </c>
      <c r="J172" s="46" t="s">
        <v>36</v>
      </c>
      <c r="K172" s="47" t="s">
        <v>6</v>
      </c>
      <c r="L172" s="48"/>
      <c r="M172" s="96"/>
      <c r="N172" s="96"/>
      <c r="O172" s="96"/>
      <c r="P172" s="97"/>
      <c r="Q172" s="97"/>
      <c r="R172" s="74"/>
      <c r="S172" s="74"/>
    </row>
    <row r="173" spans="1:19">
      <c r="A173" s="145"/>
      <c r="B173" s="147"/>
      <c r="C173" s="36" t="s">
        <v>249</v>
      </c>
      <c r="D173" s="41">
        <v>1</v>
      </c>
      <c r="E173" s="50" t="str">
        <f t="shared" si="74"/>
        <v>20:20</v>
      </c>
      <c r="F173" s="43" t="s">
        <v>7</v>
      </c>
      <c r="G173" s="43" t="s">
        <v>7</v>
      </c>
      <c r="H173" s="49" t="s">
        <v>136</v>
      </c>
      <c r="I173" s="45" t="s">
        <v>68</v>
      </c>
      <c r="J173" s="46" t="s">
        <v>36</v>
      </c>
      <c r="K173" s="47" t="s">
        <v>6</v>
      </c>
      <c r="L173" s="48"/>
      <c r="M173" s="96"/>
      <c r="N173" s="96"/>
      <c r="O173" s="96"/>
      <c r="P173" s="97"/>
      <c r="Q173" s="97"/>
      <c r="R173" s="74"/>
      <c r="S173" s="74"/>
    </row>
    <row r="174" spans="1:19">
      <c r="A174" s="145"/>
      <c r="B174" s="147"/>
      <c r="C174" s="36" t="s">
        <v>144</v>
      </c>
      <c r="D174" s="41">
        <v>2</v>
      </c>
      <c r="E174" s="50" t="str">
        <f t="shared" si="74"/>
        <v>19:18</v>
      </c>
      <c r="F174" s="43" t="s">
        <v>496</v>
      </c>
      <c r="G174" s="43" t="s">
        <v>496</v>
      </c>
      <c r="H174" s="49" t="s">
        <v>146</v>
      </c>
      <c r="I174" s="45" t="s">
        <v>68</v>
      </c>
      <c r="J174" s="46" t="s">
        <v>36</v>
      </c>
      <c r="K174" s="47" t="s">
        <v>6</v>
      </c>
      <c r="L174" s="48"/>
      <c r="M174" s="96"/>
      <c r="N174" s="96"/>
      <c r="O174" s="96"/>
      <c r="P174" s="97"/>
      <c r="Q174" s="97"/>
      <c r="R174" s="74"/>
      <c r="S174" s="74"/>
    </row>
    <row r="175" spans="1:19">
      <c r="A175" s="145"/>
      <c r="B175" s="147"/>
      <c r="C175" s="36" t="s">
        <v>145</v>
      </c>
      <c r="D175" s="41">
        <v>2</v>
      </c>
      <c r="E175" s="50" t="str">
        <f t="shared" si="74"/>
        <v>17:16</v>
      </c>
      <c r="F175" s="43" t="s">
        <v>98</v>
      </c>
      <c r="G175" s="43" t="s">
        <v>98</v>
      </c>
      <c r="H175" s="49" t="s">
        <v>147</v>
      </c>
      <c r="I175" s="45" t="s">
        <v>68</v>
      </c>
      <c r="J175" s="46" t="s">
        <v>36</v>
      </c>
      <c r="K175" s="47" t="s">
        <v>6</v>
      </c>
      <c r="L175" s="48"/>
      <c r="M175" s="96"/>
      <c r="N175" s="96"/>
      <c r="O175" s="96"/>
      <c r="P175" s="97"/>
      <c r="Q175" s="97"/>
      <c r="R175" s="74"/>
      <c r="S175" s="74"/>
    </row>
    <row r="176" spans="1:19" ht="15.75" customHeight="1">
      <c r="A176" s="145"/>
      <c r="B176" s="147"/>
      <c r="C176" s="36" t="s">
        <v>487</v>
      </c>
      <c r="D176" s="41">
        <v>3</v>
      </c>
      <c r="E176" s="50" t="str">
        <f t="shared" si="74"/>
        <v>15:13</v>
      </c>
      <c r="F176" s="43" t="s">
        <v>494</v>
      </c>
      <c r="G176" s="43" t="s">
        <v>494</v>
      </c>
      <c r="H176" s="49" t="s">
        <v>116</v>
      </c>
      <c r="I176" s="45" t="s">
        <v>68</v>
      </c>
      <c r="J176" s="46" t="s">
        <v>36</v>
      </c>
      <c r="K176" s="47" t="s">
        <v>6</v>
      </c>
      <c r="L176" s="48"/>
      <c r="M176" s="96"/>
      <c r="N176" s="96"/>
      <c r="O176" s="96"/>
      <c r="P176" s="97"/>
      <c r="Q176" s="97"/>
      <c r="R176" s="74"/>
      <c r="S176" s="74"/>
    </row>
    <row r="177" spans="1:19">
      <c r="A177" s="145"/>
      <c r="B177" s="147"/>
      <c r="C177" s="36" t="s">
        <v>480</v>
      </c>
      <c r="D177" s="41">
        <v>1</v>
      </c>
      <c r="E177" s="50" t="str">
        <f t="shared" si="74"/>
        <v>12:12</v>
      </c>
      <c r="F177" s="43" t="s">
        <v>7</v>
      </c>
      <c r="G177" s="43" t="s">
        <v>7</v>
      </c>
      <c r="H177" s="64" t="s">
        <v>492</v>
      </c>
      <c r="I177" s="45" t="s">
        <v>68</v>
      </c>
      <c r="J177" s="46" t="s">
        <v>36</v>
      </c>
      <c r="K177" s="47" t="s">
        <v>6</v>
      </c>
      <c r="L177" s="48"/>
      <c r="M177" s="96"/>
      <c r="N177" s="96"/>
      <c r="O177" s="96"/>
      <c r="P177" s="97"/>
      <c r="Q177" s="97"/>
      <c r="R177" s="74"/>
      <c r="S177" s="74"/>
    </row>
    <row r="178" spans="1:19">
      <c r="A178" s="145"/>
      <c r="B178" s="147"/>
      <c r="C178" s="36" t="s">
        <v>148</v>
      </c>
      <c r="D178" s="41">
        <v>1</v>
      </c>
      <c r="E178" s="50" t="str">
        <f t="shared" si="74"/>
        <v>11:11</v>
      </c>
      <c r="F178" s="65" t="s">
        <v>84</v>
      </c>
      <c r="G178" s="43" t="s">
        <v>7</v>
      </c>
      <c r="H178" s="49" t="s">
        <v>490</v>
      </c>
      <c r="I178" s="45" t="s">
        <v>68</v>
      </c>
      <c r="J178" s="46" t="s">
        <v>36</v>
      </c>
      <c r="K178" s="47" t="s">
        <v>6</v>
      </c>
      <c r="L178" s="48"/>
      <c r="M178" s="96"/>
      <c r="N178" s="96"/>
      <c r="O178" s="96"/>
      <c r="P178" s="97"/>
      <c r="Q178" s="97"/>
      <c r="R178" s="74"/>
      <c r="S178" s="74"/>
    </row>
    <row r="179" spans="1:19" ht="15.75" customHeight="1" thickBot="1">
      <c r="A179" s="145"/>
      <c r="B179" s="147"/>
      <c r="C179" s="36" t="s">
        <v>149</v>
      </c>
      <c r="D179" s="41">
        <v>11</v>
      </c>
      <c r="E179" s="50" t="str">
        <f t="shared" si="74"/>
        <v>10:0</v>
      </c>
      <c r="F179" s="43" t="s">
        <v>464</v>
      </c>
      <c r="G179" s="43" t="s">
        <v>464</v>
      </c>
      <c r="H179" s="49" t="s">
        <v>491</v>
      </c>
      <c r="I179" s="45" t="s">
        <v>68</v>
      </c>
      <c r="J179" s="46" t="s">
        <v>36</v>
      </c>
      <c r="K179" s="47" t="s">
        <v>6</v>
      </c>
      <c r="L179" s="48"/>
      <c r="M179" s="96"/>
      <c r="N179" s="96"/>
      <c r="O179" s="96"/>
      <c r="P179" s="97"/>
      <c r="Q179" s="97"/>
      <c r="R179" s="74"/>
      <c r="S179" s="74"/>
    </row>
    <row r="180" spans="1:19">
      <c r="A180" s="151" t="s">
        <v>201</v>
      </c>
      <c r="B180" s="149" t="str">
        <f t="shared" ref="B180" si="75">DEC2HEX(P180*4)</f>
        <v>40</v>
      </c>
      <c r="C180" s="52" t="s">
        <v>454</v>
      </c>
      <c r="D180" s="80" t="str">
        <f>bitConcat1(F181:F184)</f>
        <v>32'b00000000000000000000000000000000</v>
      </c>
      <c r="E180" s="81"/>
      <c r="F180" s="81"/>
      <c r="G180" s="82"/>
      <c r="H180" s="53" t="s">
        <v>251</v>
      </c>
      <c r="I180" s="54"/>
      <c r="J180" s="83" t="str">
        <f>bitConcat1(G181:G185)</f>
        <v>32'b00000000000000000000000000000000</v>
      </c>
      <c r="K180" s="84"/>
      <c r="L180" s="85"/>
      <c r="M180" s="95" t="str">
        <f t="shared" ref="M180" si="76">DEC2HEX(_xlfn.BITLSHIFT(O180,7)+4*P180)</f>
        <v>340</v>
      </c>
      <c r="N180" s="95" t="s">
        <v>97</v>
      </c>
      <c r="O180" s="95">
        <v>6</v>
      </c>
      <c r="P180" s="98">
        <v>16</v>
      </c>
      <c r="Q180" s="98" t="str">
        <f>DEC2HEX(_xlfn.BITLSHIFT(O180,5)+P180)</f>
        <v>D0</v>
      </c>
      <c r="R180" s="73" t="str">
        <f>BIN2HEX(LEFT(RIGHT(D180,32),4))&amp;BIN2HEX(LEFT(RIGHT(D180,28),4))&amp;BIN2HEX(LEFT(RIGHT(D180,24),4))&amp;BIN2HEX(LEFT(RIGHT(D180,20),4))&amp;BIN2HEX(LEFT(RIGHT(D180,16),4))&amp;BIN2HEX(LEFT(RIGHT(D180,12),4))&amp;BIN2HEX(LEFT(RIGHT(D180,8),4))&amp;BIN2HEX(LEFT(RIGHT(D180,4),4))</f>
        <v>00000000</v>
      </c>
      <c r="S180" s="73" t="str">
        <f t="shared" ref="S180" si="77">BIN2HEX(LEFT(RIGHT(J180,32),4))&amp;BIN2HEX(LEFT(RIGHT(J180,28),4))&amp;BIN2HEX(LEFT(RIGHT(J180,24),4))&amp;BIN2HEX(LEFT(RIGHT(J180,20),4))&amp;BIN2HEX(LEFT(RIGHT(J180,16),4))&amp;BIN2HEX(LEFT(RIGHT(J180,12),4))&amp;BIN2HEX(LEFT(RIGHT(J180,8),4))&amp;BIN2HEX(LEFT(RIGHT(J180,4),4))</f>
        <v>00000000</v>
      </c>
    </row>
    <row r="181" spans="1:19">
      <c r="A181" s="148"/>
      <c r="B181" s="150"/>
      <c r="C181" s="36" t="s">
        <v>157</v>
      </c>
      <c r="D181" s="41">
        <v>8</v>
      </c>
      <c r="E181" s="42" t="str">
        <f>IF(D181&gt;1,(31)&amp;":"&amp;(31-D181+1),(31-D181+1)&amp;":"&amp;(31-D181+1))</f>
        <v>31:24</v>
      </c>
      <c r="F181" s="43" t="s">
        <v>115</v>
      </c>
      <c r="G181" s="43" t="s">
        <v>115</v>
      </c>
      <c r="H181" s="44" t="s">
        <v>158</v>
      </c>
      <c r="I181" s="45" t="s">
        <v>68</v>
      </c>
      <c r="J181" s="46" t="s">
        <v>36</v>
      </c>
      <c r="K181" s="47" t="s">
        <v>6</v>
      </c>
      <c r="L181" s="48"/>
      <c r="M181" s="96"/>
      <c r="N181" s="96"/>
      <c r="O181" s="96"/>
      <c r="P181" s="97"/>
      <c r="Q181" s="97"/>
      <c r="R181" s="74"/>
      <c r="S181" s="74"/>
    </row>
    <row r="182" spans="1:19" ht="15.75" customHeight="1">
      <c r="A182" s="148"/>
      <c r="B182" s="150"/>
      <c r="C182" s="36" t="s">
        <v>156</v>
      </c>
      <c r="D182" s="41">
        <v>8</v>
      </c>
      <c r="E182" s="50" t="str">
        <f t="shared" ref="E182" si="78">(MID(E181,SEARCH(":",E181)+1,2)-1) &amp; ":" &amp; (MID(E181,SEARCH(":",E181)+1,2)-D182)</f>
        <v>23:16</v>
      </c>
      <c r="F182" s="43" t="s">
        <v>115</v>
      </c>
      <c r="G182" s="43" t="s">
        <v>115</v>
      </c>
      <c r="H182" s="44" t="s">
        <v>159</v>
      </c>
      <c r="I182" s="45" t="s">
        <v>68</v>
      </c>
      <c r="J182" s="46" t="s">
        <v>36</v>
      </c>
      <c r="K182" s="47" t="s">
        <v>6</v>
      </c>
      <c r="L182" s="48"/>
      <c r="M182" s="96"/>
      <c r="N182" s="96"/>
      <c r="O182" s="96"/>
      <c r="P182" s="97"/>
      <c r="Q182" s="97"/>
      <c r="R182" s="74"/>
      <c r="S182" s="74"/>
    </row>
    <row r="183" spans="1:19">
      <c r="A183" s="148"/>
      <c r="B183" s="150"/>
      <c r="C183" s="36" t="s">
        <v>150</v>
      </c>
      <c r="D183" s="41">
        <v>8</v>
      </c>
      <c r="E183" s="50" t="str">
        <f>(MID(E182,SEARCH(":",E182)+1,2)-1) &amp; ":" &amp; (MID(E182,SEARCH(":",E182)+1,2)-D183)</f>
        <v>15:8</v>
      </c>
      <c r="F183" s="43" t="s">
        <v>115</v>
      </c>
      <c r="G183" s="43" t="s">
        <v>115</v>
      </c>
      <c r="H183" s="44" t="s">
        <v>151</v>
      </c>
      <c r="I183" s="45" t="s">
        <v>68</v>
      </c>
      <c r="J183" s="46" t="s">
        <v>36</v>
      </c>
      <c r="K183" s="47" t="s">
        <v>6</v>
      </c>
      <c r="L183" s="48"/>
      <c r="M183" s="96"/>
      <c r="N183" s="96"/>
      <c r="O183" s="96"/>
      <c r="P183" s="97"/>
      <c r="Q183" s="97"/>
      <c r="R183" s="74"/>
      <c r="S183" s="74"/>
    </row>
    <row r="184" spans="1:19" ht="15" thickBot="1">
      <c r="A184" s="148"/>
      <c r="B184" s="150"/>
      <c r="C184" s="36" t="s">
        <v>153</v>
      </c>
      <c r="D184" s="41">
        <v>8</v>
      </c>
      <c r="E184" s="50" t="str">
        <f>(MID(E183,SEARCH(":",E183)+1,2)-1) &amp; ":" &amp; (MID(E183,SEARCH(":",E183)+1,2)-D184)</f>
        <v>7:0</v>
      </c>
      <c r="F184" s="43" t="s">
        <v>115</v>
      </c>
      <c r="G184" s="43" t="s">
        <v>115</v>
      </c>
      <c r="H184" s="44" t="s">
        <v>160</v>
      </c>
      <c r="I184" s="45" t="s">
        <v>68</v>
      </c>
      <c r="J184" s="46" t="s">
        <v>36</v>
      </c>
      <c r="K184" s="47" t="s">
        <v>6</v>
      </c>
      <c r="L184" s="48"/>
      <c r="M184" s="96"/>
      <c r="N184" s="96"/>
      <c r="O184" s="96"/>
      <c r="P184" s="97"/>
      <c r="Q184" s="97"/>
      <c r="R184" s="74"/>
      <c r="S184" s="75"/>
    </row>
    <row r="185" spans="1:19">
      <c r="A185" s="148" t="s">
        <v>202</v>
      </c>
      <c r="B185" s="149" t="str">
        <f t="shared" ref="B185" si="79">DEC2HEX(P185*4)</f>
        <v>44</v>
      </c>
      <c r="C185" s="52" t="s">
        <v>454</v>
      </c>
      <c r="D185" s="80" t="str">
        <f>bitConcat1(F186:F187)</f>
        <v>32'b00000000000000000000000000000000</v>
      </c>
      <c r="E185" s="81"/>
      <c r="F185" s="81"/>
      <c r="G185" s="82"/>
      <c r="H185" s="53" t="s">
        <v>251</v>
      </c>
      <c r="I185" s="54"/>
      <c r="J185" s="83" t="str">
        <f>bitConcat1(G186:G187)</f>
        <v>32'b00000000000000000000000000000000</v>
      </c>
      <c r="K185" s="84"/>
      <c r="L185" s="85"/>
      <c r="M185" s="95" t="str">
        <f t="shared" ref="M185" si="80">DEC2HEX(_xlfn.BITLSHIFT(O185,7)+4*P185)</f>
        <v>344</v>
      </c>
      <c r="N185" s="96" t="s">
        <v>97</v>
      </c>
      <c r="O185" s="96">
        <v>6</v>
      </c>
      <c r="P185" s="97">
        <f>P180+1</f>
        <v>17</v>
      </c>
      <c r="Q185" s="98" t="str">
        <f>DEC2HEX(_xlfn.BITLSHIFT(O185,5)+P185)</f>
        <v>D1</v>
      </c>
      <c r="R185" s="73" t="str">
        <f>BIN2HEX(LEFT(RIGHT(D185,32),4))&amp;BIN2HEX(LEFT(RIGHT(D185,28),4))&amp;BIN2HEX(LEFT(RIGHT(D185,24),4))&amp;BIN2HEX(LEFT(RIGHT(D185,20),4))&amp;BIN2HEX(LEFT(RIGHT(D185,16),4))&amp;BIN2HEX(LEFT(RIGHT(D185,12),4))&amp;BIN2HEX(LEFT(RIGHT(D185,8),4))&amp;BIN2HEX(LEFT(RIGHT(D185,4),4))</f>
        <v>00000000</v>
      </c>
      <c r="S185" s="73" t="str">
        <f t="shared" ref="S185" si="81">BIN2HEX(LEFT(RIGHT(J185,32),4))&amp;BIN2HEX(LEFT(RIGHT(J185,28),4))&amp;BIN2HEX(LEFT(RIGHT(J185,24),4))&amp;BIN2HEX(LEFT(RIGHT(J185,20),4))&amp;BIN2HEX(LEFT(RIGHT(J185,16),4))&amp;BIN2HEX(LEFT(RIGHT(J185,12),4))&amp;BIN2HEX(LEFT(RIGHT(J185,8),4))&amp;BIN2HEX(LEFT(RIGHT(J185,4),4))</f>
        <v>00000000</v>
      </c>
    </row>
    <row r="186" spans="1:19">
      <c r="A186" s="148"/>
      <c r="B186" s="150"/>
      <c r="C186" s="36" t="s">
        <v>259</v>
      </c>
      <c r="D186" s="41">
        <v>16</v>
      </c>
      <c r="E186" s="42" t="str">
        <f>IF(D186&gt;1,(31)&amp;":"&amp;(31-D186+1),(31-D186+1)&amp;":"&amp;(31-D186+1))</f>
        <v>31:16</v>
      </c>
      <c r="F186" s="43" t="s">
        <v>245</v>
      </c>
      <c r="G186" s="43" t="s">
        <v>245</v>
      </c>
      <c r="H186" s="44" t="s">
        <v>258</v>
      </c>
      <c r="I186" s="45" t="s">
        <v>68</v>
      </c>
      <c r="J186" s="46" t="s">
        <v>36</v>
      </c>
      <c r="K186" s="47" t="s">
        <v>6</v>
      </c>
      <c r="L186" s="48"/>
      <c r="M186" s="96"/>
      <c r="N186" s="96"/>
      <c r="O186" s="96"/>
      <c r="P186" s="97"/>
      <c r="Q186" s="97"/>
      <c r="R186" s="74"/>
      <c r="S186" s="74"/>
    </row>
    <row r="187" spans="1:19" ht="15.75" customHeight="1" thickBot="1">
      <c r="A187" s="148"/>
      <c r="B187" s="150"/>
      <c r="C187" s="36" t="s">
        <v>152</v>
      </c>
      <c r="D187" s="41">
        <v>16</v>
      </c>
      <c r="E187" s="50" t="str">
        <f>(MID(E186,SEARCH(":",E186)+1,2)-1) &amp; ":" &amp; (MID(E186,SEARCH(":",E186)+1,2)-D187)</f>
        <v>15:0</v>
      </c>
      <c r="F187" s="43" t="s">
        <v>245</v>
      </c>
      <c r="G187" s="43" t="s">
        <v>245</v>
      </c>
      <c r="H187" s="49" t="s">
        <v>121</v>
      </c>
      <c r="I187" s="45" t="s">
        <v>68</v>
      </c>
      <c r="J187" s="46" t="s">
        <v>36</v>
      </c>
      <c r="K187" s="47" t="s">
        <v>6</v>
      </c>
      <c r="L187" s="48"/>
      <c r="M187" s="96"/>
      <c r="N187" s="96"/>
      <c r="O187" s="96"/>
      <c r="P187" s="97"/>
      <c r="Q187" s="97"/>
      <c r="R187" s="75"/>
      <c r="S187" s="75"/>
    </row>
    <row r="188" spans="1:19" ht="15.75" customHeight="1">
      <c r="A188" s="148" t="s">
        <v>203</v>
      </c>
      <c r="B188" s="149" t="str">
        <f t="shared" ref="B188" si="82">DEC2HEX(P188*4)</f>
        <v>48</v>
      </c>
      <c r="C188" s="52" t="s">
        <v>454</v>
      </c>
      <c r="D188" s="80" t="str">
        <f>bitConcat1(F189:F193)</f>
        <v>32'b00000000101100110001100000100000</v>
      </c>
      <c r="E188" s="81"/>
      <c r="F188" s="81"/>
      <c r="G188" s="82"/>
      <c r="H188" s="53" t="s">
        <v>251</v>
      </c>
      <c r="I188" s="54"/>
      <c r="J188" s="83" t="str">
        <f>bitConcat1(G189:G193)</f>
        <v>32'b00000000000000000001100000000000</v>
      </c>
      <c r="K188" s="84"/>
      <c r="L188" s="85"/>
      <c r="M188" s="95" t="str">
        <f t="shared" ref="M188" si="83">DEC2HEX(_xlfn.BITLSHIFT(O188,7)+4*P188)</f>
        <v>348</v>
      </c>
      <c r="N188" s="96" t="s">
        <v>97</v>
      </c>
      <c r="O188" s="96">
        <v>6</v>
      </c>
      <c r="P188" s="97">
        <v>18</v>
      </c>
      <c r="Q188" s="98" t="str">
        <f>DEC2HEX(_xlfn.BITLSHIFT(O188,5)+P188)</f>
        <v>D2</v>
      </c>
      <c r="R188" s="73" t="str">
        <f>BIN2HEX(LEFT(RIGHT(D188,32),4))&amp;BIN2HEX(LEFT(RIGHT(D188,28),4))&amp;BIN2HEX(LEFT(RIGHT(D188,24),4))&amp;BIN2HEX(LEFT(RIGHT(D188,20),4))&amp;BIN2HEX(LEFT(RIGHT(D188,16),4))&amp;BIN2HEX(LEFT(RIGHT(D188,12),4))&amp;BIN2HEX(LEFT(RIGHT(D188,8),4))&amp;BIN2HEX(LEFT(RIGHT(D188,4),4))</f>
        <v>00B31820</v>
      </c>
      <c r="S188" s="73" t="str">
        <f t="shared" ref="S188" si="84">BIN2HEX(LEFT(RIGHT(J188,32),4))&amp;BIN2HEX(LEFT(RIGHT(J188,28),4))&amp;BIN2HEX(LEFT(RIGHT(J188,24),4))&amp;BIN2HEX(LEFT(RIGHT(J188,20),4))&amp;BIN2HEX(LEFT(RIGHT(J188,16),4))&amp;BIN2HEX(LEFT(RIGHT(J188,12),4))&amp;BIN2HEX(LEFT(RIGHT(J188,8),4))&amp;BIN2HEX(LEFT(RIGHT(J188,4),4))</f>
        <v>00001800</v>
      </c>
    </row>
    <row r="189" spans="1:19" ht="15.75" customHeight="1">
      <c r="A189" s="148"/>
      <c r="B189" s="150"/>
      <c r="C189" s="36" t="s">
        <v>162</v>
      </c>
      <c r="D189" s="41">
        <v>8</v>
      </c>
      <c r="E189" s="42" t="str">
        <f>IF(D189&gt;1,(31)&amp;":"&amp;(31-D189+1),(31-D189+1)&amp;":"&amp;(31-D189+1))</f>
        <v>31:24</v>
      </c>
      <c r="F189" s="43" t="s">
        <v>115</v>
      </c>
      <c r="G189" s="43" t="s">
        <v>115</v>
      </c>
      <c r="H189" s="44" t="s">
        <v>442</v>
      </c>
      <c r="I189" s="45" t="s">
        <v>68</v>
      </c>
      <c r="J189" s="46" t="s">
        <v>36</v>
      </c>
      <c r="K189" s="47" t="s">
        <v>6</v>
      </c>
      <c r="L189" s="48"/>
      <c r="M189" s="96"/>
      <c r="N189" s="96"/>
      <c r="O189" s="96"/>
      <c r="P189" s="97"/>
      <c r="Q189" s="97"/>
      <c r="R189" s="74"/>
      <c r="S189" s="74"/>
    </row>
    <row r="190" spans="1:19">
      <c r="A190" s="148"/>
      <c r="B190" s="150"/>
      <c r="C190" s="36" t="s">
        <v>441</v>
      </c>
      <c r="D190" s="41">
        <v>8</v>
      </c>
      <c r="E190" s="50" t="str">
        <f>(MID(E189,SEARCH(":",E189)+1,2)-1) &amp; ":" &amp; (MID(E189,SEARCH(":",E189)+1,2)-D190)</f>
        <v>23:16</v>
      </c>
      <c r="F190" s="43" t="s">
        <v>460</v>
      </c>
      <c r="G190" s="43" t="s">
        <v>115</v>
      </c>
      <c r="H190" s="49" t="s">
        <v>445</v>
      </c>
      <c r="I190" s="45" t="s">
        <v>68</v>
      </c>
      <c r="J190" s="46" t="s">
        <v>36</v>
      </c>
      <c r="K190" s="47" t="s">
        <v>6</v>
      </c>
      <c r="L190" s="48"/>
      <c r="M190" s="96"/>
      <c r="N190" s="96"/>
      <c r="O190" s="96"/>
      <c r="P190" s="97"/>
      <c r="Q190" s="97"/>
      <c r="R190" s="74"/>
      <c r="S190" s="74"/>
    </row>
    <row r="191" spans="1:19">
      <c r="A191" s="148"/>
      <c r="B191" s="150"/>
      <c r="C191" s="36" t="s">
        <v>163</v>
      </c>
      <c r="D191" s="41">
        <v>10</v>
      </c>
      <c r="E191" s="50" t="str">
        <f t="shared" ref="E191:E193" si="85">(MID(E190,SEARCH(":",E190)+1,2)-1) &amp; ":" &amp; (MID(E190,SEARCH(":",E190)+1,2)-D191)</f>
        <v>15:6</v>
      </c>
      <c r="F191" s="43" t="s">
        <v>305</v>
      </c>
      <c r="G191" s="43" t="s">
        <v>305</v>
      </c>
      <c r="H191" s="44" t="s">
        <v>443</v>
      </c>
      <c r="I191" s="45" t="s">
        <v>68</v>
      </c>
      <c r="J191" s="46" t="s">
        <v>36</v>
      </c>
      <c r="K191" s="47" t="s">
        <v>6</v>
      </c>
      <c r="L191" s="48"/>
      <c r="M191" s="96"/>
      <c r="N191" s="96"/>
      <c r="O191" s="96"/>
      <c r="P191" s="97"/>
      <c r="Q191" s="97"/>
      <c r="R191" s="74"/>
      <c r="S191" s="74"/>
    </row>
    <row r="192" spans="1:19">
      <c r="A192" s="148"/>
      <c r="B192" s="150"/>
      <c r="C192" s="36" t="s">
        <v>446</v>
      </c>
      <c r="D192" s="41">
        <v>1</v>
      </c>
      <c r="E192" s="50" t="str">
        <f t="shared" si="85"/>
        <v>5:5</v>
      </c>
      <c r="F192" s="43" t="s">
        <v>84</v>
      </c>
      <c r="G192" s="43" t="s">
        <v>7</v>
      </c>
      <c r="H192" s="49" t="s">
        <v>440</v>
      </c>
      <c r="I192" s="45" t="s">
        <v>68</v>
      </c>
      <c r="J192" s="46" t="s">
        <v>36</v>
      </c>
      <c r="K192" s="47" t="s">
        <v>6</v>
      </c>
      <c r="L192" s="48"/>
      <c r="M192" s="96"/>
      <c r="N192" s="96"/>
      <c r="O192" s="96"/>
      <c r="P192" s="97"/>
      <c r="Q192" s="97"/>
      <c r="R192" s="74"/>
      <c r="S192" s="74"/>
    </row>
    <row r="193" spans="1:19" ht="15" thickBot="1">
      <c r="A193" s="148"/>
      <c r="B193" s="150"/>
      <c r="C193" s="36" t="s">
        <v>447</v>
      </c>
      <c r="D193" s="41">
        <v>5</v>
      </c>
      <c r="E193" s="50" t="str">
        <f t="shared" si="85"/>
        <v>4:0</v>
      </c>
      <c r="F193" s="43" t="s">
        <v>103</v>
      </c>
      <c r="G193" s="43" t="s">
        <v>103</v>
      </c>
      <c r="H193" s="49" t="s">
        <v>444</v>
      </c>
      <c r="I193" s="45" t="s">
        <v>68</v>
      </c>
      <c r="J193" s="46" t="s">
        <v>36</v>
      </c>
      <c r="K193" s="47" t="s">
        <v>6</v>
      </c>
      <c r="L193" s="48"/>
      <c r="M193" s="96"/>
      <c r="N193" s="96"/>
      <c r="O193" s="96"/>
      <c r="P193" s="97"/>
      <c r="Q193" s="97"/>
      <c r="R193" s="75"/>
      <c r="S193" s="75"/>
    </row>
    <row r="194" spans="1:19">
      <c r="A194" s="151" t="s">
        <v>204</v>
      </c>
      <c r="B194" s="149" t="str">
        <f t="shared" ref="B194" si="86">DEC2HEX(P194*4)</f>
        <v>4C</v>
      </c>
      <c r="C194" s="52" t="s">
        <v>454</v>
      </c>
      <c r="D194" s="80" t="str">
        <f>bitConcat1(F195:F198)</f>
        <v>32'b00000000000000000000000000000000</v>
      </c>
      <c r="E194" s="81"/>
      <c r="F194" s="81"/>
      <c r="G194" s="82"/>
      <c r="H194" s="53" t="s">
        <v>251</v>
      </c>
      <c r="I194" s="54"/>
      <c r="J194" s="83" t="str">
        <f>bitConcat1(G195:G198)</f>
        <v>32'b00000000000000000000000000000000</v>
      </c>
      <c r="K194" s="84"/>
      <c r="L194" s="85"/>
      <c r="M194" s="95" t="str">
        <f t="shared" ref="M194" si="87">DEC2HEX(_xlfn.BITLSHIFT(O194,7)+4*P194)</f>
        <v>34C</v>
      </c>
      <c r="N194" s="95" t="s">
        <v>97</v>
      </c>
      <c r="O194" s="95">
        <v>6</v>
      </c>
      <c r="P194" s="98">
        <v>19</v>
      </c>
      <c r="Q194" s="98" t="str">
        <f>DEC2HEX(_xlfn.BITLSHIFT(O194,5)+P194)</f>
        <v>D3</v>
      </c>
      <c r="R194" s="73" t="str">
        <f>BIN2HEX(LEFT(RIGHT(D194,32),4))&amp;BIN2HEX(LEFT(RIGHT(D194,28),4))&amp;BIN2HEX(LEFT(RIGHT(D194,24),4))&amp;BIN2HEX(LEFT(RIGHT(D194,20),4))&amp;BIN2HEX(LEFT(RIGHT(D194,16),4))&amp;BIN2HEX(LEFT(RIGHT(D194,12),4))&amp;BIN2HEX(LEFT(RIGHT(D194,8),4))&amp;BIN2HEX(LEFT(RIGHT(D194,4),4))</f>
        <v>00000000</v>
      </c>
      <c r="S194" s="73" t="str">
        <f t="shared" ref="S194" si="88">BIN2HEX(LEFT(RIGHT(J194,32),4))&amp;BIN2HEX(LEFT(RIGHT(J194,28),4))&amp;BIN2HEX(LEFT(RIGHT(J194,24),4))&amp;BIN2HEX(LEFT(RIGHT(J194,20),4))&amp;BIN2HEX(LEFT(RIGHT(J194,16),4))&amp;BIN2HEX(LEFT(RIGHT(J194,12),4))&amp;BIN2HEX(LEFT(RIGHT(J194,8),4))&amp;BIN2HEX(LEFT(RIGHT(J194,4),4))</f>
        <v>00000000</v>
      </c>
    </row>
    <row r="195" spans="1:19" ht="15.75" customHeight="1">
      <c r="A195" s="148"/>
      <c r="B195" s="150"/>
      <c r="C195" s="36" t="s">
        <v>169</v>
      </c>
      <c r="D195" s="41">
        <v>8</v>
      </c>
      <c r="E195" s="42" t="str">
        <f>IF(D195&gt;1,(31)&amp;":"&amp;(31-D195+1),(31-D195+1)&amp;":"&amp;(31-D195+1))</f>
        <v>31:24</v>
      </c>
      <c r="F195" s="43" t="s">
        <v>115</v>
      </c>
      <c r="G195" s="43" t="s">
        <v>115</v>
      </c>
      <c r="H195" s="44" t="s">
        <v>158</v>
      </c>
      <c r="I195" s="45" t="s">
        <v>68</v>
      </c>
      <c r="J195" s="46" t="s">
        <v>36</v>
      </c>
      <c r="K195" s="47" t="s">
        <v>6</v>
      </c>
      <c r="L195" s="48"/>
      <c r="M195" s="96"/>
      <c r="N195" s="96"/>
      <c r="O195" s="96"/>
      <c r="P195" s="97"/>
      <c r="Q195" s="97"/>
      <c r="R195" s="74"/>
      <c r="S195" s="74"/>
    </row>
    <row r="196" spans="1:19">
      <c r="A196" s="148"/>
      <c r="B196" s="150"/>
      <c r="C196" s="36" t="s">
        <v>170</v>
      </c>
      <c r="D196" s="41">
        <v>8</v>
      </c>
      <c r="E196" s="50" t="str">
        <f t="shared" ref="E196" si="89">(MID(E195,SEARCH(":",E195)+1,2)-1) &amp; ":" &amp; (MID(E195,SEARCH(":",E195)+1,2)-D196)</f>
        <v>23:16</v>
      </c>
      <c r="F196" s="43" t="s">
        <v>115</v>
      </c>
      <c r="G196" s="43" t="s">
        <v>115</v>
      </c>
      <c r="H196" s="44" t="s">
        <v>159</v>
      </c>
      <c r="I196" s="45" t="s">
        <v>68</v>
      </c>
      <c r="J196" s="46" t="s">
        <v>36</v>
      </c>
      <c r="K196" s="47" t="s">
        <v>6</v>
      </c>
      <c r="L196" s="48"/>
      <c r="M196" s="96"/>
      <c r="N196" s="96"/>
      <c r="O196" s="96"/>
      <c r="P196" s="97"/>
      <c r="Q196" s="97"/>
      <c r="R196" s="74"/>
      <c r="S196" s="74"/>
    </row>
    <row r="197" spans="1:19">
      <c r="A197" s="148"/>
      <c r="B197" s="150"/>
      <c r="C197" s="36" t="s">
        <v>167</v>
      </c>
      <c r="D197" s="41">
        <v>8</v>
      </c>
      <c r="E197" s="50" t="str">
        <f>(MID(E196,SEARCH(":",E196)+1,2)-1) &amp; ":" &amp; (MID(E196,SEARCH(":",E196)+1,2)-D197)</f>
        <v>15:8</v>
      </c>
      <c r="F197" s="43" t="s">
        <v>115</v>
      </c>
      <c r="G197" s="43" t="s">
        <v>115</v>
      </c>
      <c r="H197" s="44" t="s">
        <v>151</v>
      </c>
      <c r="I197" s="45" t="s">
        <v>68</v>
      </c>
      <c r="J197" s="46" t="s">
        <v>36</v>
      </c>
      <c r="K197" s="47" t="s">
        <v>6</v>
      </c>
      <c r="L197" s="48"/>
      <c r="M197" s="96"/>
      <c r="N197" s="96"/>
      <c r="O197" s="96"/>
      <c r="P197" s="97"/>
      <c r="Q197" s="97"/>
      <c r="R197" s="74"/>
      <c r="S197" s="74"/>
    </row>
    <row r="198" spans="1:19" ht="15.75" customHeight="1" thickBot="1">
      <c r="A198" s="148"/>
      <c r="B198" s="150"/>
      <c r="C198" s="36" t="s">
        <v>168</v>
      </c>
      <c r="D198" s="41">
        <v>8</v>
      </c>
      <c r="E198" s="50" t="str">
        <f>(MID(E197,SEARCH(":",E197)+1,2)-1) &amp; ":" &amp; (MID(E197,SEARCH(":",E197)+1,2)-D198)</f>
        <v>7:0</v>
      </c>
      <c r="F198" s="43" t="s">
        <v>115</v>
      </c>
      <c r="G198" s="43" t="s">
        <v>115</v>
      </c>
      <c r="H198" s="44" t="s">
        <v>160</v>
      </c>
      <c r="I198" s="45" t="s">
        <v>68</v>
      </c>
      <c r="J198" s="46" t="s">
        <v>36</v>
      </c>
      <c r="K198" s="47" t="s">
        <v>6</v>
      </c>
      <c r="L198" s="48"/>
      <c r="M198" s="96"/>
      <c r="N198" s="96"/>
      <c r="O198" s="96"/>
      <c r="P198" s="97"/>
      <c r="Q198" s="97"/>
      <c r="R198" s="75"/>
      <c r="S198" s="75"/>
    </row>
    <row r="199" spans="1:19">
      <c r="A199" s="148" t="s">
        <v>205</v>
      </c>
      <c r="B199" s="149" t="str">
        <f t="shared" ref="B199" si="90">DEC2HEX(P199*4)</f>
        <v>50</v>
      </c>
      <c r="C199" s="52" t="s">
        <v>454</v>
      </c>
      <c r="D199" s="80" t="str">
        <f>bitConcat1(F200:F201)</f>
        <v>32'b00000000000000000000000000000000</v>
      </c>
      <c r="E199" s="81"/>
      <c r="F199" s="81"/>
      <c r="G199" s="82"/>
      <c r="H199" s="53" t="s">
        <v>251</v>
      </c>
      <c r="I199" s="54"/>
      <c r="J199" s="83" t="str">
        <f>bitConcat1(G200:G201)</f>
        <v>32'b00000000000000000000000000000000</v>
      </c>
      <c r="K199" s="84"/>
      <c r="L199" s="85"/>
      <c r="M199" s="95" t="str">
        <f t="shared" ref="M199" si="91">DEC2HEX(_xlfn.BITLSHIFT(O199,7)+4*P199)</f>
        <v>350</v>
      </c>
      <c r="N199" s="96" t="s">
        <v>97</v>
      </c>
      <c r="O199" s="96">
        <v>6</v>
      </c>
      <c r="P199" s="97">
        <v>20</v>
      </c>
      <c r="Q199" s="98" t="str">
        <f>DEC2HEX(_xlfn.BITLSHIFT(O199,5)+P199)</f>
        <v>D4</v>
      </c>
      <c r="R199" s="73" t="str">
        <f>BIN2HEX(LEFT(RIGHT(D199,32),4))&amp;BIN2HEX(LEFT(RIGHT(D199,28),4))&amp;BIN2HEX(LEFT(RIGHT(D199,24),4))&amp;BIN2HEX(LEFT(RIGHT(D199,20),4))&amp;BIN2HEX(LEFT(RIGHT(D199,16),4))&amp;BIN2HEX(LEFT(RIGHT(D199,12),4))&amp;BIN2HEX(LEFT(RIGHT(D199,8),4))&amp;BIN2HEX(LEFT(RIGHT(D199,4),4))</f>
        <v>00000000</v>
      </c>
      <c r="S199" s="73" t="str">
        <f t="shared" ref="S199" si="92">BIN2HEX(LEFT(RIGHT(J199,32),4))&amp;BIN2HEX(LEFT(RIGHT(J199,28),4))&amp;BIN2HEX(LEFT(RIGHT(J199,24),4))&amp;BIN2HEX(LEFT(RIGHT(J199,20),4))&amp;BIN2HEX(LEFT(RIGHT(J199,16),4))&amp;BIN2HEX(LEFT(RIGHT(J199,12),4))&amp;BIN2HEX(LEFT(RIGHT(J199,8),4))&amp;BIN2HEX(LEFT(RIGHT(J199,4),4))</f>
        <v>00000000</v>
      </c>
    </row>
    <row r="200" spans="1:19">
      <c r="A200" s="148"/>
      <c r="B200" s="150"/>
      <c r="C200" s="36" t="s">
        <v>260</v>
      </c>
      <c r="D200" s="41">
        <v>16</v>
      </c>
      <c r="E200" s="42" t="str">
        <f>IF(D200&gt;1,(31)&amp;":"&amp;(31-D200+1),(31-D200+1)&amp;":"&amp;(31-D200+1))</f>
        <v>31:16</v>
      </c>
      <c r="F200" s="43" t="s">
        <v>245</v>
      </c>
      <c r="G200" s="43" t="s">
        <v>245</v>
      </c>
      <c r="H200" s="44" t="s">
        <v>258</v>
      </c>
      <c r="I200" s="45" t="s">
        <v>68</v>
      </c>
      <c r="J200" s="46" t="s">
        <v>36</v>
      </c>
      <c r="K200" s="47" t="s">
        <v>6</v>
      </c>
      <c r="L200" s="48"/>
      <c r="M200" s="96"/>
      <c r="N200" s="96"/>
      <c r="O200" s="96"/>
      <c r="P200" s="97"/>
      <c r="Q200" s="97"/>
      <c r="R200" s="74"/>
      <c r="S200" s="74"/>
    </row>
    <row r="201" spans="1:19" ht="15" thickBot="1">
      <c r="A201" s="148"/>
      <c r="B201" s="150"/>
      <c r="C201" s="36" t="s">
        <v>152</v>
      </c>
      <c r="D201" s="41">
        <v>16</v>
      </c>
      <c r="E201" s="50" t="str">
        <f>(MID(E200,SEARCH(":",E200)+1,2)-1) &amp; ":" &amp; (MID(E200,SEARCH(":",E200)+1,2)-D201)</f>
        <v>15:0</v>
      </c>
      <c r="F201" s="43" t="s">
        <v>245</v>
      </c>
      <c r="G201" s="43" t="s">
        <v>245</v>
      </c>
      <c r="H201" s="49" t="s">
        <v>121</v>
      </c>
      <c r="I201" s="45" t="s">
        <v>68</v>
      </c>
      <c r="J201" s="46" t="s">
        <v>36</v>
      </c>
      <c r="K201" s="47" t="s">
        <v>6</v>
      </c>
      <c r="L201" s="48"/>
      <c r="M201" s="96"/>
      <c r="N201" s="96"/>
      <c r="O201" s="96"/>
      <c r="P201" s="97"/>
      <c r="Q201" s="97"/>
      <c r="R201" s="75"/>
      <c r="S201" s="75"/>
    </row>
    <row r="202" spans="1:19">
      <c r="A202" s="148" t="s">
        <v>206</v>
      </c>
      <c r="B202" s="149" t="str">
        <f t="shared" ref="B202" si="93">DEC2HEX(P202*4)</f>
        <v>54</v>
      </c>
      <c r="C202" s="52" t="s">
        <v>454</v>
      </c>
      <c r="D202" s="80" t="str">
        <f>bitConcat1(F203:F207)</f>
        <v>32'b00000000101100110001100000100000</v>
      </c>
      <c r="E202" s="81"/>
      <c r="F202" s="81"/>
      <c r="G202" s="82"/>
      <c r="H202" s="53" t="s">
        <v>251</v>
      </c>
      <c r="I202" s="54"/>
      <c r="J202" s="83" t="str">
        <f>bitConcat1(G203:G207)</f>
        <v>32'b00000000000000000001100000000000</v>
      </c>
      <c r="K202" s="84"/>
      <c r="L202" s="85"/>
      <c r="M202" s="95" t="str">
        <f t="shared" ref="M202" si="94">DEC2HEX(_xlfn.BITLSHIFT(O202,7)+4*P202)</f>
        <v>354</v>
      </c>
      <c r="N202" s="96" t="s">
        <v>97</v>
      </c>
      <c r="O202" s="96">
        <v>6</v>
      </c>
      <c r="P202" s="97">
        <v>21</v>
      </c>
      <c r="Q202" s="98" t="str">
        <f>DEC2HEX(_xlfn.BITLSHIFT(O202,5)+P202)</f>
        <v>D5</v>
      </c>
      <c r="R202" s="73" t="str">
        <f>BIN2HEX(LEFT(RIGHT(D202,32),4))&amp;BIN2HEX(LEFT(RIGHT(D202,28),4))&amp;BIN2HEX(LEFT(RIGHT(D202,24),4))&amp;BIN2HEX(LEFT(RIGHT(D202,20),4))&amp;BIN2HEX(LEFT(RIGHT(D202,16),4))&amp;BIN2HEX(LEFT(RIGHT(D202,12),4))&amp;BIN2HEX(LEFT(RIGHT(D202,8),4))&amp;BIN2HEX(LEFT(RIGHT(D202,4),4))</f>
        <v>00B31820</v>
      </c>
      <c r="S202" s="73" t="str">
        <f t="shared" ref="S202" si="95">BIN2HEX(LEFT(RIGHT(J202,32),4))&amp;BIN2HEX(LEFT(RIGHT(J202,28),4))&amp;BIN2HEX(LEFT(RIGHT(J202,24),4))&amp;BIN2HEX(LEFT(RIGHT(J202,20),4))&amp;BIN2HEX(LEFT(RIGHT(J202,16),4))&amp;BIN2HEX(LEFT(RIGHT(J202,12),4))&amp;BIN2HEX(LEFT(RIGHT(J202,8),4))&amp;BIN2HEX(LEFT(RIGHT(J202,4),4))</f>
        <v>00001800</v>
      </c>
    </row>
    <row r="203" spans="1:19">
      <c r="A203" s="148"/>
      <c r="B203" s="150"/>
      <c r="C203" s="36" t="s">
        <v>171</v>
      </c>
      <c r="D203" s="41">
        <v>8</v>
      </c>
      <c r="E203" s="42" t="str">
        <f>IF(D203&gt;1,(31)&amp;":"&amp;(31-D203+1),(31-D203+1)&amp;":"&amp;(31-D203+1))</f>
        <v>31:24</v>
      </c>
      <c r="F203" s="43" t="s">
        <v>115</v>
      </c>
      <c r="G203" s="43" t="s">
        <v>115</v>
      </c>
      <c r="H203" s="44" t="s">
        <v>442</v>
      </c>
      <c r="I203" s="45" t="s">
        <v>68</v>
      </c>
      <c r="J203" s="46" t="s">
        <v>36</v>
      </c>
      <c r="K203" s="47" t="s">
        <v>6</v>
      </c>
      <c r="L203" s="48"/>
      <c r="M203" s="96"/>
      <c r="N203" s="96"/>
      <c r="O203" s="96"/>
      <c r="P203" s="97"/>
      <c r="Q203" s="97"/>
      <c r="R203" s="74"/>
      <c r="S203" s="74"/>
    </row>
    <row r="204" spans="1:19" ht="15.75" customHeight="1">
      <c r="A204" s="148"/>
      <c r="B204" s="150"/>
      <c r="C204" s="36" t="s">
        <v>448</v>
      </c>
      <c r="D204" s="41">
        <v>8</v>
      </c>
      <c r="E204" s="50" t="str">
        <f>(MID(E203,SEARCH(":",E203)+1,2)-1) &amp; ":" &amp; (MID(E203,SEARCH(":",E203)+1,2)-D204)</f>
        <v>23:16</v>
      </c>
      <c r="F204" s="43" t="s">
        <v>460</v>
      </c>
      <c r="G204" s="43" t="s">
        <v>115</v>
      </c>
      <c r="H204" s="49" t="s">
        <v>445</v>
      </c>
      <c r="I204" s="45" t="s">
        <v>68</v>
      </c>
      <c r="J204" s="46" t="s">
        <v>36</v>
      </c>
      <c r="K204" s="47" t="s">
        <v>6</v>
      </c>
      <c r="L204" s="48"/>
      <c r="M204" s="96"/>
      <c r="N204" s="96"/>
      <c r="O204" s="96"/>
      <c r="P204" s="97"/>
      <c r="Q204" s="97"/>
      <c r="R204" s="74"/>
      <c r="S204" s="74"/>
    </row>
    <row r="205" spans="1:19">
      <c r="A205" s="148"/>
      <c r="B205" s="150"/>
      <c r="C205" s="36" t="s">
        <v>172</v>
      </c>
      <c r="D205" s="41">
        <v>10</v>
      </c>
      <c r="E205" s="50" t="str">
        <f t="shared" ref="E205:E207" si="96">(MID(E204,SEARCH(":",E204)+1,2)-1) &amp; ":" &amp; (MID(E204,SEARCH(":",E204)+1,2)-D205)</f>
        <v>15:6</v>
      </c>
      <c r="F205" s="43" t="s">
        <v>305</v>
      </c>
      <c r="G205" s="43" t="s">
        <v>305</v>
      </c>
      <c r="H205" s="44" t="s">
        <v>443</v>
      </c>
      <c r="I205" s="45" t="s">
        <v>68</v>
      </c>
      <c r="J205" s="46" t="s">
        <v>36</v>
      </c>
      <c r="K205" s="47" t="s">
        <v>6</v>
      </c>
      <c r="L205" s="48"/>
      <c r="M205" s="96"/>
      <c r="N205" s="96"/>
      <c r="O205" s="96"/>
      <c r="P205" s="97"/>
      <c r="Q205" s="97"/>
      <c r="R205" s="74"/>
      <c r="S205" s="74"/>
    </row>
    <row r="206" spans="1:19">
      <c r="A206" s="148"/>
      <c r="B206" s="150"/>
      <c r="C206" s="36" t="s">
        <v>457</v>
      </c>
      <c r="D206" s="41">
        <v>1</v>
      </c>
      <c r="E206" s="50" t="str">
        <f t="shared" si="96"/>
        <v>5:5</v>
      </c>
      <c r="F206" s="43" t="s">
        <v>84</v>
      </c>
      <c r="G206" s="43" t="s">
        <v>7</v>
      </c>
      <c r="H206" s="49" t="s">
        <v>440</v>
      </c>
      <c r="I206" s="45" t="s">
        <v>68</v>
      </c>
      <c r="J206" s="46" t="s">
        <v>36</v>
      </c>
      <c r="K206" s="47" t="s">
        <v>6</v>
      </c>
      <c r="L206" s="48"/>
      <c r="M206" s="96"/>
      <c r="N206" s="96"/>
      <c r="O206" s="96"/>
      <c r="P206" s="97"/>
      <c r="Q206" s="97"/>
      <c r="R206" s="74"/>
      <c r="S206" s="74"/>
    </row>
    <row r="207" spans="1:19" ht="15" thickBot="1">
      <c r="A207" s="148"/>
      <c r="B207" s="150"/>
      <c r="C207" s="36" t="s">
        <v>449</v>
      </c>
      <c r="D207" s="41">
        <v>5</v>
      </c>
      <c r="E207" s="50" t="str">
        <f t="shared" si="96"/>
        <v>4:0</v>
      </c>
      <c r="F207" s="43" t="s">
        <v>103</v>
      </c>
      <c r="G207" s="43" t="s">
        <v>103</v>
      </c>
      <c r="H207" s="49" t="s">
        <v>444</v>
      </c>
      <c r="I207" s="45" t="s">
        <v>68</v>
      </c>
      <c r="J207" s="46" t="s">
        <v>36</v>
      </c>
      <c r="K207" s="47" t="s">
        <v>6</v>
      </c>
      <c r="L207" s="48"/>
      <c r="M207" s="96"/>
      <c r="N207" s="96"/>
      <c r="O207" s="96"/>
      <c r="P207" s="97"/>
      <c r="Q207" s="97"/>
      <c r="R207" s="75"/>
      <c r="S207" s="75"/>
    </row>
    <row r="208" spans="1:19">
      <c r="A208" s="151" t="s">
        <v>207</v>
      </c>
      <c r="B208" s="149" t="str">
        <f t="shared" ref="B208" si="97">DEC2HEX(P208*4)</f>
        <v>58</v>
      </c>
      <c r="C208" s="52" t="s">
        <v>454</v>
      </c>
      <c r="D208" s="80" t="str">
        <f>bitConcat1(F209:F212)</f>
        <v>32'b00000000000000000000000000000000</v>
      </c>
      <c r="E208" s="81"/>
      <c r="F208" s="81"/>
      <c r="G208" s="82"/>
      <c r="H208" s="53" t="s">
        <v>251</v>
      </c>
      <c r="I208" s="54"/>
      <c r="J208" s="83" t="str">
        <f>bitConcat1(G209:G212)</f>
        <v>32'b00000000000000000000000000000000</v>
      </c>
      <c r="K208" s="84"/>
      <c r="L208" s="85"/>
      <c r="M208" s="95" t="str">
        <f t="shared" ref="M208" si="98">DEC2HEX(_xlfn.BITLSHIFT(O208,7)+4*P208)</f>
        <v>358</v>
      </c>
      <c r="N208" s="95" t="s">
        <v>97</v>
      </c>
      <c r="O208" s="95">
        <v>6</v>
      </c>
      <c r="P208" s="98">
        <v>22</v>
      </c>
      <c r="Q208" s="98" t="str">
        <f>DEC2HEX(_xlfn.BITLSHIFT(O208,5)+P208)</f>
        <v>D6</v>
      </c>
      <c r="R208" s="73" t="str">
        <f>BIN2HEX(LEFT(RIGHT(D208,32),4))&amp;BIN2HEX(LEFT(RIGHT(D208,28),4))&amp;BIN2HEX(LEFT(RIGHT(D208,24),4))&amp;BIN2HEX(LEFT(RIGHT(D208,20),4))&amp;BIN2HEX(LEFT(RIGHT(D208,16),4))&amp;BIN2HEX(LEFT(RIGHT(D208,12),4))&amp;BIN2HEX(LEFT(RIGHT(D208,8),4))&amp;BIN2HEX(LEFT(RIGHT(D208,4),4))</f>
        <v>00000000</v>
      </c>
      <c r="S208" s="73" t="str">
        <f t="shared" ref="S208" si="99">BIN2HEX(LEFT(RIGHT(J208,32),4))&amp;BIN2HEX(LEFT(RIGHT(J208,28),4))&amp;BIN2HEX(LEFT(RIGHT(J208,24),4))&amp;BIN2HEX(LEFT(RIGHT(J208,20),4))&amp;BIN2HEX(LEFT(RIGHT(J208,16),4))&amp;BIN2HEX(LEFT(RIGHT(J208,12),4))&amp;BIN2HEX(LEFT(RIGHT(J208,8),4))&amp;BIN2HEX(LEFT(RIGHT(J208,4),4))</f>
        <v>00000000</v>
      </c>
    </row>
    <row r="209" spans="1:19" ht="15.75" customHeight="1">
      <c r="A209" s="148"/>
      <c r="B209" s="150"/>
      <c r="C209" s="36" t="s">
        <v>178</v>
      </c>
      <c r="D209" s="41">
        <v>8</v>
      </c>
      <c r="E209" s="42" t="str">
        <f>IF(D209&gt;1,(31)&amp;":"&amp;(31-D209+1),(31-D209+1)&amp;":"&amp;(31-D209+1))</f>
        <v>31:24</v>
      </c>
      <c r="F209" s="43" t="s">
        <v>115</v>
      </c>
      <c r="G209" s="43" t="s">
        <v>115</v>
      </c>
      <c r="H209" s="44" t="s">
        <v>158</v>
      </c>
      <c r="I209" s="45" t="s">
        <v>68</v>
      </c>
      <c r="J209" s="46" t="s">
        <v>36</v>
      </c>
      <c r="K209" s="47" t="s">
        <v>6</v>
      </c>
      <c r="L209" s="48"/>
      <c r="M209" s="96"/>
      <c r="N209" s="96"/>
      <c r="O209" s="96"/>
      <c r="P209" s="97"/>
      <c r="Q209" s="97"/>
      <c r="R209" s="74"/>
      <c r="S209" s="74"/>
    </row>
    <row r="210" spans="1:19" ht="15.75" customHeight="1">
      <c r="A210" s="148"/>
      <c r="B210" s="150"/>
      <c r="C210" s="36" t="s">
        <v>179</v>
      </c>
      <c r="D210" s="41">
        <v>8</v>
      </c>
      <c r="E210" s="50" t="str">
        <f t="shared" ref="E210" si="100">(MID(E209,SEARCH(":",E209)+1,2)-1) &amp; ":" &amp; (MID(E209,SEARCH(":",E209)+1,2)-D210)</f>
        <v>23:16</v>
      </c>
      <c r="F210" s="43" t="s">
        <v>115</v>
      </c>
      <c r="G210" s="43" t="s">
        <v>115</v>
      </c>
      <c r="H210" s="44" t="s">
        <v>159</v>
      </c>
      <c r="I210" s="45" t="s">
        <v>68</v>
      </c>
      <c r="J210" s="46" t="s">
        <v>36</v>
      </c>
      <c r="K210" s="47" t="s">
        <v>6</v>
      </c>
      <c r="L210" s="48"/>
      <c r="M210" s="96"/>
      <c r="N210" s="96"/>
      <c r="O210" s="96"/>
      <c r="P210" s="97"/>
      <c r="Q210" s="97"/>
      <c r="R210" s="74"/>
      <c r="S210" s="74"/>
    </row>
    <row r="211" spans="1:19" ht="15.75" customHeight="1">
      <c r="A211" s="148"/>
      <c r="B211" s="150"/>
      <c r="C211" s="36" t="s">
        <v>176</v>
      </c>
      <c r="D211" s="41">
        <v>8</v>
      </c>
      <c r="E211" s="50" t="str">
        <f>(MID(E210,SEARCH(":",E210)+1,2)-1) &amp; ":" &amp; (MID(E210,SEARCH(":",E210)+1,2)-D211)</f>
        <v>15:8</v>
      </c>
      <c r="F211" s="43" t="s">
        <v>115</v>
      </c>
      <c r="G211" s="43" t="s">
        <v>115</v>
      </c>
      <c r="H211" s="44" t="s">
        <v>151</v>
      </c>
      <c r="I211" s="45" t="s">
        <v>68</v>
      </c>
      <c r="J211" s="46" t="s">
        <v>36</v>
      </c>
      <c r="K211" s="47" t="s">
        <v>6</v>
      </c>
      <c r="L211" s="48"/>
      <c r="M211" s="96"/>
      <c r="N211" s="96"/>
      <c r="O211" s="96"/>
      <c r="P211" s="97"/>
      <c r="Q211" s="97"/>
      <c r="R211" s="74"/>
      <c r="S211" s="74"/>
    </row>
    <row r="212" spans="1:19" ht="15" thickBot="1">
      <c r="A212" s="148"/>
      <c r="B212" s="150"/>
      <c r="C212" s="36" t="s">
        <v>177</v>
      </c>
      <c r="D212" s="41">
        <v>8</v>
      </c>
      <c r="E212" s="50" t="str">
        <f>(MID(E211,SEARCH(":",E211)+1,2)-1) &amp; ":" &amp; (MID(E211,SEARCH(":",E211)+1,2)-D212)</f>
        <v>7:0</v>
      </c>
      <c r="F212" s="43" t="s">
        <v>115</v>
      </c>
      <c r="G212" s="43" t="s">
        <v>115</v>
      </c>
      <c r="H212" s="44" t="s">
        <v>160</v>
      </c>
      <c r="I212" s="45" t="s">
        <v>68</v>
      </c>
      <c r="J212" s="46" t="s">
        <v>36</v>
      </c>
      <c r="K212" s="47" t="s">
        <v>6</v>
      </c>
      <c r="L212" s="48"/>
      <c r="M212" s="96"/>
      <c r="N212" s="96"/>
      <c r="O212" s="96"/>
      <c r="P212" s="97"/>
      <c r="Q212" s="97"/>
      <c r="R212" s="75"/>
      <c r="S212" s="75"/>
    </row>
    <row r="213" spans="1:19">
      <c r="A213" s="148" t="s">
        <v>208</v>
      </c>
      <c r="B213" s="149" t="str">
        <f t="shared" ref="B213" si="101">DEC2HEX(P213*4)</f>
        <v>5C</v>
      </c>
      <c r="C213" s="52" t="s">
        <v>454</v>
      </c>
      <c r="D213" s="80" t="str">
        <f>bitConcat1(F214:F215)</f>
        <v>32'b00000000000000000000000000000000</v>
      </c>
      <c r="E213" s="81"/>
      <c r="F213" s="81"/>
      <c r="G213" s="82"/>
      <c r="H213" s="53" t="s">
        <v>251</v>
      </c>
      <c r="I213" s="54"/>
      <c r="J213" s="83" t="str">
        <f>bitConcat1(G214:G215)</f>
        <v>32'b00000000000000000000000000000000</v>
      </c>
      <c r="K213" s="84"/>
      <c r="L213" s="85"/>
      <c r="M213" s="95" t="str">
        <f t="shared" ref="M213" si="102">DEC2HEX(_xlfn.BITLSHIFT(O213,7)+4*P213)</f>
        <v>35C</v>
      </c>
      <c r="N213" s="96" t="s">
        <v>97</v>
      </c>
      <c r="O213" s="96">
        <v>6</v>
      </c>
      <c r="P213" s="97">
        <v>23</v>
      </c>
      <c r="Q213" s="98" t="str">
        <f>DEC2HEX(_xlfn.BITLSHIFT(O213,5)+P213)</f>
        <v>D7</v>
      </c>
      <c r="R213" s="73" t="str">
        <f>BIN2HEX(LEFT(RIGHT(D213,32),4))&amp;BIN2HEX(LEFT(RIGHT(D213,28),4))&amp;BIN2HEX(LEFT(RIGHT(D213,24),4))&amp;BIN2HEX(LEFT(RIGHT(D213,20),4))&amp;BIN2HEX(LEFT(RIGHT(D213,16),4))&amp;BIN2HEX(LEFT(RIGHT(D213,12),4))&amp;BIN2HEX(LEFT(RIGHT(D213,8),4))&amp;BIN2HEX(LEFT(RIGHT(D213,4),4))</f>
        <v>00000000</v>
      </c>
      <c r="S213" s="73" t="str">
        <f t="shared" ref="S213" si="103">BIN2HEX(LEFT(RIGHT(J213,32),4))&amp;BIN2HEX(LEFT(RIGHT(J213,28),4))&amp;BIN2HEX(LEFT(RIGHT(J213,24),4))&amp;BIN2HEX(LEFT(RIGHT(J213,20),4))&amp;BIN2HEX(LEFT(RIGHT(J213,16),4))&amp;BIN2HEX(LEFT(RIGHT(J213,12),4))&amp;BIN2HEX(LEFT(RIGHT(J213,8),4))&amp;BIN2HEX(LEFT(RIGHT(J213,4),4))</f>
        <v>00000000</v>
      </c>
    </row>
    <row r="214" spans="1:19">
      <c r="A214" s="148"/>
      <c r="B214" s="150"/>
      <c r="C214" s="36" t="s">
        <v>261</v>
      </c>
      <c r="D214" s="41">
        <v>16</v>
      </c>
      <c r="E214" s="42" t="str">
        <f>IF(D214&gt;1,(31)&amp;":"&amp;(31-D214+1),(31-D214+1)&amp;":"&amp;(31-D214+1))</f>
        <v>31:16</v>
      </c>
      <c r="F214" s="43" t="s">
        <v>245</v>
      </c>
      <c r="G214" s="43" t="s">
        <v>245</v>
      </c>
      <c r="H214" s="44" t="s">
        <v>262</v>
      </c>
      <c r="I214" s="45" t="s">
        <v>68</v>
      </c>
      <c r="J214" s="46" t="s">
        <v>36</v>
      </c>
      <c r="K214" s="47" t="s">
        <v>6</v>
      </c>
      <c r="L214" s="48"/>
      <c r="M214" s="96"/>
      <c r="N214" s="96"/>
      <c r="O214" s="96"/>
      <c r="P214" s="97"/>
      <c r="Q214" s="97"/>
      <c r="R214" s="74"/>
      <c r="S214" s="74"/>
    </row>
    <row r="215" spans="1:19" ht="15" thickBot="1">
      <c r="A215" s="148"/>
      <c r="B215" s="150"/>
      <c r="C215" s="36" t="s">
        <v>152</v>
      </c>
      <c r="D215" s="41">
        <v>16</v>
      </c>
      <c r="E215" s="50" t="str">
        <f>(MID(E214,SEARCH(":",E214)+1,2)-1) &amp; ":" &amp; (MID(E214,SEARCH(":",E214)+1,2)-D215)</f>
        <v>15:0</v>
      </c>
      <c r="F215" s="43" t="s">
        <v>245</v>
      </c>
      <c r="G215" s="43" t="s">
        <v>245</v>
      </c>
      <c r="H215" s="49" t="s">
        <v>121</v>
      </c>
      <c r="I215" s="45" t="s">
        <v>68</v>
      </c>
      <c r="J215" s="46" t="s">
        <v>36</v>
      </c>
      <c r="K215" s="47" t="s">
        <v>6</v>
      </c>
      <c r="L215" s="48"/>
      <c r="M215" s="96"/>
      <c r="N215" s="96"/>
      <c r="O215" s="96"/>
      <c r="P215" s="97"/>
      <c r="Q215" s="97"/>
      <c r="R215" s="75"/>
      <c r="S215" s="75"/>
    </row>
    <row r="216" spans="1:19">
      <c r="A216" s="148" t="s">
        <v>209</v>
      </c>
      <c r="B216" s="149" t="str">
        <f t="shared" ref="B216" si="104">DEC2HEX(P216*4)</f>
        <v>60</v>
      </c>
      <c r="C216" s="52" t="s">
        <v>454</v>
      </c>
      <c r="D216" s="80" t="str">
        <f>bitConcat1(F217:F221)</f>
        <v>32'b00000000101100110001100000100000</v>
      </c>
      <c r="E216" s="81"/>
      <c r="F216" s="81"/>
      <c r="G216" s="82"/>
      <c r="H216" s="53" t="s">
        <v>251</v>
      </c>
      <c r="I216" s="54"/>
      <c r="J216" s="83" t="str">
        <f>bitConcat1(G217:G221)</f>
        <v>32'b00000000000000000001100000000000</v>
      </c>
      <c r="K216" s="84"/>
      <c r="L216" s="85"/>
      <c r="M216" s="95" t="str">
        <f t="shared" ref="M216" si="105">DEC2HEX(_xlfn.BITLSHIFT(O216,7)+4*P216)</f>
        <v>360</v>
      </c>
      <c r="N216" s="96" t="s">
        <v>97</v>
      </c>
      <c r="O216" s="96">
        <v>6</v>
      </c>
      <c r="P216" s="97">
        <v>24</v>
      </c>
      <c r="Q216" s="98" t="str">
        <f t="shared" ref="Q216" si="106">DEC2HEX(_xlfn.BITLSHIFT(O216,5)+P216*4)</f>
        <v>120</v>
      </c>
      <c r="R216" s="73" t="str">
        <f>BIN2HEX(LEFT(RIGHT(D216,32),4))&amp;BIN2HEX(LEFT(RIGHT(D216,28),4))&amp;BIN2HEX(LEFT(RIGHT(D216,24),4))&amp;BIN2HEX(LEFT(RIGHT(D216,20),4))&amp;BIN2HEX(LEFT(RIGHT(D216,16),4))&amp;BIN2HEX(LEFT(RIGHT(D216,12),4))&amp;BIN2HEX(LEFT(RIGHT(D216,8),4))&amp;BIN2HEX(LEFT(RIGHT(D216,4),4))</f>
        <v>00B31820</v>
      </c>
      <c r="S216" s="73" t="str">
        <f t="shared" ref="S216" si="107">BIN2HEX(LEFT(RIGHT(J216,32),4))&amp;BIN2HEX(LEFT(RIGHT(J216,28),4))&amp;BIN2HEX(LEFT(RIGHT(J216,24),4))&amp;BIN2HEX(LEFT(RIGHT(J216,20),4))&amp;BIN2HEX(LEFT(RIGHT(J216,16),4))&amp;BIN2HEX(LEFT(RIGHT(J216,12),4))&amp;BIN2HEX(LEFT(RIGHT(J216,8),4))&amp;BIN2HEX(LEFT(RIGHT(J216,4),4))</f>
        <v>00001800</v>
      </c>
    </row>
    <row r="217" spans="1:19" ht="15.75" customHeight="1">
      <c r="A217" s="148"/>
      <c r="B217" s="150"/>
      <c r="C217" s="36" t="s">
        <v>180</v>
      </c>
      <c r="D217" s="41">
        <v>8</v>
      </c>
      <c r="E217" s="42" t="str">
        <f>IF(D217&gt;1,(31)&amp;":"&amp;(31-D217+1),(31-D217+1)&amp;":"&amp;(31-D217+1))</f>
        <v>31:24</v>
      </c>
      <c r="F217" s="43" t="s">
        <v>115</v>
      </c>
      <c r="G217" s="43" t="s">
        <v>115</v>
      </c>
      <c r="H217" s="44" t="s">
        <v>442</v>
      </c>
      <c r="I217" s="45" t="s">
        <v>68</v>
      </c>
      <c r="J217" s="46" t="s">
        <v>36</v>
      </c>
      <c r="K217" s="47" t="s">
        <v>6</v>
      </c>
      <c r="L217" s="48"/>
      <c r="M217" s="96"/>
      <c r="N217" s="96"/>
      <c r="O217" s="96"/>
      <c r="P217" s="97"/>
      <c r="Q217" s="97"/>
      <c r="R217" s="74"/>
      <c r="S217" s="74"/>
    </row>
    <row r="218" spans="1:19">
      <c r="A218" s="148"/>
      <c r="B218" s="150"/>
      <c r="C218" s="36" t="s">
        <v>450</v>
      </c>
      <c r="D218" s="41">
        <v>8</v>
      </c>
      <c r="E218" s="50" t="str">
        <f>(MID(E217,SEARCH(":",E217)+1,2)-1) &amp; ":" &amp; (MID(E217,SEARCH(":",E217)+1,2)-D218)</f>
        <v>23:16</v>
      </c>
      <c r="F218" s="43" t="s">
        <v>460</v>
      </c>
      <c r="G218" s="43" t="s">
        <v>115</v>
      </c>
      <c r="H218" s="49" t="s">
        <v>445</v>
      </c>
      <c r="I218" s="45" t="s">
        <v>68</v>
      </c>
      <c r="J218" s="46" t="s">
        <v>36</v>
      </c>
      <c r="K218" s="47" t="s">
        <v>6</v>
      </c>
      <c r="L218" s="48"/>
      <c r="M218" s="96"/>
      <c r="N218" s="96"/>
      <c r="O218" s="96"/>
      <c r="P218" s="97"/>
      <c r="Q218" s="97"/>
      <c r="R218" s="74"/>
      <c r="S218" s="74"/>
    </row>
    <row r="219" spans="1:19">
      <c r="A219" s="148"/>
      <c r="B219" s="150"/>
      <c r="C219" s="36" t="s">
        <v>181</v>
      </c>
      <c r="D219" s="41">
        <v>10</v>
      </c>
      <c r="E219" s="50" t="str">
        <f t="shared" ref="E219:E221" si="108">(MID(E218,SEARCH(":",E218)+1,2)-1) &amp; ":" &amp; (MID(E218,SEARCH(":",E218)+1,2)-D219)</f>
        <v>15:6</v>
      </c>
      <c r="F219" s="43" t="s">
        <v>305</v>
      </c>
      <c r="G219" s="43" t="s">
        <v>305</v>
      </c>
      <c r="H219" s="44" t="s">
        <v>443</v>
      </c>
      <c r="I219" s="45" t="s">
        <v>68</v>
      </c>
      <c r="J219" s="46" t="s">
        <v>36</v>
      </c>
      <c r="K219" s="47" t="s">
        <v>6</v>
      </c>
      <c r="L219" s="48"/>
      <c r="M219" s="96"/>
      <c r="N219" s="96"/>
      <c r="O219" s="96"/>
      <c r="P219" s="97"/>
      <c r="Q219" s="97"/>
      <c r="R219" s="74"/>
      <c r="S219" s="74"/>
    </row>
    <row r="220" spans="1:19" ht="15.75" customHeight="1">
      <c r="A220" s="148"/>
      <c r="B220" s="150"/>
      <c r="C220" s="36" t="s">
        <v>458</v>
      </c>
      <c r="D220" s="41">
        <v>1</v>
      </c>
      <c r="E220" s="50" t="str">
        <f t="shared" si="108"/>
        <v>5:5</v>
      </c>
      <c r="F220" s="43" t="s">
        <v>84</v>
      </c>
      <c r="G220" s="43" t="s">
        <v>7</v>
      </c>
      <c r="H220" s="49" t="s">
        <v>440</v>
      </c>
      <c r="I220" s="45" t="s">
        <v>68</v>
      </c>
      <c r="J220" s="46" t="s">
        <v>36</v>
      </c>
      <c r="K220" s="47" t="s">
        <v>6</v>
      </c>
      <c r="L220" s="48"/>
      <c r="M220" s="96"/>
      <c r="N220" s="96"/>
      <c r="O220" s="96"/>
      <c r="P220" s="97"/>
      <c r="Q220" s="97"/>
      <c r="R220" s="74"/>
      <c r="S220" s="74"/>
    </row>
    <row r="221" spans="1:19" ht="15" thickBot="1">
      <c r="A221" s="148"/>
      <c r="B221" s="150"/>
      <c r="C221" s="36" t="s">
        <v>451</v>
      </c>
      <c r="D221" s="41">
        <v>5</v>
      </c>
      <c r="E221" s="50" t="str">
        <f t="shared" si="108"/>
        <v>4:0</v>
      </c>
      <c r="F221" s="43" t="s">
        <v>103</v>
      </c>
      <c r="G221" s="43" t="s">
        <v>103</v>
      </c>
      <c r="H221" s="49" t="s">
        <v>444</v>
      </c>
      <c r="I221" s="45" t="s">
        <v>68</v>
      </c>
      <c r="J221" s="46" t="s">
        <v>36</v>
      </c>
      <c r="K221" s="47" t="s">
        <v>6</v>
      </c>
      <c r="L221" s="48"/>
      <c r="M221" s="96"/>
      <c r="N221" s="96"/>
      <c r="O221" s="96"/>
      <c r="P221" s="97"/>
      <c r="Q221" s="97"/>
      <c r="R221" s="75"/>
      <c r="S221" s="75"/>
    </row>
    <row r="222" spans="1:19">
      <c r="A222" s="151" t="s">
        <v>210</v>
      </c>
      <c r="B222" s="149" t="str">
        <f t="shared" ref="B222" si="109">DEC2HEX(P222*4)</f>
        <v>64</v>
      </c>
      <c r="C222" s="52" t="s">
        <v>454</v>
      </c>
      <c r="D222" s="80" t="str">
        <f>bitConcat1(F223:F226)</f>
        <v>32'b00000000000000000000000000000000</v>
      </c>
      <c r="E222" s="81"/>
      <c r="F222" s="81"/>
      <c r="G222" s="82"/>
      <c r="H222" s="53" t="s">
        <v>251</v>
      </c>
      <c r="I222" s="54"/>
      <c r="J222" s="83" t="str">
        <f>bitConcat1(G223:G226)</f>
        <v>32'b00000000000000000000000000000000</v>
      </c>
      <c r="K222" s="84"/>
      <c r="L222" s="85"/>
      <c r="M222" s="95" t="str">
        <f t="shared" ref="M222" si="110">DEC2HEX(_xlfn.BITLSHIFT(O222,7)+4*P222)</f>
        <v>364</v>
      </c>
      <c r="N222" s="95" t="s">
        <v>97</v>
      </c>
      <c r="O222" s="95">
        <v>6</v>
      </c>
      <c r="P222" s="98">
        <v>25</v>
      </c>
      <c r="Q222" s="98" t="str">
        <f>DEC2HEX(_xlfn.BITLSHIFT(O222,5)+P222)</f>
        <v>D9</v>
      </c>
      <c r="R222" s="73" t="str">
        <f>BIN2HEX(LEFT(RIGHT(D222,32),4))&amp;BIN2HEX(LEFT(RIGHT(D222,28),4))&amp;BIN2HEX(LEFT(RIGHT(D222,24),4))&amp;BIN2HEX(LEFT(RIGHT(D222,20),4))&amp;BIN2HEX(LEFT(RIGHT(D222,16),4))&amp;BIN2HEX(LEFT(RIGHT(D222,12),4))&amp;BIN2HEX(LEFT(RIGHT(D222,8),4))&amp;BIN2HEX(LEFT(RIGHT(D222,4),4))</f>
        <v>00000000</v>
      </c>
      <c r="S222" s="73" t="str">
        <f t="shared" ref="S222" si="111">BIN2HEX(LEFT(RIGHT(J222,32),4))&amp;BIN2HEX(LEFT(RIGHT(J222,28),4))&amp;BIN2HEX(LEFT(RIGHT(J222,24),4))&amp;BIN2HEX(LEFT(RIGHT(J222,20),4))&amp;BIN2HEX(LEFT(RIGHT(J222,16),4))&amp;BIN2HEX(LEFT(RIGHT(J222,12),4))&amp;BIN2HEX(LEFT(RIGHT(J222,8),4))&amp;BIN2HEX(LEFT(RIGHT(J222,4),4))</f>
        <v>00000000</v>
      </c>
    </row>
    <row r="223" spans="1:19">
      <c r="A223" s="148"/>
      <c r="B223" s="150"/>
      <c r="C223" s="36" t="s">
        <v>187</v>
      </c>
      <c r="D223" s="41">
        <v>8</v>
      </c>
      <c r="E223" s="42" t="str">
        <f>IF(D223&gt;1,(31)&amp;":"&amp;(31-D223+1),(31-D223+1)&amp;":"&amp;(31-D223+1))</f>
        <v>31:24</v>
      </c>
      <c r="F223" s="43" t="s">
        <v>115</v>
      </c>
      <c r="G223" s="43" t="s">
        <v>115</v>
      </c>
      <c r="H223" s="44" t="s">
        <v>158</v>
      </c>
      <c r="I223" s="45" t="s">
        <v>68</v>
      </c>
      <c r="J223" s="46" t="s">
        <v>36</v>
      </c>
      <c r="K223" s="47" t="s">
        <v>6</v>
      </c>
      <c r="L223" s="48"/>
      <c r="M223" s="96"/>
      <c r="N223" s="96"/>
      <c r="O223" s="96"/>
      <c r="P223" s="97"/>
      <c r="Q223" s="97"/>
      <c r="R223" s="74"/>
      <c r="S223" s="74"/>
    </row>
    <row r="224" spans="1:19">
      <c r="A224" s="148"/>
      <c r="B224" s="150"/>
      <c r="C224" s="36" t="s">
        <v>188</v>
      </c>
      <c r="D224" s="41">
        <v>8</v>
      </c>
      <c r="E224" s="50" t="str">
        <f t="shared" ref="E224" si="112">(MID(E223,SEARCH(":",E223)+1,2)-1) &amp; ":" &amp; (MID(E223,SEARCH(":",E223)+1,2)-D224)</f>
        <v>23:16</v>
      </c>
      <c r="F224" s="43" t="s">
        <v>115</v>
      </c>
      <c r="G224" s="43" t="s">
        <v>115</v>
      </c>
      <c r="H224" s="44" t="s">
        <v>159</v>
      </c>
      <c r="I224" s="45" t="s">
        <v>68</v>
      </c>
      <c r="J224" s="46" t="s">
        <v>36</v>
      </c>
      <c r="K224" s="47" t="s">
        <v>6</v>
      </c>
      <c r="L224" s="48"/>
      <c r="M224" s="96"/>
      <c r="N224" s="96"/>
      <c r="O224" s="96"/>
      <c r="P224" s="97"/>
      <c r="Q224" s="97"/>
      <c r="R224" s="74"/>
      <c r="S224" s="74"/>
    </row>
    <row r="225" spans="1:19">
      <c r="A225" s="148"/>
      <c r="B225" s="150"/>
      <c r="C225" s="36" t="s">
        <v>185</v>
      </c>
      <c r="D225" s="41">
        <v>8</v>
      </c>
      <c r="E225" s="50" t="str">
        <f>(MID(E224,SEARCH(":",E224)+1,2)-1) &amp; ":" &amp; (MID(E224,SEARCH(":",E224)+1,2)-D225)</f>
        <v>15:8</v>
      </c>
      <c r="F225" s="43" t="s">
        <v>115</v>
      </c>
      <c r="G225" s="43" t="s">
        <v>115</v>
      </c>
      <c r="H225" s="44" t="s">
        <v>151</v>
      </c>
      <c r="I225" s="45" t="s">
        <v>68</v>
      </c>
      <c r="J225" s="46" t="s">
        <v>36</v>
      </c>
      <c r="K225" s="47" t="s">
        <v>6</v>
      </c>
      <c r="L225" s="48"/>
      <c r="M225" s="96"/>
      <c r="N225" s="96"/>
      <c r="O225" s="96"/>
      <c r="P225" s="97"/>
      <c r="Q225" s="97"/>
      <c r="R225" s="74"/>
      <c r="S225" s="74"/>
    </row>
    <row r="226" spans="1:19" ht="15.75" customHeight="1" thickBot="1">
      <c r="A226" s="148"/>
      <c r="B226" s="150"/>
      <c r="C226" s="36" t="s">
        <v>186</v>
      </c>
      <c r="D226" s="41">
        <v>8</v>
      </c>
      <c r="E226" s="50" t="str">
        <f>(MID(E225,SEARCH(":",E225)+1,2)-1) &amp; ":" &amp; (MID(E225,SEARCH(":",E225)+1,2)-D226)</f>
        <v>7:0</v>
      </c>
      <c r="F226" s="43" t="s">
        <v>115</v>
      </c>
      <c r="G226" s="43" t="s">
        <v>115</v>
      </c>
      <c r="H226" s="44" t="s">
        <v>160</v>
      </c>
      <c r="I226" s="45" t="s">
        <v>68</v>
      </c>
      <c r="J226" s="46" t="s">
        <v>36</v>
      </c>
      <c r="K226" s="47" t="s">
        <v>6</v>
      </c>
      <c r="L226" s="48"/>
      <c r="M226" s="96"/>
      <c r="N226" s="96"/>
      <c r="O226" s="96"/>
      <c r="P226" s="97"/>
      <c r="Q226" s="97"/>
      <c r="R226" s="75"/>
      <c r="S226" s="75"/>
    </row>
    <row r="227" spans="1:19">
      <c r="A227" s="148" t="s">
        <v>211</v>
      </c>
      <c r="B227" s="149" t="str">
        <f t="shared" ref="B227" si="113">DEC2HEX(P227*4)</f>
        <v>68</v>
      </c>
      <c r="C227" s="52" t="s">
        <v>454</v>
      </c>
      <c r="D227" s="80" t="str">
        <f>bitConcat1(F228:F229)</f>
        <v>32'b00000000000000000000000000000000</v>
      </c>
      <c r="E227" s="81"/>
      <c r="F227" s="81"/>
      <c r="G227" s="82"/>
      <c r="H227" s="53" t="s">
        <v>251</v>
      </c>
      <c r="I227" s="54"/>
      <c r="J227" s="83" t="str">
        <f>bitConcat1(G228:G229)</f>
        <v>32'b00000000000000000000000000000000</v>
      </c>
      <c r="K227" s="84"/>
      <c r="L227" s="85"/>
      <c r="M227" s="95" t="str">
        <f t="shared" ref="M227" si="114">DEC2HEX(_xlfn.BITLSHIFT(O227,7)+4*P227)</f>
        <v>368</v>
      </c>
      <c r="N227" s="96" t="s">
        <v>97</v>
      </c>
      <c r="O227" s="96">
        <v>6</v>
      </c>
      <c r="P227" s="97">
        <v>26</v>
      </c>
      <c r="Q227" s="98" t="str">
        <f>DEC2HEX(_xlfn.BITLSHIFT(O227,5)+P227)</f>
        <v>DA</v>
      </c>
      <c r="R227" s="73" t="str">
        <f>BIN2HEX(LEFT(RIGHT(D227,32),4))&amp;BIN2HEX(LEFT(RIGHT(D227,28),4))&amp;BIN2HEX(LEFT(RIGHT(D227,24),4))&amp;BIN2HEX(LEFT(RIGHT(D227,20),4))&amp;BIN2HEX(LEFT(RIGHT(D227,16),4))&amp;BIN2HEX(LEFT(RIGHT(D227,12),4))&amp;BIN2HEX(LEFT(RIGHT(D227,8),4))&amp;BIN2HEX(LEFT(RIGHT(D227,4),4))</f>
        <v>00000000</v>
      </c>
      <c r="S227" s="73" t="str">
        <f t="shared" ref="S227" si="115">BIN2HEX(LEFT(RIGHT(J227,32),4))&amp;BIN2HEX(LEFT(RIGHT(J227,28),4))&amp;BIN2HEX(LEFT(RIGHT(J227,24),4))&amp;BIN2HEX(LEFT(RIGHT(J227,20),4))&amp;BIN2HEX(LEFT(RIGHT(J227,16),4))&amp;BIN2HEX(LEFT(RIGHT(J227,12),4))&amp;BIN2HEX(LEFT(RIGHT(J227,8),4))&amp;BIN2HEX(LEFT(RIGHT(J227,4),4))</f>
        <v>00000000</v>
      </c>
    </row>
    <row r="228" spans="1:19">
      <c r="A228" s="148"/>
      <c r="B228" s="150"/>
      <c r="C228" s="36" t="s">
        <v>263</v>
      </c>
      <c r="D228" s="41">
        <v>16</v>
      </c>
      <c r="E228" s="42" t="str">
        <f>IF(D228&gt;1,(31)&amp;":"&amp;(31-D228+1),(31-D228+1)&amp;":"&amp;(31-D228+1))</f>
        <v>31:16</v>
      </c>
      <c r="F228" s="43" t="s">
        <v>245</v>
      </c>
      <c r="G228" s="43" t="s">
        <v>245</v>
      </c>
      <c r="H228" s="44" t="s">
        <v>264</v>
      </c>
      <c r="I228" s="45" t="s">
        <v>68</v>
      </c>
      <c r="J228" s="46" t="s">
        <v>36</v>
      </c>
      <c r="K228" s="47" t="s">
        <v>6</v>
      </c>
      <c r="L228" s="48"/>
      <c r="M228" s="96"/>
      <c r="N228" s="96"/>
      <c r="O228" s="96"/>
      <c r="P228" s="97"/>
      <c r="Q228" s="97"/>
      <c r="R228" s="74"/>
      <c r="S228" s="74"/>
    </row>
    <row r="229" spans="1:19" ht="15" thickBot="1">
      <c r="A229" s="148"/>
      <c r="B229" s="150"/>
      <c r="C229" s="36" t="s">
        <v>152</v>
      </c>
      <c r="D229" s="41">
        <v>16</v>
      </c>
      <c r="E229" s="50" t="str">
        <f>(MID(E228,SEARCH(":",E228)+1,2)-1) &amp; ":" &amp; (MID(E228,SEARCH(":",E228)+1,2)-D229)</f>
        <v>15:0</v>
      </c>
      <c r="F229" s="43" t="s">
        <v>245</v>
      </c>
      <c r="G229" s="43" t="s">
        <v>245</v>
      </c>
      <c r="H229" s="49" t="s">
        <v>121</v>
      </c>
      <c r="I229" s="45" t="s">
        <v>68</v>
      </c>
      <c r="J229" s="46" t="s">
        <v>36</v>
      </c>
      <c r="K229" s="47" t="s">
        <v>6</v>
      </c>
      <c r="L229" s="48"/>
      <c r="M229" s="96"/>
      <c r="N229" s="96"/>
      <c r="O229" s="96"/>
      <c r="P229" s="97"/>
      <c r="Q229" s="97"/>
      <c r="R229" s="75"/>
      <c r="S229" s="75"/>
    </row>
    <row r="230" spans="1:19">
      <c r="A230" s="148" t="s">
        <v>212</v>
      </c>
      <c r="B230" s="149" t="str">
        <f t="shared" ref="B230" si="116">DEC2HEX(P230*4)</f>
        <v>6C</v>
      </c>
      <c r="C230" s="52" t="s">
        <v>454</v>
      </c>
      <c r="D230" s="80" t="str">
        <f>bitConcat1(F231:F235)</f>
        <v>32'b00000000101100110001100000100000</v>
      </c>
      <c r="E230" s="81"/>
      <c r="F230" s="81"/>
      <c r="G230" s="82"/>
      <c r="H230" s="53" t="s">
        <v>251</v>
      </c>
      <c r="I230" s="54"/>
      <c r="J230" s="83" t="str">
        <f>bitConcat1(G231:G235)</f>
        <v>32'b00000000000000000001100000000000</v>
      </c>
      <c r="K230" s="84"/>
      <c r="L230" s="85"/>
      <c r="M230" s="95" t="str">
        <f t="shared" ref="M230" si="117">DEC2HEX(_xlfn.BITLSHIFT(O230,7)+4*P230)</f>
        <v>36C</v>
      </c>
      <c r="N230" s="96" t="s">
        <v>97</v>
      </c>
      <c r="O230" s="96">
        <v>6</v>
      </c>
      <c r="P230" s="97">
        <v>27</v>
      </c>
      <c r="Q230" s="98" t="str">
        <f>DEC2HEX(_xlfn.BITLSHIFT(O230,5)+P230)</f>
        <v>DB</v>
      </c>
      <c r="R230" s="73" t="str">
        <f>BIN2HEX(LEFT(RIGHT(D230,32),4))&amp;BIN2HEX(LEFT(RIGHT(D230,28),4))&amp;BIN2HEX(LEFT(RIGHT(D230,24),4))&amp;BIN2HEX(LEFT(RIGHT(D230,20),4))&amp;BIN2HEX(LEFT(RIGHT(D230,16),4))&amp;BIN2HEX(LEFT(RIGHT(D230,12),4))&amp;BIN2HEX(LEFT(RIGHT(D230,8),4))&amp;BIN2HEX(LEFT(RIGHT(D230,4),4))</f>
        <v>00B31820</v>
      </c>
      <c r="S230" s="73" t="str">
        <f t="shared" ref="S230" si="118">BIN2HEX(LEFT(RIGHT(J230,32),4))&amp;BIN2HEX(LEFT(RIGHT(J230,28),4))&amp;BIN2HEX(LEFT(RIGHT(J230,24),4))&amp;BIN2HEX(LEFT(RIGHT(J230,20),4))&amp;BIN2HEX(LEFT(RIGHT(J230,16),4))&amp;BIN2HEX(LEFT(RIGHT(J230,12),4))&amp;BIN2HEX(LEFT(RIGHT(J230,8),4))&amp;BIN2HEX(LEFT(RIGHT(J230,4),4))</f>
        <v>00001800</v>
      </c>
    </row>
    <row r="231" spans="1:19" ht="15.75" customHeight="1">
      <c r="A231" s="148"/>
      <c r="B231" s="150"/>
      <c r="C231" s="36" t="s">
        <v>189</v>
      </c>
      <c r="D231" s="41">
        <v>8</v>
      </c>
      <c r="E231" s="42" t="str">
        <f>IF(D231&gt;1,(31)&amp;":"&amp;(31-D231+1),(31-D231+1)&amp;":"&amp;(31-D231+1))</f>
        <v>31:24</v>
      </c>
      <c r="F231" s="43" t="s">
        <v>115</v>
      </c>
      <c r="G231" s="43" t="s">
        <v>115</v>
      </c>
      <c r="H231" s="44" t="s">
        <v>442</v>
      </c>
      <c r="I231" s="45" t="s">
        <v>68</v>
      </c>
      <c r="J231" s="46" t="s">
        <v>36</v>
      </c>
      <c r="K231" s="47" t="s">
        <v>6</v>
      </c>
      <c r="L231" s="48"/>
      <c r="M231" s="96"/>
      <c r="N231" s="96"/>
      <c r="O231" s="96"/>
      <c r="P231" s="97"/>
      <c r="Q231" s="97"/>
      <c r="R231" s="74"/>
      <c r="S231" s="74"/>
    </row>
    <row r="232" spans="1:19" ht="15.75" customHeight="1">
      <c r="A232" s="148"/>
      <c r="B232" s="150"/>
      <c r="C232" s="36" t="s">
        <v>452</v>
      </c>
      <c r="D232" s="41">
        <v>8</v>
      </c>
      <c r="E232" s="50" t="str">
        <f>(MID(E231,SEARCH(":",E231)+1,2)-1) &amp; ":" &amp; (MID(E231,SEARCH(":",E231)+1,2)-D232)</f>
        <v>23:16</v>
      </c>
      <c r="F232" s="43" t="s">
        <v>460</v>
      </c>
      <c r="G232" s="43" t="s">
        <v>115</v>
      </c>
      <c r="H232" s="49" t="s">
        <v>445</v>
      </c>
      <c r="I232" s="45" t="s">
        <v>68</v>
      </c>
      <c r="J232" s="46" t="s">
        <v>36</v>
      </c>
      <c r="K232" s="47" t="s">
        <v>6</v>
      </c>
      <c r="L232" s="48"/>
      <c r="M232" s="96"/>
      <c r="N232" s="96"/>
      <c r="O232" s="96"/>
      <c r="P232" s="97"/>
      <c r="Q232" s="97"/>
      <c r="R232" s="74"/>
      <c r="S232" s="74"/>
    </row>
    <row r="233" spans="1:19" ht="15.75" customHeight="1">
      <c r="A233" s="148"/>
      <c r="B233" s="150"/>
      <c r="C233" s="36" t="s">
        <v>190</v>
      </c>
      <c r="D233" s="41">
        <v>10</v>
      </c>
      <c r="E233" s="50" t="str">
        <f t="shared" ref="E233:E235" si="119">(MID(E232,SEARCH(":",E232)+1,2)-1) &amp; ":" &amp; (MID(E232,SEARCH(":",E232)+1,2)-D233)</f>
        <v>15:6</v>
      </c>
      <c r="F233" s="43" t="s">
        <v>305</v>
      </c>
      <c r="G233" s="43" t="s">
        <v>305</v>
      </c>
      <c r="H233" s="44" t="s">
        <v>443</v>
      </c>
      <c r="I233" s="45" t="s">
        <v>68</v>
      </c>
      <c r="J233" s="46" t="s">
        <v>36</v>
      </c>
      <c r="K233" s="47" t="s">
        <v>6</v>
      </c>
      <c r="L233" s="48"/>
      <c r="M233" s="96"/>
      <c r="N233" s="96"/>
      <c r="O233" s="96"/>
      <c r="P233" s="97"/>
      <c r="Q233" s="97"/>
      <c r="R233" s="74"/>
      <c r="S233" s="74"/>
    </row>
    <row r="234" spans="1:19">
      <c r="A234" s="148"/>
      <c r="B234" s="150"/>
      <c r="C234" s="36" t="s">
        <v>459</v>
      </c>
      <c r="D234" s="41">
        <v>1</v>
      </c>
      <c r="E234" s="50" t="str">
        <f t="shared" si="119"/>
        <v>5:5</v>
      </c>
      <c r="F234" s="43" t="s">
        <v>84</v>
      </c>
      <c r="G234" s="43" t="s">
        <v>7</v>
      </c>
      <c r="H234" s="49" t="s">
        <v>440</v>
      </c>
      <c r="I234" s="45" t="s">
        <v>68</v>
      </c>
      <c r="J234" s="46" t="s">
        <v>36</v>
      </c>
      <c r="K234" s="47" t="s">
        <v>6</v>
      </c>
      <c r="L234" s="48"/>
      <c r="M234" s="96"/>
      <c r="N234" s="96"/>
      <c r="O234" s="96"/>
      <c r="P234" s="97"/>
      <c r="Q234" s="97"/>
      <c r="R234" s="74"/>
      <c r="S234" s="74"/>
    </row>
    <row r="235" spans="1:19" ht="15" thickBot="1">
      <c r="A235" s="148"/>
      <c r="B235" s="150"/>
      <c r="C235" s="36" t="s">
        <v>453</v>
      </c>
      <c r="D235" s="41">
        <v>5</v>
      </c>
      <c r="E235" s="50" t="str">
        <f t="shared" si="119"/>
        <v>4:0</v>
      </c>
      <c r="F235" s="43" t="s">
        <v>103</v>
      </c>
      <c r="G235" s="43" t="s">
        <v>103</v>
      </c>
      <c r="H235" s="49" t="s">
        <v>444</v>
      </c>
      <c r="I235" s="45" t="s">
        <v>68</v>
      </c>
      <c r="J235" s="46" t="s">
        <v>36</v>
      </c>
      <c r="K235" s="47" t="s">
        <v>6</v>
      </c>
      <c r="L235" s="48"/>
      <c r="M235" s="96"/>
      <c r="N235" s="96"/>
      <c r="O235" s="96"/>
      <c r="P235" s="97"/>
      <c r="Q235" s="97"/>
      <c r="R235" s="75"/>
      <c r="S235" s="75"/>
    </row>
    <row r="236" spans="1:19">
      <c r="A236" s="152" t="s">
        <v>213</v>
      </c>
      <c r="B236" s="154" t="str">
        <f t="shared" ref="B236" si="120">DEC2HEX(P236*4)</f>
        <v>70</v>
      </c>
      <c r="C236" s="52" t="s">
        <v>454</v>
      </c>
      <c r="D236" s="80" t="str">
        <f>bitConcat1(F237:F244)</f>
        <v>32'b11110111110101001011000101001111</v>
      </c>
      <c r="E236" s="81"/>
      <c r="F236" s="81"/>
      <c r="G236" s="82"/>
      <c r="H236" s="53" t="s">
        <v>251</v>
      </c>
      <c r="I236" s="54"/>
      <c r="J236" s="83" t="str">
        <f>bitConcat1(G237:G244)</f>
        <v>32'b11110111111110001000000010001111</v>
      </c>
      <c r="K236" s="84"/>
      <c r="L236" s="85"/>
      <c r="M236" s="70" t="str">
        <f t="shared" ref="M236" si="121">DEC2HEX(_xlfn.BITLSHIFT(O236,7)+4*P236)</f>
        <v>370</v>
      </c>
      <c r="N236" s="86" t="s">
        <v>97</v>
      </c>
      <c r="O236" s="86">
        <v>6</v>
      </c>
      <c r="P236" s="87">
        <v>28</v>
      </c>
      <c r="Q236" s="73" t="str">
        <f>DEC2HEX(_xlfn.BITLSHIFT(O236,5)+P236)</f>
        <v>DC</v>
      </c>
      <c r="R236" s="73" t="str">
        <f>BIN2HEX(LEFT(RIGHT(D236,32),4))&amp;BIN2HEX(LEFT(RIGHT(D236,28),4))&amp;BIN2HEX(LEFT(RIGHT(D236,24),4))&amp;BIN2HEX(LEFT(RIGHT(D236,20),4))&amp;BIN2HEX(LEFT(RIGHT(D236,16),4))&amp;BIN2HEX(LEFT(RIGHT(D236,12),4))&amp;BIN2HEX(LEFT(RIGHT(D236,8),4))&amp;BIN2HEX(LEFT(RIGHT(D236,4),4))</f>
        <v>F7D4B14F</v>
      </c>
      <c r="S236" s="73" t="str">
        <f t="shared" ref="S236" si="122">BIN2HEX(LEFT(RIGHT(J236,32),4))&amp;BIN2HEX(LEFT(RIGHT(J236,28),4))&amp;BIN2HEX(LEFT(RIGHT(J236,24),4))&amp;BIN2HEX(LEFT(RIGHT(J236,20),4))&amp;BIN2HEX(LEFT(RIGHT(J236,16),4))&amp;BIN2HEX(LEFT(RIGHT(J236,12),4))&amp;BIN2HEX(LEFT(RIGHT(J236,8),4))&amp;BIN2HEX(LEFT(RIGHT(J236,4),4))</f>
        <v>F7F8808F</v>
      </c>
    </row>
    <row r="237" spans="1:19">
      <c r="A237" s="153"/>
      <c r="B237" s="155"/>
      <c r="C237" s="36" t="s">
        <v>342</v>
      </c>
      <c r="D237" s="41">
        <v>4</v>
      </c>
      <c r="E237" s="42" t="str">
        <f>IF(D237&gt;1,(31)&amp;":"&amp;(31-D237+1),(31-D237+1)&amp;":"&amp;(31-D237+1))</f>
        <v>31:28</v>
      </c>
      <c r="F237" s="43" t="s">
        <v>317</v>
      </c>
      <c r="G237" s="43" t="s">
        <v>317</v>
      </c>
      <c r="H237" s="44" t="s">
        <v>312</v>
      </c>
      <c r="I237" s="45" t="s">
        <v>68</v>
      </c>
      <c r="J237" s="46" t="s">
        <v>36</v>
      </c>
      <c r="K237" s="47" t="s">
        <v>6</v>
      </c>
      <c r="L237" s="48"/>
      <c r="M237" s="71"/>
      <c r="N237" s="71"/>
      <c r="O237" s="71"/>
      <c r="P237" s="88"/>
      <c r="Q237" s="74"/>
      <c r="R237" s="74"/>
      <c r="S237" s="74"/>
    </row>
    <row r="238" spans="1:19">
      <c r="A238" s="153"/>
      <c r="B238" s="155"/>
      <c r="C238" s="36" t="s">
        <v>343</v>
      </c>
      <c r="D238" s="41">
        <v>4</v>
      </c>
      <c r="E238" s="50" t="str">
        <f>(MID(E237,SEARCH(":",E237)+1,2)-1) &amp; ":" &amp; (MID(E237,SEARCH(":",E237)+1,2)-D238)</f>
        <v>27:24</v>
      </c>
      <c r="F238" s="43" t="s">
        <v>318</v>
      </c>
      <c r="G238" s="43" t="s">
        <v>318</v>
      </c>
      <c r="H238" s="49" t="s">
        <v>191</v>
      </c>
      <c r="I238" s="45" t="s">
        <v>68</v>
      </c>
      <c r="J238" s="46" t="s">
        <v>36</v>
      </c>
      <c r="K238" s="47" t="s">
        <v>6</v>
      </c>
      <c r="L238" s="48"/>
      <c r="M238" s="71"/>
      <c r="N238" s="71"/>
      <c r="O238" s="71"/>
      <c r="P238" s="88"/>
      <c r="Q238" s="74"/>
      <c r="R238" s="74"/>
      <c r="S238" s="74"/>
    </row>
    <row r="239" spans="1:19" ht="15.75" customHeight="1">
      <c r="A239" s="153"/>
      <c r="B239" s="155"/>
      <c r="C239" s="36" t="s">
        <v>344</v>
      </c>
      <c r="D239" s="41">
        <v>4</v>
      </c>
      <c r="E239" s="50" t="str">
        <f t="shared" ref="E239:E242" si="123">(MID(E238,SEARCH(":",E238)+1,2)-1) &amp; ":" &amp; (MID(E238,SEARCH(":",E238)+1,2)-D239)</f>
        <v>23:20</v>
      </c>
      <c r="F239" s="43" t="s">
        <v>474</v>
      </c>
      <c r="G239" s="43" t="s">
        <v>317</v>
      </c>
      <c r="H239" s="49" t="s">
        <v>315</v>
      </c>
      <c r="I239" s="45" t="s">
        <v>68</v>
      </c>
      <c r="J239" s="46" t="s">
        <v>36</v>
      </c>
      <c r="K239" s="47" t="s">
        <v>6</v>
      </c>
      <c r="L239" s="48"/>
      <c r="M239" s="71"/>
      <c r="N239" s="71"/>
      <c r="O239" s="71"/>
      <c r="P239" s="88"/>
      <c r="Q239" s="74"/>
      <c r="R239" s="74"/>
      <c r="S239" s="74"/>
    </row>
    <row r="240" spans="1:19">
      <c r="A240" s="153"/>
      <c r="B240" s="155"/>
      <c r="C240" s="36" t="s">
        <v>345</v>
      </c>
      <c r="D240" s="41">
        <v>4</v>
      </c>
      <c r="E240" s="50" t="str">
        <f t="shared" si="123"/>
        <v>19:16</v>
      </c>
      <c r="F240" s="43" t="s">
        <v>472</v>
      </c>
      <c r="G240" s="43" t="s">
        <v>319</v>
      </c>
      <c r="H240" s="49" t="s">
        <v>314</v>
      </c>
      <c r="I240" s="45" t="s">
        <v>68</v>
      </c>
      <c r="J240" s="46" t="s">
        <v>36</v>
      </c>
      <c r="K240" s="47" t="s">
        <v>6</v>
      </c>
      <c r="L240" s="48"/>
      <c r="M240" s="71"/>
      <c r="N240" s="71"/>
      <c r="O240" s="71"/>
      <c r="P240" s="88"/>
      <c r="Q240" s="74"/>
      <c r="R240" s="74"/>
      <c r="S240" s="74"/>
    </row>
    <row r="241" spans="1:19">
      <c r="A241" s="153"/>
      <c r="B241" s="155"/>
      <c r="C241" s="36" t="s">
        <v>346</v>
      </c>
      <c r="D241" s="41">
        <v>4</v>
      </c>
      <c r="E241" s="50" t="str">
        <f t="shared" si="123"/>
        <v>15:12</v>
      </c>
      <c r="F241" s="43" t="s">
        <v>473</v>
      </c>
      <c r="G241" s="43" t="s">
        <v>319</v>
      </c>
      <c r="H241" s="44" t="s">
        <v>193</v>
      </c>
      <c r="I241" s="45" t="s">
        <v>68</v>
      </c>
      <c r="J241" s="46" t="s">
        <v>36</v>
      </c>
      <c r="K241" s="47" t="s">
        <v>6</v>
      </c>
      <c r="L241" s="48"/>
      <c r="M241" s="71"/>
      <c r="N241" s="71"/>
      <c r="O241" s="71"/>
      <c r="P241" s="88"/>
      <c r="Q241" s="74"/>
      <c r="R241" s="74"/>
      <c r="S241" s="74"/>
    </row>
    <row r="242" spans="1:19">
      <c r="A242" s="153"/>
      <c r="B242" s="155"/>
      <c r="C242" s="36" t="s">
        <v>347</v>
      </c>
      <c r="D242" s="41">
        <v>4</v>
      </c>
      <c r="E242" s="50" t="str">
        <f t="shared" si="123"/>
        <v>11:8</v>
      </c>
      <c r="F242" s="43" t="s">
        <v>475</v>
      </c>
      <c r="G242" s="43" t="s">
        <v>320</v>
      </c>
      <c r="H242" s="44" t="s">
        <v>192</v>
      </c>
      <c r="I242" s="45" t="s">
        <v>68</v>
      </c>
      <c r="J242" s="46" t="s">
        <v>36</v>
      </c>
      <c r="K242" s="47" t="s">
        <v>6</v>
      </c>
      <c r="L242" s="48"/>
      <c r="M242" s="71"/>
      <c r="N242" s="71"/>
      <c r="O242" s="71"/>
      <c r="P242" s="88"/>
      <c r="Q242" s="74"/>
      <c r="R242" s="74"/>
      <c r="S242" s="74"/>
    </row>
    <row r="243" spans="1:19" ht="15.75" customHeight="1">
      <c r="A243" s="153"/>
      <c r="B243" s="155"/>
      <c r="C243" s="62" t="s">
        <v>348</v>
      </c>
      <c r="D243" s="41">
        <v>4</v>
      </c>
      <c r="E243" s="50" t="str">
        <f>(MID(E242,SEARCH(":",E242)+1,2)-1) &amp; ":" &amp; (MID(E242,SEARCH(":",E242)+1,2)-D243)</f>
        <v>7:4</v>
      </c>
      <c r="F243" s="43" t="s">
        <v>472</v>
      </c>
      <c r="G243" s="43" t="s">
        <v>319</v>
      </c>
      <c r="H243" s="62" t="s">
        <v>316</v>
      </c>
      <c r="I243" s="45" t="s">
        <v>68</v>
      </c>
      <c r="J243" s="46" t="s">
        <v>36</v>
      </c>
      <c r="K243" s="47" t="s">
        <v>6</v>
      </c>
      <c r="L243" s="48"/>
      <c r="M243" s="71"/>
      <c r="N243" s="71"/>
      <c r="O243" s="71"/>
      <c r="P243" s="88"/>
      <c r="Q243" s="74"/>
      <c r="R243" s="74"/>
      <c r="S243" s="74"/>
    </row>
    <row r="244" spans="1:19" ht="15" thickBot="1">
      <c r="A244" s="153"/>
      <c r="B244" s="155"/>
      <c r="C244" s="36" t="s">
        <v>152</v>
      </c>
      <c r="D244" s="41">
        <v>4</v>
      </c>
      <c r="E244" s="50" t="str">
        <f>(MID(E243,SEARCH(":",E243)+1,2)-1) &amp; ":" &amp; (MID(E243,SEARCH(":",E243)+1,2)-D244)</f>
        <v>3:0</v>
      </c>
      <c r="F244" s="51" t="s">
        <v>317</v>
      </c>
      <c r="G244" s="51" t="s">
        <v>317</v>
      </c>
      <c r="H244" s="44" t="s">
        <v>102</v>
      </c>
      <c r="I244" s="45" t="s">
        <v>68</v>
      </c>
      <c r="J244" s="46" t="s">
        <v>36</v>
      </c>
      <c r="K244" s="47" t="s">
        <v>6</v>
      </c>
      <c r="L244" s="48"/>
      <c r="M244" s="71"/>
      <c r="N244" s="71"/>
      <c r="O244" s="71"/>
      <c r="P244" s="88"/>
      <c r="Q244" s="74"/>
      <c r="R244" s="75"/>
      <c r="S244" s="75"/>
    </row>
    <row r="245" spans="1:19">
      <c r="A245" s="152" t="s">
        <v>220</v>
      </c>
      <c r="B245" s="154" t="str">
        <f t="shared" ref="B245" si="124">DEC2HEX(P245*4)</f>
        <v>74</v>
      </c>
      <c r="C245" s="52" t="s">
        <v>454</v>
      </c>
      <c r="D245" s="80" t="str">
        <f>bitConcat1(F246:F253)</f>
        <v>32'b11110111110101001011000101000000</v>
      </c>
      <c r="E245" s="81"/>
      <c r="F245" s="81"/>
      <c r="G245" s="82"/>
      <c r="H245" s="53" t="s">
        <v>251</v>
      </c>
      <c r="I245" s="54"/>
      <c r="J245" s="83" t="str">
        <f>bitConcat1(G246:G253)</f>
        <v>32'b11110111111110001000000010000000</v>
      </c>
      <c r="K245" s="84"/>
      <c r="L245" s="85"/>
      <c r="M245" s="70" t="str">
        <f t="shared" ref="M245" si="125">DEC2HEX(_xlfn.BITLSHIFT(O245,7)+4*P245)</f>
        <v>374</v>
      </c>
      <c r="N245" s="86" t="s">
        <v>97</v>
      </c>
      <c r="O245" s="86">
        <v>6</v>
      </c>
      <c r="P245" s="87">
        <v>29</v>
      </c>
      <c r="Q245" s="73" t="str">
        <f>DEC2HEX(_xlfn.BITLSHIFT(O245,5)+P245)</f>
        <v>DD</v>
      </c>
      <c r="R245" s="73" t="str">
        <f>BIN2HEX(LEFT(RIGHT(D245,32),4))&amp;BIN2HEX(LEFT(RIGHT(D245,28),4))&amp;BIN2HEX(LEFT(RIGHT(D245,24),4))&amp;BIN2HEX(LEFT(RIGHT(D245,20),4))&amp;BIN2HEX(LEFT(RIGHT(D245,16),4))&amp;BIN2HEX(LEFT(RIGHT(D245,12),4))&amp;BIN2HEX(LEFT(RIGHT(D245,8),4))&amp;BIN2HEX(LEFT(RIGHT(D245,4),4))</f>
        <v>F7D4B140</v>
      </c>
      <c r="S245" s="73" t="str">
        <f t="shared" ref="S245" si="126">BIN2HEX(LEFT(RIGHT(J245,32),4))&amp;BIN2HEX(LEFT(RIGHT(J245,28),4))&amp;BIN2HEX(LEFT(RIGHT(J245,24),4))&amp;BIN2HEX(LEFT(RIGHT(J245,20),4))&amp;BIN2HEX(LEFT(RIGHT(J245,16),4))&amp;BIN2HEX(LEFT(RIGHT(J245,12),4))&amp;BIN2HEX(LEFT(RIGHT(J245,8),4))&amp;BIN2HEX(LEFT(RIGHT(J245,4),4))</f>
        <v>F7F88080</v>
      </c>
    </row>
    <row r="246" spans="1:19">
      <c r="A246" s="153"/>
      <c r="B246" s="155"/>
      <c r="C246" s="36" t="s">
        <v>349</v>
      </c>
      <c r="D246" s="41">
        <v>4</v>
      </c>
      <c r="E246" s="42" t="str">
        <f>IF(D246&gt;1,(31)&amp;":"&amp;(31-D246+1),(31-D246+1)&amp;":"&amp;(31-D246+1))</f>
        <v>31:28</v>
      </c>
      <c r="F246" s="43" t="s">
        <v>317</v>
      </c>
      <c r="G246" s="43" t="s">
        <v>317</v>
      </c>
      <c r="H246" s="44" t="s">
        <v>312</v>
      </c>
      <c r="I246" s="45" t="s">
        <v>68</v>
      </c>
      <c r="J246" s="46" t="s">
        <v>36</v>
      </c>
      <c r="K246" s="47" t="s">
        <v>6</v>
      </c>
      <c r="L246" s="48"/>
      <c r="M246" s="71"/>
      <c r="N246" s="71"/>
      <c r="O246" s="71"/>
      <c r="P246" s="88"/>
      <c r="Q246" s="74"/>
      <c r="R246" s="74"/>
      <c r="S246" s="74"/>
    </row>
    <row r="247" spans="1:19">
      <c r="A247" s="153"/>
      <c r="B247" s="155"/>
      <c r="C247" s="36" t="s">
        <v>350</v>
      </c>
      <c r="D247" s="41">
        <v>4</v>
      </c>
      <c r="E247" s="50" t="str">
        <f>(MID(E246,SEARCH(":",E246)+1,2)-1) &amp; ":" &amp; (MID(E246,SEARCH(":",E246)+1,2)-D247)</f>
        <v>27:24</v>
      </c>
      <c r="F247" s="43" t="s">
        <v>318</v>
      </c>
      <c r="G247" s="43" t="s">
        <v>318</v>
      </c>
      <c r="H247" s="49" t="s">
        <v>191</v>
      </c>
      <c r="I247" s="45" t="s">
        <v>68</v>
      </c>
      <c r="J247" s="46" t="s">
        <v>36</v>
      </c>
      <c r="K247" s="47" t="s">
        <v>6</v>
      </c>
      <c r="L247" s="48"/>
      <c r="M247" s="71"/>
      <c r="N247" s="71"/>
      <c r="O247" s="71"/>
      <c r="P247" s="88"/>
      <c r="Q247" s="74"/>
      <c r="R247" s="74"/>
      <c r="S247" s="74"/>
    </row>
    <row r="248" spans="1:19">
      <c r="A248" s="153"/>
      <c r="B248" s="155"/>
      <c r="C248" s="36" t="s">
        <v>351</v>
      </c>
      <c r="D248" s="41">
        <v>4</v>
      </c>
      <c r="E248" s="50" t="str">
        <f t="shared" ref="E248:E251" si="127">(MID(E247,SEARCH(":",E247)+1,2)-1) &amp; ":" &amp; (MID(E247,SEARCH(":",E247)+1,2)-D248)</f>
        <v>23:20</v>
      </c>
      <c r="F248" s="43" t="s">
        <v>474</v>
      </c>
      <c r="G248" s="43" t="s">
        <v>317</v>
      </c>
      <c r="H248" s="49" t="s">
        <v>315</v>
      </c>
      <c r="I248" s="45" t="s">
        <v>68</v>
      </c>
      <c r="J248" s="46" t="s">
        <v>36</v>
      </c>
      <c r="K248" s="47" t="s">
        <v>6</v>
      </c>
      <c r="L248" s="48"/>
      <c r="M248" s="71"/>
      <c r="N248" s="71"/>
      <c r="O248" s="71"/>
      <c r="P248" s="88"/>
      <c r="Q248" s="74"/>
      <c r="R248" s="74"/>
      <c r="S248" s="74"/>
    </row>
    <row r="249" spans="1:19" ht="15.75" customHeight="1">
      <c r="A249" s="153"/>
      <c r="B249" s="155"/>
      <c r="C249" s="36" t="s">
        <v>352</v>
      </c>
      <c r="D249" s="41">
        <v>4</v>
      </c>
      <c r="E249" s="50" t="str">
        <f t="shared" si="127"/>
        <v>19:16</v>
      </c>
      <c r="F249" s="43" t="s">
        <v>472</v>
      </c>
      <c r="G249" s="43" t="s">
        <v>319</v>
      </c>
      <c r="H249" s="49" t="s">
        <v>314</v>
      </c>
      <c r="I249" s="45" t="s">
        <v>68</v>
      </c>
      <c r="J249" s="46" t="s">
        <v>36</v>
      </c>
      <c r="K249" s="47" t="s">
        <v>6</v>
      </c>
      <c r="L249" s="48"/>
      <c r="M249" s="71"/>
      <c r="N249" s="71"/>
      <c r="O249" s="71"/>
      <c r="P249" s="88"/>
      <c r="Q249" s="74"/>
      <c r="R249" s="74"/>
      <c r="S249" s="74"/>
    </row>
    <row r="250" spans="1:19">
      <c r="A250" s="153"/>
      <c r="B250" s="155"/>
      <c r="C250" s="36" t="s">
        <v>353</v>
      </c>
      <c r="D250" s="41">
        <v>4</v>
      </c>
      <c r="E250" s="50" t="str">
        <f t="shared" si="127"/>
        <v>15:12</v>
      </c>
      <c r="F250" s="43" t="s">
        <v>473</v>
      </c>
      <c r="G250" s="43" t="s">
        <v>319</v>
      </c>
      <c r="H250" s="44" t="s">
        <v>193</v>
      </c>
      <c r="I250" s="45" t="s">
        <v>68</v>
      </c>
      <c r="J250" s="46" t="s">
        <v>36</v>
      </c>
      <c r="K250" s="47" t="s">
        <v>6</v>
      </c>
      <c r="L250" s="48"/>
      <c r="M250" s="71"/>
      <c r="N250" s="71"/>
      <c r="O250" s="71"/>
      <c r="P250" s="88"/>
      <c r="Q250" s="74"/>
      <c r="R250" s="74"/>
      <c r="S250" s="74"/>
    </row>
    <row r="251" spans="1:19">
      <c r="A251" s="153"/>
      <c r="B251" s="155"/>
      <c r="C251" s="36" t="s">
        <v>354</v>
      </c>
      <c r="D251" s="41">
        <v>4</v>
      </c>
      <c r="E251" s="50" t="str">
        <f t="shared" si="127"/>
        <v>11:8</v>
      </c>
      <c r="F251" s="43" t="s">
        <v>475</v>
      </c>
      <c r="G251" s="43" t="s">
        <v>320</v>
      </c>
      <c r="H251" s="44" t="s">
        <v>192</v>
      </c>
      <c r="I251" s="45" t="s">
        <v>68</v>
      </c>
      <c r="J251" s="46" t="s">
        <v>36</v>
      </c>
      <c r="K251" s="47" t="s">
        <v>6</v>
      </c>
      <c r="L251" s="48"/>
      <c r="M251" s="71"/>
      <c r="N251" s="71"/>
      <c r="O251" s="71"/>
      <c r="P251" s="88"/>
      <c r="Q251" s="74"/>
      <c r="R251" s="74"/>
      <c r="S251" s="74"/>
    </row>
    <row r="252" spans="1:19">
      <c r="A252" s="153"/>
      <c r="B252" s="155"/>
      <c r="C252" s="62" t="s">
        <v>355</v>
      </c>
      <c r="D252" s="41">
        <v>4</v>
      </c>
      <c r="E252" s="50" t="str">
        <f>(MID(E251,SEARCH(":",E251)+1,2)-1) &amp; ":" &amp; (MID(E251,SEARCH(":",E251)+1,2)-D252)</f>
        <v>7:4</v>
      </c>
      <c r="F252" s="43" t="s">
        <v>472</v>
      </c>
      <c r="G252" s="43" t="s">
        <v>319</v>
      </c>
      <c r="H252" s="62" t="s">
        <v>316</v>
      </c>
      <c r="I252" s="45" t="s">
        <v>68</v>
      </c>
      <c r="J252" s="46" t="s">
        <v>36</v>
      </c>
      <c r="K252" s="47" t="s">
        <v>6</v>
      </c>
      <c r="L252" s="48"/>
      <c r="M252" s="71"/>
      <c r="N252" s="71"/>
      <c r="O252" s="71"/>
      <c r="P252" s="88"/>
      <c r="Q252" s="74"/>
      <c r="R252" s="74"/>
      <c r="S252" s="74"/>
    </row>
    <row r="253" spans="1:19" ht="15" thickBot="1">
      <c r="A253" s="153"/>
      <c r="B253" s="155"/>
      <c r="C253" s="36" t="s">
        <v>152</v>
      </c>
      <c r="D253" s="41">
        <v>4</v>
      </c>
      <c r="E253" s="50" t="str">
        <f>(MID(E252,SEARCH(":",E252)+1,2)-1) &amp; ":" &amp; (MID(E252,SEARCH(":",E252)+1,2)-D253)</f>
        <v>3:0</v>
      </c>
      <c r="F253" s="51" t="s">
        <v>320</v>
      </c>
      <c r="G253" s="51" t="s">
        <v>320</v>
      </c>
      <c r="H253" s="44" t="s">
        <v>102</v>
      </c>
      <c r="I253" s="45" t="s">
        <v>68</v>
      </c>
      <c r="J253" s="46" t="s">
        <v>36</v>
      </c>
      <c r="K253" s="47" t="s">
        <v>6</v>
      </c>
      <c r="L253" s="48"/>
      <c r="M253" s="71"/>
      <c r="N253" s="71"/>
      <c r="O253" s="71"/>
      <c r="P253" s="88"/>
      <c r="Q253" s="74"/>
      <c r="R253" s="75"/>
      <c r="S253" s="75"/>
    </row>
    <row r="254" spans="1:19">
      <c r="A254" s="152" t="s">
        <v>214</v>
      </c>
      <c r="B254" s="154" t="str">
        <f t="shared" ref="B254" si="128">DEC2HEX(P254*4)</f>
        <v>78</v>
      </c>
      <c r="C254" s="52" t="s">
        <v>454</v>
      </c>
      <c r="D254" s="80" t="str">
        <f>bitConcat1(F255:F265)</f>
        <v>32'b11110111110101001011000101001111</v>
      </c>
      <c r="E254" s="81"/>
      <c r="F254" s="81"/>
      <c r="G254" s="82"/>
      <c r="H254" s="53" t="s">
        <v>251</v>
      </c>
      <c r="I254" s="54"/>
      <c r="J254" s="83" t="str">
        <f>bitConcat1(G255:G265)</f>
        <v>32'b11110111111110001000000010001111</v>
      </c>
      <c r="K254" s="84"/>
      <c r="L254" s="85"/>
      <c r="M254" s="70" t="str">
        <f t="shared" ref="M254" si="129">DEC2HEX(_xlfn.BITLSHIFT(O254,7)+4*P254)</f>
        <v>378</v>
      </c>
      <c r="N254" s="86" t="s">
        <v>97</v>
      </c>
      <c r="O254" s="86">
        <v>6</v>
      </c>
      <c r="P254" s="87">
        <v>30</v>
      </c>
      <c r="Q254" s="73" t="str">
        <f>DEC2HEX(_xlfn.BITLSHIFT(O254,5)+P254)</f>
        <v>DE</v>
      </c>
      <c r="R254" s="73" t="str">
        <f>BIN2HEX(LEFT(RIGHT(D254,32),4))&amp;BIN2HEX(LEFT(RIGHT(D254,28),4))&amp;BIN2HEX(LEFT(RIGHT(D254,24),4))&amp;BIN2HEX(LEFT(RIGHT(D254,20),4))&amp;BIN2HEX(LEFT(RIGHT(D254,16),4))&amp;BIN2HEX(LEFT(RIGHT(D254,12),4))&amp;BIN2HEX(LEFT(RIGHT(D254,8),4))&amp;BIN2HEX(LEFT(RIGHT(D254,4),4))</f>
        <v>F7D4B14F</v>
      </c>
      <c r="S254" s="73" t="str">
        <f t="shared" ref="S254" si="130">BIN2HEX(LEFT(RIGHT(J254,32),4))&amp;BIN2HEX(LEFT(RIGHT(J254,28),4))&amp;BIN2HEX(LEFT(RIGHT(J254,24),4))&amp;BIN2HEX(LEFT(RIGHT(J254,20),4))&amp;BIN2HEX(LEFT(RIGHT(J254,16),4))&amp;BIN2HEX(LEFT(RIGHT(J254,12),4))&amp;BIN2HEX(LEFT(RIGHT(J254,8),4))&amp;BIN2HEX(LEFT(RIGHT(J254,4),4))</f>
        <v>F7F8808F</v>
      </c>
    </row>
    <row r="255" spans="1:19" ht="15.75" customHeight="1">
      <c r="A255" s="153"/>
      <c r="B255" s="155"/>
      <c r="C255" s="36" t="s">
        <v>356</v>
      </c>
      <c r="D255" s="41">
        <v>4</v>
      </c>
      <c r="E255" s="42" t="str">
        <f>IF(D255&gt;1,(31)&amp;":"&amp;(31-D255+1),(31-D255+1)&amp;":"&amp;(31-D255+1))</f>
        <v>31:28</v>
      </c>
      <c r="F255" s="43" t="s">
        <v>317</v>
      </c>
      <c r="G255" s="43" t="s">
        <v>317</v>
      </c>
      <c r="H255" s="44" t="s">
        <v>312</v>
      </c>
      <c r="I255" s="45" t="s">
        <v>68</v>
      </c>
      <c r="J255" s="46" t="s">
        <v>36</v>
      </c>
      <c r="K255" s="47" t="s">
        <v>6</v>
      </c>
      <c r="L255" s="48"/>
      <c r="M255" s="71"/>
      <c r="N255" s="71"/>
      <c r="O255" s="71"/>
      <c r="P255" s="88"/>
      <c r="Q255" s="74"/>
      <c r="R255" s="74"/>
      <c r="S255" s="74"/>
    </row>
    <row r="256" spans="1:19" ht="15.75" customHeight="1">
      <c r="A256" s="153"/>
      <c r="B256" s="155"/>
      <c r="C256" s="36" t="s">
        <v>357</v>
      </c>
      <c r="D256" s="41">
        <v>4</v>
      </c>
      <c r="E256" s="50" t="str">
        <f>(MID(E255,SEARCH(":",E255)+1,2)-1) &amp; ":" &amp; (MID(E255,SEARCH(":",E255)+1,2)-D256)</f>
        <v>27:24</v>
      </c>
      <c r="F256" s="43" t="s">
        <v>318</v>
      </c>
      <c r="G256" s="43" t="s">
        <v>318</v>
      </c>
      <c r="H256" s="49" t="s">
        <v>191</v>
      </c>
      <c r="I256" s="45" t="s">
        <v>68</v>
      </c>
      <c r="J256" s="46" t="s">
        <v>36</v>
      </c>
      <c r="K256" s="47" t="s">
        <v>6</v>
      </c>
      <c r="L256" s="48"/>
      <c r="M256" s="71"/>
      <c r="N256" s="71"/>
      <c r="O256" s="71"/>
      <c r="P256" s="88"/>
      <c r="Q256" s="74"/>
      <c r="R256" s="74"/>
      <c r="S256" s="74"/>
    </row>
    <row r="257" spans="1:19">
      <c r="A257" s="153"/>
      <c r="B257" s="155"/>
      <c r="C257" s="36" t="s">
        <v>358</v>
      </c>
      <c r="D257" s="41">
        <v>4</v>
      </c>
      <c r="E257" s="50" t="str">
        <f t="shared" ref="E257:E260" si="131">(MID(E256,SEARCH(":",E256)+1,2)-1) &amp; ":" &amp; (MID(E256,SEARCH(":",E256)+1,2)-D257)</f>
        <v>23:20</v>
      </c>
      <c r="F257" s="43" t="s">
        <v>474</v>
      </c>
      <c r="G257" s="43" t="s">
        <v>317</v>
      </c>
      <c r="H257" s="49" t="s">
        <v>315</v>
      </c>
      <c r="I257" s="45" t="s">
        <v>68</v>
      </c>
      <c r="J257" s="46" t="s">
        <v>36</v>
      </c>
      <c r="K257" s="47" t="s">
        <v>6</v>
      </c>
      <c r="L257" s="48"/>
      <c r="M257" s="71"/>
      <c r="N257" s="71"/>
      <c r="O257" s="71"/>
      <c r="P257" s="88"/>
      <c r="Q257" s="74"/>
      <c r="R257" s="74"/>
      <c r="S257" s="74"/>
    </row>
    <row r="258" spans="1:19">
      <c r="A258" s="153"/>
      <c r="B258" s="155"/>
      <c r="C258" s="36" t="s">
        <v>359</v>
      </c>
      <c r="D258" s="41">
        <v>4</v>
      </c>
      <c r="E258" s="50" t="str">
        <f t="shared" si="131"/>
        <v>19:16</v>
      </c>
      <c r="F258" s="43" t="s">
        <v>472</v>
      </c>
      <c r="G258" s="43" t="s">
        <v>319</v>
      </c>
      <c r="H258" s="49" t="s">
        <v>314</v>
      </c>
      <c r="I258" s="45" t="s">
        <v>68</v>
      </c>
      <c r="J258" s="46" t="s">
        <v>36</v>
      </c>
      <c r="K258" s="47" t="s">
        <v>6</v>
      </c>
      <c r="L258" s="48"/>
      <c r="M258" s="71"/>
      <c r="N258" s="71"/>
      <c r="O258" s="71"/>
      <c r="P258" s="88"/>
      <c r="Q258" s="74"/>
      <c r="R258" s="74"/>
      <c r="S258" s="74"/>
    </row>
    <row r="259" spans="1:19">
      <c r="A259" s="153"/>
      <c r="B259" s="155"/>
      <c r="C259" s="36" t="s">
        <v>360</v>
      </c>
      <c r="D259" s="41">
        <v>4</v>
      </c>
      <c r="E259" s="50" t="str">
        <f t="shared" si="131"/>
        <v>15:12</v>
      </c>
      <c r="F259" s="43" t="s">
        <v>473</v>
      </c>
      <c r="G259" s="43" t="s">
        <v>319</v>
      </c>
      <c r="H259" s="44" t="s">
        <v>193</v>
      </c>
      <c r="I259" s="45" t="s">
        <v>68</v>
      </c>
      <c r="J259" s="46" t="s">
        <v>36</v>
      </c>
      <c r="K259" s="47" t="s">
        <v>6</v>
      </c>
      <c r="L259" s="48"/>
      <c r="M259" s="71"/>
      <c r="N259" s="71"/>
      <c r="O259" s="71"/>
      <c r="P259" s="88"/>
      <c r="Q259" s="74"/>
      <c r="R259" s="74"/>
      <c r="S259" s="74"/>
    </row>
    <row r="260" spans="1:19">
      <c r="A260" s="153"/>
      <c r="B260" s="155"/>
      <c r="C260" s="36" t="s">
        <v>361</v>
      </c>
      <c r="D260" s="41">
        <v>4</v>
      </c>
      <c r="E260" s="50" t="str">
        <f t="shared" si="131"/>
        <v>11:8</v>
      </c>
      <c r="F260" s="43" t="s">
        <v>475</v>
      </c>
      <c r="G260" s="43" t="s">
        <v>320</v>
      </c>
      <c r="H260" s="44" t="s">
        <v>192</v>
      </c>
      <c r="I260" s="45" t="s">
        <v>68</v>
      </c>
      <c r="J260" s="46" t="s">
        <v>36</v>
      </c>
      <c r="K260" s="47" t="s">
        <v>6</v>
      </c>
      <c r="L260" s="48"/>
      <c r="M260" s="71"/>
      <c r="N260" s="71"/>
      <c r="O260" s="71"/>
      <c r="P260" s="88"/>
      <c r="Q260" s="74"/>
      <c r="R260" s="74"/>
      <c r="S260" s="74"/>
    </row>
    <row r="261" spans="1:19">
      <c r="A261" s="153"/>
      <c r="B261" s="155"/>
      <c r="C261" s="62" t="s">
        <v>362</v>
      </c>
      <c r="D261" s="41">
        <v>4</v>
      </c>
      <c r="E261" s="50" t="str">
        <f>(MID(E260,SEARCH(":",E260)+1,2)-1) &amp; ":" &amp; (MID(E260,SEARCH(":",E260)+1,2)-D261)</f>
        <v>7:4</v>
      </c>
      <c r="F261" s="43" t="s">
        <v>472</v>
      </c>
      <c r="G261" s="43" t="s">
        <v>319</v>
      </c>
      <c r="H261" s="62" t="s">
        <v>316</v>
      </c>
      <c r="I261" s="45" t="s">
        <v>68</v>
      </c>
      <c r="J261" s="46" t="s">
        <v>36</v>
      </c>
      <c r="K261" s="47" t="s">
        <v>6</v>
      </c>
      <c r="L261" s="48"/>
      <c r="M261" s="71"/>
      <c r="N261" s="71"/>
      <c r="O261" s="71"/>
      <c r="P261" s="88"/>
      <c r="Q261" s="74"/>
      <c r="R261" s="74"/>
      <c r="S261" s="74"/>
    </row>
    <row r="262" spans="1:19">
      <c r="A262" s="153"/>
      <c r="B262" s="155"/>
      <c r="C262" s="63" t="s">
        <v>419</v>
      </c>
      <c r="D262" s="41">
        <v>1</v>
      </c>
      <c r="E262" s="50" t="str">
        <f t="shared" ref="E262:E265" si="132">(MID(E261,SEARCH(":",E261)+1,2)-1) &amp; ":" &amp; (MID(E261,SEARCH(":",E261)+1,2)-D262)</f>
        <v>3:3</v>
      </c>
      <c r="F262" s="51" t="s">
        <v>84</v>
      </c>
      <c r="G262" s="51" t="s">
        <v>84</v>
      </c>
      <c r="H262" s="63" t="s">
        <v>434</v>
      </c>
      <c r="I262" s="45" t="s">
        <v>68</v>
      </c>
      <c r="J262" s="46" t="s">
        <v>36</v>
      </c>
      <c r="K262" s="47" t="s">
        <v>6</v>
      </c>
      <c r="L262" s="48"/>
      <c r="M262" s="71"/>
      <c r="N262" s="71"/>
      <c r="O262" s="71"/>
      <c r="P262" s="88"/>
      <c r="Q262" s="74"/>
      <c r="R262" s="74"/>
      <c r="S262" s="74"/>
    </row>
    <row r="263" spans="1:19">
      <c r="A263" s="153"/>
      <c r="B263" s="155"/>
      <c r="C263" s="63" t="s">
        <v>420</v>
      </c>
      <c r="D263" s="41">
        <v>1</v>
      </c>
      <c r="E263" s="50" t="str">
        <f t="shared" si="132"/>
        <v>2:2</v>
      </c>
      <c r="F263" s="51" t="s">
        <v>84</v>
      </c>
      <c r="G263" s="51" t="s">
        <v>84</v>
      </c>
      <c r="H263" s="63" t="s">
        <v>435</v>
      </c>
      <c r="I263" s="45" t="s">
        <v>68</v>
      </c>
      <c r="J263" s="46" t="s">
        <v>36</v>
      </c>
      <c r="K263" s="47" t="s">
        <v>6</v>
      </c>
      <c r="L263" s="48"/>
      <c r="M263" s="71"/>
      <c r="N263" s="71"/>
      <c r="O263" s="71"/>
      <c r="P263" s="88"/>
      <c r="Q263" s="74"/>
      <c r="R263" s="74"/>
      <c r="S263" s="74"/>
    </row>
    <row r="264" spans="1:19">
      <c r="A264" s="153"/>
      <c r="B264" s="155"/>
      <c r="C264" s="63" t="s">
        <v>421</v>
      </c>
      <c r="D264" s="41">
        <v>1</v>
      </c>
      <c r="E264" s="50" t="str">
        <f t="shared" si="132"/>
        <v>1:1</v>
      </c>
      <c r="F264" s="51" t="s">
        <v>84</v>
      </c>
      <c r="G264" s="51" t="s">
        <v>84</v>
      </c>
      <c r="H264" s="63" t="s">
        <v>436</v>
      </c>
      <c r="I264" s="45" t="s">
        <v>68</v>
      </c>
      <c r="J264" s="46" t="s">
        <v>36</v>
      </c>
      <c r="K264" s="47" t="s">
        <v>6</v>
      </c>
      <c r="L264" s="48"/>
      <c r="M264" s="71"/>
      <c r="N264" s="71"/>
      <c r="O264" s="71"/>
      <c r="P264" s="88"/>
      <c r="Q264" s="74"/>
      <c r="R264" s="74"/>
      <c r="S264" s="74"/>
    </row>
    <row r="265" spans="1:19" ht="15" thickBot="1">
      <c r="A265" s="153"/>
      <c r="B265" s="155"/>
      <c r="C265" s="36" t="s">
        <v>422</v>
      </c>
      <c r="D265" s="41">
        <v>1</v>
      </c>
      <c r="E265" s="50" t="str">
        <f t="shared" si="132"/>
        <v>0:0</v>
      </c>
      <c r="F265" s="51" t="s">
        <v>84</v>
      </c>
      <c r="G265" s="51" t="s">
        <v>84</v>
      </c>
      <c r="H265" s="44" t="s">
        <v>437</v>
      </c>
      <c r="I265" s="45" t="s">
        <v>68</v>
      </c>
      <c r="J265" s="46" t="s">
        <v>36</v>
      </c>
      <c r="K265" s="47" t="s">
        <v>6</v>
      </c>
      <c r="L265" s="48"/>
      <c r="M265" s="71"/>
      <c r="N265" s="71"/>
      <c r="O265" s="71"/>
      <c r="P265" s="88"/>
      <c r="Q265" s="74"/>
      <c r="R265" s="75"/>
      <c r="S265" s="75"/>
    </row>
    <row r="266" spans="1:19">
      <c r="A266" s="152" t="s">
        <v>215</v>
      </c>
      <c r="B266" s="154" t="str">
        <f t="shared" ref="B266" si="133">DEC2HEX(P266*4)</f>
        <v>7C</v>
      </c>
      <c r="C266" s="52" t="s">
        <v>454</v>
      </c>
      <c r="D266" s="80" t="str">
        <f>bitConcat1(F267:F274)</f>
        <v>32'b11110111110101001011000101001011</v>
      </c>
      <c r="E266" s="81"/>
      <c r="F266" s="81"/>
      <c r="G266" s="82"/>
      <c r="H266" s="53" t="s">
        <v>251</v>
      </c>
      <c r="I266" s="54"/>
      <c r="J266" s="83" t="str">
        <f>bitConcat1(G267:G274)</f>
        <v>32'b11110111111110001000000010000111</v>
      </c>
      <c r="K266" s="84"/>
      <c r="L266" s="85"/>
      <c r="M266" s="70" t="str">
        <f t="shared" ref="M266" si="134">DEC2HEX(_xlfn.BITLSHIFT(O266,7)+4*P266)</f>
        <v>37C</v>
      </c>
      <c r="N266" s="86" t="s">
        <v>97</v>
      </c>
      <c r="O266" s="86">
        <v>6</v>
      </c>
      <c r="P266" s="87">
        <v>31</v>
      </c>
      <c r="Q266" s="73" t="str">
        <f>DEC2HEX(_xlfn.BITLSHIFT(O266,5)+P266)</f>
        <v>DF</v>
      </c>
      <c r="R266" s="73" t="str">
        <f>BIN2HEX(LEFT(RIGHT(D266,32),4))&amp;BIN2HEX(LEFT(RIGHT(D266,28),4))&amp;BIN2HEX(LEFT(RIGHT(D266,24),4))&amp;BIN2HEX(LEFT(RIGHT(D266,20),4))&amp;BIN2HEX(LEFT(RIGHT(D266,16),4))&amp;BIN2HEX(LEFT(RIGHT(D266,12),4))&amp;BIN2HEX(LEFT(RIGHT(D266,8),4))&amp;BIN2HEX(LEFT(RIGHT(D266,4),4))</f>
        <v>F7D4B14B</v>
      </c>
      <c r="S266" s="73" t="str">
        <f t="shared" ref="S266" si="135">BIN2HEX(LEFT(RIGHT(J266,32),4))&amp;BIN2HEX(LEFT(RIGHT(J266,28),4))&amp;BIN2HEX(LEFT(RIGHT(J266,24),4))&amp;BIN2HEX(LEFT(RIGHT(J266,20),4))&amp;BIN2HEX(LEFT(RIGHT(J266,16),4))&amp;BIN2HEX(LEFT(RIGHT(J266,12),4))&amp;BIN2HEX(LEFT(RIGHT(J266,8),4))&amp;BIN2HEX(LEFT(RIGHT(J266,4),4))</f>
        <v>F7F88087</v>
      </c>
    </row>
    <row r="267" spans="1:19">
      <c r="A267" s="153"/>
      <c r="B267" s="155"/>
      <c r="C267" s="36" t="s">
        <v>363</v>
      </c>
      <c r="D267" s="41">
        <v>4</v>
      </c>
      <c r="E267" s="42" t="str">
        <f>IF(D267&gt;1,(31)&amp;":"&amp;(31-D267+1),(31-D267+1)&amp;":"&amp;(31-D267+1))</f>
        <v>31:28</v>
      </c>
      <c r="F267" s="43" t="s">
        <v>317</v>
      </c>
      <c r="G267" s="43" t="s">
        <v>317</v>
      </c>
      <c r="H267" s="44" t="s">
        <v>312</v>
      </c>
      <c r="I267" s="45" t="s">
        <v>68</v>
      </c>
      <c r="J267" s="46" t="s">
        <v>36</v>
      </c>
      <c r="K267" s="47" t="s">
        <v>6</v>
      </c>
      <c r="L267" s="48"/>
      <c r="M267" s="71"/>
      <c r="N267" s="71"/>
      <c r="O267" s="71"/>
      <c r="P267" s="88"/>
      <c r="Q267" s="74"/>
      <c r="R267" s="74"/>
      <c r="S267" s="74"/>
    </row>
    <row r="268" spans="1:19" ht="15.75" customHeight="1">
      <c r="A268" s="153"/>
      <c r="B268" s="155"/>
      <c r="C268" s="36" t="s">
        <v>364</v>
      </c>
      <c r="D268" s="41">
        <v>4</v>
      </c>
      <c r="E268" s="50" t="str">
        <f>(MID(E267,SEARCH(":",E267)+1,2)-1) &amp; ":" &amp; (MID(E267,SEARCH(":",E267)+1,2)-D268)</f>
        <v>27:24</v>
      </c>
      <c r="F268" s="43" t="s">
        <v>318</v>
      </c>
      <c r="G268" s="43" t="s">
        <v>318</v>
      </c>
      <c r="H268" s="49" t="s">
        <v>191</v>
      </c>
      <c r="I268" s="45" t="s">
        <v>68</v>
      </c>
      <c r="J268" s="46" t="s">
        <v>36</v>
      </c>
      <c r="K268" s="47" t="s">
        <v>6</v>
      </c>
      <c r="L268" s="48"/>
      <c r="M268" s="71"/>
      <c r="N268" s="71"/>
      <c r="O268" s="71"/>
      <c r="P268" s="88"/>
      <c r="Q268" s="74"/>
      <c r="R268" s="74"/>
      <c r="S268" s="74"/>
    </row>
    <row r="269" spans="1:19" ht="15.75" customHeight="1">
      <c r="A269" s="153"/>
      <c r="B269" s="155"/>
      <c r="C269" s="36" t="s">
        <v>365</v>
      </c>
      <c r="D269" s="41">
        <v>4</v>
      </c>
      <c r="E269" s="50" t="str">
        <f t="shared" ref="E269:E272" si="136">(MID(E268,SEARCH(":",E268)+1,2)-1) &amp; ":" &amp; (MID(E268,SEARCH(":",E268)+1,2)-D269)</f>
        <v>23:20</v>
      </c>
      <c r="F269" s="43" t="s">
        <v>474</v>
      </c>
      <c r="G269" s="43" t="s">
        <v>317</v>
      </c>
      <c r="H269" s="49" t="s">
        <v>315</v>
      </c>
      <c r="I269" s="45" t="s">
        <v>68</v>
      </c>
      <c r="J269" s="46" t="s">
        <v>36</v>
      </c>
      <c r="K269" s="47" t="s">
        <v>6</v>
      </c>
      <c r="L269" s="48"/>
      <c r="M269" s="71"/>
      <c r="N269" s="71"/>
      <c r="O269" s="71"/>
      <c r="P269" s="88"/>
      <c r="Q269" s="74"/>
      <c r="R269" s="74"/>
      <c r="S269" s="74"/>
    </row>
    <row r="270" spans="1:19">
      <c r="A270" s="153"/>
      <c r="B270" s="155"/>
      <c r="C270" s="36" t="s">
        <v>366</v>
      </c>
      <c r="D270" s="41">
        <v>4</v>
      </c>
      <c r="E270" s="50" t="str">
        <f t="shared" si="136"/>
        <v>19:16</v>
      </c>
      <c r="F270" s="43" t="s">
        <v>472</v>
      </c>
      <c r="G270" s="43" t="s">
        <v>319</v>
      </c>
      <c r="H270" s="49" t="s">
        <v>314</v>
      </c>
      <c r="I270" s="45" t="s">
        <v>68</v>
      </c>
      <c r="J270" s="46" t="s">
        <v>36</v>
      </c>
      <c r="K270" s="47" t="s">
        <v>6</v>
      </c>
      <c r="L270" s="48"/>
      <c r="M270" s="71"/>
      <c r="N270" s="71"/>
      <c r="O270" s="71"/>
      <c r="P270" s="88"/>
      <c r="Q270" s="74"/>
      <c r="R270" s="74"/>
      <c r="S270" s="74"/>
    </row>
    <row r="271" spans="1:19">
      <c r="A271" s="153"/>
      <c r="B271" s="155"/>
      <c r="C271" s="36" t="s">
        <v>367</v>
      </c>
      <c r="D271" s="41">
        <v>4</v>
      </c>
      <c r="E271" s="50" t="str">
        <f t="shared" si="136"/>
        <v>15:12</v>
      </c>
      <c r="F271" s="43" t="s">
        <v>473</v>
      </c>
      <c r="G271" s="43" t="s">
        <v>319</v>
      </c>
      <c r="H271" s="44" t="s">
        <v>193</v>
      </c>
      <c r="I271" s="45" t="s">
        <v>68</v>
      </c>
      <c r="J271" s="46" t="s">
        <v>36</v>
      </c>
      <c r="K271" s="47" t="s">
        <v>6</v>
      </c>
      <c r="L271" s="48"/>
      <c r="M271" s="71"/>
      <c r="N271" s="71"/>
      <c r="O271" s="71"/>
      <c r="P271" s="88"/>
      <c r="Q271" s="74"/>
      <c r="R271" s="74"/>
      <c r="S271" s="74"/>
    </row>
    <row r="272" spans="1:19">
      <c r="A272" s="153"/>
      <c r="B272" s="155"/>
      <c r="C272" s="36" t="s">
        <v>369</v>
      </c>
      <c r="D272" s="41">
        <v>4</v>
      </c>
      <c r="E272" s="50" t="str">
        <f t="shared" si="136"/>
        <v>11:8</v>
      </c>
      <c r="F272" s="43" t="s">
        <v>475</v>
      </c>
      <c r="G272" s="43" t="s">
        <v>320</v>
      </c>
      <c r="H272" s="44" t="s">
        <v>192</v>
      </c>
      <c r="I272" s="45" t="s">
        <v>68</v>
      </c>
      <c r="J272" s="46" t="s">
        <v>36</v>
      </c>
      <c r="K272" s="47" t="s">
        <v>6</v>
      </c>
      <c r="L272" s="48"/>
      <c r="M272" s="71"/>
      <c r="N272" s="71"/>
      <c r="O272" s="71"/>
      <c r="P272" s="88"/>
      <c r="Q272" s="74"/>
      <c r="R272" s="74"/>
      <c r="S272" s="74"/>
    </row>
    <row r="273" spans="1:19">
      <c r="A273" s="153"/>
      <c r="B273" s="155"/>
      <c r="C273" s="62" t="s">
        <v>371</v>
      </c>
      <c r="D273" s="41">
        <v>4</v>
      </c>
      <c r="E273" s="50" t="str">
        <f>(MID(E272,SEARCH(":",E272)+1,2)-1) &amp; ":" &amp; (MID(E272,SEARCH(":",E272)+1,2)-D273)</f>
        <v>7:4</v>
      </c>
      <c r="F273" s="43" t="s">
        <v>472</v>
      </c>
      <c r="G273" s="43" t="s">
        <v>319</v>
      </c>
      <c r="H273" s="62" t="s">
        <v>316</v>
      </c>
      <c r="I273" s="45" t="s">
        <v>68</v>
      </c>
      <c r="J273" s="46" t="s">
        <v>36</v>
      </c>
      <c r="K273" s="47" t="s">
        <v>6</v>
      </c>
      <c r="L273" s="48"/>
      <c r="M273" s="71"/>
      <c r="N273" s="71"/>
      <c r="O273" s="71"/>
      <c r="P273" s="88"/>
      <c r="Q273" s="74"/>
      <c r="R273" s="74"/>
      <c r="S273" s="74"/>
    </row>
    <row r="274" spans="1:19" ht="15" thickBot="1">
      <c r="A274" s="153"/>
      <c r="B274" s="155"/>
      <c r="C274" s="36" t="s">
        <v>423</v>
      </c>
      <c r="D274" s="41">
        <v>4</v>
      </c>
      <c r="E274" s="50" t="str">
        <f>(MID(E273,SEARCH(":",E273)+1,2)-1) &amp; ":" &amp; (MID(E273,SEARCH(":",E273)+1,2)-D274)</f>
        <v>3:0</v>
      </c>
      <c r="F274" s="51" t="s">
        <v>473</v>
      </c>
      <c r="G274" s="51" t="s">
        <v>318</v>
      </c>
      <c r="H274" s="44" t="s">
        <v>438</v>
      </c>
      <c r="I274" s="45" t="s">
        <v>68</v>
      </c>
      <c r="J274" s="46" t="s">
        <v>36</v>
      </c>
      <c r="K274" s="47" t="s">
        <v>6</v>
      </c>
      <c r="L274" s="48"/>
      <c r="M274" s="71"/>
      <c r="N274" s="71"/>
      <c r="O274" s="71"/>
      <c r="P274" s="88"/>
      <c r="Q274" s="74"/>
      <c r="R274" s="75"/>
      <c r="S274" s="75"/>
    </row>
    <row r="275" spans="1:19">
      <c r="A275" s="115" t="s">
        <v>265</v>
      </c>
      <c r="B275" s="113" t="str">
        <f>DEC2HEX(P275*4)</f>
        <v>10</v>
      </c>
      <c r="C275" s="52" t="s">
        <v>454</v>
      </c>
      <c r="D275" s="80" t="str">
        <f>bitConcat1(F276:F283)</f>
        <v>32'b00000000000000010000100000000000</v>
      </c>
      <c r="E275" s="81"/>
      <c r="F275" s="81"/>
      <c r="G275" s="82"/>
      <c r="H275" s="53" t="s">
        <v>251</v>
      </c>
      <c r="I275" s="54"/>
      <c r="J275" s="83" t="str">
        <f>bitConcat1(G276:G283)</f>
        <v>32'b00000000000000010000000000000000</v>
      </c>
      <c r="K275" s="84"/>
      <c r="L275" s="85"/>
      <c r="M275" s="95" t="str">
        <f>DEC2HEX(_xlfn.BITLSHIFT(O275,7)+4*P275)</f>
        <v>410</v>
      </c>
      <c r="N275" s="95" t="s">
        <v>97</v>
      </c>
      <c r="O275" s="95">
        <v>8</v>
      </c>
      <c r="P275" s="98">
        <v>4</v>
      </c>
      <c r="Q275" s="98" t="str">
        <f>DEC2HEX(_xlfn.BITLSHIFT(O275,5)+P275)</f>
        <v>104</v>
      </c>
      <c r="R275" s="73" t="str">
        <f>BIN2HEX(LEFT(RIGHT(D275,32),4))&amp;BIN2HEX(LEFT(RIGHT(D275,28),4))&amp;BIN2HEX(LEFT(RIGHT(D275,24),4))&amp;BIN2HEX(LEFT(RIGHT(D275,20),4))&amp;BIN2HEX(LEFT(RIGHT(D275,16),4))&amp;BIN2HEX(LEFT(RIGHT(D275,12),4))&amp;BIN2HEX(LEFT(RIGHT(D275,8),4))&amp;BIN2HEX(LEFT(RIGHT(D275,4),4))</f>
        <v>00010800</v>
      </c>
      <c r="S275" s="73" t="str">
        <f>BIN2HEX(LEFT(RIGHT(J275,32),4))&amp;BIN2HEX(LEFT(RIGHT(J275,28),4))&amp;BIN2HEX(LEFT(RIGHT(J275,24),4))&amp;BIN2HEX(LEFT(RIGHT(J275,20),4))&amp;BIN2HEX(LEFT(RIGHT(J275,16),4))&amp;BIN2HEX(LEFT(RIGHT(J275,12),4))&amp;BIN2HEX(LEFT(RIGHT(J275,8),4))&amp;BIN2HEX(LEFT(RIGHT(J275,4),4))</f>
        <v>00010000</v>
      </c>
    </row>
    <row r="276" spans="1:19">
      <c r="A276" s="112"/>
      <c r="B276" s="114"/>
      <c r="C276" s="36" t="s">
        <v>476</v>
      </c>
      <c r="D276" s="41">
        <v>1</v>
      </c>
      <c r="E276" s="42" t="str">
        <f>IF(D276&gt;1,(31)&amp;":"&amp;(31-D276+1),(31-D276+1)&amp;":"&amp;(31-D276+1))</f>
        <v>31:31</v>
      </c>
      <c r="F276" s="43" t="s">
        <v>7</v>
      </c>
      <c r="G276" s="43" t="s">
        <v>7</v>
      </c>
      <c r="H276" s="49" t="s">
        <v>138</v>
      </c>
      <c r="I276" s="45" t="s">
        <v>68</v>
      </c>
      <c r="J276" s="46" t="s">
        <v>36</v>
      </c>
      <c r="K276" s="47" t="s">
        <v>6</v>
      </c>
      <c r="L276" s="48"/>
      <c r="M276" s="96"/>
      <c r="N276" s="96"/>
      <c r="O276" s="96"/>
      <c r="P276" s="97"/>
      <c r="Q276" s="97"/>
      <c r="R276" s="74"/>
      <c r="S276" s="74"/>
    </row>
    <row r="277" spans="1:19">
      <c r="A277" s="112"/>
      <c r="B277" s="114"/>
      <c r="C277" s="36" t="s">
        <v>477</v>
      </c>
      <c r="D277" s="41">
        <v>6</v>
      </c>
      <c r="E277" s="50" t="str">
        <f>(MID(E276,SEARCH(":",E276)+1,2)-1) &amp; ":" &amp; (MID(E276,SEARCH(":",E276)+1,2)-D277)</f>
        <v>30:25</v>
      </c>
      <c r="F277" s="43" t="s">
        <v>122</v>
      </c>
      <c r="G277" s="43" t="s">
        <v>122</v>
      </c>
      <c r="H277" s="49" t="s">
        <v>439</v>
      </c>
      <c r="I277" s="45" t="s">
        <v>68</v>
      </c>
      <c r="J277" s="46" t="s">
        <v>36</v>
      </c>
      <c r="K277" s="47" t="s">
        <v>6</v>
      </c>
      <c r="L277" s="48"/>
      <c r="M277" s="96"/>
      <c r="N277" s="96"/>
      <c r="O277" s="96"/>
      <c r="P277" s="97"/>
      <c r="Q277" s="97"/>
      <c r="R277" s="74"/>
      <c r="S277" s="74"/>
    </row>
    <row r="278" spans="1:19" ht="15.75" customHeight="1">
      <c r="A278" s="112"/>
      <c r="B278" s="114"/>
      <c r="C278" s="36" t="s">
        <v>478</v>
      </c>
      <c r="D278" s="41">
        <v>4</v>
      </c>
      <c r="E278" s="50" t="str">
        <f t="shared" ref="E278:E283" si="137">(MID(E277,SEARCH(":",E277)+1,2)-1) &amp; ":" &amp; (MID(E277,SEARCH(":",E277)+1,2)-D278)</f>
        <v>24:21</v>
      </c>
      <c r="F278" s="43" t="s">
        <v>493</v>
      </c>
      <c r="G278" s="43" t="s">
        <v>493</v>
      </c>
      <c r="H278" s="49" t="s">
        <v>488</v>
      </c>
      <c r="I278" s="45" t="s">
        <v>68</v>
      </c>
      <c r="J278" s="46" t="s">
        <v>36</v>
      </c>
      <c r="K278" s="47" t="s">
        <v>6</v>
      </c>
      <c r="L278" s="48"/>
      <c r="M278" s="96"/>
      <c r="N278" s="96"/>
      <c r="O278" s="96"/>
      <c r="P278" s="97"/>
      <c r="Q278" s="97"/>
      <c r="R278" s="74"/>
      <c r="S278" s="74"/>
    </row>
    <row r="279" spans="1:19" ht="15.75" customHeight="1">
      <c r="A279" s="112"/>
      <c r="B279" s="114"/>
      <c r="C279" s="36" t="s">
        <v>117</v>
      </c>
      <c r="D279" s="41">
        <v>5</v>
      </c>
      <c r="E279" s="50" t="str">
        <f t="shared" si="137"/>
        <v>20:16</v>
      </c>
      <c r="F279" s="43" t="s">
        <v>463</v>
      </c>
      <c r="G279" s="43" t="s">
        <v>463</v>
      </c>
      <c r="H279" s="49" t="s">
        <v>489</v>
      </c>
      <c r="I279" s="45" t="s">
        <v>68</v>
      </c>
      <c r="J279" s="46" t="s">
        <v>36</v>
      </c>
      <c r="K279" s="47" t="s">
        <v>6</v>
      </c>
      <c r="L279" s="48"/>
      <c r="M279" s="96"/>
      <c r="N279" s="96"/>
      <c r="O279" s="96"/>
      <c r="P279" s="97"/>
      <c r="Q279" s="97"/>
      <c r="R279" s="74"/>
      <c r="S279" s="74"/>
    </row>
    <row r="280" spans="1:19" ht="15.75" customHeight="1">
      <c r="A280" s="112"/>
      <c r="B280" s="114"/>
      <c r="C280" s="36" t="s">
        <v>479</v>
      </c>
      <c r="D280" s="41">
        <v>3</v>
      </c>
      <c r="E280" s="50" t="str">
        <f t="shared" si="137"/>
        <v>15:13</v>
      </c>
      <c r="F280" s="43" t="s">
        <v>494</v>
      </c>
      <c r="G280" s="43" t="s">
        <v>494</v>
      </c>
      <c r="H280" s="49" t="s">
        <v>116</v>
      </c>
      <c r="I280" s="45"/>
      <c r="J280" s="46"/>
      <c r="K280" s="47"/>
      <c r="L280" s="48"/>
      <c r="M280" s="96"/>
      <c r="N280" s="96"/>
      <c r="O280" s="96"/>
      <c r="P280" s="97"/>
      <c r="Q280" s="97"/>
      <c r="R280" s="74"/>
      <c r="S280" s="74"/>
    </row>
    <row r="281" spans="1:19">
      <c r="A281" s="112"/>
      <c r="B281" s="114"/>
      <c r="C281" s="36" t="s">
        <v>480</v>
      </c>
      <c r="D281" s="41">
        <v>1</v>
      </c>
      <c r="E281" s="50" t="str">
        <f t="shared" si="137"/>
        <v>12:12</v>
      </c>
      <c r="F281" s="43" t="s">
        <v>7</v>
      </c>
      <c r="G281" s="43" t="s">
        <v>7</v>
      </c>
      <c r="H281" s="64" t="s">
        <v>492</v>
      </c>
      <c r="I281" s="45" t="s">
        <v>68</v>
      </c>
      <c r="J281" s="46" t="s">
        <v>36</v>
      </c>
      <c r="K281" s="47" t="s">
        <v>6</v>
      </c>
      <c r="L281" s="48"/>
      <c r="M281" s="96"/>
      <c r="N281" s="96"/>
      <c r="O281" s="96"/>
      <c r="P281" s="97"/>
      <c r="Q281" s="97"/>
      <c r="R281" s="74"/>
      <c r="S281" s="74"/>
    </row>
    <row r="282" spans="1:19">
      <c r="A282" s="112"/>
      <c r="B282" s="114"/>
      <c r="C282" s="36" t="s">
        <v>119</v>
      </c>
      <c r="D282" s="41">
        <v>1</v>
      </c>
      <c r="E282" s="50" t="str">
        <f t="shared" si="137"/>
        <v>11:11</v>
      </c>
      <c r="F282" s="65" t="s">
        <v>84</v>
      </c>
      <c r="G282" s="43" t="s">
        <v>7</v>
      </c>
      <c r="H282" s="49" t="s">
        <v>490</v>
      </c>
      <c r="I282" s="45" t="s">
        <v>68</v>
      </c>
      <c r="J282" s="46" t="s">
        <v>36</v>
      </c>
      <c r="K282" s="47" t="s">
        <v>6</v>
      </c>
      <c r="L282" s="48"/>
      <c r="M282" s="96"/>
      <c r="N282" s="96"/>
      <c r="O282" s="96"/>
      <c r="P282" s="97"/>
      <c r="Q282" s="97"/>
      <c r="R282" s="74"/>
      <c r="S282" s="74"/>
    </row>
    <row r="283" spans="1:19" ht="15" thickBot="1">
      <c r="A283" s="112"/>
      <c r="B283" s="114"/>
      <c r="C283" s="36" t="s">
        <v>120</v>
      </c>
      <c r="D283" s="41">
        <v>11</v>
      </c>
      <c r="E283" s="50" t="str">
        <f t="shared" si="137"/>
        <v>10:0</v>
      </c>
      <c r="F283" s="43" t="s">
        <v>495</v>
      </c>
      <c r="G283" s="43" t="s">
        <v>495</v>
      </c>
      <c r="H283" s="49" t="s">
        <v>491</v>
      </c>
      <c r="I283" s="45" t="s">
        <v>68</v>
      </c>
      <c r="J283" s="46" t="s">
        <v>36</v>
      </c>
      <c r="K283" s="47" t="s">
        <v>6</v>
      </c>
      <c r="L283" s="48"/>
      <c r="M283" s="96"/>
      <c r="N283" s="96"/>
      <c r="O283" s="96"/>
      <c r="P283" s="97"/>
      <c r="Q283" s="97"/>
      <c r="R283" s="75"/>
      <c r="S283" s="75"/>
    </row>
    <row r="284" spans="1:19" ht="14.4" customHeight="1">
      <c r="A284" s="112" t="s">
        <v>266</v>
      </c>
      <c r="B284" s="113" t="str">
        <f t="shared" ref="B284" si="138">DEC2HEX(P284*4)</f>
        <v>1C</v>
      </c>
      <c r="C284" s="52" t="s">
        <v>454</v>
      </c>
      <c r="D284" s="80" t="str">
        <f>bitConcat1(F285:F290)</f>
        <v>32'b00111111111111110000101100010000</v>
      </c>
      <c r="E284" s="81"/>
      <c r="F284" s="81"/>
      <c r="G284" s="82"/>
      <c r="H284" s="53" t="s">
        <v>251</v>
      </c>
      <c r="I284" s="54"/>
      <c r="J284" s="83" t="str">
        <f>bitConcat1(G285:G290)</f>
        <v>32'b00111111111111110000001100010000</v>
      </c>
      <c r="K284" s="84"/>
      <c r="L284" s="85"/>
      <c r="M284" s="95" t="str">
        <f t="shared" ref="M284" si="139">DEC2HEX(_xlfn.BITLSHIFT(O284,7)+4*P284)</f>
        <v>41C</v>
      </c>
      <c r="N284" s="96" t="s">
        <v>97</v>
      </c>
      <c r="O284" s="96">
        <v>8</v>
      </c>
      <c r="P284" s="97">
        <v>7</v>
      </c>
      <c r="Q284" s="98" t="str">
        <f>DEC2HEX(_xlfn.BITLSHIFT(O284,5)+P284)</f>
        <v>107</v>
      </c>
      <c r="R284" s="73" t="str">
        <f>BIN2HEX(LEFT(RIGHT(D284,32),4))&amp;BIN2HEX(LEFT(RIGHT(D284,28),4))&amp;BIN2HEX(LEFT(RIGHT(D284,24),4))&amp;BIN2HEX(LEFT(RIGHT(D284,20),4))&amp;BIN2HEX(LEFT(RIGHT(D284,16),4))&amp;BIN2HEX(LEFT(RIGHT(D284,12),4))&amp;BIN2HEX(LEFT(RIGHT(D284,8),4))&amp;BIN2HEX(LEFT(RIGHT(D284,4),4))</f>
        <v>3FFF0B10</v>
      </c>
      <c r="S284" s="73" t="str">
        <f t="shared" ref="S284" si="140">BIN2HEX(LEFT(RIGHT(J284,32),4))&amp;BIN2HEX(LEFT(RIGHT(J284,28),4))&amp;BIN2HEX(LEFT(RIGHT(J284,24),4))&amp;BIN2HEX(LEFT(RIGHT(J284,20),4))&amp;BIN2HEX(LEFT(RIGHT(J284,16),4))&amp;BIN2HEX(LEFT(RIGHT(J284,12),4))&amp;BIN2HEX(LEFT(RIGHT(J284,8),4))&amp;BIN2HEX(LEFT(RIGHT(J284,4),4))</f>
        <v>3FFF0310</v>
      </c>
    </row>
    <row r="285" spans="1:19">
      <c r="A285" s="112"/>
      <c r="B285" s="114"/>
      <c r="C285" s="36" t="s">
        <v>481</v>
      </c>
      <c r="D285" s="41">
        <v>2</v>
      </c>
      <c r="E285" s="42" t="str">
        <f>IF(D285&gt;1,(31)&amp;":"&amp;(31-D285+1),(31-D285+1)&amp;":"&amp;(31-D285+1))</f>
        <v>31:30</v>
      </c>
      <c r="F285" s="43" t="s">
        <v>98</v>
      </c>
      <c r="G285" s="43" t="s">
        <v>98</v>
      </c>
      <c r="H285" s="44" t="s">
        <v>121</v>
      </c>
      <c r="I285" s="45" t="s">
        <v>68</v>
      </c>
      <c r="J285" s="46" t="s">
        <v>36</v>
      </c>
      <c r="K285" s="47" t="s">
        <v>6</v>
      </c>
      <c r="L285" s="48"/>
      <c r="M285" s="96"/>
      <c r="N285" s="96"/>
      <c r="O285" s="96"/>
      <c r="P285" s="97"/>
      <c r="Q285" s="97"/>
      <c r="R285" s="74"/>
      <c r="S285" s="74"/>
    </row>
    <row r="286" spans="1:19">
      <c r="A286" s="112"/>
      <c r="B286" s="114"/>
      <c r="C286" s="36" t="s">
        <v>257</v>
      </c>
      <c r="D286" s="41">
        <v>14</v>
      </c>
      <c r="E286" s="50" t="str">
        <f>(MID(E285,SEARCH(":",E285)+1,2)-1) &amp; ":" &amp; (MID(E285,SEARCH(":",E285)+1,2)-D286)</f>
        <v>29:16</v>
      </c>
      <c r="F286" s="43" t="s">
        <v>130</v>
      </c>
      <c r="G286" s="43" t="s">
        <v>130</v>
      </c>
      <c r="H286" s="49" t="s">
        <v>129</v>
      </c>
      <c r="I286" s="45" t="s">
        <v>68</v>
      </c>
      <c r="J286" s="46" t="s">
        <v>36</v>
      </c>
      <c r="K286" s="47" t="s">
        <v>6</v>
      </c>
      <c r="L286" s="48"/>
      <c r="M286" s="96"/>
      <c r="N286" s="96"/>
      <c r="O286" s="96"/>
      <c r="P286" s="97"/>
      <c r="Q286" s="97"/>
      <c r="R286" s="74"/>
      <c r="S286" s="74"/>
    </row>
    <row r="287" spans="1:19" ht="15.75" customHeight="1">
      <c r="A287" s="112"/>
      <c r="B287" s="114"/>
      <c r="C287" s="36" t="s">
        <v>482</v>
      </c>
      <c r="D287" s="41">
        <v>3</v>
      </c>
      <c r="E287" s="50" t="str">
        <f t="shared" ref="E287:E290" si="141">(MID(E286,SEARCH(":",E286)+1,2)-1) &amp; ":" &amp; (MID(E286,SEARCH(":",E286)+1,2)-D287)</f>
        <v>15:13</v>
      </c>
      <c r="F287" s="43" t="s">
        <v>494</v>
      </c>
      <c r="G287" s="43" t="s">
        <v>494</v>
      </c>
      <c r="H287" s="49" t="s">
        <v>116</v>
      </c>
      <c r="I287" s="45" t="s">
        <v>68</v>
      </c>
      <c r="J287" s="46" t="s">
        <v>36</v>
      </c>
      <c r="K287" s="47" t="s">
        <v>6</v>
      </c>
      <c r="L287" s="48"/>
      <c r="M287" s="96"/>
      <c r="N287" s="96"/>
      <c r="O287" s="96"/>
      <c r="P287" s="97"/>
      <c r="Q287" s="97"/>
      <c r="R287" s="74"/>
      <c r="S287" s="74"/>
    </row>
    <row r="288" spans="1:19">
      <c r="A288" s="112"/>
      <c r="B288" s="114"/>
      <c r="C288" s="36" t="s">
        <v>480</v>
      </c>
      <c r="D288" s="41">
        <v>1</v>
      </c>
      <c r="E288" s="50" t="str">
        <f t="shared" si="141"/>
        <v>12:12</v>
      </c>
      <c r="F288" s="43" t="s">
        <v>7</v>
      </c>
      <c r="G288" s="43" t="s">
        <v>7</v>
      </c>
      <c r="H288" s="64" t="s">
        <v>492</v>
      </c>
      <c r="I288" s="45" t="s">
        <v>68</v>
      </c>
      <c r="J288" s="46" t="s">
        <v>36</v>
      </c>
      <c r="K288" s="47" t="s">
        <v>6</v>
      </c>
      <c r="L288" s="48"/>
      <c r="M288" s="96"/>
      <c r="N288" s="96"/>
      <c r="O288" s="96"/>
      <c r="P288" s="97"/>
      <c r="Q288" s="97"/>
      <c r="R288" s="74"/>
      <c r="S288" s="74"/>
    </row>
    <row r="289" spans="1:19">
      <c r="A289" s="112"/>
      <c r="B289" s="114"/>
      <c r="C289" s="36" t="s">
        <v>134</v>
      </c>
      <c r="D289" s="41">
        <v>1</v>
      </c>
      <c r="E289" s="50" t="str">
        <f t="shared" si="141"/>
        <v>11:11</v>
      </c>
      <c r="F289" s="65" t="s">
        <v>84</v>
      </c>
      <c r="G289" s="43" t="s">
        <v>7</v>
      </c>
      <c r="H289" s="49" t="s">
        <v>490</v>
      </c>
      <c r="I289" s="45" t="s">
        <v>68</v>
      </c>
      <c r="J289" s="46" t="s">
        <v>36</v>
      </c>
      <c r="K289" s="47" t="s">
        <v>6</v>
      </c>
      <c r="L289" s="48"/>
      <c r="M289" s="96"/>
      <c r="N289" s="96"/>
      <c r="O289" s="96"/>
      <c r="P289" s="97"/>
      <c r="Q289" s="97"/>
      <c r="R289" s="74"/>
      <c r="S289" s="74"/>
    </row>
    <row r="290" spans="1:19" ht="15" thickBot="1">
      <c r="A290" s="112"/>
      <c r="B290" s="114"/>
      <c r="C290" s="36" t="s">
        <v>135</v>
      </c>
      <c r="D290" s="41">
        <v>11</v>
      </c>
      <c r="E290" s="50" t="str">
        <f t="shared" si="141"/>
        <v>10:0</v>
      </c>
      <c r="F290" s="43" t="s">
        <v>464</v>
      </c>
      <c r="G290" s="43" t="s">
        <v>464</v>
      </c>
      <c r="H290" s="49" t="s">
        <v>491</v>
      </c>
      <c r="I290" s="45" t="s">
        <v>68</v>
      </c>
      <c r="J290" s="46" t="s">
        <v>36</v>
      </c>
      <c r="K290" s="47" t="s">
        <v>6</v>
      </c>
      <c r="L290" s="48"/>
      <c r="M290" s="96"/>
      <c r="N290" s="96"/>
      <c r="O290" s="96"/>
      <c r="P290" s="97"/>
      <c r="Q290" s="97"/>
      <c r="R290" s="74"/>
      <c r="S290" s="74"/>
    </row>
    <row r="291" spans="1:19" ht="14.4" customHeight="1">
      <c r="A291" s="112" t="s">
        <v>267</v>
      </c>
      <c r="B291" s="113" t="str">
        <f t="shared" ref="B291" si="142">DEC2HEX(P291*4)</f>
        <v>14</v>
      </c>
      <c r="C291" s="52" t="s">
        <v>454</v>
      </c>
      <c r="D291" s="80" t="str">
        <f>bitConcat1(F292:F300)</f>
        <v>32'b00011100000011100000101100010000</v>
      </c>
      <c r="E291" s="81"/>
      <c r="F291" s="81"/>
      <c r="G291" s="82"/>
      <c r="H291" s="53" t="s">
        <v>251</v>
      </c>
      <c r="I291" s="54"/>
      <c r="J291" s="83" t="str">
        <f>bitConcat1(G292:G300)</f>
        <v>32'b00011100000011100000001100010000</v>
      </c>
      <c r="K291" s="84"/>
      <c r="L291" s="85"/>
      <c r="M291" s="95" t="str">
        <f t="shared" ref="M291" si="143">DEC2HEX(_xlfn.BITLSHIFT(O291,7)+4*P291)</f>
        <v>414</v>
      </c>
      <c r="N291" s="96" t="s">
        <v>97</v>
      </c>
      <c r="O291" s="96">
        <v>8</v>
      </c>
      <c r="P291" s="97">
        <v>5</v>
      </c>
      <c r="Q291" s="98" t="str">
        <f>DEC2HEX(_xlfn.BITLSHIFT(O291,5)+P291)</f>
        <v>105</v>
      </c>
      <c r="R291" s="73" t="str">
        <f>BIN2HEX(LEFT(RIGHT(D291,32),4))&amp;BIN2HEX(LEFT(RIGHT(D291,28),4))&amp;BIN2HEX(LEFT(RIGHT(D291,24),4))&amp;BIN2HEX(LEFT(RIGHT(D291,20),4))&amp;BIN2HEX(LEFT(RIGHT(D291,16),4))&amp;BIN2HEX(LEFT(RIGHT(D291,12),4))&amp;BIN2HEX(LEFT(RIGHT(D291,8),4))&amp;BIN2HEX(LEFT(RIGHT(D291,4),4))</f>
        <v>1C0E0B10</v>
      </c>
      <c r="S291" s="73" t="str">
        <f t="shared" ref="S291" si="144">BIN2HEX(LEFT(RIGHT(J291,32),4))&amp;BIN2HEX(LEFT(RIGHT(J291,28),4))&amp;BIN2HEX(LEFT(RIGHT(J291,24),4))&amp;BIN2HEX(LEFT(RIGHT(J291,20),4))&amp;BIN2HEX(LEFT(RIGHT(J291,16),4))&amp;BIN2HEX(LEFT(RIGHT(J291,12),4))&amp;BIN2HEX(LEFT(RIGHT(J291,8),4))&amp;BIN2HEX(LEFT(RIGHT(J291,4),4))</f>
        <v>1C0E0310</v>
      </c>
    </row>
    <row r="292" spans="1:19">
      <c r="A292" s="112"/>
      <c r="B292" s="114"/>
      <c r="C292" s="36" t="s">
        <v>483</v>
      </c>
      <c r="D292" s="41">
        <v>2</v>
      </c>
      <c r="E292" s="42" t="str">
        <f>IF(D292&gt;1,(31)&amp;":"&amp;(31-D292+1),(31-D292+1)&amp;":"&amp;(31-D292+1))</f>
        <v>31:30</v>
      </c>
      <c r="F292" s="43" t="s">
        <v>98</v>
      </c>
      <c r="G292" s="43" t="s">
        <v>98</v>
      </c>
      <c r="H292" s="44" t="s">
        <v>121</v>
      </c>
      <c r="I292" s="45" t="s">
        <v>68</v>
      </c>
      <c r="J292" s="46" t="s">
        <v>36</v>
      </c>
      <c r="K292" s="47" t="s">
        <v>6</v>
      </c>
      <c r="L292" s="48"/>
      <c r="M292" s="96"/>
      <c r="N292" s="96"/>
      <c r="O292" s="96"/>
      <c r="P292" s="97"/>
      <c r="Q292" s="97"/>
      <c r="R292" s="74"/>
      <c r="S292" s="74"/>
    </row>
    <row r="293" spans="1:19" ht="15" customHeight="1">
      <c r="A293" s="112"/>
      <c r="B293" s="114"/>
      <c r="C293" s="36" t="s">
        <v>253</v>
      </c>
      <c r="D293" s="41">
        <v>1</v>
      </c>
      <c r="E293" s="50" t="str">
        <f t="shared" ref="E293" si="145">(MID(E292,SEARCH(":",E292)+1,2)-1) &amp; ":" &amp; (MID(E292,SEARCH(":",E292)+1,2)-D293)</f>
        <v>29:29</v>
      </c>
      <c r="F293" s="43" t="s">
        <v>7</v>
      </c>
      <c r="G293" s="43" t="s">
        <v>7</v>
      </c>
      <c r="H293" s="49" t="s">
        <v>256</v>
      </c>
      <c r="I293" s="45" t="s">
        <v>68</v>
      </c>
      <c r="J293" s="46" t="s">
        <v>36</v>
      </c>
      <c r="K293" s="47" t="s">
        <v>6</v>
      </c>
      <c r="L293" s="48"/>
      <c r="M293" s="96"/>
      <c r="N293" s="96"/>
      <c r="O293" s="96"/>
      <c r="P293" s="97"/>
      <c r="Q293" s="97"/>
      <c r="R293" s="74"/>
      <c r="S293" s="74"/>
    </row>
    <row r="294" spans="1:19">
      <c r="A294" s="112"/>
      <c r="B294" s="114"/>
      <c r="C294" s="36" t="s">
        <v>254</v>
      </c>
      <c r="D294" s="41">
        <v>6</v>
      </c>
      <c r="E294" s="50" t="str">
        <f>(MID(E293,SEARCH(":",E293)+1,2)-1) &amp; ":" &amp; (MID(E293,SEARCH(":",E293)+1,2)-D294)</f>
        <v>28:23</v>
      </c>
      <c r="F294" s="43" t="s">
        <v>461</v>
      </c>
      <c r="G294" s="43" t="s">
        <v>461</v>
      </c>
      <c r="H294" s="49" t="s">
        <v>123</v>
      </c>
      <c r="I294" s="45" t="s">
        <v>68</v>
      </c>
      <c r="J294" s="46" t="s">
        <v>36</v>
      </c>
      <c r="K294" s="47" t="s">
        <v>6</v>
      </c>
      <c r="L294" s="48"/>
      <c r="M294" s="96"/>
      <c r="N294" s="96"/>
      <c r="O294" s="96"/>
      <c r="P294" s="97"/>
      <c r="Q294" s="97"/>
      <c r="R294" s="74"/>
      <c r="S294" s="74"/>
    </row>
    <row r="295" spans="1:19">
      <c r="A295" s="112"/>
      <c r="B295" s="114"/>
      <c r="C295" s="36" t="s">
        <v>255</v>
      </c>
      <c r="D295" s="41">
        <v>6</v>
      </c>
      <c r="E295" s="50" t="str">
        <f t="shared" ref="E295:E300" si="146">(MID(E294,SEARCH(":",E294)+1,2)-1) &amp; ":" &amp; (MID(E294,SEARCH(":",E294)+1,2)-D295)</f>
        <v>22:17</v>
      </c>
      <c r="F295" s="43" t="s">
        <v>462</v>
      </c>
      <c r="G295" s="43" t="s">
        <v>462</v>
      </c>
      <c r="H295" s="44" t="s">
        <v>123</v>
      </c>
      <c r="I295" s="45" t="s">
        <v>68</v>
      </c>
      <c r="J295" s="46" t="s">
        <v>36</v>
      </c>
      <c r="K295" s="47" t="s">
        <v>6</v>
      </c>
      <c r="L295" s="48"/>
      <c r="M295" s="96"/>
      <c r="N295" s="96"/>
      <c r="O295" s="96"/>
      <c r="P295" s="97"/>
      <c r="Q295" s="97"/>
      <c r="R295" s="74"/>
      <c r="S295" s="74"/>
    </row>
    <row r="296" spans="1:19">
      <c r="A296" s="112"/>
      <c r="B296" s="114"/>
      <c r="C296" s="36" t="s">
        <v>118</v>
      </c>
      <c r="D296" s="41">
        <v>1</v>
      </c>
      <c r="E296" s="50" t="str">
        <f t="shared" si="146"/>
        <v>16:16</v>
      </c>
      <c r="F296" s="43" t="s">
        <v>7</v>
      </c>
      <c r="G296" s="43" t="s">
        <v>7</v>
      </c>
      <c r="H296" s="44" t="s">
        <v>124</v>
      </c>
      <c r="I296" s="45" t="s">
        <v>68</v>
      </c>
      <c r="J296" s="46" t="s">
        <v>36</v>
      </c>
      <c r="K296" s="47" t="s">
        <v>6</v>
      </c>
      <c r="L296" s="48"/>
      <c r="M296" s="96"/>
      <c r="N296" s="96"/>
      <c r="O296" s="96"/>
      <c r="P296" s="97"/>
      <c r="Q296" s="97"/>
      <c r="R296" s="74"/>
      <c r="S296" s="74"/>
    </row>
    <row r="297" spans="1:19">
      <c r="A297" s="112"/>
      <c r="B297" s="114"/>
      <c r="C297" s="36" t="s">
        <v>484</v>
      </c>
      <c r="D297" s="41">
        <v>3</v>
      </c>
      <c r="E297" s="50" t="str">
        <f t="shared" si="146"/>
        <v>15:13</v>
      </c>
      <c r="F297" s="43" t="s">
        <v>494</v>
      </c>
      <c r="G297" s="43" t="s">
        <v>494</v>
      </c>
      <c r="H297" s="49" t="s">
        <v>116</v>
      </c>
      <c r="I297" s="45" t="s">
        <v>68</v>
      </c>
      <c r="J297" s="46" t="s">
        <v>36</v>
      </c>
      <c r="K297" s="47" t="s">
        <v>6</v>
      </c>
      <c r="L297" s="48"/>
      <c r="M297" s="96"/>
      <c r="N297" s="96"/>
      <c r="O297" s="96"/>
      <c r="P297" s="97"/>
      <c r="Q297" s="97"/>
      <c r="R297" s="74"/>
      <c r="S297" s="74"/>
    </row>
    <row r="298" spans="1:19">
      <c r="A298" s="112"/>
      <c r="B298" s="114"/>
      <c r="C298" s="36" t="s">
        <v>480</v>
      </c>
      <c r="D298" s="41">
        <v>1</v>
      </c>
      <c r="E298" s="50" t="str">
        <f t="shared" si="146"/>
        <v>12:12</v>
      </c>
      <c r="F298" s="43" t="s">
        <v>7</v>
      </c>
      <c r="G298" s="43" t="s">
        <v>7</v>
      </c>
      <c r="H298" s="64" t="s">
        <v>492</v>
      </c>
      <c r="I298" s="45" t="s">
        <v>68</v>
      </c>
      <c r="J298" s="46" t="s">
        <v>36</v>
      </c>
      <c r="K298" s="47" t="s">
        <v>6</v>
      </c>
      <c r="L298" s="48"/>
      <c r="M298" s="96"/>
      <c r="N298" s="96"/>
      <c r="O298" s="96"/>
      <c r="P298" s="97"/>
      <c r="Q298" s="97"/>
      <c r="R298" s="74"/>
      <c r="S298" s="74"/>
    </row>
    <row r="299" spans="1:19">
      <c r="A299" s="112"/>
      <c r="B299" s="114"/>
      <c r="C299" s="36" t="s">
        <v>140</v>
      </c>
      <c r="D299" s="41">
        <v>1</v>
      </c>
      <c r="E299" s="50" t="str">
        <f t="shared" si="146"/>
        <v>11:11</v>
      </c>
      <c r="F299" s="65" t="s">
        <v>84</v>
      </c>
      <c r="G299" s="43" t="s">
        <v>7</v>
      </c>
      <c r="H299" s="49" t="s">
        <v>490</v>
      </c>
      <c r="I299" s="45" t="s">
        <v>68</v>
      </c>
      <c r="J299" s="46" t="s">
        <v>36</v>
      </c>
      <c r="K299" s="47" t="s">
        <v>6</v>
      </c>
      <c r="L299" s="48"/>
      <c r="M299" s="96"/>
      <c r="N299" s="96"/>
      <c r="O299" s="96"/>
      <c r="P299" s="97"/>
      <c r="Q299" s="97"/>
      <c r="R299" s="74"/>
      <c r="S299" s="74"/>
    </row>
    <row r="300" spans="1:19" ht="15" thickBot="1">
      <c r="A300" s="112"/>
      <c r="B300" s="114"/>
      <c r="C300" s="36" t="s">
        <v>141</v>
      </c>
      <c r="D300" s="41">
        <v>11</v>
      </c>
      <c r="E300" s="50" t="str">
        <f t="shared" si="146"/>
        <v>10:0</v>
      </c>
      <c r="F300" s="43" t="s">
        <v>464</v>
      </c>
      <c r="G300" s="43" t="s">
        <v>464</v>
      </c>
      <c r="H300" s="49" t="s">
        <v>491</v>
      </c>
      <c r="I300" s="45" t="s">
        <v>68</v>
      </c>
      <c r="J300" s="46" t="s">
        <v>36</v>
      </c>
      <c r="K300" s="47" t="s">
        <v>6</v>
      </c>
      <c r="L300" s="48"/>
      <c r="M300" s="96"/>
      <c r="N300" s="96"/>
      <c r="O300" s="96"/>
      <c r="P300" s="97"/>
      <c r="Q300" s="97"/>
      <c r="R300" s="74"/>
      <c r="S300" s="74"/>
    </row>
    <row r="301" spans="1:19" ht="14.4" customHeight="1">
      <c r="A301" s="112" t="s">
        <v>268</v>
      </c>
      <c r="B301" s="113" t="str">
        <f t="shared" ref="B301" si="147">DEC2HEX(P301*4)</f>
        <v>18</v>
      </c>
      <c r="C301" s="52" t="s">
        <v>454</v>
      </c>
      <c r="D301" s="80" t="str">
        <f>bitConcat1(F302:F310)</f>
        <v>32'b00000000000011000000101100010000</v>
      </c>
      <c r="E301" s="81"/>
      <c r="F301" s="81"/>
      <c r="G301" s="82"/>
      <c r="H301" s="53" t="s">
        <v>251</v>
      </c>
      <c r="I301" s="54"/>
      <c r="J301" s="83" t="str">
        <f>bitConcat1(G302:G310)</f>
        <v>32'b00000000000011000000001100010000</v>
      </c>
      <c r="K301" s="84"/>
      <c r="L301" s="85"/>
      <c r="M301" s="95" t="str">
        <f t="shared" ref="M301" si="148">DEC2HEX(_xlfn.BITLSHIFT(O301,7)+4*P301)</f>
        <v>418</v>
      </c>
      <c r="N301" s="96" t="s">
        <v>97</v>
      </c>
      <c r="O301" s="96">
        <v>8</v>
      </c>
      <c r="P301" s="97">
        <v>6</v>
      </c>
      <c r="Q301" s="98" t="str">
        <f>DEC2HEX(_xlfn.BITLSHIFT(O301,5)+P301)</f>
        <v>106</v>
      </c>
      <c r="R301" s="73" t="str">
        <f>BIN2HEX(LEFT(RIGHT(D301,32),4))&amp;BIN2HEX(LEFT(RIGHT(D301,28),4))&amp;BIN2HEX(LEFT(RIGHT(D301,24),4))&amp;BIN2HEX(LEFT(RIGHT(D301,20),4))&amp;BIN2HEX(LEFT(RIGHT(D301,16),4))&amp;BIN2HEX(LEFT(RIGHT(D301,12),4))&amp;BIN2HEX(LEFT(RIGHT(D301,8),4))&amp;BIN2HEX(LEFT(RIGHT(D301,4),4))</f>
        <v>000C0B10</v>
      </c>
      <c r="S301" s="73" t="str">
        <f t="shared" ref="S301" si="149">BIN2HEX(LEFT(RIGHT(J301,32),4))&amp;BIN2HEX(LEFT(RIGHT(J301,28),4))&amp;BIN2HEX(LEFT(RIGHT(J301,24),4))&amp;BIN2HEX(LEFT(RIGHT(J301,20),4))&amp;BIN2HEX(LEFT(RIGHT(J301,16),4))&amp;BIN2HEX(LEFT(RIGHT(J301,12),4))&amp;BIN2HEX(LEFT(RIGHT(J301,8),4))&amp;BIN2HEX(LEFT(RIGHT(J301,4),4))</f>
        <v>000C0310</v>
      </c>
    </row>
    <row r="302" spans="1:19">
      <c r="A302" s="112"/>
      <c r="B302" s="114"/>
      <c r="C302" s="36" t="s">
        <v>485</v>
      </c>
      <c r="D302" s="41">
        <v>6</v>
      </c>
      <c r="E302" s="42" t="str">
        <f>IF(D302&gt;1,(31)&amp;":"&amp;(31-D302+1),(31-D302+1)&amp;":"&amp;(31-D302+1))</f>
        <v>31:26</v>
      </c>
      <c r="F302" s="43" t="s">
        <v>122</v>
      </c>
      <c r="G302" s="43" t="s">
        <v>122</v>
      </c>
      <c r="H302" s="44" t="s">
        <v>143</v>
      </c>
      <c r="I302" s="45" t="s">
        <v>68</v>
      </c>
      <c r="J302" s="46" t="s">
        <v>36</v>
      </c>
      <c r="K302" s="47" t="s">
        <v>6</v>
      </c>
      <c r="L302" s="48"/>
      <c r="M302" s="96"/>
      <c r="N302" s="96"/>
      <c r="O302" s="96"/>
      <c r="P302" s="97"/>
      <c r="Q302" s="97"/>
      <c r="R302" s="74"/>
      <c r="S302" s="74"/>
    </row>
    <row r="303" spans="1:19">
      <c r="A303" s="112"/>
      <c r="B303" s="114"/>
      <c r="C303" s="36" t="s">
        <v>486</v>
      </c>
      <c r="D303" s="41">
        <v>5</v>
      </c>
      <c r="E303" s="50" t="str">
        <f t="shared" ref="E303:E310" si="150">(MID(E302,SEARCH(":",E302)+1,2)-1) &amp; ":" &amp; (MID(E302,SEARCH(":",E302)+1,2)-D303)</f>
        <v>25:21</v>
      </c>
      <c r="F303" s="43" t="s">
        <v>103</v>
      </c>
      <c r="G303" s="43" t="s">
        <v>103</v>
      </c>
      <c r="H303" s="44" t="s">
        <v>137</v>
      </c>
      <c r="I303" s="45" t="s">
        <v>68</v>
      </c>
      <c r="J303" s="46" t="s">
        <v>36</v>
      </c>
      <c r="K303" s="47" t="s">
        <v>6</v>
      </c>
      <c r="L303" s="48"/>
      <c r="M303" s="96"/>
      <c r="N303" s="96"/>
      <c r="O303" s="96"/>
      <c r="P303" s="97"/>
      <c r="Q303" s="97"/>
      <c r="R303" s="74"/>
      <c r="S303" s="74"/>
    </row>
    <row r="304" spans="1:19">
      <c r="A304" s="112"/>
      <c r="B304" s="114"/>
      <c r="C304" s="36" t="s">
        <v>249</v>
      </c>
      <c r="D304" s="41">
        <v>1</v>
      </c>
      <c r="E304" s="50" t="str">
        <f t="shared" si="150"/>
        <v>20:20</v>
      </c>
      <c r="F304" s="43" t="s">
        <v>7</v>
      </c>
      <c r="G304" s="43" t="s">
        <v>7</v>
      </c>
      <c r="H304" s="49" t="s">
        <v>136</v>
      </c>
      <c r="I304" s="45" t="s">
        <v>68</v>
      </c>
      <c r="J304" s="46" t="s">
        <v>36</v>
      </c>
      <c r="K304" s="47" t="s">
        <v>6</v>
      </c>
      <c r="L304" s="48"/>
      <c r="M304" s="96"/>
      <c r="N304" s="96"/>
      <c r="O304" s="96"/>
      <c r="P304" s="97"/>
      <c r="Q304" s="97"/>
      <c r="R304" s="74"/>
      <c r="S304" s="74"/>
    </row>
    <row r="305" spans="1:19" ht="15.75" customHeight="1">
      <c r="A305" s="112"/>
      <c r="B305" s="114"/>
      <c r="C305" s="36" t="s">
        <v>144</v>
      </c>
      <c r="D305" s="41">
        <v>2</v>
      </c>
      <c r="E305" s="50" t="str">
        <f t="shared" si="150"/>
        <v>19:18</v>
      </c>
      <c r="F305" s="43" t="s">
        <v>496</v>
      </c>
      <c r="G305" s="43" t="s">
        <v>496</v>
      </c>
      <c r="H305" s="49" t="s">
        <v>146</v>
      </c>
      <c r="I305" s="45" t="s">
        <v>68</v>
      </c>
      <c r="J305" s="46" t="s">
        <v>36</v>
      </c>
      <c r="K305" s="47" t="s">
        <v>6</v>
      </c>
      <c r="L305" s="48"/>
      <c r="M305" s="96"/>
      <c r="N305" s="96"/>
      <c r="O305" s="96"/>
      <c r="P305" s="97"/>
      <c r="Q305" s="97"/>
      <c r="R305" s="74"/>
      <c r="S305" s="74"/>
    </row>
    <row r="306" spans="1:19">
      <c r="A306" s="112"/>
      <c r="B306" s="114"/>
      <c r="C306" s="36" t="s">
        <v>145</v>
      </c>
      <c r="D306" s="41">
        <v>2</v>
      </c>
      <c r="E306" s="50" t="str">
        <f t="shared" si="150"/>
        <v>17:16</v>
      </c>
      <c r="F306" s="43" t="s">
        <v>98</v>
      </c>
      <c r="G306" s="43" t="s">
        <v>98</v>
      </c>
      <c r="H306" s="49" t="s">
        <v>147</v>
      </c>
      <c r="I306" s="45" t="s">
        <v>68</v>
      </c>
      <c r="J306" s="46" t="s">
        <v>36</v>
      </c>
      <c r="K306" s="47" t="s">
        <v>6</v>
      </c>
      <c r="L306" s="48"/>
      <c r="M306" s="96"/>
      <c r="N306" s="96"/>
      <c r="O306" s="96"/>
      <c r="P306" s="97"/>
      <c r="Q306" s="97"/>
      <c r="R306" s="74"/>
      <c r="S306" s="74"/>
    </row>
    <row r="307" spans="1:19">
      <c r="A307" s="112"/>
      <c r="B307" s="114"/>
      <c r="C307" s="36" t="s">
        <v>487</v>
      </c>
      <c r="D307" s="41">
        <v>3</v>
      </c>
      <c r="E307" s="50" t="str">
        <f t="shared" si="150"/>
        <v>15:13</v>
      </c>
      <c r="F307" s="43" t="s">
        <v>494</v>
      </c>
      <c r="G307" s="43" t="s">
        <v>494</v>
      </c>
      <c r="H307" s="49" t="s">
        <v>116</v>
      </c>
      <c r="I307" s="45" t="s">
        <v>68</v>
      </c>
      <c r="J307" s="46" t="s">
        <v>36</v>
      </c>
      <c r="K307" s="47" t="s">
        <v>6</v>
      </c>
      <c r="L307" s="48"/>
      <c r="M307" s="96"/>
      <c r="N307" s="96"/>
      <c r="O307" s="96"/>
      <c r="P307" s="97"/>
      <c r="Q307" s="97"/>
      <c r="R307" s="74"/>
      <c r="S307" s="74"/>
    </row>
    <row r="308" spans="1:19">
      <c r="A308" s="112"/>
      <c r="B308" s="114"/>
      <c r="C308" s="36" t="s">
        <v>480</v>
      </c>
      <c r="D308" s="41">
        <v>1</v>
      </c>
      <c r="E308" s="50" t="str">
        <f t="shared" si="150"/>
        <v>12:12</v>
      </c>
      <c r="F308" s="43" t="s">
        <v>7</v>
      </c>
      <c r="G308" s="43" t="s">
        <v>7</v>
      </c>
      <c r="H308" s="64" t="s">
        <v>492</v>
      </c>
      <c r="I308" s="45" t="s">
        <v>68</v>
      </c>
      <c r="J308" s="46" t="s">
        <v>36</v>
      </c>
      <c r="K308" s="47" t="s">
        <v>6</v>
      </c>
      <c r="L308" s="48"/>
      <c r="M308" s="96"/>
      <c r="N308" s="96"/>
      <c r="O308" s="96"/>
      <c r="P308" s="97"/>
      <c r="Q308" s="97"/>
      <c r="R308" s="74"/>
      <c r="S308" s="74"/>
    </row>
    <row r="309" spans="1:19">
      <c r="A309" s="112"/>
      <c r="B309" s="114"/>
      <c r="C309" s="36" t="s">
        <v>148</v>
      </c>
      <c r="D309" s="41">
        <v>1</v>
      </c>
      <c r="E309" s="50" t="str">
        <f t="shared" si="150"/>
        <v>11:11</v>
      </c>
      <c r="F309" s="65" t="s">
        <v>84</v>
      </c>
      <c r="G309" s="43" t="s">
        <v>7</v>
      </c>
      <c r="H309" s="49" t="s">
        <v>490</v>
      </c>
      <c r="I309" s="45" t="s">
        <v>68</v>
      </c>
      <c r="J309" s="46" t="s">
        <v>36</v>
      </c>
      <c r="K309" s="47" t="s">
        <v>6</v>
      </c>
      <c r="L309" s="48"/>
      <c r="M309" s="96"/>
      <c r="N309" s="96"/>
      <c r="O309" s="96"/>
      <c r="P309" s="97"/>
      <c r="Q309" s="97"/>
      <c r="R309" s="74"/>
      <c r="S309" s="74"/>
    </row>
    <row r="310" spans="1:19" ht="15" thickBot="1">
      <c r="A310" s="112"/>
      <c r="B310" s="114"/>
      <c r="C310" s="36" t="s">
        <v>149</v>
      </c>
      <c r="D310" s="41">
        <v>11</v>
      </c>
      <c r="E310" s="50" t="str">
        <f t="shared" si="150"/>
        <v>10:0</v>
      </c>
      <c r="F310" s="43" t="s">
        <v>464</v>
      </c>
      <c r="G310" s="43" t="s">
        <v>464</v>
      </c>
      <c r="H310" s="49" t="s">
        <v>491</v>
      </c>
      <c r="I310" s="45" t="s">
        <v>68</v>
      </c>
      <c r="J310" s="46" t="s">
        <v>36</v>
      </c>
      <c r="K310" s="47" t="s">
        <v>6</v>
      </c>
      <c r="L310" s="48"/>
      <c r="M310" s="96"/>
      <c r="N310" s="96"/>
      <c r="O310" s="96"/>
      <c r="P310" s="97"/>
      <c r="Q310" s="97"/>
      <c r="R310" s="74"/>
      <c r="S310" s="74"/>
    </row>
    <row r="311" spans="1:19">
      <c r="A311" s="111" t="s">
        <v>269</v>
      </c>
      <c r="B311" s="109" t="str">
        <f t="shared" ref="B311" si="151">DEC2HEX(P311*4)</f>
        <v>0</v>
      </c>
      <c r="C311" s="52" t="s">
        <v>454</v>
      </c>
      <c r="D311" s="80" t="str">
        <f>bitConcat1(F312:F315)</f>
        <v>32'b00000000000000000000000000000000</v>
      </c>
      <c r="E311" s="81"/>
      <c r="F311" s="81"/>
      <c r="G311" s="82"/>
      <c r="H311" s="53" t="s">
        <v>251</v>
      </c>
      <c r="I311" s="54"/>
      <c r="J311" s="83" t="str">
        <f>bitConcat1(G312:G316)</f>
        <v>32'b00000000000000000000000000000000</v>
      </c>
      <c r="K311" s="84"/>
      <c r="L311" s="85"/>
      <c r="M311" s="95" t="str">
        <f t="shared" ref="M311" si="152">DEC2HEX(_xlfn.BITLSHIFT(O311,7)+4*P311)</f>
        <v>380</v>
      </c>
      <c r="N311" s="95" t="s">
        <v>97</v>
      </c>
      <c r="O311" s="95">
        <v>7</v>
      </c>
      <c r="P311" s="98">
        <v>0</v>
      </c>
      <c r="Q311" s="98" t="str">
        <f>DEC2HEX(_xlfn.BITLSHIFT(O311,5)+P311)</f>
        <v>E0</v>
      </c>
      <c r="R311" s="73" t="str">
        <f>BIN2HEX(LEFT(RIGHT(D311,32),4))&amp;BIN2HEX(LEFT(RIGHT(D311,28),4))&amp;BIN2HEX(LEFT(RIGHT(D311,24),4))&amp;BIN2HEX(LEFT(RIGHT(D311,20),4))&amp;BIN2HEX(LEFT(RIGHT(D311,16),4))&amp;BIN2HEX(LEFT(RIGHT(D311,12),4))&amp;BIN2HEX(LEFT(RIGHT(D311,8),4))&amp;BIN2HEX(LEFT(RIGHT(D311,4),4))</f>
        <v>00000000</v>
      </c>
      <c r="S311" s="73" t="str">
        <f t="shared" ref="S311" si="153">BIN2HEX(LEFT(RIGHT(J311,32),4))&amp;BIN2HEX(LEFT(RIGHT(J311,28),4))&amp;BIN2HEX(LEFT(RIGHT(J311,24),4))&amp;BIN2HEX(LEFT(RIGHT(J311,20),4))&amp;BIN2HEX(LEFT(RIGHT(J311,16),4))&amp;BIN2HEX(LEFT(RIGHT(J311,12),4))&amp;BIN2HEX(LEFT(RIGHT(J311,8),4))&amp;BIN2HEX(LEFT(RIGHT(J311,4),4))</f>
        <v>00000000</v>
      </c>
    </row>
    <row r="312" spans="1:19">
      <c r="A312" s="108"/>
      <c r="B312" s="110"/>
      <c r="C312" s="36" t="s">
        <v>157</v>
      </c>
      <c r="D312" s="41">
        <v>8</v>
      </c>
      <c r="E312" s="42" t="str">
        <f>IF(D312&gt;1,(31)&amp;":"&amp;(31-D312+1),(31-D312+1)&amp;":"&amp;(31-D312+1))</f>
        <v>31:24</v>
      </c>
      <c r="F312" s="43" t="s">
        <v>115</v>
      </c>
      <c r="G312" s="43" t="s">
        <v>115</v>
      </c>
      <c r="H312" s="44" t="s">
        <v>158</v>
      </c>
      <c r="I312" s="45" t="s">
        <v>68</v>
      </c>
      <c r="J312" s="46" t="s">
        <v>36</v>
      </c>
      <c r="K312" s="47" t="s">
        <v>6</v>
      </c>
      <c r="L312" s="48"/>
      <c r="M312" s="96"/>
      <c r="N312" s="96"/>
      <c r="O312" s="96"/>
      <c r="P312" s="97"/>
      <c r="Q312" s="97"/>
      <c r="R312" s="74"/>
      <c r="S312" s="74"/>
    </row>
    <row r="313" spans="1:19">
      <c r="A313" s="108"/>
      <c r="B313" s="110"/>
      <c r="C313" s="36" t="s">
        <v>156</v>
      </c>
      <c r="D313" s="41">
        <v>8</v>
      </c>
      <c r="E313" s="50" t="str">
        <f t="shared" ref="E313" si="154">(MID(E312,SEARCH(":",E312)+1,2)-1) &amp; ":" &amp; (MID(E312,SEARCH(":",E312)+1,2)-D313)</f>
        <v>23:16</v>
      </c>
      <c r="F313" s="43" t="s">
        <v>115</v>
      </c>
      <c r="G313" s="43" t="s">
        <v>115</v>
      </c>
      <c r="H313" s="44" t="s">
        <v>159</v>
      </c>
      <c r="I313" s="45" t="s">
        <v>68</v>
      </c>
      <c r="J313" s="46" t="s">
        <v>36</v>
      </c>
      <c r="K313" s="47" t="s">
        <v>6</v>
      </c>
      <c r="L313" s="48"/>
      <c r="M313" s="96"/>
      <c r="N313" s="96"/>
      <c r="O313" s="96"/>
      <c r="P313" s="97"/>
      <c r="Q313" s="97"/>
      <c r="R313" s="74"/>
      <c r="S313" s="74"/>
    </row>
    <row r="314" spans="1:19">
      <c r="A314" s="108"/>
      <c r="B314" s="110"/>
      <c r="C314" s="36" t="s">
        <v>150</v>
      </c>
      <c r="D314" s="41">
        <v>8</v>
      </c>
      <c r="E314" s="50" t="str">
        <f>(MID(E313,SEARCH(":",E313)+1,2)-1) &amp; ":" &amp; (MID(E313,SEARCH(":",E313)+1,2)-D314)</f>
        <v>15:8</v>
      </c>
      <c r="F314" s="43" t="s">
        <v>115</v>
      </c>
      <c r="G314" s="43" t="s">
        <v>115</v>
      </c>
      <c r="H314" s="44" t="s">
        <v>151</v>
      </c>
      <c r="I314" s="45" t="s">
        <v>68</v>
      </c>
      <c r="J314" s="46" t="s">
        <v>36</v>
      </c>
      <c r="K314" s="47" t="s">
        <v>6</v>
      </c>
      <c r="L314" s="48"/>
      <c r="M314" s="96"/>
      <c r="N314" s="96"/>
      <c r="O314" s="96"/>
      <c r="P314" s="97"/>
      <c r="Q314" s="97"/>
      <c r="R314" s="74"/>
      <c r="S314" s="74"/>
    </row>
    <row r="315" spans="1:19" ht="15" thickBot="1">
      <c r="A315" s="108"/>
      <c r="B315" s="110"/>
      <c r="C315" s="36" t="s">
        <v>153</v>
      </c>
      <c r="D315" s="41">
        <v>8</v>
      </c>
      <c r="E315" s="50" t="str">
        <f>(MID(E314,SEARCH(":",E314)+1,2)-1) &amp; ":" &amp; (MID(E314,SEARCH(":",E314)+1,2)-D315)</f>
        <v>7:0</v>
      </c>
      <c r="F315" s="43" t="s">
        <v>115</v>
      </c>
      <c r="G315" s="43" t="s">
        <v>115</v>
      </c>
      <c r="H315" s="44" t="s">
        <v>160</v>
      </c>
      <c r="I315" s="45" t="s">
        <v>68</v>
      </c>
      <c r="J315" s="46" t="s">
        <v>36</v>
      </c>
      <c r="K315" s="47" t="s">
        <v>6</v>
      </c>
      <c r="L315" s="48"/>
      <c r="M315" s="96"/>
      <c r="N315" s="96"/>
      <c r="O315" s="96"/>
      <c r="P315" s="97"/>
      <c r="Q315" s="97"/>
      <c r="R315" s="74"/>
      <c r="S315" s="75"/>
    </row>
    <row r="316" spans="1:19" ht="15.75" customHeight="1">
      <c r="A316" s="108" t="s">
        <v>270</v>
      </c>
      <c r="B316" s="109" t="str">
        <f t="shared" ref="B316" si="155">DEC2HEX(P316*4)</f>
        <v>4</v>
      </c>
      <c r="C316" s="52" t="s">
        <v>454</v>
      </c>
      <c r="D316" s="80" t="str">
        <f>bitConcat1(F317:F318)</f>
        <v>32'b00000000000000000000000000000000</v>
      </c>
      <c r="E316" s="81"/>
      <c r="F316" s="81"/>
      <c r="G316" s="82"/>
      <c r="H316" s="53" t="s">
        <v>251</v>
      </c>
      <c r="I316" s="54"/>
      <c r="J316" s="83" t="str">
        <f>bitConcat1(G317:G318)</f>
        <v>32'b00000000000000000000000000000000</v>
      </c>
      <c r="K316" s="84"/>
      <c r="L316" s="85"/>
      <c r="M316" s="95" t="str">
        <f t="shared" ref="M316" si="156">DEC2HEX(_xlfn.BITLSHIFT(O316,7)+4*P316)</f>
        <v>384</v>
      </c>
      <c r="N316" s="96" t="s">
        <v>97</v>
      </c>
      <c r="O316" s="96">
        <v>7</v>
      </c>
      <c r="P316" s="97">
        <v>1</v>
      </c>
      <c r="Q316" s="98" t="str">
        <f>DEC2HEX(_xlfn.BITLSHIFT(O316,5)+P316)</f>
        <v>E1</v>
      </c>
      <c r="R316" s="73" t="str">
        <f>BIN2HEX(LEFT(RIGHT(D316,32),4))&amp;BIN2HEX(LEFT(RIGHT(D316,28),4))&amp;BIN2HEX(LEFT(RIGHT(D316,24),4))&amp;BIN2HEX(LEFT(RIGHT(D316,20),4))&amp;BIN2HEX(LEFT(RIGHT(D316,16),4))&amp;BIN2HEX(LEFT(RIGHT(D316,12),4))&amp;BIN2HEX(LEFT(RIGHT(D316,8),4))&amp;BIN2HEX(LEFT(RIGHT(D316,4),4))</f>
        <v>00000000</v>
      </c>
      <c r="S316" s="73" t="str">
        <f t="shared" ref="S316" si="157">BIN2HEX(LEFT(RIGHT(J316,32),4))&amp;BIN2HEX(LEFT(RIGHT(J316,28),4))&amp;BIN2HEX(LEFT(RIGHT(J316,24),4))&amp;BIN2HEX(LEFT(RIGHT(J316,20),4))&amp;BIN2HEX(LEFT(RIGHT(J316,16),4))&amp;BIN2HEX(LEFT(RIGHT(J316,12),4))&amp;BIN2HEX(LEFT(RIGHT(J316,8),4))&amp;BIN2HEX(LEFT(RIGHT(J316,4),4))</f>
        <v>00000000</v>
      </c>
    </row>
    <row r="317" spans="1:19" ht="15.75" customHeight="1">
      <c r="A317" s="108"/>
      <c r="B317" s="110"/>
      <c r="C317" s="36" t="s">
        <v>259</v>
      </c>
      <c r="D317" s="41">
        <v>16</v>
      </c>
      <c r="E317" s="42" t="str">
        <f>IF(D317&gt;1,(31)&amp;":"&amp;(31-D317+1),(31-D317+1)&amp;":"&amp;(31-D317+1))</f>
        <v>31:16</v>
      </c>
      <c r="F317" s="43" t="s">
        <v>245</v>
      </c>
      <c r="G317" s="43" t="s">
        <v>245</v>
      </c>
      <c r="H317" s="44" t="s">
        <v>258</v>
      </c>
      <c r="I317" s="45" t="s">
        <v>68</v>
      </c>
      <c r="J317" s="46" t="s">
        <v>36</v>
      </c>
      <c r="K317" s="47" t="s">
        <v>6</v>
      </c>
      <c r="L317" s="48"/>
      <c r="M317" s="96"/>
      <c r="N317" s="96"/>
      <c r="O317" s="96"/>
      <c r="P317" s="97"/>
      <c r="Q317" s="97"/>
      <c r="R317" s="74"/>
      <c r="S317" s="74"/>
    </row>
    <row r="318" spans="1:19" ht="15" thickBot="1">
      <c r="A318" s="108"/>
      <c r="B318" s="110"/>
      <c r="C318" s="36" t="s">
        <v>152</v>
      </c>
      <c r="D318" s="41">
        <v>16</v>
      </c>
      <c r="E318" s="50" t="str">
        <f>(MID(E317,SEARCH(":",E317)+1,2)-1) &amp; ":" &amp; (MID(E317,SEARCH(":",E317)+1,2)-D318)</f>
        <v>15:0</v>
      </c>
      <c r="F318" s="43" t="s">
        <v>245</v>
      </c>
      <c r="G318" s="43" t="s">
        <v>245</v>
      </c>
      <c r="H318" s="49" t="s">
        <v>121</v>
      </c>
      <c r="I318" s="45" t="s">
        <v>68</v>
      </c>
      <c r="J318" s="46" t="s">
        <v>36</v>
      </c>
      <c r="K318" s="47" t="s">
        <v>6</v>
      </c>
      <c r="L318" s="48"/>
      <c r="M318" s="96"/>
      <c r="N318" s="96"/>
      <c r="O318" s="96"/>
      <c r="P318" s="97"/>
      <c r="Q318" s="97"/>
      <c r="R318" s="75"/>
      <c r="S318" s="75"/>
    </row>
    <row r="319" spans="1:19">
      <c r="A319" s="108" t="s">
        <v>271</v>
      </c>
      <c r="B319" s="109" t="str">
        <f t="shared" ref="B319" si="158">DEC2HEX(P319*4)</f>
        <v>8</v>
      </c>
      <c r="C319" s="52" t="s">
        <v>454</v>
      </c>
      <c r="D319" s="80" t="str">
        <f>bitConcat1(F320:F324)</f>
        <v>32'b00000000101100110001100000100000</v>
      </c>
      <c r="E319" s="81"/>
      <c r="F319" s="81"/>
      <c r="G319" s="82"/>
      <c r="H319" s="53" t="s">
        <v>251</v>
      </c>
      <c r="I319" s="54"/>
      <c r="J319" s="83" t="str">
        <f>bitConcat1(G320:G324)</f>
        <v>32'b00000000000000000001100000000000</v>
      </c>
      <c r="K319" s="84"/>
      <c r="L319" s="85"/>
      <c r="M319" s="95" t="str">
        <f t="shared" ref="M319" si="159">DEC2HEX(_xlfn.BITLSHIFT(O319,7)+4*P319)</f>
        <v>388</v>
      </c>
      <c r="N319" s="96" t="s">
        <v>97</v>
      </c>
      <c r="O319" s="96">
        <v>7</v>
      </c>
      <c r="P319" s="97">
        <v>2</v>
      </c>
      <c r="Q319" s="98" t="str">
        <f>DEC2HEX(_xlfn.BITLSHIFT(O319,5)+P319)</f>
        <v>E2</v>
      </c>
      <c r="R319" s="73" t="str">
        <f>BIN2HEX(LEFT(RIGHT(D319,32),4))&amp;BIN2HEX(LEFT(RIGHT(D319,28),4))&amp;BIN2HEX(LEFT(RIGHT(D319,24),4))&amp;BIN2HEX(LEFT(RIGHT(D319,20),4))&amp;BIN2HEX(LEFT(RIGHT(D319,16),4))&amp;BIN2HEX(LEFT(RIGHT(D319,12),4))&amp;BIN2HEX(LEFT(RIGHT(D319,8),4))&amp;BIN2HEX(LEFT(RIGHT(D319,4),4))</f>
        <v>00B31820</v>
      </c>
      <c r="S319" s="73" t="str">
        <f t="shared" ref="S319" si="160">BIN2HEX(LEFT(RIGHT(J319,32),4))&amp;BIN2HEX(LEFT(RIGHT(J319,28),4))&amp;BIN2HEX(LEFT(RIGHT(J319,24),4))&amp;BIN2HEX(LEFT(RIGHT(J319,20),4))&amp;BIN2HEX(LEFT(RIGHT(J319,16),4))&amp;BIN2HEX(LEFT(RIGHT(J319,12),4))&amp;BIN2HEX(LEFT(RIGHT(J319,8),4))&amp;BIN2HEX(LEFT(RIGHT(J319,4),4))</f>
        <v>00001800</v>
      </c>
    </row>
    <row r="320" spans="1:19">
      <c r="A320" s="108"/>
      <c r="B320" s="110"/>
      <c r="C320" s="36" t="s">
        <v>162</v>
      </c>
      <c r="D320" s="41">
        <v>8</v>
      </c>
      <c r="E320" s="42" t="str">
        <f>IF(D320&gt;1,(31)&amp;":"&amp;(31-D320+1),(31-D320+1)&amp;":"&amp;(31-D320+1))</f>
        <v>31:24</v>
      </c>
      <c r="F320" s="43" t="s">
        <v>115</v>
      </c>
      <c r="G320" s="43" t="s">
        <v>115</v>
      </c>
      <c r="H320" s="44" t="s">
        <v>442</v>
      </c>
      <c r="I320" s="45" t="s">
        <v>68</v>
      </c>
      <c r="J320" s="46" t="s">
        <v>36</v>
      </c>
      <c r="K320" s="47" t="s">
        <v>6</v>
      </c>
      <c r="L320" s="48"/>
      <c r="M320" s="96"/>
      <c r="N320" s="96"/>
      <c r="O320" s="96"/>
      <c r="P320" s="97"/>
      <c r="Q320" s="97"/>
      <c r="R320" s="74"/>
      <c r="S320" s="74"/>
    </row>
    <row r="321" spans="1:19">
      <c r="A321" s="108"/>
      <c r="B321" s="110"/>
      <c r="C321" s="36" t="s">
        <v>441</v>
      </c>
      <c r="D321" s="41">
        <v>8</v>
      </c>
      <c r="E321" s="50" t="str">
        <f>(MID(E320,SEARCH(":",E320)+1,2)-1) &amp; ":" &amp; (MID(E320,SEARCH(":",E320)+1,2)-D321)</f>
        <v>23:16</v>
      </c>
      <c r="F321" s="43" t="s">
        <v>460</v>
      </c>
      <c r="G321" s="43" t="s">
        <v>115</v>
      </c>
      <c r="H321" s="49" t="s">
        <v>445</v>
      </c>
      <c r="I321" s="45" t="s">
        <v>68</v>
      </c>
      <c r="J321" s="46" t="s">
        <v>36</v>
      </c>
      <c r="K321" s="47" t="s">
        <v>6</v>
      </c>
      <c r="L321" s="48"/>
      <c r="M321" s="96"/>
      <c r="N321" s="96"/>
      <c r="O321" s="96"/>
      <c r="P321" s="97"/>
      <c r="Q321" s="97"/>
      <c r="R321" s="74"/>
      <c r="S321" s="74"/>
    </row>
    <row r="322" spans="1:19">
      <c r="A322" s="108"/>
      <c r="B322" s="110"/>
      <c r="C322" s="36" t="s">
        <v>163</v>
      </c>
      <c r="D322" s="41">
        <v>10</v>
      </c>
      <c r="E322" s="50" t="str">
        <f t="shared" ref="E322:E324" si="161">(MID(E321,SEARCH(":",E321)+1,2)-1) &amp; ":" &amp; (MID(E321,SEARCH(":",E321)+1,2)-D322)</f>
        <v>15:6</v>
      </c>
      <c r="F322" s="43" t="s">
        <v>305</v>
      </c>
      <c r="G322" s="43" t="s">
        <v>305</v>
      </c>
      <c r="H322" s="44" t="s">
        <v>443</v>
      </c>
      <c r="I322" s="45" t="s">
        <v>68</v>
      </c>
      <c r="J322" s="46" t="s">
        <v>36</v>
      </c>
      <c r="K322" s="47" t="s">
        <v>6</v>
      </c>
      <c r="L322" s="48"/>
      <c r="M322" s="96"/>
      <c r="N322" s="96"/>
      <c r="O322" s="96"/>
      <c r="P322" s="97"/>
      <c r="Q322" s="97"/>
      <c r="R322" s="74"/>
      <c r="S322" s="74"/>
    </row>
    <row r="323" spans="1:19" ht="15.75" customHeight="1">
      <c r="A323" s="108"/>
      <c r="B323" s="110"/>
      <c r="C323" s="36" t="s">
        <v>446</v>
      </c>
      <c r="D323" s="41">
        <v>1</v>
      </c>
      <c r="E323" s="50" t="str">
        <f t="shared" si="161"/>
        <v>5:5</v>
      </c>
      <c r="F323" s="43" t="s">
        <v>84</v>
      </c>
      <c r="G323" s="43" t="s">
        <v>7</v>
      </c>
      <c r="H323" s="49" t="s">
        <v>440</v>
      </c>
      <c r="I323" s="45" t="s">
        <v>68</v>
      </c>
      <c r="J323" s="46" t="s">
        <v>36</v>
      </c>
      <c r="K323" s="47" t="s">
        <v>6</v>
      </c>
      <c r="L323" s="48"/>
      <c r="M323" s="96"/>
      <c r="N323" s="96"/>
      <c r="O323" s="96"/>
      <c r="P323" s="97"/>
      <c r="Q323" s="97"/>
      <c r="R323" s="74"/>
      <c r="S323" s="74"/>
    </row>
    <row r="324" spans="1:19" ht="15" thickBot="1">
      <c r="A324" s="108"/>
      <c r="B324" s="110"/>
      <c r="C324" s="36" t="s">
        <v>447</v>
      </c>
      <c r="D324" s="41">
        <v>5</v>
      </c>
      <c r="E324" s="50" t="str">
        <f t="shared" si="161"/>
        <v>4:0</v>
      </c>
      <c r="F324" s="43" t="s">
        <v>103</v>
      </c>
      <c r="G324" s="43" t="s">
        <v>103</v>
      </c>
      <c r="H324" s="49" t="s">
        <v>444</v>
      </c>
      <c r="I324" s="45" t="s">
        <v>68</v>
      </c>
      <c r="J324" s="46" t="s">
        <v>36</v>
      </c>
      <c r="K324" s="47" t="s">
        <v>6</v>
      </c>
      <c r="L324" s="48"/>
      <c r="M324" s="96"/>
      <c r="N324" s="96"/>
      <c r="O324" s="96"/>
      <c r="P324" s="97"/>
      <c r="Q324" s="97"/>
      <c r="R324" s="75"/>
      <c r="S324" s="75"/>
    </row>
    <row r="325" spans="1:19">
      <c r="A325" s="111" t="s">
        <v>272</v>
      </c>
      <c r="B325" s="109" t="str">
        <f t="shared" ref="B325" si="162">DEC2HEX(P325*4)</f>
        <v>C</v>
      </c>
      <c r="C325" s="52" t="s">
        <v>454</v>
      </c>
      <c r="D325" s="80" t="str">
        <f>bitConcat1(F326:F329)</f>
        <v>32'b00000000000000000000000000000000</v>
      </c>
      <c r="E325" s="81"/>
      <c r="F325" s="81"/>
      <c r="G325" s="82"/>
      <c r="H325" s="53" t="s">
        <v>251</v>
      </c>
      <c r="I325" s="54"/>
      <c r="J325" s="83" t="str">
        <f>bitConcat1(G326:G329)</f>
        <v>32'b00000000000000000000000000000000</v>
      </c>
      <c r="K325" s="84"/>
      <c r="L325" s="85"/>
      <c r="M325" s="95" t="str">
        <f t="shared" ref="M325" si="163">DEC2HEX(_xlfn.BITLSHIFT(O325,7)+4*P325)</f>
        <v>38C</v>
      </c>
      <c r="N325" s="95" t="s">
        <v>97</v>
      </c>
      <c r="O325" s="95">
        <v>7</v>
      </c>
      <c r="P325" s="98">
        <v>3</v>
      </c>
      <c r="Q325" s="98" t="str">
        <f>DEC2HEX(_xlfn.BITLSHIFT(O325,5)+P325)</f>
        <v>E3</v>
      </c>
      <c r="R325" s="73" t="str">
        <f>BIN2HEX(LEFT(RIGHT(D325,32),4))&amp;BIN2HEX(LEFT(RIGHT(D325,28),4))&amp;BIN2HEX(LEFT(RIGHT(D325,24),4))&amp;BIN2HEX(LEFT(RIGHT(D325,20),4))&amp;BIN2HEX(LEFT(RIGHT(D325,16),4))&amp;BIN2HEX(LEFT(RIGHT(D325,12),4))&amp;BIN2HEX(LEFT(RIGHT(D325,8),4))&amp;BIN2HEX(LEFT(RIGHT(D325,4),4))</f>
        <v>00000000</v>
      </c>
      <c r="S325" s="73" t="str">
        <f t="shared" ref="S325" si="164">BIN2HEX(LEFT(RIGHT(J325,32),4))&amp;BIN2HEX(LEFT(RIGHT(J325,28),4))&amp;BIN2HEX(LEFT(RIGHT(J325,24),4))&amp;BIN2HEX(LEFT(RIGHT(J325,20),4))&amp;BIN2HEX(LEFT(RIGHT(J325,16),4))&amp;BIN2HEX(LEFT(RIGHT(J325,12),4))&amp;BIN2HEX(LEFT(RIGHT(J325,8),4))&amp;BIN2HEX(LEFT(RIGHT(J325,4),4))</f>
        <v>00000000</v>
      </c>
    </row>
    <row r="326" spans="1:19" ht="15.75" customHeight="1">
      <c r="A326" s="108"/>
      <c r="B326" s="110"/>
      <c r="C326" s="36" t="s">
        <v>169</v>
      </c>
      <c r="D326" s="41">
        <v>8</v>
      </c>
      <c r="E326" s="42" t="str">
        <f>IF(D326&gt;1,(31)&amp;":"&amp;(31-D326+1),(31-D326+1)&amp;":"&amp;(31-D326+1))</f>
        <v>31:24</v>
      </c>
      <c r="F326" s="43" t="s">
        <v>115</v>
      </c>
      <c r="G326" s="43" t="s">
        <v>115</v>
      </c>
      <c r="H326" s="44" t="s">
        <v>158</v>
      </c>
      <c r="I326" s="45" t="s">
        <v>68</v>
      </c>
      <c r="J326" s="46" t="s">
        <v>36</v>
      </c>
      <c r="K326" s="47" t="s">
        <v>6</v>
      </c>
      <c r="L326" s="48"/>
      <c r="M326" s="96"/>
      <c r="N326" s="96"/>
      <c r="O326" s="96"/>
      <c r="P326" s="97"/>
      <c r="Q326" s="97"/>
      <c r="R326" s="74"/>
      <c r="S326" s="74"/>
    </row>
    <row r="327" spans="1:19">
      <c r="A327" s="108"/>
      <c r="B327" s="110"/>
      <c r="C327" s="36" t="s">
        <v>170</v>
      </c>
      <c r="D327" s="41">
        <v>8</v>
      </c>
      <c r="E327" s="50" t="str">
        <f t="shared" ref="E327" si="165">(MID(E326,SEARCH(":",E326)+1,2)-1) &amp; ":" &amp; (MID(E326,SEARCH(":",E326)+1,2)-D327)</f>
        <v>23:16</v>
      </c>
      <c r="F327" s="43" t="s">
        <v>115</v>
      </c>
      <c r="G327" s="43" t="s">
        <v>115</v>
      </c>
      <c r="H327" s="44" t="s">
        <v>159</v>
      </c>
      <c r="I327" s="45" t="s">
        <v>68</v>
      </c>
      <c r="J327" s="46" t="s">
        <v>36</v>
      </c>
      <c r="K327" s="47" t="s">
        <v>6</v>
      </c>
      <c r="L327" s="48"/>
      <c r="M327" s="96"/>
      <c r="N327" s="96"/>
      <c r="O327" s="96"/>
      <c r="P327" s="97"/>
      <c r="Q327" s="97"/>
      <c r="R327" s="74"/>
      <c r="S327" s="74"/>
    </row>
    <row r="328" spans="1:19">
      <c r="A328" s="108"/>
      <c r="B328" s="110"/>
      <c r="C328" s="36" t="s">
        <v>167</v>
      </c>
      <c r="D328" s="41">
        <v>8</v>
      </c>
      <c r="E328" s="50" t="str">
        <f>(MID(E327,SEARCH(":",E327)+1,2)-1) &amp; ":" &amp; (MID(E327,SEARCH(":",E327)+1,2)-D328)</f>
        <v>15:8</v>
      </c>
      <c r="F328" s="43" t="s">
        <v>115</v>
      </c>
      <c r="G328" s="43" t="s">
        <v>115</v>
      </c>
      <c r="H328" s="44" t="s">
        <v>151</v>
      </c>
      <c r="I328" s="45" t="s">
        <v>68</v>
      </c>
      <c r="J328" s="46" t="s">
        <v>36</v>
      </c>
      <c r="K328" s="47" t="s">
        <v>6</v>
      </c>
      <c r="L328" s="48"/>
      <c r="M328" s="96"/>
      <c r="N328" s="96"/>
      <c r="O328" s="96"/>
      <c r="P328" s="97"/>
      <c r="Q328" s="97"/>
      <c r="R328" s="74"/>
      <c r="S328" s="74"/>
    </row>
    <row r="329" spans="1:19" ht="15" thickBot="1">
      <c r="A329" s="108"/>
      <c r="B329" s="110"/>
      <c r="C329" s="36" t="s">
        <v>168</v>
      </c>
      <c r="D329" s="41">
        <v>8</v>
      </c>
      <c r="E329" s="50" t="str">
        <f>(MID(E328,SEARCH(":",E328)+1,2)-1) &amp; ":" &amp; (MID(E328,SEARCH(":",E328)+1,2)-D329)</f>
        <v>7:0</v>
      </c>
      <c r="F329" s="43" t="s">
        <v>115</v>
      </c>
      <c r="G329" s="43" t="s">
        <v>115</v>
      </c>
      <c r="H329" s="44" t="s">
        <v>160</v>
      </c>
      <c r="I329" s="45" t="s">
        <v>68</v>
      </c>
      <c r="J329" s="46" t="s">
        <v>36</v>
      </c>
      <c r="K329" s="47" t="s">
        <v>6</v>
      </c>
      <c r="L329" s="48"/>
      <c r="M329" s="96"/>
      <c r="N329" s="96"/>
      <c r="O329" s="96"/>
      <c r="P329" s="97"/>
      <c r="Q329" s="97"/>
      <c r="R329" s="75"/>
      <c r="S329" s="75"/>
    </row>
    <row r="330" spans="1:19">
      <c r="A330" s="108" t="s">
        <v>273</v>
      </c>
      <c r="B330" s="109" t="str">
        <f t="shared" ref="B330" si="166">DEC2HEX(P330*4)</f>
        <v>10</v>
      </c>
      <c r="C330" s="52" t="s">
        <v>454</v>
      </c>
      <c r="D330" s="80" t="str">
        <f>bitConcat1(F331:F332)</f>
        <v>32'b00000000000000000000000000000000</v>
      </c>
      <c r="E330" s="81"/>
      <c r="F330" s="81"/>
      <c r="G330" s="82"/>
      <c r="H330" s="53" t="s">
        <v>251</v>
      </c>
      <c r="I330" s="54"/>
      <c r="J330" s="83" t="str">
        <f>bitConcat1(G331:G332)</f>
        <v>32'b00000000000000000000000000000000</v>
      </c>
      <c r="K330" s="84"/>
      <c r="L330" s="85"/>
      <c r="M330" s="95" t="str">
        <f t="shared" ref="M330" si="167">DEC2HEX(_xlfn.BITLSHIFT(O330,7)+4*P330)</f>
        <v>390</v>
      </c>
      <c r="N330" s="96" t="s">
        <v>97</v>
      </c>
      <c r="O330" s="96">
        <v>7</v>
      </c>
      <c r="P330" s="97">
        <v>4</v>
      </c>
      <c r="Q330" s="98" t="str">
        <f>DEC2HEX(_xlfn.BITLSHIFT(O330,5)+P330)</f>
        <v>E4</v>
      </c>
      <c r="R330" s="73" t="str">
        <f>BIN2HEX(LEFT(RIGHT(D330,32),4))&amp;BIN2HEX(LEFT(RIGHT(D330,28),4))&amp;BIN2HEX(LEFT(RIGHT(D330,24),4))&amp;BIN2HEX(LEFT(RIGHT(D330,20),4))&amp;BIN2HEX(LEFT(RIGHT(D330,16),4))&amp;BIN2HEX(LEFT(RIGHT(D330,12),4))&amp;BIN2HEX(LEFT(RIGHT(D330,8),4))&amp;BIN2HEX(LEFT(RIGHT(D330,4),4))</f>
        <v>00000000</v>
      </c>
      <c r="S330" s="73" t="str">
        <f t="shared" ref="S330" si="168">BIN2HEX(LEFT(RIGHT(J330,32),4))&amp;BIN2HEX(LEFT(RIGHT(J330,28),4))&amp;BIN2HEX(LEFT(RIGHT(J330,24),4))&amp;BIN2HEX(LEFT(RIGHT(J330,20),4))&amp;BIN2HEX(LEFT(RIGHT(J330,16),4))&amp;BIN2HEX(LEFT(RIGHT(J330,12),4))&amp;BIN2HEX(LEFT(RIGHT(J330,8),4))&amp;BIN2HEX(LEFT(RIGHT(J330,4),4))</f>
        <v>00000000</v>
      </c>
    </row>
    <row r="331" spans="1:19">
      <c r="A331" s="108"/>
      <c r="B331" s="110"/>
      <c r="C331" s="36" t="s">
        <v>260</v>
      </c>
      <c r="D331" s="41">
        <v>16</v>
      </c>
      <c r="E331" s="42" t="str">
        <f>IF(D331&gt;1,(31)&amp;":"&amp;(31-D331+1),(31-D331+1)&amp;":"&amp;(31-D331+1))</f>
        <v>31:16</v>
      </c>
      <c r="F331" s="43" t="s">
        <v>245</v>
      </c>
      <c r="G331" s="43" t="s">
        <v>245</v>
      </c>
      <c r="H331" s="44" t="s">
        <v>258</v>
      </c>
      <c r="I331" s="45" t="s">
        <v>68</v>
      </c>
      <c r="J331" s="46" t="s">
        <v>36</v>
      </c>
      <c r="K331" s="47" t="s">
        <v>6</v>
      </c>
      <c r="L331" s="48"/>
      <c r="M331" s="96"/>
      <c r="N331" s="96"/>
      <c r="O331" s="96"/>
      <c r="P331" s="97"/>
      <c r="Q331" s="97"/>
      <c r="R331" s="74"/>
      <c r="S331" s="74"/>
    </row>
    <row r="332" spans="1:19" ht="15.75" customHeight="1" thickBot="1">
      <c r="A332" s="108"/>
      <c r="B332" s="110"/>
      <c r="C332" s="36" t="s">
        <v>152</v>
      </c>
      <c r="D332" s="41">
        <v>16</v>
      </c>
      <c r="E332" s="50" t="str">
        <f>(MID(E331,SEARCH(":",E331)+1,2)-1) &amp; ":" &amp; (MID(E331,SEARCH(":",E331)+1,2)-D332)</f>
        <v>15:0</v>
      </c>
      <c r="F332" s="43" t="s">
        <v>245</v>
      </c>
      <c r="G332" s="43" t="s">
        <v>245</v>
      </c>
      <c r="H332" s="49" t="s">
        <v>121</v>
      </c>
      <c r="I332" s="45" t="s">
        <v>68</v>
      </c>
      <c r="J332" s="46" t="s">
        <v>36</v>
      </c>
      <c r="K332" s="47" t="s">
        <v>6</v>
      </c>
      <c r="L332" s="48"/>
      <c r="M332" s="96"/>
      <c r="N332" s="96"/>
      <c r="O332" s="96"/>
      <c r="P332" s="97"/>
      <c r="Q332" s="97"/>
      <c r="R332" s="75"/>
      <c r="S332" s="75"/>
    </row>
    <row r="333" spans="1:19">
      <c r="A333" s="108" t="s">
        <v>274</v>
      </c>
      <c r="B333" s="109" t="str">
        <f t="shared" ref="B333" si="169">DEC2HEX(P333*4)</f>
        <v>14</v>
      </c>
      <c r="C333" s="52" t="s">
        <v>454</v>
      </c>
      <c r="D333" s="80" t="str">
        <f>bitConcat1(F334:F338)</f>
        <v>32'b00000000101100110001100000100000</v>
      </c>
      <c r="E333" s="81"/>
      <c r="F333" s="81"/>
      <c r="G333" s="82"/>
      <c r="H333" s="53" t="s">
        <v>251</v>
      </c>
      <c r="I333" s="54"/>
      <c r="J333" s="83" t="str">
        <f>bitConcat1(G334:G338)</f>
        <v>32'b00000000000000000001100000000000</v>
      </c>
      <c r="K333" s="84"/>
      <c r="L333" s="85"/>
      <c r="M333" s="95" t="str">
        <f t="shared" ref="M333" si="170">DEC2HEX(_xlfn.BITLSHIFT(O333,7)+4*P333)</f>
        <v>394</v>
      </c>
      <c r="N333" s="96" t="s">
        <v>97</v>
      </c>
      <c r="O333" s="96">
        <v>7</v>
      </c>
      <c r="P333" s="97">
        <v>5</v>
      </c>
      <c r="Q333" s="98" t="str">
        <f>DEC2HEX(_xlfn.BITLSHIFT(O333,5)+P333)</f>
        <v>E5</v>
      </c>
      <c r="R333" s="73" t="str">
        <f>BIN2HEX(LEFT(RIGHT(D333,32),4))&amp;BIN2HEX(LEFT(RIGHT(D333,28),4))&amp;BIN2HEX(LEFT(RIGHT(D333,24),4))&amp;BIN2HEX(LEFT(RIGHT(D333,20),4))&amp;BIN2HEX(LEFT(RIGHT(D333,16),4))&amp;BIN2HEX(LEFT(RIGHT(D333,12),4))&amp;BIN2HEX(LEFT(RIGHT(D333,8),4))&amp;BIN2HEX(LEFT(RIGHT(D333,4),4))</f>
        <v>00B31820</v>
      </c>
      <c r="S333" s="73" t="str">
        <f t="shared" ref="S333" si="171">BIN2HEX(LEFT(RIGHT(J333,32),4))&amp;BIN2HEX(LEFT(RIGHT(J333,28),4))&amp;BIN2HEX(LEFT(RIGHT(J333,24),4))&amp;BIN2HEX(LEFT(RIGHT(J333,20),4))&amp;BIN2HEX(LEFT(RIGHT(J333,16),4))&amp;BIN2HEX(LEFT(RIGHT(J333,12),4))&amp;BIN2HEX(LEFT(RIGHT(J333,8),4))&amp;BIN2HEX(LEFT(RIGHT(J333,4),4))</f>
        <v>00001800</v>
      </c>
    </row>
    <row r="334" spans="1:19">
      <c r="A334" s="108"/>
      <c r="B334" s="110"/>
      <c r="C334" s="36" t="s">
        <v>171</v>
      </c>
      <c r="D334" s="41">
        <v>8</v>
      </c>
      <c r="E334" s="42" t="str">
        <f>IF(D334&gt;1,(31)&amp;":"&amp;(31-D334+1),(31-D334+1)&amp;":"&amp;(31-D334+1))</f>
        <v>31:24</v>
      </c>
      <c r="F334" s="43" t="s">
        <v>115</v>
      </c>
      <c r="G334" s="43" t="s">
        <v>115</v>
      </c>
      <c r="H334" s="44" t="s">
        <v>442</v>
      </c>
      <c r="I334" s="45" t="s">
        <v>68</v>
      </c>
      <c r="J334" s="46" t="s">
        <v>36</v>
      </c>
      <c r="K334" s="47" t="s">
        <v>6</v>
      </c>
      <c r="L334" s="48"/>
      <c r="M334" s="96"/>
      <c r="N334" s="96"/>
      <c r="O334" s="96"/>
      <c r="P334" s="97"/>
      <c r="Q334" s="97"/>
      <c r="R334" s="74"/>
      <c r="S334" s="74"/>
    </row>
    <row r="335" spans="1:19">
      <c r="A335" s="108"/>
      <c r="B335" s="110"/>
      <c r="C335" s="36" t="s">
        <v>448</v>
      </c>
      <c r="D335" s="41">
        <v>8</v>
      </c>
      <c r="E335" s="50" t="str">
        <f>(MID(E334,SEARCH(":",E334)+1,2)-1) &amp; ":" &amp; (MID(E334,SEARCH(":",E334)+1,2)-D335)</f>
        <v>23:16</v>
      </c>
      <c r="F335" s="43" t="s">
        <v>460</v>
      </c>
      <c r="G335" s="43" t="s">
        <v>115</v>
      </c>
      <c r="H335" s="49" t="s">
        <v>445</v>
      </c>
      <c r="I335" s="45" t="s">
        <v>68</v>
      </c>
      <c r="J335" s="46" t="s">
        <v>36</v>
      </c>
      <c r="K335" s="47" t="s">
        <v>6</v>
      </c>
      <c r="L335" s="48"/>
      <c r="M335" s="96"/>
      <c r="N335" s="96"/>
      <c r="O335" s="96"/>
      <c r="P335" s="97"/>
      <c r="Q335" s="97"/>
      <c r="R335" s="74"/>
      <c r="S335" s="74"/>
    </row>
    <row r="336" spans="1:19">
      <c r="A336" s="108"/>
      <c r="B336" s="110"/>
      <c r="C336" s="36" t="s">
        <v>172</v>
      </c>
      <c r="D336" s="41">
        <v>10</v>
      </c>
      <c r="E336" s="50" t="str">
        <f t="shared" ref="E336:E338" si="172">(MID(E335,SEARCH(":",E335)+1,2)-1) &amp; ":" &amp; (MID(E335,SEARCH(":",E335)+1,2)-D336)</f>
        <v>15:6</v>
      </c>
      <c r="F336" s="43" t="s">
        <v>305</v>
      </c>
      <c r="G336" s="43" t="s">
        <v>305</v>
      </c>
      <c r="H336" s="44" t="s">
        <v>443</v>
      </c>
      <c r="I336" s="45" t="s">
        <v>68</v>
      </c>
      <c r="J336" s="46" t="s">
        <v>36</v>
      </c>
      <c r="K336" s="47" t="s">
        <v>6</v>
      </c>
      <c r="L336" s="48"/>
      <c r="M336" s="96"/>
      <c r="N336" s="96"/>
      <c r="O336" s="96"/>
      <c r="P336" s="97"/>
      <c r="Q336" s="97"/>
      <c r="R336" s="74"/>
      <c r="S336" s="74"/>
    </row>
    <row r="337" spans="1:19" ht="15.75" customHeight="1">
      <c r="A337" s="108"/>
      <c r="B337" s="110"/>
      <c r="C337" s="36" t="s">
        <v>457</v>
      </c>
      <c r="D337" s="41">
        <v>1</v>
      </c>
      <c r="E337" s="50" t="str">
        <f t="shared" si="172"/>
        <v>5:5</v>
      </c>
      <c r="F337" s="43" t="s">
        <v>84</v>
      </c>
      <c r="G337" s="43" t="s">
        <v>7</v>
      </c>
      <c r="H337" s="49" t="s">
        <v>440</v>
      </c>
      <c r="I337" s="45" t="s">
        <v>68</v>
      </c>
      <c r="J337" s="46" t="s">
        <v>36</v>
      </c>
      <c r="K337" s="47" t="s">
        <v>6</v>
      </c>
      <c r="L337" s="48"/>
      <c r="M337" s="96"/>
      <c r="N337" s="96"/>
      <c r="O337" s="96"/>
      <c r="P337" s="97"/>
      <c r="Q337" s="97"/>
      <c r="R337" s="74"/>
      <c r="S337" s="74"/>
    </row>
    <row r="338" spans="1:19" ht="15.75" customHeight="1" thickBot="1">
      <c r="A338" s="108"/>
      <c r="B338" s="110"/>
      <c r="C338" s="36" t="s">
        <v>449</v>
      </c>
      <c r="D338" s="41">
        <v>5</v>
      </c>
      <c r="E338" s="50" t="str">
        <f t="shared" si="172"/>
        <v>4:0</v>
      </c>
      <c r="F338" s="43" t="s">
        <v>103</v>
      </c>
      <c r="G338" s="43" t="s">
        <v>103</v>
      </c>
      <c r="H338" s="49" t="s">
        <v>444</v>
      </c>
      <c r="I338" s="45" t="s">
        <v>68</v>
      </c>
      <c r="J338" s="46" t="s">
        <v>36</v>
      </c>
      <c r="K338" s="47" t="s">
        <v>6</v>
      </c>
      <c r="L338" s="48"/>
      <c r="M338" s="96"/>
      <c r="N338" s="96"/>
      <c r="O338" s="96"/>
      <c r="P338" s="97"/>
      <c r="Q338" s="97"/>
      <c r="R338" s="75"/>
      <c r="S338" s="75"/>
    </row>
    <row r="339" spans="1:19" ht="15.75" customHeight="1">
      <c r="A339" s="111" t="s">
        <v>275</v>
      </c>
      <c r="B339" s="109" t="str">
        <f t="shared" ref="B339" si="173">DEC2HEX(P339*4)</f>
        <v>18</v>
      </c>
      <c r="C339" s="52" t="s">
        <v>454</v>
      </c>
      <c r="D339" s="80" t="str">
        <f>bitConcat1(F340:F343)</f>
        <v>32'b00000000000000000000000000000000</v>
      </c>
      <c r="E339" s="81"/>
      <c r="F339" s="81"/>
      <c r="G339" s="82"/>
      <c r="H339" s="53" t="s">
        <v>251</v>
      </c>
      <c r="I339" s="54"/>
      <c r="J339" s="83" t="str">
        <f>bitConcat1(G340:G343)</f>
        <v>32'b00000000000000000000000000000000</v>
      </c>
      <c r="K339" s="84"/>
      <c r="L339" s="85"/>
      <c r="M339" s="95" t="str">
        <f t="shared" ref="M339" si="174">DEC2HEX(_xlfn.BITLSHIFT(O339,7)+4*P339)</f>
        <v>398</v>
      </c>
      <c r="N339" s="95" t="s">
        <v>97</v>
      </c>
      <c r="O339" s="95">
        <v>7</v>
      </c>
      <c r="P339" s="98">
        <v>6</v>
      </c>
      <c r="Q339" s="98" t="str">
        <f>DEC2HEX(_xlfn.BITLSHIFT(O339,5)+P339)</f>
        <v>E6</v>
      </c>
      <c r="R339" s="73" t="str">
        <f>BIN2HEX(LEFT(RIGHT(D339,32),4))&amp;BIN2HEX(LEFT(RIGHT(D339,28),4))&amp;BIN2HEX(LEFT(RIGHT(D339,24),4))&amp;BIN2HEX(LEFT(RIGHT(D339,20),4))&amp;BIN2HEX(LEFT(RIGHT(D339,16),4))&amp;BIN2HEX(LEFT(RIGHT(D339,12),4))&amp;BIN2HEX(LEFT(RIGHT(D339,8),4))&amp;BIN2HEX(LEFT(RIGHT(D339,4),4))</f>
        <v>00000000</v>
      </c>
      <c r="S339" s="73" t="str">
        <f t="shared" ref="S339" si="175">BIN2HEX(LEFT(RIGHT(J339,32),4))&amp;BIN2HEX(LEFT(RIGHT(J339,28),4))&amp;BIN2HEX(LEFT(RIGHT(J339,24),4))&amp;BIN2HEX(LEFT(RIGHT(J339,20),4))&amp;BIN2HEX(LEFT(RIGHT(J339,16),4))&amp;BIN2HEX(LEFT(RIGHT(J339,12),4))&amp;BIN2HEX(LEFT(RIGHT(J339,8),4))&amp;BIN2HEX(LEFT(RIGHT(J339,4),4))</f>
        <v>00000000</v>
      </c>
    </row>
    <row r="340" spans="1:19">
      <c r="A340" s="108"/>
      <c r="B340" s="110"/>
      <c r="C340" s="36" t="s">
        <v>178</v>
      </c>
      <c r="D340" s="41">
        <v>8</v>
      </c>
      <c r="E340" s="42" t="str">
        <f>IF(D340&gt;1,(31)&amp;":"&amp;(31-D340+1),(31-D340+1)&amp;":"&amp;(31-D340+1))</f>
        <v>31:24</v>
      </c>
      <c r="F340" s="43" t="s">
        <v>115</v>
      </c>
      <c r="G340" s="43" t="s">
        <v>115</v>
      </c>
      <c r="H340" s="44" t="s">
        <v>158</v>
      </c>
      <c r="I340" s="45" t="s">
        <v>68</v>
      </c>
      <c r="J340" s="46" t="s">
        <v>36</v>
      </c>
      <c r="K340" s="47" t="s">
        <v>6</v>
      </c>
      <c r="L340" s="48"/>
      <c r="M340" s="96"/>
      <c r="N340" s="96"/>
      <c r="O340" s="96"/>
      <c r="P340" s="97"/>
      <c r="Q340" s="97"/>
      <c r="R340" s="74"/>
      <c r="S340" s="74"/>
    </row>
    <row r="341" spans="1:19">
      <c r="A341" s="108"/>
      <c r="B341" s="110"/>
      <c r="C341" s="36" t="s">
        <v>179</v>
      </c>
      <c r="D341" s="41">
        <v>8</v>
      </c>
      <c r="E341" s="50" t="str">
        <f t="shared" ref="E341" si="176">(MID(E340,SEARCH(":",E340)+1,2)-1) &amp; ":" &amp; (MID(E340,SEARCH(":",E340)+1,2)-D341)</f>
        <v>23:16</v>
      </c>
      <c r="F341" s="43" t="s">
        <v>115</v>
      </c>
      <c r="G341" s="43" t="s">
        <v>115</v>
      </c>
      <c r="H341" s="44" t="s">
        <v>159</v>
      </c>
      <c r="I341" s="45" t="s">
        <v>68</v>
      </c>
      <c r="J341" s="46" t="s">
        <v>36</v>
      </c>
      <c r="K341" s="47" t="s">
        <v>6</v>
      </c>
      <c r="L341" s="48"/>
      <c r="M341" s="96"/>
      <c r="N341" s="96"/>
      <c r="O341" s="96"/>
      <c r="P341" s="97"/>
      <c r="Q341" s="97"/>
      <c r="R341" s="74"/>
      <c r="S341" s="74"/>
    </row>
    <row r="342" spans="1:19">
      <c r="A342" s="108"/>
      <c r="B342" s="110"/>
      <c r="C342" s="36" t="s">
        <v>176</v>
      </c>
      <c r="D342" s="41">
        <v>8</v>
      </c>
      <c r="E342" s="50" t="str">
        <f>(MID(E341,SEARCH(":",E341)+1,2)-1) &amp; ":" &amp; (MID(E341,SEARCH(":",E341)+1,2)-D342)</f>
        <v>15:8</v>
      </c>
      <c r="F342" s="43" t="s">
        <v>115</v>
      </c>
      <c r="G342" s="43" t="s">
        <v>115</v>
      </c>
      <c r="H342" s="44" t="s">
        <v>151</v>
      </c>
      <c r="I342" s="45" t="s">
        <v>68</v>
      </c>
      <c r="J342" s="46" t="s">
        <v>36</v>
      </c>
      <c r="K342" s="47" t="s">
        <v>6</v>
      </c>
      <c r="L342" s="48"/>
      <c r="M342" s="96"/>
      <c r="N342" s="96"/>
      <c r="O342" s="96"/>
      <c r="P342" s="97"/>
      <c r="Q342" s="97"/>
      <c r="R342" s="74"/>
      <c r="S342" s="74"/>
    </row>
    <row r="343" spans="1:19" ht="15" thickBot="1">
      <c r="A343" s="108"/>
      <c r="B343" s="110"/>
      <c r="C343" s="36" t="s">
        <v>177</v>
      </c>
      <c r="D343" s="41">
        <v>8</v>
      </c>
      <c r="E343" s="50" t="str">
        <f>(MID(E342,SEARCH(":",E342)+1,2)-1) &amp; ":" &amp; (MID(E342,SEARCH(":",E342)+1,2)-D343)</f>
        <v>7:0</v>
      </c>
      <c r="F343" s="43" t="s">
        <v>115</v>
      </c>
      <c r="G343" s="43" t="s">
        <v>115</v>
      </c>
      <c r="H343" s="44" t="s">
        <v>160</v>
      </c>
      <c r="I343" s="45" t="s">
        <v>68</v>
      </c>
      <c r="J343" s="46" t="s">
        <v>36</v>
      </c>
      <c r="K343" s="47" t="s">
        <v>6</v>
      </c>
      <c r="L343" s="48"/>
      <c r="M343" s="96"/>
      <c r="N343" s="96"/>
      <c r="O343" s="96"/>
      <c r="P343" s="97"/>
      <c r="Q343" s="97"/>
      <c r="R343" s="75"/>
      <c r="S343" s="75"/>
    </row>
    <row r="344" spans="1:19">
      <c r="A344" s="108" t="s">
        <v>276</v>
      </c>
      <c r="B344" s="109" t="str">
        <f t="shared" ref="B344" si="177">DEC2HEX(P344*4)</f>
        <v>1C</v>
      </c>
      <c r="C344" s="52" t="s">
        <v>454</v>
      </c>
      <c r="D344" s="80" t="str">
        <f>bitConcat1(F345:F346)</f>
        <v>32'b00000000000000000000000000000000</v>
      </c>
      <c r="E344" s="81"/>
      <c r="F344" s="81"/>
      <c r="G344" s="82"/>
      <c r="H344" s="53" t="s">
        <v>251</v>
      </c>
      <c r="I344" s="54"/>
      <c r="J344" s="83" t="str">
        <f>bitConcat1(G345:G346)</f>
        <v>32'b00000000000000000000000000000000</v>
      </c>
      <c r="K344" s="84"/>
      <c r="L344" s="85"/>
      <c r="M344" s="95" t="str">
        <f t="shared" ref="M344" si="178">DEC2HEX(_xlfn.BITLSHIFT(O344,7)+4*P344)</f>
        <v>39C</v>
      </c>
      <c r="N344" s="96" t="s">
        <v>97</v>
      </c>
      <c r="O344" s="96">
        <v>7</v>
      </c>
      <c r="P344" s="97">
        <v>7</v>
      </c>
      <c r="Q344" s="98" t="str">
        <f>DEC2HEX(_xlfn.BITLSHIFT(O344,5)+P344)</f>
        <v>E7</v>
      </c>
      <c r="R344" s="73" t="str">
        <f>BIN2HEX(LEFT(RIGHT(D344,32),4))&amp;BIN2HEX(LEFT(RIGHT(D344,28),4))&amp;BIN2HEX(LEFT(RIGHT(D344,24),4))&amp;BIN2HEX(LEFT(RIGHT(D344,20),4))&amp;BIN2HEX(LEFT(RIGHT(D344,16),4))&amp;BIN2HEX(LEFT(RIGHT(D344,12),4))&amp;BIN2HEX(LEFT(RIGHT(D344,8),4))&amp;BIN2HEX(LEFT(RIGHT(D344,4),4))</f>
        <v>00000000</v>
      </c>
      <c r="S344" s="73" t="str">
        <f t="shared" ref="S344" si="179">BIN2HEX(LEFT(RIGHT(J344,32),4))&amp;BIN2HEX(LEFT(RIGHT(J344,28),4))&amp;BIN2HEX(LEFT(RIGHT(J344,24),4))&amp;BIN2HEX(LEFT(RIGHT(J344,20),4))&amp;BIN2HEX(LEFT(RIGHT(J344,16),4))&amp;BIN2HEX(LEFT(RIGHT(J344,12),4))&amp;BIN2HEX(LEFT(RIGHT(J344,8),4))&amp;BIN2HEX(LEFT(RIGHT(J344,4),4))</f>
        <v>00000000</v>
      </c>
    </row>
    <row r="345" spans="1:19" ht="15.75" customHeight="1">
      <c r="A345" s="108"/>
      <c r="B345" s="110"/>
      <c r="C345" s="36" t="s">
        <v>261</v>
      </c>
      <c r="D345" s="41">
        <v>16</v>
      </c>
      <c r="E345" s="42" t="str">
        <f>IF(D345&gt;1,(31)&amp;":"&amp;(31-D345+1),(31-D345+1)&amp;":"&amp;(31-D345+1))</f>
        <v>31:16</v>
      </c>
      <c r="F345" s="43" t="s">
        <v>245</v>
      </c>
      <c r="G345" s="43" t="s">
        <v>245</v>
      </c>
      <c r="H345" s="44" t="s">
        <v>262</v>
      </c>
      <c r="I345" s="45" t="s">
        <v>68</v>
      </c>
      <c r="J345" s="46" t="s">
        <v>36</v>
      </c>
      <c r="K345" s="47" t="s">
        <v>6</v>
      </c>
      <c r="L345" s="48"/>
      <c r="M345" s="96"/>
      <c r="N345" s="96"/>
      <c r="O345" s="96"/>
      <c r="P345" s="97"/>
      <c r="Q345" s="97"/>
      <c r="R345" s="74"/>
      <c r="S345" s="74"/>
    </row>
    <row r="346" spans="1:19" ht="15" thickBot="1">
      <c r="A346" s="108"/>
      <c r="B346" s="110"/>
      <c r="C346" s="36" t="s">
        <v>152</v>
      </c>
      <c r="D346" s="41">
        <v>16</v>
      </c>
      <c r="E346" s="50" t="str">
        <f>(MID(E345,SEARCH(":",E345)+1,2)-1) &amp; ":" &amp; (MID(E345,SEARCH(":",E345)+1,2)-D346)</f>
        <v>15:0</v>
      </c>
      <c r="F346" s="43" t="s">
        <v>245</v>
      </c>
      <c r="G346" s="43" t="s">
        <v>245</v>
      </c>
      <c r="H346" s="49" t="s">
        <v>121</v>
      </c>
      <c r="I346" s="45" t="s">
        <v>68</v>
      </c>
      <c r="J346" s="46" t="s">
        <v>36</v>
      </c>
      <c r="K346" s="47" t="s">
        <v>6</v>
      </c>
      <c r="L346" s="48"/>
      <c r="M346" s="96"/>
      <c r="N346" s="96"/>
      <c r="O346" s="96"/>
      <c r="P346" s="97"/>
      <c r="Q346" s="97"/>
      <c r="R346" s="75"/>
      <c r="S346" s="75"/>
    </row>
    <row r="347" spans="1:19">
      <c r="A347" s="108" t="s">
        <v>277</v>
      </c>
      <c r="B347" s="109" t="str">
        <f t="shared" ref="B347" si="180">DEC2HEX(P347*4)</f>
        <v>20</v>
      </c>
      <c r="C347" s="52" t="s">
        <v>454</v>
      </c>
      <c r="D347" s="80" t="str">
        <f>bitConcat1(F348:F352)</f>
        <v>32'b00000000101100110001100000100000</v>
      </c>
      <c r="E347" s="81"/>
      <c r="F347" s="81"/>
      <c r="G347" s="82"/>
      <c r="H347" s="53" t="s">
        <v>251</v>
      </c>
      <c r="I347" s="54"/>
      <c r="J347" s="83" t="str">
        <f>bitConcat1(G348:G352)</f>
        <v>32'b00000000000000000001100000000000</v>
      </c>
      <c r="K347" s="84"/>
      <c r="L347" s="85"/>
      <c r="M347" s="95" t="str">
        <f t="shared" ref="M347" si="181">DEC2HEX(_xlfn.BITLSHIFT(O347,7)+4*P347)</f>
        <v>3A0</v>
      </c>
      <c r="N347" s="96" t="s">
        <v>97</v>
      </c>
      <c r="O347" s="96">
        <v>7</v>
      </c>
      <c r="P347" s="97">
        <v>8</v>
      </c>
      <c r="Q347" s="98" t="str">
        <f t="shared" ref="Q347" si="182">DEC2HEX(_xlfn.BITLSHIFT(O347,5)+P347*4)</f>
        <v>100</v>
      </c>
      <c r="R347" s="73" t="str">
        <f>BIN2HEX(LEFT(RIGHT(D347,32),4))&amp;BIN2HEX(LEFT(RIGHT(D347,28),4))&amp;BIN2HEX(LEFT(RIGHT(D347,24),4))&amp;BIN2HEX(LEFT(RIGHT(D347,20),4))&amp;BIN2HEX(LEFT(RIGHT(D347,16),4))&amp;BIN2HEX(LEFT(RIGHT(D347,12),4))&amp;BIN2HEX(LEFT(RIGHT(D347,8),4))&amp;BIN2HEX(LEFT(RIGHT(D347,4),4))</f>
        <v>00B31820</v>
      </c>
      <c r="S347" s="73" t="str">
        <f t="shared" ref="S347" si="183">BIN2HEX(LEFT(RIGHT(J347,32),4))&amp;BIN2HEX(LEFT(RIGHT(J347,28),4))&amp;BIN2HEX(LEFT(RIGHT(J347,24),4))&amp;BIN2HEX(LEFT(RIGHT(J347,20),4))&amp;BIN2HEX(LEFT(RIGHT(J347,16),4))&amp;BIN2HEX(LEFT(RIGHT(J347,12),4))&amp;BIN2HEX(LEFT(RIGHT(J347,8),4))&amp;BIN2HEX(LEFT(RIGHT(J347,4),4))</f>
        <v>00001800</v>
      </c>
    </row>
    <row r="348" spans="1:19" ht="15.75" customHeight="1">
      <c r="A348" s="108"/>
      <c r="B348" s="110"/>
      <c r="C348" s="36" t="s">
        <v>180</v>
      </c>
      <c r="D348" s="41">
        <v>8</v>
      </c>
      <c r="E348" s="42" t="str">
        <f>IF(D348&gt;1,(31)&amp;":"&amp;(31-D348+1),(31-D348+1)&amp;":"&amp;(31-D348+1))</f>
        <v>31:24</v>
      </c>
      <c r="F348" s="43" t="s">
        <v>115</v>
      </c>
      <c r="G348" s="43" t="s">
        <v>115</v>
      </c>
      <c r="H348" s="44" t="s">
        <v>442</v>
      </c>
      <c r="I348" s="45" t="s">
        <v>68</v>
      </c>
      <c r="J348" s="46" t="s">
        <v>36</v>
      </c>
      <c r="K348" s="47" t="s">
        <v>6</v>
      </c>
      <c r="L348" s="48"/>
      <c r="M348" s="96"/>
      <c r="N348" s="96"/>
      <c r="O348" s="96"/>
      <c r="P348" s="97"/>
      <c r="Q348" s="97"/>
      <c r="R348" s="74"/>
      <c r="S348" s="74"/>
    </row>
    <row r="349" spans="1:19">
      <c r="A349" s="108"/>
      <c r="B349" s="110"/>
      <c r="C349" s="36" t="s">
        <v>450</v>
      </c>
      <c r="D349" s="41">
        <v>8</v>
      </c>
      <c r="E349" s="50" t="str">
        <f>(MID(E348,SEARCH(":",E348)+1,2)-1) &amp; ":" &amp; (MID(E348,SEARCH(":",E348)+1,2)-D349)</f>
        <v>23:16</v>
      </c>
      <c r="F349" s="43" t="s">
        <v>460</v>
      </c>
      <c r="G349" s="43" t="s">
        <v>115</v>
      </c>
      <c r="H349" s="49" t="s">
        <v>445</v>
      </c>
      <c r="I349" s="45" t="s">
        <v>68</v>
      </c>
      <c r="J349" s="46" t="s">
        <v>36</v>
      </c>
      <c r="K349" s="47" t="s">
        <v>6</v>
      </c>
      <c r="L349" s="48"/>
      <c r="M349" s="96"/>
      <c r="N349" s="96"/>
      <c r="O349" s="96"/>
      <c r="P349" s="97"/>
      <c r="Q349" s="97"/>
      <c r="R349" s="74"/>
      <c r="S349" s="74"/>
    </row>
    <row r="350" spans="1:19">
      <c r="A350" s="108"/>
      <c r="B350" s="110"/>
      <c r="C350" s="36" t="s">
        <v>181</v>
      </c>
      <c r="D350" s="41">
        <v>10</v>
      </c>
      <c r="E350" s="50" t="str">
        <f t="shared" ref="E350:E352" si="184">(MID(E349,SEARCH(":",E349)+1,2)-1) &amp; ":" &amp; (MID(E349,SEARCH(":",E349)+1,2)-D350)</f>
        <v>15:6</v>
      </c>
      <c r="F350" s="43" t="s">
        <v>305</v>
      </c>
      <c r="G350" s="43" t="s">
        <v>305</v>
      </c>
      <c r="H350" s="44" t="s">
        <v>443</v>
      </c>
      <c r="I350" s="45" t="s">
        <v>68</v>
      </c>
      <c r="J350" s="46" t="s">
        <v>36</v>
      </c>
      <c r="K350" s="47" t="s">
        <v>6</v>
      </c>
      <c r="L350" s="48"/>
      <c r="M350" s="96"/>
      <c r="N350" s="96"/>
      <c r="O350" s="96"/>
      <c r="P350" s="97"/>
      <c r="Q350" s="97"/>
      <c r="R350" s="74"/>
      <c r="S350" s="74"/>
    </row>
    <row r="351" spans="1:19">
      <c r="A351" s="108"/>
      <c r="B351" s="110"/>
      <c r="C351" s="36" t="s">
        <v>458</v>
      </c>
      <c r="D351" s="41">
        <v>1</v>
      </c>
      <c r="E351" s="50" t="str">
        <f t="shared" si="184"/>
        <v>5:5</v>
      </c>
      <c r="F351" s="43" t="s">
        <v>84</v>
      </c>
      <c r="G351" s="43" t="s">
        <v>7</v>
      </c>
      <c r="H351" s="49" t="s">
        <v>440</v>
      </c>
      <c r="I351" s="45" t="s">
        <v>68</v>
      </c>
      <c r="J351" s="46" t="s">
        <v>36</v>
      </c>
      <c r="K351" s="47" t="s">
        <v>6</v>
      </c>
      <c r="L351" s="48"/>
      <c r="M351" s="96"/>
      <c r="N351" s="96"/>
      <c r="O351" s="96"/>
      <c r="P351" s="97"/>
      <c r="Q351" s="97"/>
      <c r="R351" s="74"/>
      <c r="S351" s="74"/>
    </row>
    <row r="352" spans="1:19" ht="15" thickBot="1">
      <c r="A352" s="108"/>
      <c r="B352" s="110"/>
      <c r="C352" s="36" t="s">
        <v>451</v>
      </c>
      <c r="D352" s="41">
        <v>5</v>
      </c>
      <c r="E352" s="50" t="str">
        <f t="shared" si="184"/>
        <v>4:0</v>
      </c>
      <c r="F352" s="43" t="s">
        <v>103</v>
      </c>
      <c r="G352" s="43" t="s">
        <v>103</v>
      </c>
      <c r="H352" s="49" t="s">
        <v>444</v>
      </c>
      <c r="I352" s="45" t="s">
        <v>68</v>
      </c>
      <c r="J352" s="46" t="s">
        <v>36</v>
      </c>
      <c r="K352" s="47" t="s">
        <v>6</v>
      </c>
      <c r="L352" s="48"/>
      <c r="M352" s="96"/>
      <c r="N352" s="96"/>
      <c r="O352" s="96"/>
      <c r="P352" s="97"/>
      <c r="Q352" s="97"/>
      <c r="R352" s="75"/>
      <c r="S352" s="75"/>
    </row>
    <row r="353" spans="1:19">
      <c r="A353" s="111" t="s">
        <v>278</v>
      </c>
      <c r="B353" s="109" t="str">
        <f t="shared" ref="B353" si="185">DEC2HEX(P353*4)</f>
        <v>24</v>
      </c>
      <c r="C353" s="52" t="s">
        <v>454</v>
      </c>
      <c r="D353" s="80" t="str">
        <f>bitConcat1(F354:F357)</f>
        <v>32'b00000000000000000000000000000000</v>
      </c>
      <c r="E353" s="81"/>
      <c r="F353" s="81"/>
      <c r="G353" s="82"/>
      <c r="H353" s="53" t="s">
        <v>251</v>
      </c>
      <c r="I353" s="54"/>
      <c r="J353" s="83" t="str">
        <f>bitConcat1(G354:G357)</f>
        <v>32'b00000000000000000000000000000000</v>
      </c>
      <c r="K353" s="84"/>
      <c r="L353" s="85"/>
      <c r="M353" s="95" t="str">
        <f t="shared" ref="M353" si="186">DEC2HEX(_xlfn.BITLSHIFT(O353,7)+4*P353)</f>
        <v>3A4</v>
      </c>
      <c r="N353" s="95" t="s">
        <v>97</v>
      </c>
      <c r="O353" s="95">
        <v>7</v>
      </c>
      <c r="P353" s="98">
        <v>9</v>
      </c>
      <c r="Q353" s="98" t="str">
        <f>DEC2HEX(_xlfn.BITLSHIFT(O353,5)+P353)</f>
        <v>E9</v>
      </c>
      <c r="R353" s="73" t="str">
        <f>BIN2HEX(LEFT(RIGHT(D353,32),4))&amp;BIN2HEX(LEFT(RIGHT(D353,28),4))&amp;BIN2HEX(LEFT(RIGHT(D353,24),4))&amp;BIN2HEX(LEFT(RIGHT(D353,20),4))&amp;BIN2HEX(LEFT(RIGHT(D353,16),4))&amp;BIN2HEX(LEFT(RIGHT(D353,12),4))&amp;BIN2HEX(LEFT(RIGHT(D353,8),4))&amp;BIN2HEX(LEFT(RIGHT(D353,4),4))</f>
        <v>00000000</v>
      </c>
      <c r="S353" s="73" t="str">
        <f t="shared" ref="S353" si="187">BIN2HEX(LEFT(RIGHT(J353,32),4))&amp;BIN2HEX(LEFT(RIGHT(J353,28),4))&amp;BIN2HEX(LEFT(RIGHT(J353,24),4))&amp;BIN2HEX(LEFT(RIGHT(J353,20),4))&amp;BIN2HEX(LEFT(RIGHT(J353,16),4))&amp;BIN2HEX(LEFT(RIGHT(J353,12),4))&amp;BIN2HEX(LEFT(RIGHT(J353,8),4))&amp;BIN2HEX(LEFT(RIGHT(J353,4),4))</f>
        <v>00000000</v>
      </c>
    </row>
    <row r="354" spans="1:19" ht="15.75" customHeight="1">
      <c r="A354" s="108"/>
      <c r="B354" s="110"/>
      <c r="C354" s="36" t="s">
        <v>187</v>
      </c>
      <c r="D354" s="41">
        <v>8</v>
      </c>
      <c r="E354" s="42" t="str">
        <f>IF(D354&gt;1,(31)&amp;":"&amp;(31-D354+1),(31-D354+1)&amp;":"&amp;(31-D354+1))</f>
        <v>31:24</v>
      </c>
      <c r="F354" s="43" t="s">
        <v>115</v>
      </c>
      <c r="G354" s="43" t="s">
        <v>115</v>
      </c>
      <c r="H354" s="44" t="s">
        <v>158</v>
      </c>
      <c r="I354" s="45" t="s">
        <v>68</v>
      </c>
      <c r="J354" s="46" t="s">
        <v>36</v>
      </c>
      <c r="K354" s="47" t="s">
        <v>6</v>
      </c>
      <c r="L354" s="48"/>
      <c r="M354" s="96"/>
      <c r="N354" s="96"/>
      <c r="O354" s="96"/>
      <c r="P354" s="97"/>
      <c r="Q354" s="97"/>
      <c r="R354" s="74"/>
      <c r="S354" s="74"/>
    </row>
    <row r="355" spans="1:19">
      <c r="A355" s="108"/>
      <c r="B355" s="110"/>
      <c r="C355" s="36" t="s">
        <v>188</v>
      </c>
      <c r="D355" s="41">
        <v>8</v>
      </c>
      <c r="E355" s="50" t="str">
        <f t="shared" ref="E355" si="188">(MID(E354,SEARCH(":",E354)+1,2)-1) &amp; ":" &amp; (MID(E354,SEARCH(":",E354)+1,2)-D355)</f>
        <v>23:16</v>
      </c>
      <c r="F355" s="43" t="s">
        <v>115</v>
      </c>
      <c r="G355" s="43" t="s">
        <v>115</v>
      </c>
      <c r="H355" s="44" t="s">
        <v>159</v>
      </c>
      <c r="I355" s="45" t="s">
        <v>68</v>
      </c>
      <c r="J355" s="46" t="s">
        <v>36</v>
      </c>
      <c r="K355" s="47" t="s">
        <v>6</v>
      </c>
      <c r="L355" s="48"/>
      <c r="M355" s="96"/>
      <c r="N355" s="96"/>
      <c r="O355" s="96"/>
      <c r="P355" s="97"/>
      <c r="Q355" s="97"/>
      <c r="R355" s="74"/>
      <c r="S355" s="74"/>
    </row>
    <row r="356" spans="1:19">
      <c r="A356" s="108"/>
      <c r="B356" s="110"/>
      <c r="C356" s="36" t="s">
        <v>185</v>
      </c>
      <c r="D356" s="41">
        <v>8</v>
      </c>
      <c r="E356" s="50" t="str">
        <f>(MID(E355,SEARCH(":",E355)+1,2)-1) &amp; ":" &amp; (MID(E355,SEARCH(":",E355)+1,2)-D356)</f>
        <v>15:8</v>
      </c>
      <c r="F356" s="43" t="s">
        <v>115</v>
      </c>
      <c r="G356" s="43" t="s">
        <v>115</v>
      </c>
      <c r="H356" s="44" t="s">
        <v>151</v>
      </c>
      <c r="I356" s="45" t="s">
        <v>68</v>
      </c>
      <c r="J356" s="46" t="s">
        <v>36</v>
      </c>
      <c r="K356" s="47" t="s">
        <v>6</v>
      </c>
      <c r="L356" s="48"/>
      <c r="M356" s="96"/>
      <c r="N356" s="96"/>
      <c r="O356" s="96"/>
      <c r="P356" s="97"/>
      <c r="Q356" s="97"/>
      <c r="R356" s="74"/>
      <c r="S356" s="74"/>
    </row>
    <row r="357" spans="1:19" ht="15" thickBot="1">
      <c r="A357" s="108"/>
      <c r="B357" s="110"/>
      <c r="C357" s="36" t="s">
        <v>186</v>
      </c>
      <c r="D357" s="41">
        <v>8</v>
      </c>
      <c r="E357" s="50" t="str">
        <f>(MID(E356,SEARCH(":",E356)+1,2)-1) &amp; ":" &amp; (MID(E356,SEARCH(":",E356)+1,2)-D357)</f>
        <v>7:0</v>
      </c>
      <c r="F357" s="43" t="s">
        <v>115</v>
      </c>
      <c r="G357" s="43" t="s">
        <v>115</v>
      </c>
      <c r="H357" s="44" t="s">
        <v>160</v>
      </c>
      <c r="I357" s="45" t="s">
        <v>68</v>
      </c>
      <c r="J357" s="46" t="s">
        <v>36</v>
      </c>
      <c r="K357" s="47" t="s">
        <v>6</v>
      </c>
      <c r="L357" s="48"/>
      <c r="M357" s="96"/>
      <c r="N357" s="96"/>
      <c r="O357" s="96"/>
      <c r="P357" s="97"/>
      <c r="Q357" s="97"/>
      <c r="R357" s="75"/>
      <c r="S357" s="75"/>
    </row>
    <row r="358" spans="1:19">
      <c r="A358" s="108" t="s">
        <v>279</v>
      </c>
      <c r="B358" s="109" t="str">
        <f t="shared" ref="B358" si="189">DEC2HEX(P358*4)</f>
        <v>28</v>
      </c>
      <c r="C358" s="52" t="s">
        <v>454</v>
      </c>
      <c r="D358" s="80" t="str">
        <f>bitConcat1(F359:F360)</f>
        <v>32'b00000000000000000000000000000000</v>
      </c>
      <c r="E358" s="81"/>
      <c r="F358" s="81"/>
      <c r="G358" s="82"/>
      <c r="H358" s="53" t="s">
        <v>251</v>
      </c>
      <c r="I358" s="54"/>
      <c r="J358" s="83" t="str">
        <f>bitConcat1(G359:G360)</f>
        <v>32'b00000000000000000000000000000000</v>
      </c>
      <c r="K358" s="84"/>
      <c r="L358" s="85"/>
      <c r="M358" s="95" t="str">
        <f t="shared" ref="M358" si="190">DEC2HEX(_xlfn.BITLSHIFT(O358,7)+4*P358)</f>
        <v>3A8</v>
      </c>
      <c r="N358" s="96" t="s">
        <v>97</v>
      </c>
      <c r="O358" s="96">
        <v>7</v>
      </c>
      <c r="P358" s="97">
        <v>10</v>
      </c>
      <c r="Q358" s="98" t="str">
        <f>DEC2HEX(_xlfn.BITLSHIFT(O358,5)+P358)</f>
        <v>EA</v>
      </c>
      <c r="R358" s="73" t="str">
        <f>BIN2HEX(LEFT(RIGHT(D358,32),4))&amp;BIN2HEX(LEFT(RIGHT(D358,28),4))&amp;BIN2HEX(LEFT(RIGHT(D358,24),4))&amp;BIN2HEX(LEFT(RIGHT(D358,20),4))&amp;BIN2HEX(LEFT(RIGHT(D358,16),4))&amp;BIN2HEX(LEFT(RIGHT(D358,12),4))&amp;BIN2HEX(LEFT(RIGHT(D358,8),4))&amp;BIN2HEX(LEFT(RIGHT(D358,4),4))</f>
        <v>00000000</v>
      </c>
      <c r="S358" s="73" t="str">
        <f t="shared" ref="S358" si="191">BIN2HEX(LEFT(RIGHT(J358,32),4))&amp;BIN2HEX(LEFT(RIGHT(J358,28),4))&amp;BIN2HEX(LEFT(RIGHT(J358,24),4))&amp;BIN2HEX(LEFT(RIGHT(J358,20),4))&amp;BIN2HEX(LEFT(RIGHT(J358,16),4))&amp;BIN2HEX(LEFT(RIGHT(J358,12),4))&amp;BIN2HEX(LEFT(RIGHT(J358,8),4))&amp;BIN2HEX(LEFT(RIGHT(J358,4),4))</f>
        <v>00000000</v>
      </c>
    </row>
    <row r="359" spans="1:19" ht="15.75" customHeight="1">
      <c r="A359" s="108"/>
      <c r="B359" s="110"/>
      <c r="C359" s="36" t="s">
        <v>263</v>
      </c>
      <c r="D359" s="41">
        <v>16</v>
      </c>
      <c r="E359" s="42" t="str">
        <f>IF(D359&gt;1,(31)&amp;":"&amp;(31-D359+1),(31-D359+1)&amp;":"&amp;(31-D359+1))</f>
        <v>31:16</v>
      </c>
      <c r="F359" s="43" t="s">
        <v>245</v>
      </c>
      <c r="G359" s="43" t="s">
        <v>245</v>
      </c>
      <c r="H359" s="44" t="s">
        <v>264</v>
      </c>
      <c r="I359" s="45" t="s">
        <v>68</v>
      </c>
      <c r="J359" s="46" t="s">
        <v>36</v>
      </c>
      <c r="K359" s="47" t="s">
        <v>6</v>
      </c>
      <c r="L359" s="48"/>
      <c r="M359" s="96"/>
      <c r="N359" s="96"/>
      <c r="O359" s="96"/>
      <c r="P359" s="97"/>
      <c r="Q359" s="97"/>
      <c r="R359" s="74"/>
      <c r="S359" s="74"/>
    </row>
    <row r="360" spans="1:19" ht="15.75" customHeight="1" thickBot="1">
      <c r="A360" s="108"/>
      <c r="B360" s="110"/>
      <c r="C360" s="36" t="s">
        <v>152</v>
      </c>
      <c r="D360" s="41">
        <v>16</v>
      </c>
      <c r="E360" s="50" t="str">
        <f>(MID(E359,SEARCH(":",E359)+1,2)-1) &amp; ":" &amp; (MID(E359,SEARCH(":",E359)+1,2)-D360)</f>
        <v>15:0</v>
      </c>
      <c r="F360" s="43" t="s">
        <v>245</v>
      </c>
      <c r="G360" s="43" t="s">
        <v>245</v>
      </c>
      <c r="H360" s="49" t="s">
        <v>121</v>
      </c>
      <c r="I360" s="45" t="s">
        <v>68</v>
      </c>
      <c r="J360" s="46" t="s">
        <v>36</v>
      </c>
      <c r="K360" s="47" t="s">
        <v>6</v>
      </c>
      <c r="L360" s="48"/>
      <c r="M360" s="96"/>
      <c r="N360" s="96"/>
      <c r="O360" s="96"/>
      <c r="P360" s="97"/>
      <c r="Q360" s="97"/>
      <c r="R360" s="75"/>
      <c r="S360" s="75"/>
    </row>
    <row r="361" spans="1:19" ht="15.75" customHeight="1">
      <c r="A361" s="108" t="s">
        <v>280</v>
      </c>
      <c r="B361" s="109" t="str">
        <f t="shared" ref="B361" si="192">DEC2HEX(P361*4)</f>
        <v>2C</v>
      </c>
      <c r="C361" s="52" t="s">
        <v>454</v>
      </c>
      <c r="D361" s="80" t="str">
        <f>bitConcat1(F362:F366)</f>
        <v>32'b00000000101100110001100000100000</v>
      </c>
      <c r="E361" s="81"/>
      <c r="F361" s="81"/>
      <c r="G361" s="82"/>
      <c r="H361" s="53" t="s">
        <v>251</v>
      </c>
      <c r="I361" s="54"/>
      <c r="J361" s="83" t="str">
        <f>bitConcat1(G362:G366)</f>
        <v>32'b00000000000000000001100000000000</v>
      </c>
      <c r="K361" s="84"/>
      <c r="L361" s="85"/>
      <c r="M361" s="95" t="str">
        <f t="shared" ref="M361" si="193">DEC2HEX(_xlfn.BITLSHIFT(O361,7)+4*P361)</f>
        <v>3AC</v>
      </c>
      <c r="N361" s="96" t="s">
        <v>97</v>
      </c>
      <c r="O361" s="96">
        <v>7</v>
      </c>
      <c r="P361" s="97">
        <v>11</v>
      </c>
      <c r="Q361" s="98" t="str">
        <f>DEC2HEX(_xlfn.BITLSHIFT(O361,5)+P361)</f>
        <v>EB</v>
      </c>
      <c r="R361" s="73" t="str">
        <f>BIN2HEX(LEFT(RIGHT(D361,32),4))&amp;BIN2HEX(LEFT(RIGHT(D361,28),4))&amp;BIN2HEX(LEFT(RIGHT(D361,24),4))&amp;BIN2HEX(LEFT(RIGHT(D361,20),4))&amp;BIN2HEX(LEFT(RIGHT(D361,16),4))&amp;BIN2HEX(LEFT(RIGHT(D361,12),4))&amp;BIN2HEX(LEFT(RIGHT(D361,8),4))&amp;BIN2HEX(LEFT(RIGHT(D361,4),4))</f>
        <v>00B31820</v>
      </c>
      <c r="S361" s="73" t="str">
        <f t="shared" ref="S361" si="194">BIN2HEX(LEFT(RIGHT(J361,32),4))&amp;BIN2HEX(LEFT(RIGHT(J361,28),4))&amp;BIN2HEX(LEFT(RIGHT(J361,24),4))&amp;BIN2HEX(LEFT(RIGHT(J361,20),4))&amp;BIN2HEX(LEFT(RIGHT(J361,16),4))&amp;BIN2HEX(LEFT(RIGHT(J361,12),4))&amp;BIN2HEX(LEFT(RIGHT(J361,8),4))&amp;BIN2HEX(LEFT(RIGHT(J361,4),4))</f>
        <v>00001800</v>
      </c>
    </row>
    <row r="362" spans="1:19">
      <c r="A362" s="108"/>
      <c r="B362" s="110"/>
      <c r="C362" s="36" t="s">
        <v>189</v>
      </c>
      <c r="D362" s="41">
        <v>8</v>
      </c>
      <c r="E362" s="42" t="str">
        <f>IF(D362&gt;1,(31)&amp;":"&amp;(31-D362+1),(31-D362+1)&amp;":"&amp;(31-D362+1))</f>
        <v>31:24</v>
      </c>
      <c r="F362" s="43" t="s">
        <v>115</v>
      </c>
      <c r="G362" s="43" t="s">
        <v>115</v>
      </c>
      <c r="H362" s="44" t="s">
        <v>442</v>
      </c>
      <c r="I362" s="45" t="s">
        <v>68</v>
      </c>
      <c r="J362" s="46" t="s">
        <v>36</v>
      </c>
      <c r="K362" s="47" t="s">
        <v>6</v>
      </c>
      <c r="L362" s="48"/>
      <c r="M362" s="96"/>
      <c r="N362" s="96"/>
      <c r="O362" s="96"/>
      <c r="P362" s="97"/>
      <c r="Q362" s="97"/>
      <c r="R362" s="74"/>
      <c r="S362" s="74"/>
    </row>
    <row r="363" spans="1:19">
      <c r="A363" s="108"/>
      <c r="B363" s="110"/>
      <c r="C363" s="36" t="s">
        <v>452</v>
      </c>
      <c r="D363" s="41">
        <v>8</v>
      </c>
      <c r="E363" s="50" t="str">
        <f>(MID(E362,SEARCH(":",E362)+1,2)-1) &amp; ":" &amp; (MID(E362,SEARCH(":",E362)+1,2)-D363)</f>
        <v>23:16</v>
      </c>
      <c r="F363" s="43" t="s">
        <v>460</v>
      </c>
      <c r="G363" s="43" t="s">
        <v>115</v>
      </c>
      <c r="H363" s="49" t="s">
        <v>445</v>
      </c>
      <c r="I363" s="45" t="s">
        <v>68</v>
      </c>
      <c r="J363" s="46" t="s">
        <v>36</v>
      </c>
      <c r="K363" s="47" t="s">
        <v>6</v>
      </c>
      <c r="L363" s="48"/>
      <c r="M363" s="96"/>
      <c r="N363" s="96"/>
      <c r="O363" s="96"/>
      <c r="P363" s="97"/>
      <c r="Q363" s="97"/>
      <c r="R363" s="74"/>
      <c r="S363" s="74"/>
    </row>
    <row r="364" spans="1:19">
      <c r="A364" s="108"/>
      <c r="B364" s="110"/>
      <c r="C364" s="36" t="s">
        <v>190</v>
      </c>
      <c r="D364" s="41">
        <v>10</v>
      </c>
      <c r="E364" s="50" t="str">
        <f t="shared" ref="E364:E366" si="195">(MID(E363,SEARCH(":",E363)+1,2)-1) &amp; ":" &amp; (MID(E363,SEARCH(":",E363)+1,2)-D364)</f>
        <v>15:6</v>
      </c>
      <c r="F364" s="43" t="s">
        <v>305</v>
      </c>
      <c r="G364" s="43" t="s">
        <v>305</v>
      </c>
      <c r="H364" s="44" t="s">
        <v>443</v>
      </c>
      <c r="I364" s="45" t="s">
        <v>68</v>
      </c>
      <c r="J364" s="46" t="s">
        <v>36</v>
      </c>
      <c r="K364" s="47" t="s">
        <v>6</v>
      </c>
      <c r="L364" s="48"/>
      <c r="M364" s="96"/>
      <c r="N364" s="96"/>
      <c r="O364" s="96"/>
      <c r="P364" s="97"/>
      <c r="Q364" s="97"/>
      <c r="R364" s="74"/>
      <c r="S364" s="74"/>
    </row>
    <row r="365" spans="1:19">
      <c r="A365" s="108"/>
      <c r="B365" s="110"/>
      <c r="C365" s="36" t="s">
        <v>459</v>
      </c>
      <c r="D365" s="41">
        <v>1</v>
      </c>
      <c r="E365" s="50" t="str">
        <f t="shared" si="195"/>
        <v>5:5</v>
      </c>
      <c r="F365" s="43" t="s">
        <v>84</v>
      </c>
      <c r="G365" s="43" t="s">
        <v>7</v>
      </c>
      <c r="H365" s="49" t="s">
        <v>440</v>
      </c>
      <c r="I365" s="45" t="s">
        <v>68</v>
      </c>
      <c r="J365" s="46" t="s">
        <v>36</v>
      </c>
      <c r="K365" s="47" t="s">
        <v>6</v>
      </c>
      <c r="L365" s="48"/>
      <c r="M365" s="96"/>
      <c r="N365" s="96"/>
      <c r="O365" s="96"/>
      <c r="P365" s="97"/>
      <c r="Q365" s="97"/>
      <c r="R365" s="74"/>
      <c r="S365" s="74"/>
    </row>
    <row r="366" spans="1:19" ht="15" thickBot="1">
      <c r="A366" s="108"/>
      <c r="B366" s="110"/>
      <c r="C366" s="36" t="s">
        <v>453</v>
      </c>
      <c r="D366" s="41">
        <v>5</v>
      </c>
      <c r="E366" s="50" t="str">
        <f t="shared" si="195"/>
        <v>4:0</v>
      </c>
      <c r="F366" s="43" t="s">
        <v>103</v>
      </c>
      <c r="G366" s="43" t="s">
        <v>103</v>
      </c>
      <c r="H366" s="49" t="s">
        <v>444</v>
      </c>
      <c r="I366" s="45" t="s">
        <v>68</v>
      </c>
      <c r="J366" s="46" t="s">
        <v>36</v>
      </c>
      <c r="K366" s="47" t="s">
        <v>6</v>
      </c>
      <c r="L366" s="48"/>
      <c r="M366" s="96"/>
      <c r="N366" s="96"/>
      <c r="O366" s="96"/>
      <c r="P366" s="97"/>
      <c r="Q366" s="97"/>
      <c r="R366" s="75"/>
      <c r="S366" s="75"/>
    </row>
    <row r="367" spans="1:19" ht="15.75" customHeight="1">
      <c r="A367" s="104" t="s">
        <v>281</v>
      </c>
      <c r="B367" s="106" t="str">
        <f t="shared" ref="B367" si="196">DEC2HEX(P367*4)</f>
        <v>30</v>
      </c>
      <c r="C367" s="52" t="s">
        <v>454</v>
      </c>
      <c r="D367" s="80" t="str">
        <f>bitConcat1(F368:F375)</f>
        <v>32'b11110111110101001011000101000100</v>
      </c>
      <c r="E367" s="81"/>
      <c r="F367" s="81"/>
      <c r="G367" s="82"/>
      <c r="H367" s="53" t="s">
        <v>251</v>
      </c>
      <c r="I367" s="54"/>
      <c r="J367" s="83" t="str">
        <f>bitConcat1(G368:G375)</f>
        <v>32'b11110111111110001000000010001111</v>
      </c>
      <c r="K367" s="84"/>
      <c r="L367" s="85"/>
      <c r="M367" s="70" t="str">
        <f t="shared" ref="M367" si="197">DEC2HEX(_xlfn.BITLSHIFT(O367,7)+4*P367)</f>
        <v>3B0</v>
      </c>
      <c r="N367" s="86" t="s">
        <v>97</v>
      </c>
      <c r="O367" s="86">
        <v>7</v>
      </c>
      <c r="P367" s="87">
        <v>12</v>
      </c>
      <c r="Q367" s="73" t="str">
        <f>DEC2HEX(_xlfn.BITLSHIFT(O367,5)+P367)</f>
        <v>EC</v>
      </c>
      <c r="R367" s="73" t="str">
        <f>BIN2HEX(LEFT(RIGHT(D367,32),4))&amp;BIN2HEX(LEFT(RIGHT(D367,28),4))&amp;BIN2HEX(LEFT(RIGHT(D367,24),4))&amp;BIN2HEX(LEFT(RIGHT(D367,20),4))&amp;BIN2HEX(LEFT(RIGHT(D367,16),4))&amp;BIN2HEX(LEFT(RIGHT(D367,12),4))&amp;BIN2HEX(LEFT(RIGHT(D367,8),4))&amp;BIN2HEX(LEFT(RIGHT(D367,4),4))</f>
        <v>F7D4B144</v>
      </c>
      <c r="S367" s="73" t="str">
        <f t="shared" ref="S367" si="198">BIN2HEX(LEFT(RIGHT(J367,32),4))&amp;BIN2HEX(LEFT(RIGHT(J367,28),4))&amp;BIN2HEX(LEFT(RIGHT(J367,24),4))&amp;BIN2HEX(LEFT(RIGHT(J367,20),4))&amp;BIN2HEX(LEFT(RIGHT(J367,16),4))&amp;BIN2HEX(LEFT(RIGHT(J367,12),4))&amp;BIN2HEX(LEFT(RIGHT(J367,8),4))&amp;BIN2HEX(LEFT(RIGHT(J367,4),4))</f>
        <v>F7F8808F</v>
      </c>
    </row>
    <row r="368" spans="1:19">
      <c r="A368" s="105"/>
      <c r="B368" s="107"/>
      <c r="C368" s="36" t="s">
        <v>372</v>
      </c>
      <c r="D368" s="41">
        <v>4</v>
      </c>
      <c r="E368" s="42" t="str">
        <f>IF(D368&gt;1,(31)&amp;":"&amp;(31-D368+1),(31-D368+1)&amp;":"&amp;(31-D368+1))</f>
        <v>31:28</v>
      </c>
      <c r="F368" s="43" t="s">
        <v>317</v>
      </c>
      <c r="G368" s="43" t="s">
        <v>317</v>
      </c>
      <c r="H368" s="44" t="s">
        <v>312</v>
      </c>
      <c r="I368" s="45" t="s">
        <v>68</v>
      </c>
      <c r="J368" s="46" t="s">
        <v>36</v>
      </c>
      <c r="K368" s="47" t="s">
        <v>6</v>
      </c>
      <c r="L368" s="48"/>
      <c r="M368" s="71"/>
      <c r="N368" s="71"/>
      <c r="O368" s="71"/>
      <c r="P368" s="88"/>
      <c r="Q368" s="74"/>
      <c r="R368" s="74"/>
      <c r="S368" s="74"/>
    </row>
    <row r="369" spans="1:19">
      <c r="A369" s="105"/>
      <c r="B369" s="107"/>
      <c r="C369" s="36" t="s">
        <v>373</v>
      </c>
      <c r="D369" s="41">
        <v>4</v>
      </c>
      <c r="E369" s="50" t="str">
        <f>(MID(E368,SEARCH(":",E368)+1,2)-1) &amp; ":" &amp; (MID(E368,SEARCH(":",E368)+1,2)-D369)</f>
        <v>27:24</v>
      </c>
      <c r="F369" s="43" t="s">
        <v>318</v>
      </c>
      <c r="G369" s="43" t="s">
        <v>318</v>
      </c>
      <c r="H369" s="49" t="s">
        <v>191</v>
      </c>
      <c r="I369" s="45" t="s">
        <v>68</v>
      </c>
      <c r="J369" s="46" t="s">
        <v>36</v>
      </c>
      <c r="K369" s="47" t="s">
        <v>6</v>
      </c>
      <c r="L369" s="48"/>
      <c r="M369" s="71"/>
      <c r="N369" s="71"/>
      <c r="O369" s="71"/>
      <c r="P369" s="88"/>
      <c r="Q369" s="74"/>
      <c r="R369" s="74"/>
      <c r="S369" s="74"/>
    </row>
    <row r="370" spans="1:19" ht="15.75" customHeight="1">
      <c r="A370" s="105"/>
      <c r="B370" s="107"/>
      <c r="C370" s="36" t="s">
        <v>374</v>
      </c>
      <c r="D370" s="41">
        <v>4</v>
      </c>
      <c r="E370" s="50" t="str">
        <f t="shared" ref="E370:E373" si="199">(MID(E369,SEARCH(":",E369)+1,2)-1) &amp; ":" &amp; (MID(E369,SEARCH(":",E369)+1,2)-D370)</f>
        <v>23:20</v>
      </c>
      <c r="F370" s="43" t="s">
        <v>474</v>
      </c>
      <c r="G370" s="43" t="s">
        <v>317</v>
      </c>
      <c r="H370" s="49" t="s">
        <v>315</v>
      </c>
      <c r="I370" s="45" t="s">
        <v>68</v>
      </c>
      <c r="J370" s="46" t="s">
        <v>36</v>
      </c>
      <c r="K370" s="47" t="s">
        <v>6</v>
      </c>
      <c r="L370" s="48"/>
      <c r="M370" s="71"/>
      <c r="N370" s="71"/>
      <c r="O370" s="71"/>
      <c r="P370" s="88"/>
      <c r="Q370" s="74"/>
      <c r="R370" s="74"/>
      <c r="S370" s="74"/>
    </row>
    <row r="371" spans="1:19">
      <c r="A371" s="105"/>
      <c r="B371" s="107"/>
      <c r="C371" s="36" t="s">
        <v>375</v>
      </c>
      <c r="D371" s="41">
        <v>4</v>
      </c>
      <c r="E371" s="50" t="str">
        <f t="shared" si="199"/>
        <v>19:16</v>
      </c>
      <c r="F371" s="43" t="s">
        <v>472</v>
      </c>
      <c r="G371" s="43" t="s">
        <v>319</v>
      </c>
      <c r="H371" s="49" t="s">
        <v>314</v>
      </c>
      <c r="I371" s="45" t="s">
        <v>68</v>
      </c>
      <c r="J371" s="46" t="s">
        <v>36</v>
      </c>
      <c r="K371" s="47" t="s">
        <v>6</v>
      </c>
      <c r="L371" s="48"/>
      <c r="M371" s="71"/>
      <c r="N371" s="71"/>
      <c r="O371" s="71"/>
      <c r="P371" s="88"/>
      <c r="Q371" s="74"/>
      <c r="R371" s="74"/>
      <c r="S371" s="74"/>
    </row>
    <row r="372" spans="1:19">
      <c r="A372" s="105"/>
      <c r="B372" s="107"/>
      <c r="C372" s="36" t="s">
        <v>376</v>
      </c>
      <c r="D372" s="41">
        <v>4</v>
      </c>
      <c r="E372" s="50" t="str">
        <f t="shared" si="199"/>
        <v>15:12</v>
      </c>
      <c r="F372" s="43" t="s">
        <v>473</v>
      </c>
      <c r="G372" s="43" t="s">
        <v>319</v>
      </c>
      <c r="H372" s="44" t="s">
        <v>193</v>
      </c>
      <c r="I372" s="45" t="s">
        <v>68</v>
      </c>
      <c r="J372" s="46" t="s">
        <v>36</v>
      </c>
      <c r="K372" s="47" t="s">
        <v>6</v>
      </c>
      <c r="L372" s="48"/>
      <c r="M372" s="71"/>
      <c r="N372" s="71"/>
      <c r="O372" s="71"/>
      <c r="P372" s="88"/>
      <c r="Q372" s="74"/>
      <c r="R372" s="74"/>
      <c r="S372" s="74"/>
    </row>
    <row r="373" spans="1:19">
      <c r="A373" s="105"/>
      <c r="B373" s="107"/>
      <c r="C373" s="36" t="s">
        <v>368</v>
      </c>
      <c r="D373" s="41">
        <v>4</v>
      </c>
      <c r="E373" s="50" t="str">
        <f t="shared" si="199"/>
        <v>11:8</v>
      </c>
      <c r="F373" s="43" t="s">
        <v>475</v>
      </c>
      <c r="G373" s="43" t="s">
        <v>320</v>
      </c>
      <c r="H373" s="44" t="s">
        <v>192</v>
      </c>
      <c r="I373" s="45" t="s">
        <v>68</v>
      </c>
      <c r="J373" s="46" t="s">
        <v>36</v>
      </c>
      <c r="K373" s="47" t="s">
        <v>6</v>
      </c>
      <c r="L373" s="48"/>
      <c r="M373" s="71"/>
      <c r="N373" s="71"/>
      <c r="O373" s="71"/>
      <c r="P373" s="88"/>
      <c r="Q373" s="74"/>
      <c r="R373" s="74"/>
      <c r="S373" s="74"/>
    </row>
    <row r="374" spans="1:19">
      <c r="A374" s="105"/>
      <c r="B374" s="107"/>
      <c r="C374" s="62" t="s">
        <v>370</v>
      </c>
      <c r="D374" s="41">
        <v>4</v>
      </c>
      <c r="E374" s="50" t="str">
        <f>(MID(E373,SEARCH(":",E373)+1,2)-1) &amp; ":" &amp; (MID(E373,SEARCH(":",E373)+1,2)-D374)</f>
        <v>7:4</v>
      </c>
      <c r="F374" s="43" t="s">
        <v>472</v>
      </c>
      <c r="G374" s="43" t="s">
        <v>319</v>
      </c>
      <c r="H374" s="62" t="s">
        <v>316</v>
      </c>
      <c r="I374" s="45" t="s">
        <v>68</v>
      </c>
      <c r="J374" s="46" t="s">
        <v>36</v>
      </c>
      <c r="K374" s="47" t="s">
        <v>6</v>
      </c>
      <c r="L374" s="48"/>
      <c r="M374" s="71"/>
      <c r="N374" s="71"/>
      <c r="O374" s="71"/>
      <c r="P374" s="88"/>
      <c r="Q374" s="74"/>
      <c r="R374" s="74"/>
      <c r="S374" s="74"/>
    </row>
    <row r="375" spans="1:19" ht="15" thickBot="1">
      <c r="A375" s="105"/>
      <c r="B375" s="107"/>
      <c r="C375" s="36" t="s">
        <v>432</v>
      </c>
      <c r="D375" s="41">
        <v>4</v>
      </c>
      <c r="E375" s="50" t="str">
        <f>(MID(E374,SEARCH(":",E374)+1,2)-1) &amp; ":" &amp; (MID(E374,SEARCH(":",E374)+1,2)-D375)</f>
        <v>3:0</v>
      </c>
      <c r="F375" s="51" t="s">
        <v>472</v>
      </c>
      <c r="G375" s="51" t="s">
        <v>317</v>
      </c>
      <c r="H375" s="44" t="s">
        <v>433</v>
      </c>
      <c r="I375" s="45" t="s">
        <v>68</v>
      </c>
      <c r="J375" s="46" t="s">
        <v>36</v>
      </c>
      <c r="K375" s="47" t="s">
        <v>6</v>
      </c>
      <c r="L375" s="48"/>
      <c r="M375" s="71"/>
      <c r="N375" s="71"/>
      <c r="O375" s="71"/>
      <c r="P375" s="88"/>
      <c r="Q375" s="74"/>
      <c r="R375" s="75"/>
      <c r="S375" s="75"/>
    </row>
    <row r="376" spans="1:19">
      <c r="A376" s="104" t="s">
        <v>304</v>
      </c>
      <c r="B376" s="106" t="str">
        <f t="shared" ref="B376" si="200">DEC2HEX(P376*4)</f>
        <v>34</v>
      </c>
      <c r="C376" s="52" t="s">
        <v>454</v>
      </c>
      <c r="D376" s="80" t="str">
        <f>bitConcat1(F377:F387)</f>
        <v>32'b11110111110101001011000101000000</v>
      </c>
      <c r="E376" s="81"/>
      <c r="F376" s="81"/>
      <c r="G376" s="82"/>
      <c r="H376" s="53" t="s">
        <v>251</v>
      </c>
      <c r="I376" s="54"/>
      <c r="J376" s="83" t="str">
        <f>bitConcat1(G377:G387)</f>
        <v>32'b11110111111110001000000010000000</v>
      </c>
      <c r="K376" s="84"/>
      <c r="L376" s="85"/>
      <c r="M376" s="70" t="str">
        <f t="shared" ref="M376" si="201">DEC2HEX(_xlfn.BITLSHIFT(O376,7)+4*P376)</f>
        <v>3B4</v>
      </c>
      <c r="N376" s="86" t="s">
        <v>97</v>
      </c>
      <c r="O376" s="86">
        <v>7</v>
      </c>
      <c r="P376" s="87">
        <v>13</v>
      </c>
      <c r="Q376" s="73" t="str">
        <f>DEC2HEX(_xlfn.BITLSHIFT(O376,5)+P376)</f>
        <v>ED</v>
      </c>
      <c r="R376" s="73" t="str">
        <f>BIN2HEX(LEFT(RIGHT(D376,32),4))&amp;BIN2HEX(LEFT(RIGHT(D376,28),4))&amp;BIN2HEX(LEFT(RIGHT(D376,24),4))&amp;BIN2HEX(LEFT(RIGHT(D376,20),4))&amp;BIN2HEX(LEFT(RIGHT(D376,16),4))&amp;BIN2HEX(LEFT(RIGHT(D376,12),4))&amp;BIN2HEX(LEFT(RIGHT(D376,8),4))&amp;BIN2HEX(LEFT(RIGHT(D376,4),4))</f>
        <v>F7D4B140</v>
      </c>
      <c r="S376" s="73" t="str">
        <f t="shared" ref="S376" si="202">BIN2HEX(LEFT(RIGHT(J376,32),4))&amp;BIN2HEX(LEFT(RIGHT(J376,28),4))&amp;BIN2HEX(LEFT(RIGHT(J376,24),4))&amp;BIN2HEX(LEFT(RIGHT(J376,20),4))&amp;BIN2HEX(LEFT(RIGHT(J376,16),4))&amp;BIN2HEX(LEFT(RIGHT(J376,12),4))&amp;BIN2HEX(LEFT(RIGHT(J376,8),4))&amp;BIN2HEX(LEFT(RIGHT(J376,4),4))</f>
        <v>F7F88080</v>
      </c>
    </row>
    <row r="377" spans="1:19" ht="15.75" customHeight="1">
      <c r="A377" s="105"/>
      <c r="B377" s="107"/>
      <c r="C377" s="36" t="s">
        <v>377</v>
      </c>
      <c r="D377" s="41">
        <v>4</v>
      </c>
      <c r="E377" s="42" t="str">
        <f>IF(D377&gt;1,(31)&amp;":"&amp;(31-D377+1),(31-D377+1)&amp;":"&amp;(31-D377+1))</f>
        <v>31:28</v>
      </c>
      <c r="F377" s="43" t="s">
        <v>317</v>
      </c>
      <c r="G377" s="43" t="s">
        <v>317</v>
      </c>
      <c r="H377" s="44" t="s">
        <v>312</v>
      </c>
      <c r="I377" s="45" t="s">
        <v>68</v>
      </c>
      <c r="J377" s="46" t="s">
        <v>36</v>
      </c>
      <c r="K377" s="47" t="s">
        <v>6</v>
      </c>
      <c r="L377" s="48"/>
      <c r="M377" s="71"/>
      <c r="N377" s="71"/>
      <c r="O377" s="71"/>
      <c r="P377" s="88"/>
      <c r="Q377" s="74"/>
      <c r="R377" s="74"/>
      <c r="S377" s="74"/>
    </row>
    <row r="378" spans="1:19">
      <c r="A378" s="105"/>
      <c r="B378" s="107"/>
      <c r="C378" s="36" t="s">
        <v>378</v>
      </c>
      <c r="D378" s="41">
        <v>4</v>
      </c>
      <c r="E378" s="50" t="str">
        <f>(MID(E377,SEARCH(":",E377)+1,2)-1) &amp; ":" &amp; (MID(E377,SEARCH(":",E377)+1,2)-D378)</f>
        <v>27:24</v>
      </c>
      <c r="F378" s="43" t="s">
        <v>318</v>
      </c>
      <c r="G378" s="43" t="s">
        <v>318</v>
      </c>
      <c r="H378" s="49" t="s">
        <v>191</v>
      </c>
      <c r="I378" s="45" t="s">
        <v>68</v>
      </c>
      <c r="J378" s="46" t="s">
        <v>36</v>
      </c>
      <c r="K378" s="47" t="s">
        <v>6</v>
      </c>
      <c r="L378" s="48"/>
      <c r="M378" s="71"/>
      <c r="N378" s="71"/>
      <c r="O378" s="71"/>
      <c r="P378" s="88"/>
      <c r="Q378" s="74"/>
      <c r="R378" s="74"/>
      <c r="S378" s="74"/>
    </row>
    <row r="379" spans="1:19">
      <c r="A379" s="105"/>
      <c r="B379" s="107"/>
      <c r="C379" s="36" t="s">
        <v>379</v>
      </c>
      <c r="D379" s="41">
        <v>4</v>
      </c>
      <c r="E379" s="50" t="str">
        <f t="shared" ref="E379:E382" si="203">(MID(E378,SEARCH(":",E378)+1,2)-1) &amp; ":" &amp; (MID(E378,SEARCH(":",E378)+1,2)-D379)</f>
        <v>23:20</v>
      </c>
      <c r="F379" s="43" t="s">
        <v>474</v>
      </c>
      <c r="G379" s="43" t="s">
        <v>317</v>
      </c>
      <c r="H379" s="49" t="s">
        <v>315</v>
      </c>
      <c r="I379" s="45" t="s">
        <v>68</v>
      </c>
      <c r="J379" s="46" t="s">
        <v>36</v>
      </c>
      <c r="K379" s="47" t="s">
        <v>6</v>
      </c>
      <c r="L379" s="48"/>
      <c r="M379" s="71"/>
      <c r="N379" s="71"/>
      <c r="O379" s="71"/>
      <c r="P379" s="88"/>
      <c r="Q379" s="74"/>
      <c r="R379" s="74"/>
      <c r="S379" s="74"/>
    </row>
    <row r="380" spans="1:19">
      <c r="A380" s="105"/>
      <c r="B380" s="107"/>
      <c r="C380" s="36" t="s">
        <v>380</v>
      </c>
      <c r="D380" s="41">
        <v>4</v>
      </c>
      <c r="E380" s="50" t="str">
        <f t="shared" si="203"/>
        <v>19:16</v>
      </c>
      <c r="F380" s="43" t="s">
        <v>472</v>
      </c>
      <c r="G380" s="43" t="s">
        <v>319</v>
      </c>
      <c r="H380" s="49" t="s">
        <v>314</v>
      </c>
      <c r="I380" s="45" t="s">
        <v>68</v>
      </c>
      <c r="J380" s="46" t="s">
        <v>36</v>
      </c>
      <c r="K380" s="47" t="s">
        <v>6</v>
      </c>
      <c r="L380" s="48"/>
      <c r="M380" s="71"/>
      <c r="N380" s="71"/>
      <c r="O380" s="71"/>
      <c r="P380" s="88"/>
      <c r="Q380" s="74"/>
      <c r="R380" s="74"/>
      <c r="S380" s="74"/>
    </row>
    <row r="381" spans="1:19">
      <c r="A381" s="105"/>
      <c r="B381" s="107"/>
      <c r="C381" s="36" t="s">
        <v>381</v>
      </c>
      <c r="D381" s="41">
        <v>4</v>
      </c>
      <c r="E381" s="50" t="str">
        <f t="shared" si="203"/>
        <v>15:12</v>
      </c>
      <c r="F381" s="43" t="s">
        <v>473</v>
      </c>
      <c r="G381" s="43" t="s">
        <v>319</v>
      </c>
      <c r="H381" s="44" t="s">
        <v>193</v>
      </c>
      <c r="I381" s="45" t="s">
        <v>68</v>
      </c>
      <c r="J381" s="46" t="s">
        <v>36</v>
      </c>
      <c r="K381" s="47" t="s">
        <v>6</v>
      </c>
      <c r="L381" s="48"/>
      <c r="M381" s="71"/>
      <c r="N381" s="71"/>
      <c r="O381" s="71"/>
      <c r="P381" s="88"/>
      <c r="Q381" s="74"/>
      <c r="R381" s="74"/>
      <c r="S381" s="74"/>
    </row>
    <row r="382" spans="1:19">
      <c r="A382" s="105"/>
      <c r="B382" s="107"/>
      <c r="C382" s="36" t="s">
        <v>382</v>
      </c>
      <c r="D382" s="41">
        <v>4</v>
      </c>
      <c r="E382" s="50" t="str">
        <f t="shared" si="203"/>
        <v>11:8</v>
      </c>
      <c r="F382" s="43" t="s">
        <v>475</v>
      </c>
      <c r="G382" s="43" t="s">
        <v>320</v>
      </c>
      <c r="H382" s="44" t="s">
        <v>192</v>
      </c>
      <c r="I382" s="45" t="s">
        <v>68</v>
      </c>
      <c r="J382" s="46" t="s">
        <v>36</v>
      </c>
      <c r="K382" s="47" t="s">
        <v>6</v>
      </c>
      <c r="L382" s="48"/>
      <c r="M382" s="71"/>
      <c r="N382" s="71"/>
      <c r="O382" s="71"/>
      <c r="P382" s="88"/>
      <c r="Q382" s="74"/>
      <c r="R382" s="74"/>
      <c r="S382" s="74"/>
    </row>
    <row r="383" spans="1:19" ht="15.75" customHeight="1">
      <c r="A383" s="105"/>
      <c r="B383" s="107"/>
      <c r="C383" s="63" t="s">
        <v>383</v>
      </c>
      <c r="D383" s="41">
        <v>4</v>
      </c>
      <c r="E383" s="50" t="str">
        <f>(MID(E382,SEARCH(":",E382)+1,2)-1) &amp; ":" &amp; (MID(E382,SEARCH(":",E382)+1,2)-D383)</f>
        <v>7:4</v>
      </c>
      <c r="F383" s="43" t="s">
        <v>472</v>
      </c>
      <c r="G383" s="43" t="s">
        <v>319</v>
      </c>
      <c r="H383" s="62" t="s">
        <v>316</v>
      </c>
      <c r="I383" s="45" t="s">
        <v>68</v>
      </c>
      <c r="J383" s="46" t="s">
        <v>36</v>
      </c>
      <c r="K383" s="47" t="s">
        <v>6</v>
      </c>
      <c r="L383" s="48"/>
      <c r="M383" s="71"/>
      <c r="N383" s="71"/>
      <c r="O383" s="71"/>
      <c r="P383" s="88"/>
      <c r="Q383" s="74"/>
      <c r="R383" s="74"/>
      <c r="S383" s="74"/>
    </row>
    <row r="384" spans="1:19" ht="15.75" customHeight="1">
      <c r="A384" s="105"/>
      <c r="B384" s="107"/>
      <c r="C384" s="62" t="s">
        <v>424</v>
      </c>
      <c r="D384" s="41">
        <v>1</v>
      </c>
      <c r="E384" s="50" t="str">
        <f t="shared" ref="E384:E387" si="204">(MID(E383,SEARCH(":",E383)+1,2)-1) &amp; ":" &amp; (MID(E383,SEARCH(":",E383)+1,2)-D384)</f>
        <v>3:3</v>
      </c>
      <c r="F384" s="43" t="s">
        <v>7</v>
      </c>
      <c r="G384" s="43" t="s">
        <v>7</v>
      </c>
      <c r="H384" s="63" t="s">
        <v>428</v>
      </c>
      <c r="I384" s="45" t="s">
        <v>68</v>
      </c>
      <c r="J384" s="46" t="s">
        <v>36</v>
      </c>
      <c r="K384" s="47" t="s">
        <v>6</v>
      </c>
      <c r="L384" s="48"/>
      <c r="M384" s="71"/>
      <c r="N384" s="71"/>
      <c r="O384" s="71"/>
      <c r="P384" s="88"/>
      <c r="Q384" s="74"/>
      <c r="R384" s="74"/>
      <c r="S384" s="74"/>
    </row>
    <row r="385" spans="1:19" ht="15.75" customHeight="1">
      <c r="A385" s="105"/>
      <c r="B385" s="107"/>
      <c r="C385" s="63" t="s">
        <v>425</v>
      </c>
      <c r="D385" s="41">
        <v>1</v>
      </c>
      <c r="E385" s="50" t="str">
        <f t="shared" si="204"/>
        <v>2:2</v>
      </c>
      <c r="F385" s="43" t="s">
        <v>7</v>
      </c>
      <c r="G385" s="43" t="s">
        <v>7</v>
      </c>
      <c r="H385" s="63" t="s">
        <v>429</v>
      </c>
      <c r="I385" s="45" t="s">
        <v>68</v>
      </c>
      <c r="J385" s="46" t="s">
        <v>36</v>
      </c>
      <c r="K385" s="47" t="s">
        <v>6</v>
      </c>
      <c r="L385" s="48"/>
      <c r="M385" s="71"/>
      <c r="N385" s="71"/>
      <c r="O385" s="71"/>
      <c r="P385" s="88"/>
      <c r="Q385" s="74"/>
      <c r="R385" s="74"/>
      <c r="S385" s="74"/>
    </row>
    <row r="386" spans="1:19" ht="15.75" customHeight="1">
      <c r="A386" s="105"/>
      <c r="B386" s="107"/>
      <c r="C386" s="63" t="s">
        <v>426</v>
      </c>
      <c r="D386" s="41">
        <v>1</v>
      </c>
      <c r="E386" s="50" t="str">
        <f t="shared" si="204"/>
        <v>1:1</v>
      </c>
      <c r="F386" s="43" t="s">
        <v>7</v>
      </c>
      <c r="G386" s="43" t="s">
        <v>7</v>
      </c>
      <c r="H386" s="63" t="s">
        <v>430</v>
      </c>
      <c r="I386" s="45" t="s">
        <v>68</v>
      </c>
      <c r="J386" s="46" t="s">
        <v>36</v>
      </c>
      <c r="K386" s="47" t="s">
        <v>6</v>
      </c>
      <c r="L386" s="48"/>
      <c r="M386" s="71"/>
      <c r="N386" s="71"/>
      <c r="O386" s="71"/>
      <c r="P386" s="88"/>
      <c r="Q386" s="74"/>
      <c r="R386" s="74"/>
      <c r="S386" s="74"/>
    </row>
    <row r="387" spans="1:19" ht="15.75" customHeight="1" thickBot="1">
      <c r="A387" s="105"/>
      <c r="B387" s="107"/>
      <c r="C387" s="36" t="s">
        <v>427</v>
      </c>
      <c r="D387" s="41">
        <v>1</v>
      </c>
      <c r="E387" s="50" t="str">
        <f t="shared" si="204"/>
        <v>0:0</v>
      </c>
      <c r="F387" s="43" t="s">
        <v>7</v>
      </c>
      <c r="G387" s="43" t="s">
        <v>7</v>
      </c>
      <c r="H387" s="44" t="s">
        <v>431</v>
      </c>
      <c r="I387" s="45" t="s">
        <v>68</v>
      </c>
      <c r="J387" s="46" t="s">
        <v>36</v>
      </c>
      <c r="K387" s="47" t="s">
        <v>6</v>
      </c>
      <c r="L387" s="48"/>
      <c r="M387" s="71"/>
      <c r="N387" s="71"/>
      <c r="O387" s="71"/>
      <c r="P387" s="88"/>
      <c r="Q387" s="74"/>
      <c r="R387" s="75"/>
      <c r="S387" s="75"/>
    </row>
    <row r="388" spans="1:19" ht="15.75" customHeight="1">
      <c r="A388" s="104" t="s">
        <v>282</v>
      </c>
      <c r="B388" s="106" t="str">
        <f t="shared" ref="B388" si="205">DEC2HEX(P388*4)</f>
        <v>38</v>
      </c>
      <c r="C388" s="60" t="s">
        <v>454</v>
      </c>
      <c r="D388" s="80" t="str">
        <f>bitConcat1(F389:F396)</f>
        <v>32'b11110111110101001011000101001111</v>
      </c>
      <c r="E388" s="81"/>
      <c r="F388" s="81"/>
      <c r="G388" s="82"/>
      <c r="H388" s="53" t="s">
        <v>251</v>
      </c>
      <c r="I388" s="54"/>
      <c r="J388" s="83" t="str">
        <f>bitConcat1(G389:G396)</f>
        <v>32'b11110111111110001000000010001111</v>
      </c>
      <c r="K388" s="84"/>
      <c r="L388" s="85"/>
      <c r="M388" s="70" t="str">
        <f t="shared" ref="M388" si="206">DEC2HEX(_xlfn.BITLSHIFT(O388,7)+4*P388)</f>
        <v>3B8</v>
      </c>
      <c r="N388" s="86" t="s">
        <v>97</v>
      </c>
      <c r="O388" s="86">
        <v>7</v>
      </c>
      <c r="P388" s="87">
        <v>14</v>
      </c>
      <c r="Q388" s="73" t="str">
        <f>DEC2HEX(_xlfn.BITLSHIFT(O388,5)+P388)</f>
        <v>EE</v>
      </c>
      <c r="R388" s="73" t="str">
        <f>BIN2HEX(LEFT(RIGHT(D388,32),4))&amp;BIN2HEX(LEFT(RIGHT(D388,28),4))&amp;BIN2HEX(LEFT(RIGHT(D388,24),4))&amp;BIN2HEX(LEFT(RIGHT(D388,20),4))&amp;BIN2HEX(LEFT(RIGHT(D388,16),4))&amp;BIN2HEX(LEFT(RIGHT(D388,12),4))&amp;BIN2HEX(LEFT(RIGHT(D388,8),4))&amp;BIN2HEX(LEFT(RIGHT(D388,4),4))</f>
        <v>F7D4B14F</v>
      </c>
      <c r="S388" s="73" t="str">
        <f t="shared" ref="S388" si="207">BIN2HEX(LEFT(RIGHT(J388,32),4))&amp;BIN2HEX(LEFT(RIGHT(J388,28),4))&amp;BIN2HEX(LEFT(RIGHT(J388,24),4))&amp;BIN2HEX(LEFT(RIGHT(J388,20),4))&amp;BIN2HEX(LEFT(RIGHT(J388,16),4))&amp;BIN2HEX(LEFT(RIGHT(J388,12),4))&amp;BIN2HEX(LEFT(RIGHT(J388,8),4))&amp;BIN2HEX(LEFT(RIGHT(J388,4),4))</f>
        <v>F7F8808F</v>
      </c>
    </row>
    <row r="389" spans="1:19">
      <c r="A389" s="105"/>
      <c r="B389" s="107"/>
      <c r="C389" s="36" t="s">
        <v>384</v>
      </c>
      <c r="D389" s="41">
        <v>4</v>
      </c>
      <c r="E389" s="42" t="str">
        <f>IF(D389&gt;1,(31)&amp;":"&amp;(31-D389+1),(31-D389+1)&amp;":"&amp;(31-D389+1))</f>
        <v>31:28</v>
      </c>
      <c r="F389" s="43" t="s">
        <v>317</v>
      </c>
      <c r="G389" s="43" t="s">
        <v>317</v>
      </c>
      <c r="H389" s="44" t="s">
        <v>312</v>
      </c>
      <c r="I389" s="45" t="s">
        <v>68</v>
      </c>
      <c r="J389" s="46" t="s">
        <v>36</v>
      </c>
      <c r="K389" s="47" t="s">
        <v>6</v>
      </c>
      <c r="L389" s="48"/>
      <c r="M389" s="71"/>
      <c r="N389" s="71"/>
      <c r="O389" s="71"/>
      <c r="P389" s="88"/>
      <c r="Q389" s="74"/>
      <c r="R389" s="74"/>
      <c r="S389" s="74"/>
    </row>
    <row r="390" spans="1:19">
      <c r="A390" s="105"/>
      <c r="B390" s="107"/>
      <c r="C390" s="36" t="s">
        <v>385</v>
      </c>
      <c r="D390" s="41">
        <v>4</v>
      </c>
      <c r="E390" s="50" t="str">
        <f>(MID(E389,SEARCH(":",E389)+1,2)-1) &amp; ":" &amp; (MID(E389,SEARCH(":",E389)+1,2)-D390)</f>
        <v>27:24</v>
      </c>
      <c r="F390" s="43" t="s">
        <v>318</v>
      </c>
      <c r="G390" s="43" t="s">
        <v>318</v>
      </c>
      <c r="H390" s="49" t="s">
        <v>191</v>
      </c>
      <c r="I390" s="45" t="s">
        <v>68</v>
      </c>
      <c r="J390" s="46" t="s">
        <v>36</v>
      </c>
      <c r="K390" s="47" t="s">
        <v>6</v>
      </c>
      <c r="L390" s="48"/>
      <c r="M390" s="71"/>
      <c r="N390" s="71"/>
      <c r="O390" s="71"/>
      <c r="P390" s="88"/>
      <c r="Q390" s="74"/>
      <c r="R390" s="74"/>
      <c r="S390" s="74"/>
    </row>
    <row r="391" spans="1:19">
      <c r="A391" s="105"/>
      <c r="B391" s="107"/>
      <c r="C391" s="36" t="s">
        <v>386</v>
      </c>
      <c r="D391" s="41">
        <v>4</v>
      </c>
      <c r="E391" s="50" t="str">
        <f t="shared" ref="E391:E394" si="208">(MID(E390,SEARCH(":",E390)+1,2)-1) &amp; ":" &amp; (MID(E390,SEARCH(":",E390)+1,2)-D391)</f>
        <v>23:20</v>
      </c>
      <c r="F391" s="43" t="s">
        <v>474</v>
      </c>
      <c r="G391" s="43" t="s">
        <v>317</v>
      </c>
      <c r="H391" s="49" t="s">
        <v>315</v>
      </c>
      <c r="I391" s="45" t="s">
        <v>68</v>
      </c>
      <c r="J391" s="46" t="s">
        <v>36</v>
      </c>
      <c r="K391" s="47" t="s">
        <v>6</v>
      </c>
      <c r="L391" s="48"/>
      <c r="M391" s="71"/>
      <c r="N391" s="71"/>
      <c r="O391" s="71"/>
      <c r="P391" s="88"/>
      <c r="Q391" s="74"/>
      <c r="R391" s="74"/>
      <c r="S391" s="74"/>
    </row>
    <row r="392" spans="1:19">
      <c r="A392" s="105"/>
      <c r="B392" s="107"/>
      <c r="C392" s="36" t="s">
        <v>387</v>
      </c>
      <c r="D392" s="41">
        <v>4</v>
      </c>
      <c r="E392" s="50" t="str">
        <f t="shared" si="208"/>
        <v>19:16</v>
      </c>
      <c r="F392" s="43" t="s">
        <v>472</v>
      </c>
      <c r="G392" s="43" t="s">
        <v>319</v>
      </c>
      <c r="H392" s="49" t="s">
        <v>314</v>
      </c>
      <c r="I392" s="45" t="s">
        <v>68</v>
      </c>
      <c r="J392" s="46" t="s">
        <v>36</v>
      </c>
      <c r="K392" s="47" t="s">
        <v>6</v>
      </c>
      <c r="L392" s="48"/>
      <c r="M392" s="71"/>
      <c r="N392" s="71"/>
      <c r="O392" s="71"/>
      <c r="P392" s="88"/>
      <c r="Q392" s="74"/>
      <c r="R392" s="74"/>
      <c r="S392" s="74"/>
    </row>
    <row r="393" spans="1:19">
      <c r="A393" s="105"/>
      <c r="B393" s="107"/>
      <c r="C393" s="36" t="s">
        <v>388</v>
      </c>
      <c r="D393" s="41">
        <v>4</v>
      </c>
      <c r="E393" s="50" t="str">
        <f t="shared" si="208"/>
        <v>15:12</v>
      </c>
      <c r="F393" s="43" t="s">
        <v>473</v>
      </c>
      <c r="G393" s="43" t="s">
        <v>319</v>
      </c>
      <c r="H393" s="44" t="s">
        <v>193</v>
      </c>
      <c r="I393" s="45" t="s">
        <v>68</v>
      </c>
      <c r="J393" s="46" t="s">
        <v>36</v>
      </c>
      <c r="K393" s="47" t="s">
        <v>6</v>
      </c>
      <c r="L393" s="48"/>
      <c r="M393" s="71"/>
      <c r="N393" s="71"/>
      <c r="O393" s="71"/>
      <c r="P393" s="88"/>
      <c r="Q393" s="74"/>
      <c r="R393" s="74"/>
      <c r="S393" s="74"/>
    </row>
    <row r="394" spans="1:19">
      <c r="A394" s="105"/>
      <c r="B394" s="107"/>
      <c r="C394" s="36" t="s">
        <v>389</v>
      </c>
      <c r="D394" s="41">
        <v>4</v>
      </c>
      <c r="E394" s="50" t="str">
        <f t="shared" si="208"/>
        <v>11:8</v>
      </c>
      <c r="F394" s="43" t="s">
        <v>475</v>
      </c>
      <c r="G394" s="43" t="s">
        <v>320</v>
      </c>
      <c r="H394" s="44" t="s">
        <v>192</v>
      </c>
      <c r="I394" s="45" t="s">
        <v>68</v>
      </c>
      <c r="J394" s="46" t="s">
        <v>36</v>
      </c>
      <c r="K394" s="47" t="s">
        <v>6</v>
      </c>
      <c r="L394" s="48"/>
      <c r="M394" s="71"/>
      <c r="N394" s="71"/>
      <c r="O394" s="71"/>
      <c r="P394" s="88"/>
      <c r="Q394" s="74"/>
      <c r="R394" s="74"/>
      <c r="S394" s="74"/>
    </row>
    <row r="395" spans="1:19">
      <c r="A395" s="105"/>
      <c r="B395" s="107"/>
      <c r="C395" s="62" t="s">
        <v>390</v>
      </c>
      <c r="D395" s="41">
        <v>4</v>
      </c>
      <c r="E395" s="50" t="str">
        <f>(MID(E394,SEARCH(":",E394)+1,2)-1) &amp; ":" &amp; (MID(E394,SEARCH(":",E394)+1,2)-D395)</f>
        <v>7:4</v>
      </c>
      <c r="F395" s="43" t="s">
        <v>472</v>
      </c>
      <c r="G395" s="43" t="s">
        <v>319</v>
      </c>
      <c r="H395" s="62" t="s">
        <v>316</v>
      </c>
      <c r="I395" s="45" t="s">
        <v>68</v>
      </c>
      <c r="J395" s="46" t="s">
        <v>36</v>
      </c>
      <c r="K395" s="47" t="s">
        <v>6</v>
      </c>
      <c r="L395" s="48"/>
      <c r="M395" s="71"/>
      <c r="N395" s="71"/>
      <c r="O395" s="71"/>
      <c r="P395" s="88"/>
      <c r="Q395" s="74"/>
      <c r="R395" s="74"/>
      <c r="S395" s="74"/>
    </row>
    <row r="396" spans="1:19" ht="15.75" customHeight="1" thickBot="1">
      <c r="A396" s="105"/>
      <c r="B396" s="107"/>
      <c r="C396" s="36" t="s">
        <v>152</v>
      </c>
      <c r="D396" s="41">
        <v>4</v>
      </c>
      <c r="E396" s="50" t="str">
        <f>(MID(E395,SEARCH(":",E395)+1,2)-1) &amp; ":" &amp; (MID(E395,SEARCH(":",E395)+1,2)-D396)</f>
        <v>3:0</v>
      </c>
      <c r="F396" s="51" t="s">
        <v>317</v>
      </c>
      <c r="G396" s="51" t="s">
        <v>317</v>
      </c>
      <c r="H396" s="44" t="s">
        <v>102</v>
      </c>
      <c r="I396" s="45" t="s">
        <v>68</v>
      </c>
      <c r="J396" s="46" t="s">
        <v>36</v>
      </c>
      <c r="K396" s="47" t="s">
        <v>6</v>
      </c>
      <c r="L396" s="48"/>
      <c r="M396" s="71"/>
      <c r="N396" s="71"/>
      <c r="O396" s="71"/>
      <c r="P396" s="88"/>
      <c r="Q396" s="74"/>
      <c r="R396" s="75"/>
      <c r="S396" s="75"/>
    </row>
    <row r="397" spans="1:19">
      <c r="A397" s="104" t="s">
        <v>283</v>
      </c>
      <c r="B397" s="106" t="str">
        <f t="shared" ref="B397" si="209">DEC2HEX(P397*4)</f>
        <v>3C</v>
      </c>
      <c r="C397" s="52" t="s">
        <v>454</v>
      </c>
      <c r="D397" s="80" t="str">
        <f>bitConcat1(F398:F405)</f>
        <v>32'b11110111110101001011000101000111</v>
      </c>
      <c r="E397" s="81"/>
      <c r="F397" s="81"/>
      <c r="G397" s="82"/>
      <c r="H397" s="53" t="s">
        <v>251</v>
      </c>
      <c r="I397" s="54"/>
      <c r="J397" s="83" t="str">
        <f>bitConcat1(G398:G405)</f>
        <v>32'b11110111111110001000000010000111</v>
      </c>
      <c r="K397" s="84"/>
      <c r="L397" s="85"/>
      <c r="M397" s="70" t="str">
        <f t="shared" ref="M397" si="210">DEC2HEX(_xlfn.BITLSHIFT(O397,7)+4*P397)</f>
        <v>3BC</v>
      </c>
      <c r="N397" s="86" t="s">
        <v>97</v>
      </c>
      <c r="O397" s="86">
        <v>7</v>
      </c>
      <c r="P397" s="87">
        <v>15</v>
      </c>
      <c r="Q397" s="73" t="str">
        <f>DEC2HEX(_xlfn.BITLSHIFT(O397,5)+P397)</f>
        <v>EF</v>
      </c>
      <c r="R397" s="73" t="str">
        <f>BIN2HEX(LEFT(RIGHT(D397,32),4))&amp;BIN2HEX(LEFT(RIGHT(D397,28),4))&amp;BIN2HEX(LEFT(RIGHT(D397,24),4))&amp;BIN2HEX(LEFT(RIGHT(D397,20),4))&amp;BIN2HEX(LEFT(RIGHT(D397,16),4))&amp;BIN2HEX(LEFT(RIGHT(D397,12),4))&amp;BIN2HEX(LEFT(RIGHT(D397,8),4))&amp;BIN2HEX(LEFT(RIGHT(D397,4),4))</f>
        <v>F7D4B147</v>
      </c>
      <c r="S397" s="73" t="str">
        <f t="shared" ref="S397" si="211">BIN2HEX(LEFT(RIGHT(J397,32),4))&amp;BIN2HEX(LEFT(RIGHT(J397,28),4))&amp;BIN2HEX(LEFT(RIGHT(J397,24),4))&amp;BIN2HEX(LEFT(RIGHT(J397,20),4))&amp;BIN2HEX(LEFT(RIGHT(J397,16),4))&amp;BIN2HEX(LEFT(RIGHT(J397,12),4))&amp;BIN2HEX(LEFT(RIGHT(J397,8),4))&amp;BIN2HEX(LEFT(RIGHT(J397,4),4))</f>
        <v>F7F88087</v>
      </c>
    </row>
    <row r="398" spans="1:19">
      <c r="A398" s="105"/>
      <c r="B398" s="107"/>
      <c r="C398" s="36" t="s">
        <v>391</v>
      </c>
      <c r="D398" s="41">
        <v>4</v>
      </c>
      <c r="E398" s="42" t="str">
        <f>IF(D398&gt;1,(31)&amp;":"&amp;(31-D398+1),(31-D398+1)&amp;":"&amp;(31-D398+1))</f>
        <v>31:28</v>
      </c>
      <c r="F398" s="43" t="s">
        <v>317</v>
      </c>
      <c r="G398" s="43" t="s">
        <v>317</v>
      </c>
      <c r="H398" s="44" t="s">
        <v>312</v>
      </c>
      <c r="I398" s="45" t="s">
        <v>68</v>
      </c>
      <c r="J398" s="46" t="s">
        <v>36</v>
      </c>
      <c r="K398" s="47" t="s">
        <v>6</v>
      </c>
      <c r="L398" s="48"/>
      <c r="M398" s="71"/>
      <c r="N398" s="71"/>
      <c r="O398" s="71"/>
      <c r="P398" s="88"/>
      <c r="Q398" s="74"/>
      <c r="R398" s="74"/>
      <c r="S398" s="74"/>
    </row>
    <row r="399" spans="1:19" ht="15.75" customHeight="1">
      <c r="A399" s="105"/>
      <c r="B399" s="107"/>
      <c r="C399" s="36" t="s">
        <v>392</v>
      </c>
      <c r="D399" s="41">
        <v>4</v>
      </c>
      <c r="E399" s="50" t="str">
        <f>(MID(E398,SEARCH(":",E398)+1,2)-1) &amp; ":" &amp; (MID(E398,SEARCH(":",E398)+1,2)-D399)</f>
        <v>27:24</v>
      </c>
      <c r="F399" s="43" t="s">
        <v>318</v>
      </c>
      <c r="G399" s="43" t="s">
        <v>318</v>
      </c>
      <c r="H399" s="49" t="s">
        <v>191</v>
      </c>
      <c r="I399" s="45" t="s">
        <v>68</v>
      </c>
      <c r="J399" s="46" t="s">
        <v>36</v>
      </c>
      <c r="K399" s="47" t="s">
        <v>6</v>
      </c>
      <c r="L399" s="48"/>
      <c r="M399" s="71"/>
      <c r="N399" s="71"/>
      <c r="O399" s="71"/>
      <c r="P399" s="88"/>
      <c r="Q399" s="74"/>
      <c r="R399" s="74"/>
      <c r="S399" s="74"/>
    </row>
    <row r="400" spans="1:19">
      <c r="A400" s="105"/>
      <c r="B400" s="107"/>
      <c r="C400" s="36" t="s">
        <v>393</v>
      </c>
      <c r="D400" s="41">
        <v>4</v>
      </c>
      <c r="E400" s="50" t="str">
        <f t="shared" ref="E400:E403" si="212">(MID(E399,SEARCH(":",E399)+1,2)-1) &amp; ":" &amp; (MID(E399,SEARCH(":",E399)+1,2)-D400)</f>
        <v>23:20</v>
      </c>
      <c r="F400" s="43" t="s">
        <v>474</v>
      </c>
      <c r="G400" s="43" t="s">
        <v>317</v>
      </c>
      <c r="H400" s="49" t="s">
        <v>315</v>
      </c>
      <c r="I400" s="45" t="s">
        <v>68</v>
      </c>
      <c r="J400" s="46" t="s">
        <v>36</v>
      </c>
      <c r="K400" s="47" t="s">
        <v>6</v>
      </c>
      <c r="L400" s="48"/>
      <c r="M400" s="71"/>
      <c r="N400" s="71"/>
      <c r="O400" s="71"/>
      <c r="P400" s="88"/>
      <c r="Q400" s="74"/>
      <c r="R400" s="74"/>
      <c r="S400" s="74"/>
    </row>
    <row r="401" spans="1:19">
      <c r="A401" s="105"/>
      <c r="B401" s="107"/>
      <c r="C401" s="36" t="s">
        <v>394</v>
      </c>
      <c r="D401" s="41">
        <v>4</v>
      </c>
      <c r="E401" s="50" t="str">
        <f t="shared" si="212"/>
        <v>19:16</v>
      </c>
      <c r="F401" s="43" t="s">
        <v>472</v>
      </c>
      <c r="G401" s="43" t="s">
        <v>319</v>
      </c>
      <c r="H401" s="49" t="s">
        <v>314</v>
      </c>
      <c r="I401" s="45" t="s">
        <v>68</v>
      </c>
      <c r="J401" s="46" t="s">
        <v>36</v>
      </c>
      <c r="K401" s="47" t="s">
        <v>6</v>
      </c>
      <c r="L401" s="48"/>
      <c r="M401" s="71"/>
      <c r="N401" s="71"/>
      <c r="O401" s="71"/>
      <c r="P401" s="88"/>
      <c r="Q401" s="74"/>
      <c r="R401" s="74"/>
      <c r="S401" s="74"/>
    </row>
    <row r="402" spans="1:19">
      <c r="A402" s="105"/>
      <c r="B402" s="107"/>
      <c r="C402" s="36" t="s">
        <v>395</v>
      </c>
      <c r="D402" s="41">
        <v>4</v>
      </c>
      <c r="E402" s="50" t="str">
        <f t="shared" si="212"/>
        <v>15:12</v>
      </c>
      <c r="F402" s="43" t="s">
        <v>473</v>
      </c>
      <c r="G402" s="43" t="s">
        <v>319</v>
      </c>
      <c r="H402" s="44" t="s">
        <v>193</v>
      </c>
      <c r="I402" s="45" t="s">
        <v>68</v>
      </c>
      <c r="J402" s="46" t="s">
        <v>36</v>
      </c>
      <c r="K402" s="47" t="s">
        <v>6</v>
      </c>
      <c r="L402" s="48"/>
      <c r="M402" s="71"/>
      <c r="N402" s="71"/>
      <c r="O402" s="71"/>
      <c r="P402" s="88"/>
      <c r="Q402" s="74"/>
      <c r="R402" s="74"/>
      <c r="S402" s="74"/>
    </row>
    <row r="403" spans="1:19">
      <c r="A403" s="105"/>
      <c r="B403" s="107"/>
      <c r="C403" s="36" t="s">
        <v>396</v>
      </c>
      <c r="D403" s="41">
        <v>4</v>
      </c>
      <c r="E403" s="50" t="str">
        <f t="shared" si="212"/>
        <v>11:8</v>
      </c>
      <c r="F403" s="43" t="s">
        <v>475</v>
      </c>
      <c r="G403" s="43" t="s">
        <v>320</v>
      </c>
      <c r="H403" s="44" t="s">
        <v>192</v>
      </c>
      <c r="I403" s="45" t="s">
        <v>68</v>
      </c>
      <c r="J403" s="46" t="s">
        <v>36</v>
      </c>
      <c r="K403" s="47" t="s">
        <v>6</v>
      </c>
      <c r="L403" s="48"/>
      <c r="M403" s="71"/>
      <c r="N403" s="71"/>
      <c r="O403" s="71"/>
      <c r="P403" s="88"/>
      <c r="Q403" s="74"/>
      <c r="R403" s="74"/>
      <c r="S403" s="74"/>
    </row>
    <row r="404" spans="1:19">
      <c r="A404" s="105"/>
      <c r="B404" s="107"/>
      <c r="C404" s="62" t="s">
        <v>397</v>
      </c>
      <c r="D404" s="41">
        <v>4</v>
      </c>
      <c r="E404" s="50" t="str">
        <f>(MID(E403,SEARCH(":",E403)+1,2)-1) &amp; ":" &amp; (MID(E403,SEARCH(":",E403)+1,2)-D404)</f>
        <v>7:4</v>
      </c>
      <c r="F404" s="43" t="s">
        <v>472</v>
      </c>
      <c r="G404" s="43" t="s">
        <v>319</v>
      </c>
      <c r="H404" s="62" t="s">
        <v>316</v>
      </c>
      <c r="I404" s="45" t="s">
        <v>68</v>
      </c>
      <c r="J404" s="46" t="s">
        <v>36</v>
      </c>
      <c r="K404" s="47" t="s">
        <v>6</v>
      </c>
      <c r="L404" s="48"/>
      <c r="M404" s="71"/>
      <c r="N404" s="71"/>
      <c r="O404" s="71"/>
      <c r="P404" s="88"/>
      <c r="Q404" s="74"/>
      <c r="R404" s="74"/>
      <c r="S404" s="74"/>
    </row>
    <row r="405" spans="1:19" ht="15" thickBot="1">
      <c r="A405" s="105"/>
      <c r="B405" s="107"/>
      <c r="C405" s="36" t="s">
        <v>152</v>
      </c>
      <c r="D405" s="41">
        <v>4</v>
      </c>
      <c r="E405" s="50" t="str">
        <f>(MID(E404,SEARCH(":",E404)+1,2)-1) &amp; ":" &amp; (MID(E404,SEARCH(":",E404)+1,2)-D405)</f>
        <v>3:0</v>
      </c>
      <c r="F405" s="51" t="s">
        <v>318</v>
      </c>
      <c r="G405" s="51" t="s">
        <v>318</v>
      </c>
      <c r="H405" s="44" t="s">
        <v>102</v>
      </c>
      <c r="I405" s="45" t="s">
        <v>68</v>
      </c>
      <c r="J405" s="46" t="s">
        <v>36</v>
      </c>
      <c r="K405" s="47" t="s">
        <v>6</v>
      </c>
      <c r="L405" s="48"/>
      <c r="M405" s="71"/>
      <c r="N405" s="71"/>
      <c r="O405" s="71"/>
      <c r="P405" s="88"/>
      <c r="Q405" s="74"/>
      <c r="R405" s="75"/>
      <c r="S405" s="75"/>
    </row>
    <row r="406" spans="1:19">
      <c r="A406" s="103" t="s">
        <v>284</v>
      </c>
      <c r="B406" s="101" t="str">
        <f>DEC2HEX(P406*4)</f>
        <v>20</v>
      </c>
      <c r="C406" s="52" t="s">
        <v>454</v>
      </c>
      <c r="D406" s="80" t="str">
        <f>bitConcat1(F407:F414)</f>
        <v>32'b00000000000000010000100000000000</v>
      </c>
      <c r="E406" s="81"/>
      <c r="F406" s="81"/>
      <c r="G406" s="82"/>
      <c r="H406" s="53" t="s">
        <v>251</v>
      </c>
      <c r="I406" s="54"/>
      <c r="J406" s="83" t="str">
        <f>bitConcat1(G407:G414)</f>
        <v>32'b00000000000000010000000000000000</v>
      </c>
      <c r="K406" s="84"/>
      <c r="L406" s="85"/>
      <c r="M406" s="95" t="str">
        <f>DEC2HEX(_xlfn.BITLSHIFT(O406,7)+4*P406)</f>
        <v>420</v>
      </c>
      <c r="N406" s="95" t="s">
        <v>97</v>
      </c>
      <c r="O406" s="95">
        <v>8</v>
      </c>
      <c r="P406" s="98">
        <v>8</v>
      </c>
      <c r="Q406" s="98" t="str">
        <f>DEC2HEX(_xlfn.BITLSHIFT(O406,5)+P406)</f>
        <v>108</v>
      </c>
      <c r="R406" s="73" t="str">
        <f>BIN2HEX(LEFT(RIGHT(D406,32),4))&amp;BIN2HEX(LEFT(RIGHT(D406,28),4))&amp;BIN2HEX(LEFT(RIGHT(D406,24),4))&amp;BIN2HEX(LEFT(RIGHT(D406,20),4))&amp;BIN2HEX(LEFT(RIGHT(D406,16),4))&amp;BIN2HEX(LEFT(RIGHT(D406,12),4))&amp;BIN2HEX(LEFT(RIGHT(D406,8),4))&amp;BIN2HEX(LEFT(RIGHT(D406,4),4))</f>
        <v>00010800</v>
      </c>
      <c r="S406" s="73" t="str">
        <f>BIN2HEX(LEFT(RIGHT(J406,32),4))&amp;BIN2HEX(LEFT(RIGHT(J406,28),4))&amp;BIN2HEX(LEFT(RIGHT(J406,24),4))&amp;BIN2HEX(LEFT(RIGHT(J406,20),4))&amp;BIN2HEX(LEFT(RIGHT(J406,16),4))&amp;BIN2HEX(LEFT(RIGHT(J406,12),4))&amp;BIN2HEX(LEFT(RIGHT(J406,8),4))&amp;BIN2HEX(LEFT(RIGHT(J406,4),4))</f>
        <v>00010000</v>
      </c>
    </row>
    <row r="407" spans="1:19" ht="15.75" customHeight="1">
      <c r="A407" s="100"/>
      <c r="B407" s="102"/>
      <c r="C407" s="36" t="s">
        <v>476</v>
      </c>
      <c r="D407" s="41">
        <v>1</v>
      </c>
      <c r="E407" s="42" t="str">
        <f>IF(D407&gt;1,(31)&amp;":"&amp;(31-D407+1),(31-D407+1)&amp;":"&amp;(31-D407+1))</f>
        <v>31:31</v>
      </c>
      <c r="F407" s="43" t="s">
        <v>7</v>
      </c>
      <c r="G407" s="43" t="s">
        <v>7</v>
      </c>
      <c r="H407" s="49" t="s">
        <v>138</v>
      </c>
      <c r="I407" s="45" t="s">
        <v>68</v>
      </c>
      <c r="J407" s="46" t="s">
        <v>36</v>
      </c>
      <c r="K407" s="47" t="s">
        <v>6</v>
      </c>
      <c r="L407" s="48"/>
      <c r="M407" s="96"/>
      <c r="N407" s="96"/>
      <c r="O407" s="96"/>
      <c r="P407" s="97"/>
      <c r="Q407" s="97"/>
      <c r="R407" s="74"/>
      <c r="S407" s="74"/>
    </row>
    <row r="408" spans="1:19">
      <c r="A408" s="100"/>
      <c r="B408" s="102"/>
      <c r="C408" s="36" t="s">
        <v>477</v>
      </c>
      <c r="D408" s="41">
        <v>6</v>
      </c>
      <c r="E408" s="50" t="str">
        <f>(MID(E407,SEARCH(":",E407)+1,2)-1) &amp; ":" &amp; (MID(E407,SEARCH(":",E407)+1,2)-D408)</f>
        <v>30:25</v>
      </c>
      <c r="F408" s="43" t="s">
        <v>122</v>
      </c>
      <c r="G408" s="43" t="s">
        <v>122</v>
      </c>
      <c r="H408" s="49" t="s">
        <v>439</v>
      </c>
      <c r="I408" s="45" t="s">
        <v>68</v>
      </c>
      <c r="J408" s="46" t="s">
        <v>36</v>
      </c>
      <c r="K408" s="47" t="s">
        <v>6</v>
      </c>
      <c r="L408" s="48"/>
      <c r="M408" s="96"/>
      <c r="N408" s="96"/>
      <c r="O408" s="96"/>
      <c r="P408" s="97"/>
      <c r="Q408" s="97"/>
      <c r="R408" s="74"/>
      <c r="S408" s="74"/>
    </row>
    <row r="409" spans="1:19">
      <c r="A409" s="100"/>
      <c r="B409" s="102"/>
      <c r="C409" s="36" t="s">
        <v>478</v>
      </c>
      <c r="D409" s="41">
        <v>4</v>
      </c>
      <c r="E409" s="50" t="str">
        <f t="shared" ref="E409:E414" si="213">(MID(E408,SEARCH(":",E408)+1,2)-1) &amp; ":" &amp; (MID(E408,SEARCH(":",E408)+1,2)-D409)</f>
        <v>24:21</v>
      </c>
      <c r="F409" s="43" t="s">
        <v>493</v>
      </c>
      <c r="G409" s="43" t="s">
        <v>493</v>
      </c>
      <c r="H409" s="49" t="s">
        <v>488</v>
      </c>
      <c r="I409" s="45" t="s">
        <v>68</v>
      </c>
      <c r="J409" s="46" t="s">
        <v>36</v>
      </c>
      <c r="K409" s="47" t="s">
        <v>6</v>
      </c>
      <c r="L409" s="48"/>
      <c r="M409" s="96"/>
      <c r="N409" s="96"/>
      <c r="O409" s="96"/>
      <c r="P409" s="97"/>
      <c r="Q409" s="97"/>
      <c r="R409" s="74"/>
      <c r="S409" s="74"/>
    </row>
    <row r="410" spans="1:19">
      <c r="A410" s="100"/>
      <c r="B410" s="102"/>
      <c r="C410" s="36" t="s">
        <v>117</v>
      </c>
      <c r="D410" s="41">
        <v>5</v>
      </c>
      <c r="E410" s="50" t="str">
        <f t="shared" si="213"/>
        <v>20:16</v>
      </c>
      <c r="F410" s="43" t="s">
        <v>463</v>
      </c>
      <c r="G410" s="43" t="s">
        <v>463</v>
      </c>
      <c r="H410" s="49" t="s">
        <v>489</v>
      </c>
      <c r="I410" s="45" t="s">
        <v>68</v>
      </c>
      <c r="J410" s="46" t="s">
        <v>36</v>
      </c>
      <c r="K410" s="47" t="s">
        <v>6</v>
      </c>
      <c r="L410" s="48"/>
      <c r="M410" s="96"/>
      <c r="N410" s="96"/>
      <c r="O410" s="96"/>
      <c r="P410" s="97"/>
      <c r="Q410" s="97"/>
      <c r="R410" s="74"/>
      <c r="S410" s="74"/>
    </row>
    <row r="411" spans="1:19">
      <c r="A411" s="100"/>
      <c r="B411" s="102"/>
      <c r="C411" s="36" t="s">
        <v>479</v>
      </c>
      <c r="D411" s="41">
        <v>3</v>
      </c>
      <c r="E411" s="50" t="str">
        <f t="shared" si="213"/>
        <v>15:13</v>
      </c>
      <c r="F411" s="43" t="s">
        <v>494</v>
      </c>
      <c r="G411" s="43" t="s">
        <v>494</v>
      </c>
      <c r="H411" s="49" t="s">
        <v>116</v>
      </c>
      <c r="I411" s="45"/>
      <c r="J411" s="46"/>
      <c r="K411" s="47"/>
      <c r="L411" s="48"/>
      <c r="M411" s="96"/>
      <c r="N411" s="96"/>
      <c r="O411" s="96"/>
      <c r="P411" s="97"/>
      <c r="Q411" s="97"/>
      <c r="R411" s="74"/>
      <c r="S411" s="74"/>
    </row>
    <row r="412" spans="1:19">
      <c r="A412" s="100"/>
      <c r="B412" s="102"/>
      <c r="C412" s="36" t="s">
        <v>480</v>
      </c>
      <c r="D412" s="41">
        <v>1</v>
      </c>
      <c r="E412" s="50" t="str">
        <f t="shared" si="213"/>
        <v>12:12</v>
      </c>
      <c r="F412" s="43" t="s">
        <v>7</v>
      </c>
      <c r="G412" s="43" t="s">
        <v>7</v>
      </c>
      <c r="H412" s="64" t="s">
        <v>492</v>
      </c>
      <c r="I412" s="45" t="s">
        <v>68</v>
      </c>
      <c r="J412" s="46" t="s">
        <v>36</v>
      </c>
      <c r="K412" s="47" t="s">
        <v>6</v>
      </c>
      <c r="L412" s="48"/>
      <c r="M412" s="96"/>
      <c r="N412" s="96"/>
      <c r="O412" s="96"/>
      <c r="P412" s="97"/>
      <c r="Q412" s="97"/>
      <c r="R412" s="74"/>
      <c r="S412" s="74"/>
    </row>
    <row r="413" spans="1:19" ht="15.75" customHeight="1">
      <c r="A413" s="100"/>
      <c r="B413" s="102"/>
      <c r="C413" s="36" t="s">
        <v>119</v>
      </c>
      <c r="D413" s="41">
        <v>1</v>
      </c>
      <c r="E413" s="50" t="str">
        <f t="shared" si="213"/>
        <v>11:11</v>
      </c>
      <c r="F413" s="65" t="s">
        <v>84</v>
      </c>
      <c r="G413" s="43" t="s">
        <v>7</v>
      </c>
      <c r="H413" s="49" t="s">
        <v>490</v>
      </c>
      <c r="I413" s="45" t="s">
        <v>68</v>
      </c>
      <c r="J413" s="46" t="s">
        <v>36</v>
      </c>
      <c r="K413" s="47" t="s">
        <v>6</v>
      </c>
      <c r="L413" s="48"/>
      <c r="M413" s="96"/>
      <c r="N413" s="96"/>
      <c r="O413" s="96"/>
      <c r="P413" s="97"/>
      <c r="Q413" s="97"/>
      <c r="R413" s="74"/>
      <c r="S413" s="74"/>
    </row>
    <row r="414" spans="1:19" ht="15.75" customHeight="1" thickBot="1">
      <c r="A414" s="100"/>
      <c r="B414" s="102"/>
      <c r="C414" s="36" t="s">
        <v>120</v>
      </c>
      <c r="D414" s="41">
        <v>11</v>
      </c>
      <c r="E414" s="50" t="str">
        <f t="shared" si="213"/>
        <v>10:0</v>
      </c>
      <c r="F414" s="43" t="s">
        <v>495</v>
      </c>
      <c r="G414" s="43" t="s">
        <v>495</v>
      </c>
      <c r="H414" s="49" t="s">
        <v>491</v>
      </c>
      <c r="I414" s="45" t="s">
        <v>68</v>
      </c>
      <c r="J414" s="46" t="s">
        <v>36</v>
      </c>
      <c r="K414" s="47" t="s">
        <v>6</v>
      </c>
      <c r="L414" s="48"/>
      <c r="M414" s="96"/>
      <c r="N414" s="96"/>
      <c r="O414" s="96"/>
      <c r="P414" s="97"/>
      <c r="Q414" s="97"/>
      <c r="R414" s="75"/>
      <c r="S414" s="75"/>
    </row>
    <row r="415" spans="1:19" ht="14.4" customHeight="1">
      <c r="A415" s="100" t="s">
        <v>285</v>
      </c>
      <c r="B415" s="101" t="str">
        <f t="shared" ref="B415" si="214">DEC2HEX(P415*4)</f>
        <v>2C</v>
      </c>
      <c r="C415" s="52" t="s">
        <v>454</v>
      </c>
      <c r="D415" s="80" t="str">
        <f>bitConcat1(F416:F421)</f>
        <v>32'b00111111111111110000101100010000</v>
      </c>
      <c r="E415" s="81"/>
      <c r="F415" s="81"/>
      <c r="G415" s="82"/>
      <c r="H415" s="53" t="s">
        <v>251</v>
      </c>
      <c r="I415" s="54"/>
      <c r="J415" s="83" t="str">
        <f>bitConcat1(G416:G421)</f>
        <v>32'b00111111111111110000001100010000</v>
      </c>
      <c r="K415" s="84"/>
      <c r="L415" s="85"/>
      <c r="M415" s="95" t="str">
        <f t="shared" ref="M415" si="215">DEC2HEX(_xlfn.BITLSHIFT(O415,7)+4*P415)</f>
        <v>42C</v>
      </c>
      <c r="N415" s="96" t="s">
        <v>97</v>
      </c>
      <c r="O415" s="96">
        <v>8</v>
      </c>
      <c r="P415" s="97">
        <v>11</v>
      </c>
      <c r="Q415" s="98" t="str">
        <f>DEC2HEX(_xlfn.BITLSHIFT(O415,5)+P415)</f>
        <v>10B</v>
      </c>
      <c r="R415" s="73" t="str">
        <f>BIN2HEX(LEFT(RIGHT(D415,32),4))&amp;BIN2HEX(LEFT(RIGHT(D415,28),4))&amp;BIN2HEX(LEFT(RIGHT(D415,24),4))&amp;BIN2HEX(LEFT(RIGHT(D415,20),4))&amp;BIN2HEX(LEFT(RIGHT(D415,16),4))&amp;BIN2HEX(LEFT(RIGHT(D415,12),4))&amp;BIN2HEX(LEFT(RIGHT(D415,8),4))&amp;BIN2HEX(LEFT(RIGHT(D415,4),4))</f>
        <v>3FFF0B10</v>
      </c>
      <c r="S415" s="73" t="str">
        <f t="shared" ref="S415" si="216">BIN2HEX(LEFT(RIGHT(J415,32),4))&amp;BIN2HEX(LEFT(RIGHT(J415,28),4))&amp;BIN2HEX(LEFT(RIGHT(J415,24),4))&amp;BIN2HEX(LEFT(RIGHT(J415,20),4))&amp;BIN2HEX(LEFT(RIGHT(J415,16),4))&amp;BIN2HEX(LEFT(RIGHT(J415,12),4))&amp;BIN2HEX(LEFT(RIGHT(J415,8),4))&amp;BIN2HEX(LEFT(RIGHT(J415,4),4))</f>
        <v>3FFF0310</v>
      </c>
    </row>
    <row r="416" spans="1:19">
      <c r="A416" s="100"/>
      <c r="B416" s="102"/>
      <c r="C416" s="36" t="s">
        <v>481</v>
      </c>
      <c r="D416" s="41">
        <v>2</v>
      </c>
      <c r="E416" s="42" t="str">
        <f>IF(D416&gt;1,(31)&amp;":"&amp;(31-D416+1),(31-D416+1)&amp;":"&amp;(31-D416+1))</f>
        <v>31:30</v>
      </c>
      <c r="F416" s="43" t="s">
        <v>98</v>
      </c>
      <c r="G416" s="43" t="s">
        <v>98</v>
      </c>
      <c r="H416" s="44" t="s">
        <v>121</v>
      </c>
      <c r="I416" s="45" t="s">
        <v>68</v>
      </c>
      <c r="J416" s="46" t="s">
        <v>36</v>
      </c>
      <c r="K416" s="47" t="s">
        <v>6</v>
      </c>
      <c r="L416" s="48"/>
      <c r="M416" s="96"/>
      <c r="N416" s="96"/>
      <c r="O416" s="96"/>
      <c r="P416" s="97"/>
      <c r="Q416" s="97"/>
      <c r="R416" s="74"/>
      <c r="S416" s="74"/>
    </row>
    <row r="417" spans="1:19">
      <c r="A417" s="100"/>
      <c r="B417" s="102"/>
      <c r="C417" s="36" t="s">
        <v>257</v>
      </c>
      <c r="D417" s="41">
        <v>14</v>
      </c>
      <c r="E417" s="50" t="str">
        <f>(MID(E416,SEARCH(":",E416)+1,2)-1) &amp; ":" &amp; (MID(E416,SEARCH(":",E416)+1,2)-D417)</f>
        <v>29:16</v>
      </c>
      <c r="F417" s="43" t="s">
        <v>130</v>
      </c>
      <c r="G417" s="43" t="s">
        <v>130</v>
      </c>
      <c r="H417" s="49" t="s">
        <v>129</v>
      </c>
      <c r="I417" s="45" t="s">
        <v>68</v>
      </c>
      <c r="J417" s="46" t="s">
        <v>36</v>
      </c>
      <c r="K417" s="47" t="s">
        <v>6</v>
      </c>
      <c r="L417" s="48"/>
      <c r="M417" s="96"/>
      <c r="N417" s="96"/>
      <c r="O417" s="96"/>
      <c r="P417" s="97"/>
      <c r="Q417" s="97"/>
      <c r="R417" s="74"/>
      <c r="S417" s="74"/>
    </row>
    <row r="418" spans="1:19">
      <c r="A418" s="100"/>
      <c r="B418" s="102"/>
      <c r="C418" s="36" t="s">
        <v>482</v>
      </c>
      <c r="D418" s="41">
        <v>3</v>
      </c>
      <c r="E418" s="50" t="str">
        <f t="shared" ref="E418:E421" si="217">(MID(E417,SEARCH(":",E417)+1,2)-1) &amp; ":" &amp; (MID(E417,SEARCH(":",E417)+1,2)-D418)</f>
        <v>15:13</v>
      </c>
      <c r="F418" s="43" t="s">
        <v>494</v>
      </c>
      <c r="G418" s="43" t="s">
        <v>494</v>
      </c>
      <c r="H418" s="49" t="s">
        <v>116</v>
      </c>
      <c r="I418" s="45" t="s">
        <v>68</v>
      </c>
      <c r="J418" s="46" t="s">
        <v>36</v>
      </c>
      <c r="K418" s="47" t="s">
        <v>6</v>
      </c>
      <c r="L418" s="48"/>
      <c r="M418" s="96"/>
      <c r="N418" s="96"/>
      <c r="O418" s="96"/>
      <c r="P418" s="97"/>
      <c r="Q418" s="97"/>
      <c r="R418" s="74"/>
      <c r="S418" s="74"/>
    </row>
    <row r="419" spans="1:19">
      <c r="A419" s="100"/>
      <c r="B419" s="102"/>
      <c r="C419" s="36" t="s">
        <v>480</v>
      </c>
      <c r="D419" s="41">
        <v>1</v>
      </c>
      <c r="E419" s="50" t="str">
        <f t="shared" si="217"/>
        <v>12:12</v>
      </c>
      <c r="F419" s="43" t="s">
        <v>7</v>
      </c>
      <c r="G419" s="43" t="s">
        <v>7</v>
      </c>
      <c r="H419" s="64" t="s">
        <v>492</v>
      </c>
      <c r="I419" s="45" t="s">
        <v>68</v>
      </c>
      <c r="J419" s="46" t="s">
        <v>36</v>
      </c>
      <c r="K419" s="47" t="s">
        <v>6</v>
      </c>
      <c r="L419" s="48"/>
      <c r="M419" s="96"/>
      <c r="N419" s="96"/>
      <c r="O419" s="96"/>
      <c r="P419" s="97"/>
      <c r="Q419" s="97"/>
      <c r="R419" s="74"/>
      <c r="S419" s="74"/>
    </row>
    <row r="420" spans="1:19">
      <c r="A420" s="100"/>
      <c r="B420" s="102"/>
      <c r="C420" s="36" t="s">
        <v>134</v>
      </c>
      <c r="D420" s="41">
        <v>1</v>
      </c>
      <c r="E420" s="50" t="str">
        <f t="shared" si="217"/>
        <v>11:11</v>
      </c>
      <c r="F420" s="65" t="s">
        <v>84</v>
      </c>
      <c r="G420" s="43" t="s">
        <v>7</v>
      </c>
      <c r="H420" s="49" t="s">
        <v>490</v>
      </c>
      <c r="I420" s="45" t="s">
        <v>68</v>
      </c>
      <c r="J420" s="46" t="s">
        <v>36</v>
      </c>
      <c r="K420" s="47" t="s">
        <v>6</v>
      </c>
      <c r="L420" s="48"/>
      <c r="M420" s="96"/>
      <c r="N420" s="96"/>
      <c r="O420" s="96"/>
      <c r="P420" s="97"/>
      <c r="Q420" s="97"/>
      <c r="R420" s="74"/>
      <c r="S420" s="74"/>
    </row>
    <row r="421" spans="1:19" ht="15.75" customHeight="1" thickBot="1">
      <c r="A421" s="100"/>
      <c r="B421" s="102"/>
      <c r="C421" s="36" t="s">
        <v>135</v>
      </c>
      <c r="D421" s="41">
        <v>11</v>
      </c>
      <c r="E421" s="50" t="str">
        <f t="shared" si="217"/>
        <v>10:0</v>
      </c>
      <c r="F421" s="43" t="s">
        <v>464</v>
      </c>
      <c r="G421" s="43" t="s">
        <v>464</v>
      </c>
      <c r="H421" s="49" t="s">
        <v>491</v>
      </c>
      <c r="I421" s="45" t="s">
        <v>68</v>
      </c>
      <c r="J421" s="46" t="s">
        <v>36</v>
      </c>
      <c r="K421" s="47" t="s">
        <v>6</v>
      </c>
      <c r="L421" s="48"/>
      <c r="M421" s="96"/>
      <c r="N421" s="96"/>
      <c r="O421" s="96"/>
      <c r="P421" s="97"/>
      <c r="Q421" s="97"/>
      <c r="R421" s="74"/>
      <c r="S421" s="74"/>
    </row>
    <row r="422" spans="1:19" ht="14.4" customHeight="1">
      <c r="A422" s="100" t="s">
        <v>286</v>
      </c>
      <c r="B422" s="101" t="str">
        <f t="shared" ref="B422" si="218">DEC2HEX(P422*4)</f>
        <v>24</v>
      </c>
      <c r="C422" s="52" t="s">
        <v>454</v>
      </c>
      <c r="D422" s="80" t="str">
        <f>bitConcat1(F423:F431)</f>
        <v>32'b00011100000011100000101100010000</v>
      </c>
      <c r="E422" s="81"/>
      <c r="F422" s="81"/>
      <c r="G422" s="82"/>
      <c r="H422" s="53" t="s">
        <v>251</v>
      </c>
      <c r="I422" s="54"/>
      <c r="J422" s="83" t="str">
        <f>bitConcat1(G423:G431)</f>
        <v>32'b00011100000011100000001100010000</v>
      </c>
      <c r="K422" s="84"/>
      <c r="L422" s="85"/>
      <c r="M422" s="95" t="str">
        <f t="shared" ref="M422" si="219">DEC2HEX(_xlfn.BITLSHIFT(O422,7)+4*P422)</f>
        <v>424</v>
      </c>
      <c r="N422" s="96" t="s">
        <v>97</v>
      </c>
      <c r="O422" s="96">
        <v>8</v>
      </c>
      <c r="P422" s="97">
        <v>9</v>
      </c>
      <c r="Q422" s="98" t="str">
        <f>DEC2HEX(_xlfn.BITLSHIFT(O422,5)+P422)</f>
        <v>109</v>
      </c>
      <c r="R422" s="73" t="str">
        <f>BIN2HEX(LEFT(RIGHT(D422,32),4))&amp;BIN2HEX(LEFT(RIGHT(D422,28),4))&amp;BIN2HEX(LEFT(RIGHT(D422,24),4))&amp;BIN2HEX(LEFT(RIGHT(D422,20),4))&amp;BIN2HEX(LEFT(RIGHT(D422,16),4))&amp;BIN2HEX(LEFT(RIGHT(D422,12),4))&amp;BIN2HEX(LEFT(RIGHT(D422,8),4))&amp;BIN2HEX(LEFT(RIGHT(D422,4),4))</f>
        <v>1C0E0B10</v>
      </c>
      <c r="S422" s="73" t="str">
        <f t="shared" ref="S422" si="220">BIN2HEX(LEFT(RIGHT(J422,32),4))&amp;BIN2HEX(LEFT(RIGHT(J422,28),4))&amp;BIN2HEX(LEFT(RIGHT(J422,24),4))&amp;BIN2HEX(LEFT(RIGHT(J422,20),4))&amp;BIN2HEX(LEFT(RIGHT(J422,16),4))&amp;BIN2HEX(LEFT(RIGHT(J422,12),4))&amp;BIN2HEX(LEFT(RIGHT(J422,8),4))&amp;BIN2HEX(LEFT(RIGHT(J422,4),4))</f>
        <v>1C0E0310</v>
      </c>
    </row>
    <row r="423" spans="1:19">
      <c r="A423" s="100"/>
      <c r="B423" s="102"/>
      <c r="C423" s="36" t="s">
        <v>483</v>
      </c>
      <c r="D423" s="41">
        <v>2</v>
      </c>
      <c r="E423" s="42" t="str">
        <f>IF(D423&gt;1,(31)&amp;":"&amp;(31-D423+1),(31-D423+1)&amp;":"&amp;(31-D423+1))</f>
        <v>31:30</v>
      </c>
      <c r="F423" s="43" t="s">
        <v>98</v>
      </c>
      <c r="G423" s="43" t="s">
        <v>98</v>
      </c>
      <c r="H423" s="44" t="s">
        <v>121</v>
      </c>
      <c r="I423" s="45" t="s">
        <v>68</v>
      </c>
      <c r="J423" s="46" t="s">
        <v>36</v>
      </c>
      <c r="K423" s="47" t="s">
        <v>6</v>
      </c>
      <c r="L423" s="48"/>
      <c r="M423" s="96"/>
      <c r="N423" s="96"/>
      <c r="O423" s="96"/>
      <c r="P423" s="97"/>
      <c r="Q423" s="97"/>
      <c r="R423" s="74"/>
      <c r="S423" s="74"/>
    </row>
    <row r="424" spans="1:19">
      <c r="A424" s="100"/>
      <c r="B424" s="102"/>
      <c r="C424" s="36" t="s">
        <v>253</v>
      </c>
      <c r="D424" s="41">
        <v>1</v>
      </c>
      <c r="E424" s="50" t="str">
        <f t="shared" ref="E424" si="221">(MID(E423,SEARCH(":",E423)+1,2)-1) &amp; ":" &amp; (MID(E423,SEARCH(":",E423)+1,2)-D424)</f>
        <v>29:29</v>
      </c>
      <c r="F424" s="43" t="s">
        <v>7</v>
      </c>
      <c r="G424" s="43" t="s">
        <v>7</v>
      </c>
      <c r="H424" s="49" t="s">
        <v>256</v>
      </c>
      <c r="I424" s="45" t="s">
        <v>68</v>
      </c>
      <c r="J424" s="46" t="s">
        <v>36</v>
      </c>
      <c r="K424" s="47" t="s">
        <v>6</v>
      </c>
      <c r="L424" s="48"/>
      <c r="M424" s="96"/>
      <c r="N424" s="96"/>
      <c r="O424" s="96"/>
      <c r="P424" s="97"/>
      <c r="Q424" s="97"/>
      <c r="R424" s="74"/>
      <c r="S424" s="74"/>
    </row>
    <row r="425" spans="1:19">
      <c r="A425" s="100"/>
      <c r="B425" s="102"/>
      <c r="C425" s="36" t="s">
        <v>254</v>
      </c>
      <c r="D425" s="41">
        <v>6</v>
      </c>
      <c r="E425" s="50" t="str">
        <f>(MID(E424,SEARCH(":",E424)+1,2)-1) &amp; ":" &amp; (MID(E424,SEARCH(":",E424)+1,2)-D425)</f>
        <v>28:23</v>
      </c>
      <c r="F425" s="43" t="s">
        <v>461</v>
      </c>
      <c r="G425" s="43" t="s">
        <v>461</v>
      </c>
      <c r="H425" s="49" t="s">
        <v>123</v>
      </c>
      <c r="I425" s="45" t="s">
        <v>68</v>
      </c>
      <c r="J425" s="46" t="s">
        <v>36</v>
      </c>
      <c r="K425" s="47" t="s">
        <v>6</v>
      </c>
      <c r="L425" s="48"/>
      <c r="M425" s="96"/>
      <c r="N425" s="96"/>
      <c r="O425" s="96"/>
      <c r="P425" s="97"/>
      <c r="Q425" s="97"/>
      <c r="R425" s="74"/>
      <c r="S425" s="74"/>
    </row>
    <row r="426" spans="1:19">
      <c r="A426" s="100"/>
      <c r="B426" s="102"/>
      <c r="C426" s="36" t="s">
        <v>255</v>
      </c>
      <c r="D426" s="41">
        <v>6</v>
      </c>
      <c r="E426" s="50" t="str">
        <f t="shared" ref="E426:E431" si="222">(MID(E425,SEARCH(":",E425)+1,2)-1) &amp; ":" &amp; (MID(E425,SEARCH(":",E425)+1,2)-D426)</f>
        <v>22:17</v>
      </c>
      <c r="F426" s="43" t="s">
        <v>462</v>
      </c>
      <c r="G426" s="43" t="s">
        <v>462</v>
      </c>
      <c r="H426" s="44" t="s">
        <v>123</v>
      </c>
      <c r="I426" s="45" t="s">
        <v>68</v>
      </c>
      <c r="J426" s="46" t="s">
        <v>36</v>
      </c>
      <c r="K426" s="47" t="s">
        <v>6</v>
      </c>
      <c r="L426" s="48"/>
      <c r="M426" s="96"/>
      <c r="N426" s="96"/>
      <c r="O426" s="96"/>
      <c r="P426" s="97"/>
      <c r="Q426" s="97"/>
      <c r="R426" s="74"/>
      <c r="S426" s="74"/>
    </row>
    <row r="427" spans="1:19" ht="15.75" customHeight="1">
      <c r="A427" s="100"/>
      <c r="B427" s="102"/>
      <c r="C427" s="36" t="s">
        <v>118</v>
      </c>
      <c r="D427" s="41">
        <v>1</v>
      </c>
      <c r="E427" s="50" t="str">
        <f t="shared" si="222"/>
        <v>16:16</v>
      </c>
      <c r="F427" s="43" t="s">
        <v>7</v>
      </c>
      <c r="G427" s="43" t="s">
        <v>7</v>
      </c>
      <c r="H427" s="44" t="s">
        <v>124</v>
      </c>
      <c r="I427" s="45" t="s">
        <v>68</v>
      </c>
      <c r="J427" s="46" t="s">
        <v>36</v>
      </c>
      <c r="K427" s="47" t="s">
        <v>6</v>
      </c>
      <c r="L427" s="48"/>
      <c r="M427" s="96"/>
      <c r="N427" s="96"/>
      <c r="O427" s="96"/>
      <c r="P427" s="97"/>
      <c r="Q427" s="97"/>
      <c r="R427" s="74"/>
      <c r="S427" s="74"/>
    </row>
    <row r="428" spans="1:19">
      <c r="A428" s="100"/>
      <c r="B428" s="102"/>
      <c r="C428" s="36" t="s">
        <v>484</v>
      </c>
      <c r="D428" s="41">
        <v>3</v>
      </c>
      <c r="E428" s="50" t="str">
        <f t="shared" si="222"/>
        <v>15:13</v>
      </c>
      <c r="F428" s="43" t="s">
        <v>494</v>
      </c>
      <c r="G428" s="43" t="s">
        <v>494</v>
      </c>
      <c r="H428" s="49" t="s">
        <v>116</v>
      </c>
      <c r="I428" s="45" t="s">
        <v>68</v>
      </c>
      <c r="J428" s="46" t="s">
        <v>36</v>
      </c>
      <c r="K428" s="47" t="s">
        <v>6</v>
      </c>
      <c r="L428" s="48"/>
      <c r="M428" s="96"/>
      <c r="N428" s="96"/>
      <c r="O428" s="96"/>
      <c r="P428" s="97"/>
      <c r="Q428" s="97"/>
      <c r="R428" s="74"/>
      <c r="S428" s="74"/>
    </row>
    <row r="429" spans="1:19">
      <c r="A429" s="100"/>
      <c r="B429" s="102"/>
      <c r="C429" s="36" t="s">
        <v>480</v>
      </c>
      <c r="D429" s="41">
        <v>1</v>
      </c>
      <c r="E429" s="50" t="str">
        <f t="shared" si="222"/>
        <v>12:12</v>
      </c>
      <c r="F429" s="43" t="s">
        <v>7</v>
      </c>
      <c r="G429" s="43" t="s">
        <v>7</v>
      </c>
      <c r="H429" s="64" t="s">
        <v>492</v>
      </c>
      <c r="I429" s="45" t="s">
        <v>68</v>
      </c>
      <c r="J429" s="46" t="s">
        <v>36</v>
      </c>
      <c r="K429" s="47" t="s">
        <v>6</v>
      </c>
      <c r="L429" s="48"/>
      <c r="M429" s="96"/>
      <c r="N429" s="96"/>
      <c r="O429" s="96"/>
      <c r="P429" s="97"/>
      <c r="Q429" s="97"/>
      <c r="R429" s="74"/>
      <c r="S429" s="74"/>
    </row>
    <row r="430" spans="1:19">
      <c r="A430" s="100"/>
      <c r="B430" s="102"/>
      <c r="C430" s="36" t="s">
        <v>140</v>
      </c>
      <c r="D430" s="41">
        <v>1</v>
      </c>
      <c r="E430" s="50" t="str">
        <f t="shared" si="222"/>
        <v>11:11</v>
      </c>
      <c r="F430" s="65" t="s">
        <v>84</v>
      </c>
      <c r="G430" s="43" t="s">
        <v>7</v>
      </c>
      <c r="H430" s="49" t="s">
        <v>490</v>
      </c>
      <c r="I430" s="45" t="s">
        <v>68</v>
      </c>
      <c r="J430" s="46" t="s">
        <v>36</v>
      </c>
      <c r="K430" s="47" t="s">
        <v>6</v>
      </c>
      <c r="L430" s="48"/>
      <c r="M430" s="96"/>
      <c r="N430" s="96"/>
      <c r="O430" s="96"/>
      <c r="P430" s="97"/>
      <c r="Q430" s="97"/>
      <c r="R430" s="74"/>
      <c r="S430" s="74"/>
    </row>
    <row r="431" spans="1:19" ht="15" thickBot="1">
      <c r="A431" s="100"/>
      <c r="B431" s="102"/>
      <c r="C431" s="36" t="s">
        <v>141</v>
      </c>
      <c r="D431" s="41">
        <v>11</v>
      </c>
      <c r="E431" s="50" t="str">
        <f t="shared" si="222"/>
        <v>10:0</v>
      </c>
      <c r="F431" s="43" t="s">
        <v>464</v>
      </c>
      <c r="G431" s="43" t="s">
        <v>464</v>
      </c>
      <c r="H431" s="49" t="s">
        <v>491</v>
      </c>
      <c r="I431" s="45" t="s">
        <v>68</v>
      </c>
      <c r="J431" s="46" t="s">
        <v>36</v>
      </c>
      <c r="K431" s="47" t="s">
        <v>6</v>
      </c>
      <c r="L431" s="48"/>
      <c r="M431" s="96"/>
      <c r="N431" s="96"/>
      <c r="O431" s="96"/>
      <c r="P431" s="97"/>
      <c r="Q431" s="97"/>
      <c r="R431" s="74"/>
      <c r="S431" s="74"/>
    </row>
    <row r="432" spans="1:19" ht="15.75" customHeight="1">
      <c r="A432" s="100" t="s">
        <v>287</v>
      </c>
      <c r="B432" s="101" t="str">
        <f t="shared" ref="B432" si="223">DEC2HEX(P432*4)</f>
        <v>28</v>
      </c>
      <c r="C432" s="52" t="s">
        <v>454</v>
      </c>
      <c r="D432" s="80" t="str">
        <f>bitConcat1(F433:F441)</f>
        <v>32'b00000000000011000000101100010000</v>
      </c>
      <c r="E432" s="81"/>
      <c r="F432" s="81"/>
      <c r="G432" s="82"/>
      <c r="H432" s="53" t="s">
        <v>251</v>
      </c>
      <c r="I432" s="54"/>
      <c r="J432" s="83" t="str">
        <f>bitConcat1(G433:G441)</f>
        <v>32'b00000000000011000000001100010000</v>
      </c>
      <c r="K432" s="84"/>
      <c r="L432" s="85"/>
      <c r="M432" s="95" t="str">
        <f t="shared" ref="M432" si="224">DEC2HEX(_xlfn.BITLSHIFT(O432,7)+4*P432)</f>
        <v>428</v>
      </c>
      <c r="N432" s="96" t="s">
        <v>97</v>
      </c>
      <c r="O432" s="96">
        <v>8</v>
      </c>
      <c r="P432" s="97">
        <v>10</v>
      </c>
      <c r="Q432" s="98" t="str">
        <f>DEC2HEX(_xlfn.BITLSHIFT(O432,5)+P432)</f>
        <v>10A</v>
      </c>
      <c r="R432" s="73" t="str">
        <f>BIN2HEX(LEFT(RIGHT(D432,32),4))&amp;BIN2HEX(LEFT(RIGHT(D432,28),4))&amp;BIN2HEX(LEFT(RIGHT(D432,24),4))&amp;BIN2HEX(LEFT(RIGHT(D432,20),4))&amp;BIN2HEX(LEFT(RIGHT(D432,16),4))&amp;BIN2HEX(LEFT(RIGHT(D432,12),4))&amp;BIN2HEX(LEFT(RIGHT(D432,8),4))&amp;BIN2HEX(LEFT(RIGHT(D432,4),4))</f>
        <v>000C0B10</v>
      </c>
      <c r="S432" s="73" t="str">
        <f t="shared" ref="S432" si="225">BIN2HEX(LEFT(RIGHT(J432,32),4))&amp;BIN2HEX(LEFT(RIGHT(J432,28),4))&amp;BIN2HEX(LEFT(RIGHT(J432,24),4))&amp;BIN2HEX(LEFT(RIGHT(J432,20),4))&amp;BIN2HEX(LEFT(RIGHT(J432,16),4))&amp;BIN2HEX(LEFT(RIGHT(J432,12),4))&amp;BIN2HEX(LEFT(RIGHT(J432,8),4))&amp;BIN2HEX(LEFT(RIGHT(J432,4),4))</f>
        <v>000C0310</v>
      </c>
    </row>
    <row r="433" spans="1:19">
      <c r="A433" s="100"/>
      <c r="B433" s="102"/>
      <c r="C433" s="36" t="s">
        <v>485</v>
      </c>
      <c r="D433" s="41">
        <v>6</v>
      </c>
      <c r="E433" s="42" t="str">
        <f>IF(D433&gt;1,(31)&amp;":"&amp;(31-D433+1),(31-D433+1)&amp;":"&amp;(31-D433+1))</f>
        <v>31:26</v>
      </c>
      <c r="F433" s="43" t="s">
        <v>122</v>
      </c>
      <c r="G433" s="43" t="s">
        <v>122</v>
      </c>
      <c r="H433" s="44" t="s">
        <v>143</v>
      </c>
      <c r="I433" s="45" t="s">
        <v>68</v>
      </c>
      <c r="J433" s="46" t="s">
        <v>36</v>
      </c>
      <c r="K433" s="47" t="s">
        <v>6</v>
      </c>
      <c r="L433" s="48"/>
      <c r="M433" s="96"/>
      <c r="N433" s="96"/>
      <c r="O433" s="96"/>
      <c r="P433" s="97"/>
      <c r="Q433" s="97"/>
      <c r="R433" s="74"/>
      <c r="S433" s="74"/>
    </row>
    <row r="434" spans="1:19">
      <c r="A434" s="100"/>
      <c r="B434" s="102"/>
      <c r="C434" s="36" t="s">
        <v>486</v>
      </c>
      <c r="D434" s="41">
        <v>5</v>
      </c>
      <c r="E434" s="50" t="str">
        <f t="shared" ref="E434:E441" si="226">(MID(E433,SEARCH(":",E433)+1,2)-1) &amp; ":" &amp; (MID(E433,SEARCH(":",E433)+1,2)-D434)</f>
        <v>25:21</v>
      </c>
      <c r="F434" s="43" t="s">
        <v>103</v>
      </c>
      <c r="G434" s="43" t="s">
        <v>103</v>
      </c>
      <c r="H434" s="44" t="s">
        <v>137</v>
      </c>
      <c r="I434" s="45" t="s">
        <v>68</v>
      </c>
      <c r="J434" s="46" t="s">
        <v>36</v>
      </c>
      <c r="K434" s="47" t="s">
        <v>6</v>
      </c>
      <c r="L434" s="48"/>
      <c r="M434" s="96"/>
      <c r="N434" s="96"/>
      <c r="O434" s="96"/>
      <c r="P434" s="97"/>
      <c r="Q434" s="97"/>
      <c r="R434" s="74"/>
      <c r="S434" s="74"/>
    </row>
    <row r="435" spans="1:19">
      <c r="A435" s="100"/>
      <c r="B435" s="102"/>
      <c r="C435" s="36" t="s">
        <v>249</v>
      </c>
      <c r="D435" s="41">
        <v>1</v>
      </c>
      <c r="E435" s="50" t="str">
        <f t="shared" si="226"/>
        <v>20:20</v>
      </c>
      <c r="F435" s="43" t="s">
        <v>7</v>
      </c>
      <c r="G435" s="43" t="s">
        <v>7</v>
      </c>
      <c r="H435" s="49" t="s">
        <v>136</v>
      </c>
      <c r="I435" s="45" t="s">
        <v>68</v>
      </c>
      <c r="J435" s="46" t="s">
        <v>36</v>
      </c>
      <c r="K435" s="47" t="s">
        <v>6</v>
      </c>
      <c r="L435" s="48"/>
      <c r="M435" s="96"/>
      <c r="N435" s="96"/>
      <c r="O435" s="96"/>
      <c r="P435" s="97"/>
      <c r="Q435" s="97"/>
      <c r="R435" s="74"/>
      <c r="S435" s="74"/>
    </row>
    <row r="436" spans="1:19">
      <c r="A436" s="100"/>
      <c r="B436" s="102"/>
      <c r="C436" s="36" t="s">
        <v>144</v>
      </c>
      <c r="D436" s="41">
        <v>2</v>
      </c>
      <c r="E436" s="50" t="str">
        <f t="shared" si="226"/>
        <v>19:18</v>
      </c>
      <c r="F436" s="43" t="s">
        <v>496</v>
      </c>
      <c r="G436" s="43" t="s">
        <v>496</v>
      </c>
      <c r="H436" s="49" t="s">
        <v>146</v>
      </c>
      <c r="I436" s="45" t="s">
        <v>68</v>
      </c>
      <c r="J436" s="46" t="s">
        <v>36</v>
      </c>
      <c r="K436" s="47" t="s">
        <v>6</v>
      </c>
      <c r="L436" s="48"/>
      <c r="M436" s="96"/>
      <c r="N436" s="96"/>
      <c r="O436" s="96"/>
      <c r="P436" s="97"/>
      <c r="Q436" s="97"/>
      <c r="R436" s="74"/>
      <c r="S436" s="74"/>
    </row>
    <row r="437" spans="1:19">
      <c r="A437" s="100"/>
      <c r="B437" s="102"/>
      <c r="C437" s="36" t="s">
        <v>145</v>
      </c>
      <c r="D437" s="41">
        <v>2</v>
      </c>
      <c r="E437" s="50" t="str">
        <f t="shared" si="226"/>
        <v>17:16</v>
      </c>
      <c r="F437" s="43" t="s">
        <v>98</v>
      </c>
      <c r="G437" s="43" t="s">
        <v>98</v>
      </c>
      <c r="H437" s="49" t="s">
        <v>147</v>
      </c>
      <c r="I437" s="45" t="s">
        <v>68</v>
      </c>
      <c r="J437" s="46" t="s">
        <v>36</v>
      </c>
      <c r="K437" s="47" t="s">
        <v>6</v>
      </c>
      <c r="L437" s="48"/>
      <c r="M437" s="96"/>
      <c r="N437" s="96"/>
      <c r="O437" s="96"/>
      <c r="P437" s="97"/>
      <c r="Q437" s="97"/>
      <c r="R437" s="74"/>
      <c r="S437" s="74"/>
    </row>
    <row r="438" spans="1:19">
      <c r="A438" s="100"/>
      <c r="B438" s="102"/>
      <c r="C438" s="36" t="s">
        <v>487</v>
      </c>
      <c r="D438" s="41">
        <v>3</v>
      </c>
      <c r="E438" s="50" t="str">
        <f t="shared" si="226"/>
        <v>15:13</v>
      </c>
      <c r="F438" s="43" t="s">
        <v>494</v>
      </c>
      <c r="G438" s="43" t="s">
        <v>494</v>
      </c>
      <c r="H438" s="49" t="s">
        <v>116</v>
      </c>
      <c r="I438" s="45" t="s">
        <v>68</v>
      </c>
      <c r="J438" s="46" t="s">
        <v>36</v>
      </c>
      <c r="K438" s="47" t="s">
        <v>6</v>
      </c>
      <c r="L438" s="48"/>
      <c r="M438" s="96"/>
      <c r="N438" s="96"/>
      <c r="O438" s="96"/>
      <c r="P438" s="97"/>
      <c r="Q438" s="97"/>
      <c r="R438" s="74"/>
      <c r="S438" s="74"/>
    </row>
    <row r="439" spans="1:19">
      <c r="A439" s="100"/>
      <c r="B439" s="102"/>
      <c r="C439" s="36" t="s">
        <v>480</v>
      </c>
      <c r="D439" s="41">
        <v>1</v>
      </c>
      <c r="E439" s="50" t="str">
        <f t="shared" si="226"/>
        <v>12:12</v>
      </c>
      <c r="F439" s="43" t="s">
        <v>7</v>
      </c>
      <c r="G439" s="43" t="s">
        <v>7</v>
      </c>
      <c r="H439" s="64" t="s">
        <v>492</v>
      </c>
      <c r="I439" s="45" t="s">
        <v>68</v>
      </c>
      <c r="J439" s="46" t="s">
        <v>36</v>
      </c>
      <c r="K439" s="47" t="s">
        <v>6</v>
      </c>
      <c r="L439" s="48"/>
      <c r="M439" s="96"/>
      <c r="N439" s="96"/>
      <c r="O439" s="96"/>
      <c r="P439" s="97"/>
      <c r="Q439" s="97"/>
      <c r="R439" s="74"/>
      <c r="S439" s="74"/>
    </row>
    <row r="440" spans="1:19">
      <c r="A440" s="100"/>
      <c r="B440" s="102"/>
      <c r="C440" s="36" t="s">
        <v>148</v>
      </c>
      <c r="D440" s="41">
        <v>1</v>
      </c>
      <c r="E440" s="50" t="str">
        <f t="shared" si="226"/>
        <v>11:11</v>
      </c>
      <c r="F440" s="65" t="s">
        <v>84</v>
      </c>
      <c r="G440" s="43" t="s">
        <v>7</v>
      </c>
      <c r="H440" s="49" t="s">
        <v>490</v>
      </c>
      <c r="I440" s="45" t="s">
        <v>68</v>
      </c>
      <c r="J440" s="46" t="s">
        <v>36</v>
      </c>
      <c r="K440" s="47" t="s">
        <v>6</v>
      </c>
      <c r="L440" s="48"/>
      <c r="M440" s="96"/>
      <c r="N440" s="96"/>
      <c r="O440" s="96"/>
      <c r="P440" s="97"/>
      <c r="Q440" s="97"/>
      <c r="R440" s="74"/>
      <c r="S440" s="74"/>
    </row>
    <row r="441" spans="1:19" ht="15" thickBot="1">
      <c r="A441" s="100"/>
      <c r="B441" s="102"/>
      <c r="C441" s="36" t="s">
        <v>149</v>
      </c>
      <c r="D441" s="41">
        <v>11</v>
      </c>
      <c r="E441" s="50" t="str">
        <f t="shared" si="226"/>
        <v>10:0</v>
      </c>
      <c r="F441" s="43" t="s">
        <v>464</v>
      </c>
      <c r="G441" s="43" t="s">
        <v>464</v>
      </c>
      <c r="H441" s="49" t="s">
        <v>491</v>
      </c>
      <c r="I441" s="45" t="s">
        <v>68</v>
      </c>
      <c r="J441" s="46" t="s">
        <v>36</v>
      </c>
      <c r="K441" s="47" t="s">
        <v>6</v>
      </c>
      <c r="L441" s="48"/>
      <c r="M441" s="96"/>
      <c r="N441" s="96"/>
      <c r="O441" s="96"/>
      <c r="P441" s="97"/>
      <c r="Q441" s="97"/>
      <c r="R441" s="74"/>
      <c r="S441" s="74"/>
    </row>
    <row r="442" spans="1:19">
      <c r="A442" s="99" t="s">
        <v>288</v>
      </c>
      <c r="B442" s="93" t="str">
        <f t="shared" ref="B442" si="227">DEC2HEX(P442*4)</f>
        <v>40</v>
      </c>
      <c r="C442" s="52" t="s">
        <v>454</v>
      </c>
      <c r="D442" s="80" t="str">
        <f>bitConcat1(F443:F446)</f>
        <v>32'b00000000000000000000000000000000</v>
      </c>
      <c r="E442" s="81"/>
      <c r="F442" s="81"/>
      <c r="G442" s="82"/>
      <c r="H442" s="53" t="s">
        <v>251</v>
      </c>
      <c r="I442" s="54"/>
      <c r="J442" s="83" t="str">
        <f>bitConcat1(G443:G447)</f>
        <v>32'b00000000000000000000000000000000</v>
      </c>
      <c r="K442" s="84"/>
      <c r="L442" s="85"/>
      <c r="M442" s="95" t="str">
        <f t="shared" ref="M442" si="228">DEC2HEX(_xlfn.BITLSHIFT(O442,7)+4*P442)</f>
        <v>3C0</v>
      </c>
      <c r="N442" s="95" t="s">
        <v>97</v>
      </c>
      <c r="O442" s="95">
        <v>7</v>
      </c>
      <c r="P442" s="98">
        <v>16</v>
      </c>
      <c r="Q442" s="98" t="str">
        <f>DEC2HEX(_xlfn.BITLSHIFT(O442,5)+P442)</f>
        <v>F0</v>
      </c>
      <c r="R442" s="73" t="str">
        <f>BIN2HEX(LEFT(RIGHT(D442,32),4))&amp;BIN2HEX(LEFT(RIGHT(D442,28),4))&amp;BIN2HEX(LEFT(RIGHT(D442,24),4))&amp;BIN2HEX(LEFT(RIGHT(D442,20),4))&amp;BIN2HEX(LEFT(RIGHT(D442,16),4))&amp;BIN2HEX(LEFT(RIGHT(D442,12),4))&amp;BIN2HEX(LEFT(RIGHT(D442,8),4))&amp;BIN2HEX(LEFT(RIGHT(D442,4),4))</f>
        <v>00000000</v>
      </c>
      <c r="S442" s="73" t="str">
        <f t="shared" ref="S442" si="229">BIN2HEX(LEFT(RIGHT(J442,32),4))&amp;BIN2HEX(LEFT(RIGHT(J442,28),4))&amp;BIN2HEX(LEFT(RIGHT(J442,24),4))&amp;BIN2HEX(LEFT(RIGHT(J442,20),4))&amp;BIN2HEX(LEFT(RIGHT(J442,16),4))&amp;BIN2HEX(LEFT(RIGHT(J442,12),4))&amp;BIN2HEX(LEFT(RIGHT(J442,8),4))&amp;BIN2HEX(LEFT(RIGHT(J442,4),4))</f>
        <v>00000000</v>
      </c>
    </row>
    <row r="443" spans="1:19">
      <c r="A443" s="92"/>
      <c r="B443" s="94"/>
      <c r="C443" s="36" t="s">
        <v>157</v>
      </c>
      <c r="D443" s="41">
        <v>8</v>
      </c>
      <c r="E443" s="42" t="str">
        <f>IF(D443&gt;1,(31)&amp;":"&amp;(31-D443+1),(31-D443+1)&amp;":"&amp;(31-D443+1))</f>
        <v>31:24</v>
      </c>
      <c r="F443" s="43" t="s">
        <v>115</v>
      </c>
      <c r="G443" s="43" t="s">
        <v>115</v>
      </c>
      <c r="H443" s="44" t="s">
        <v>158</v>
      </c>
      <c r="I443" s="45" t="s">
        <v>68</v>
      </c>
      <c r="J443" s="46" t="s">
        <v>36</v>
      </c>
      <c r="K443" s="47" t="s">
        <v>6</v>
      </c>
      <c r="L443" s="48"/>
      <c r="M443" s="96"/>
      <c r="N443" s="96"/>
      <c r="O443" s="96"/>
      <c r="P443" s="97"/>
      <c r="Q443" s="97"/>
      <c r="R443" s="74"/>
      <c r="S443" s="74"/>
    </row>
    <row r="444" spans="1:19">
      <c r="A444" s="92"/>
      <c r="B444" s="94"/>
      <c r="C444" s="36" t="s">
        <v>156</v>
      </c>
      <c r="D444" s="41">
        <v>8</v>
      </c>
      <c r="E444" s="50" t="str">
        <f t="shared" ref="E444" si="230">(MID(E443,SEARCH(":",E443)+1,2)-1) &amp; ":" &amp; (MID(E443,SEARCH(":",E443)+1,2)-D444)</f>
        <v>23:16</v>
      </c>
      <c r="F444" s="43" t="s">
        <v>115</v>
      </c>
      <c r="G444" s="43" t="s">
        <v>115</v>
      </c>
      <c r="H444" s="44" t="s">
        <v>159</v>
      </c>
      <c r="I444" s="45" t="s">
        <v>68</v>
      </c>
      <c r="J444" s="46" t="s">
        <v>36</v>
      </c>
      <c r="K444" s="47" t="s">
        <v>6</v>
      </c>
      <c r="L444" s="48"/>
      <c r="M444" s="96"/>
      <c r="N444" s="96"/>
      <c r="O444" s="96"/>
      <c r="P444" s="97"/>
      <c r="Q444" s="97"/>
      <c r="R444" s="74"/>
      <c r="S444" s="74"/>
    </row>
    <row r="445" spans="1:19">
      <c r="A445" s="92"/>
      <c r="B445" s="94"/>
      <c r="C445" s="36" t="s">
        <v>150</v>
      </c>
      <c r="D445" s="41">
        <v>8</v>
      </c>
      <c r="E445" s="50" t="str">
        <f>(MID(E444,SEARCH(":",E444)+1,2)-1) &amp; ":" &amp; (MID(E444,SEARCH(":",E444)+1,2)-D445)</f>
        <v>15:8</v>
      </c>
      <c r="F445" s="43" t="s">
        <v>115</v>
      </c>
      <c r="G445" s="43" t="s">
        <v>115</v>
      </c>
      <c r="H445" s="44" t="s">
        <v>151</v>
      </c>
      <c r="I445" s="45" t="s">
        <v>68</v>
      </c>
      <c r="J445" s="46" t="s">
        <v>36</v>
      </c>
      <c r="K445" s="47" t="s">
        <v>6</v>
      </c>
      <c r="L445" s="48"/>
      <c r="M445" s="96"/>
      <c r="N445" s="96"/>
      <c r="O445" s="96"/>
      <c r="P445" s="97"/>
      <c r="Q445" s="97"/>
      <c r="R445" s="74"/>
      <c r="S445" s="74"/>
    </row>
    <row r="446" spans="1:19" ht="15.75" customHeight="1" thickBot="1">
      <c r="A446" s="92"/>
      <c r="B446" s="94"/>
      <c r="C446" s="36" t="s">
        <v>153</v>
      </c>
      <c r="D446" s="41">
        <v>8</v>
      </c>
      <c r="E446" s="50" t="str">
        <f>(MID(E445,SEARCH(":",E445)+1,2)-1) &amp; ":" &amp; (MID(E445,SEARCH(":",E445)+1,2)-D446)</f>
        <v>7:0</v>
      </c>
      <c r="F446" s="43" t="s">
        <v>115</v>
      </c>
      <c r="G446" s="43" t="s">
        <v>115</v>
      </c>
      <c r="H446" s="44" t="s">
        <v>160</v>
      </c>
      <c r="I446" s="45" t="s">
        <v>68</v>
      </c>
      <c r="J446" s="46" t="s">
        <v>36</v>
      </c>
      <c r="K446" s="47" t="s">
        <v>6</v>
      </c>
      <c r="L446" s="48"/>
      <c r="M446" s="96"/>
      <c r="N446" s="96"/>
      <c r="O446" s="96"/>
      <c r="P446" s="97"/>
      <c r="Q446" s="97"/>
      <c r="R446" s="74"/>
      <c r="S446" s="75"/>
    </row>
    <row r="447" spans="1:19">
      <c r="A447" s="92" t="s">
        <v>289</v>
      </c>
      <c r="B447" s="93" t="str">
        <f t="shared" ref="B447" si="231">DEC2HEX(P447*4)</f>
        <v>44</v>
      </c>
      <c r="C447" s="52" t="s">
        <v>454</v>
      </c>
      <c r="D447" s="80" t="str">
        <f>bitConcat1(F448:F449)</f>
        <v>32'b00000000000000000000000000000000</v>
      </c>
      <c r="E447" s="81"/>
      <c r="F447" s="81"/>
      <c r="G447" s="82"/>
      <c r="H447" s="53" t="s">
        <v>251</v>
      </c>
      <c r="I447" s="54"/>
      <c r="J447" s="83" t="str">
        <f>bitConcat1(G448:G449)</f>
        <v>32'b00000000000000000000000000000000</v>
      </c>
      <c r="K447" s="84"/>
      <c r="L447" s="85"/>
      <c r="M447" s="95" t="str">
        <f t="shared" ref="M447" si="232">DEC2HEX(_xlfn.BITLSHIFT(O447,7)+4*P447)</f>
        <v>3C4</v>
      </c>
      <c r="N447" s="96" t="s">
        <v>97</v>
      </c>
      <c r="O447" s="96">
        <v>7</v>
      </c>
      <c r="P447" s="97">
        <f>P442+1</f>
        <v>17</v>
      </c>
      <c r="Q447" s="98" t="str">
        <f>DEC2HEX(_xlfn.BITLSHIFT(O447,5)+P447)</f>
        <v>F1</v>
      </c>
      <c r="R447" s="73" t="str">
        <f>BIN2HEX(LEFT(RIGHT(D447,32),4))&amp;BIN2HEX(LEFT(RIGHT(D447,28),4))&amp;BIN2HEX(LEFT(RIGHT(D447,24),4))&amp;BIN2HEX(LEFT(RIGHT(D447,20),4))&amp;BIN2HEX(LEFT(RIGHT(D447,16),4))&amp;BIN2HEX(LEFT(RIGHT(D447,12),4))&amp;BIN2HEX(LEFT(RIGHT(D447,8),4))&amp;BIN2HEX(LEFT(RIGHT(D447,4),4))</f>
        <v>00000000</v>
      </c>
      <c r="S447" s="73" t="str">
        <f t="shared" ref="S447" si="233">BIN2HEX(LEFT(RIGHT(J447,32),4))&amp;BIN2HEX(LEFT(RIGHT(J447,28),4))&amp;BIN2HEX(LEFT(RIGHT(J447,24),4))&amp;BIN2HEX(LEFT(RIGHT(J447,20),4))&amp;BIN2HEX(LEFT(RIGHT(J447,16),4))&amp;BIN2HEX(LEFT(RIGHT(J447,12),4))&amp;BIN2HEX(LEFT(RIGHT(J447,8),4))&amp;BIN2HEX(LEFT(RIGHT(J447,4),4))</f>
        <v>00000000</v>
      </c>
    </row>
    <row r="448" spans="1:19">
      <c r="A448" s="92"/>
      <c r="B448" s="94"/>
      <c r="C448" s="36" t="s">
        <v>259</v>
      </c>
      <c r="D448" s="41">
        <v>16</v>
      </c>
      <c r="E448" s="42" t="str">
        <f>IF(D448&gt;1,(31)&amp;":"&amp;(31-D448+1),(31-D448+1)&amp;":"&amp;(31-D448+1))</f>
        <v>31:16</v>
      </c>
      <c r="F448" s="43" t="s">
        <v>245</v>
      </c>
      <c r="G448" s="43" t="s">
        <v>245</v>
      </c>
      <c r="H448" s="44" t="s">
        <v>258</v>
      </c>
      <c r="I448" s="45" t="s">
        <v>68</v>
      </c>
      <c r="J448" s="46" t="s">
        <v>36</v>
      </c>
      <c r="K448" s="47" t="s">
        <v>6</v>
      </c>
      <c r="L448" s="48"/>
      <c r="M448" s="96"/>
      <c r="N448" s="96"/>
      <c r="O448" s="96"/>
      <c r="P448" s="97"/>
      <c r="Q448" s="97"/>
      <c r="R448" s="74"/>
      <c r="S448" s="74"/>
    </row>
    <row r="449" spans="1:19" ht="15" thickBot="1">
      <c r="A449" s="92"/>
      <c r="B449" s="94"/>
      <c r="C449" s="36" t="s">
        <v>152</v>
      </c>
      <c r="D449" s="41">
        <v>16</v>
      </c>
      <c r="E449" s="50" t="str">
        <f>(MID(E448,SEARCH(":",E448)+1,2)-1) &amp; ":" &amp; (MID(E448,SEARCH(":",E448)+1,2)-D449)</f>
        <v>15:0</v>
      </c>
      <c r="F449" s="43" t="s">
        <v>245</v>
      </c>
      <c r="G449" s="43" t="s">
        <v>245</v>
      </c>
      <c r="H449" s="49" t="s">
        <v>121</v>
      </c>
      <c r="I449" s="45" t="s">
        <v>68</v>
      </c>
      <c r="J449" s="46" t="s">
        <v>36</v>
      </c>
      <c r="K449" s="47" t="s">
        <v>6</v>
      </c>
      <c r="L449" s="48"/>
      <c r="M449" s="96"/>
      <c r="N449" s="96"/>
      <c r="O449" s="96"/>
      <c r="P449" s="97"/>
      <c r="Q449" s="97"/>
      <c r="R449" s="75"/>
      <c r="S449" s="75"/>
    </row>
    <row r="450" spans="1:19">
      <c r="A450" s="92" t="s">
        <v>290</v>
      </c>
      <c r="B450" s="93" t="str">
        <f t="shared" ref="B450" si="234">DEC2HEX(P450*4)</f>
        <v>48</v>
      </c>
      <c r="C450" s="52" t="s">
        <v>454</v>
      </c>
      <c r="D450" s="80" t="str">
        <f>bitConcat1(F451:F455)</f>
        <v>32'b00000000101100110001100000100000</v>
      </c>
      <c r="E450" s="81"/>
      <c r="F450" s="81"/>
      <c r="G450" s="82"/>
      <c r="H450" s="53" t="s">
        <v>251</v>
      </c>
      <c r="I450" s="54"/>
      <c r="J450" s="83" t="str">
        <f>bitConcat1(G451:G455)</f>
        <v>32'b00000000000000000001100000000000</v>
      </c>
      <c r="K450" s="84"/>
      <c r="L450" s="85"/>
      <c r="M450" s="95" t="str">
        <f t="shared" ref="M450" si="235">DEC2HEX(_xlfn.BITLSHIFT(O450,7)+4*P450)</f>
        <v>3C8</v>
      </c>
      <c r="N450" s="96" t="s">
        <v>97</v>
      </c>
      <c r="O450" s="96">
        <v>7</v>
      </c>
      <c r="P450" s="97">
        <v>18</v>
      </c>
      <c r="Q450" s="98" t="str">
        <f>DEC2HEX(_xlfn.BITLSHIFT(O450,5)+P450)</f>
        <v>F2</v>
      </c>
      <c r="R450" s="73" t="str">
        <f>BIN2HEX(LEFT(RIGHT(D450,32),4))&amp;BIN2HEX(LEFT(RIGHT(D450,28),4))&amp;BIN2HEX(LEFT(RIGHT(D450,24),4))&amp;BIN2HEX(LEFT(RIGHT(D450,20),4))&amp;BIN2HEX(LEFT(RIGHT(D450,16),4))&amp;BIN2HEX(LEFT(RIGHT(D450,12),4))&amp;BIN2HEX(LEFT(RIGHT(D450,8),4))&amp;BIN2HEX(LEFT(RIGHT(D450,4),4))</f>
        <v>00B31820</v>
      </c>
      <c r="S450" s="73" t="str">
        <f t="shared" ref="S450" si="236">BIN2HEX(LEFT(RIGHT(J450,32),4))&amp;BIN2HEX(LEFT(RIGHT(J450,28),4))&amp;BIN2HEX(LEFT(RIGHT(J450,24),4))&amp;BIN2HEX(LEFT(RIGHT(J450,20),4))&amp;BIN2HEX(LEFT(RIGHT(J450,16),4))&amp;BIN2HEX(LEFT(RIGHT(J450,12),4))&amp;BIN2HEX(LEFT(RIGHT(J450,8),4))&amp;BIN2HEX(LEFT(RIGHT(J450,4),4))</f>
        <v>00001800</v>
      </c>
    </row>
    <row r="451" spans="1:19">
      <c r="A451" s="92"/>
      <c r="B451" s="94"/>
      <c r="C451" s="36" t="s">
        <v>162</v>
      </c>
      <c r="D451" s="41">
        <v>8</v>
      </c>
      <c r="E451" s="42" t="str">
        <f>IF(D451&gt;1,(31)&amp;":"&amp;(31-D451+1),(31-D451+1)&amp;":"&amp;(31-D451+1))</f>
        <v>31:24</v>
      </c>
      <c r="F451" s="43" t="s">
        <v>115</v>
      </c>
      <c r="G451" s="43" t="s">
        <v>115</v>
      </c>
      <c r="H451" s="44" t="s">
        <v>442</v>
      </c>
      <c r="I451" s="45" t="s">
        <v>68</v>
      </c>
      <c r="J451" s="46" t="s">
        <v>36</v>
      </c>
      <c r="K451" s="47" t="s">
        <v>6</v>
      </c>
      <c r="L451" s="48"/>
      <c r="M451" s="96"/>
      <c r="N451" s="96"/>
      <c r="O451" s="96"/>
      <c r="P451" s="97"/>
      <c r="Q451" s="97"/>
      <c r="R451" s="74"/>
      <c r="S451" s="74"/>
    </row>
    <row r="452" spans="1:19" ht="15.75" customHeight="1">
      <c r="A452" s="92"/>
      <c r="B452" s="94"/>
      <c r="C452" s="36" t="s">
        <v>441</v>
      </c>
      <c r="D452" s="41">
        <v>8</v>
      </c>
      <c r="E452" s="50" t="str">
        <f>(MID(E451,SEARCH(":",E451)+1,2)-1) &amp; ":" &amp; (MID(E451,SEARCH(":",E451)+1,2)-D452)</f>
        <v>23:16</v>
      </c>
      <c r="F452" s="43" t="s">
        <v>460</v>
      </c>
      <c r="G452" s="43" t="s">
        <v>115</v>
      </c>
      <c r="H452" s="49" t="s">
        <v>445</v>
      </c>
      <c r="I452" s="45" t="s">
        <v>68</v>
      </c>
      <c r="J452" s="46" t="s">
        <v>36</v>
      </c>
      <c r="K452" s="47" t="s">
        <v>6</v>
      </c>
      <c r="L452" s="48"/>
      <c r="M452" s="96"/>
      <c r="N452" s="96"/>
      <c r="O452" s="96"/>
      <c r="P452" s="97"/>
      <c r="Q452" s="97"/>
      <c r="R452" s="74"/>
      <c r="S452" s="74"/>
    </row>
    <row r="453" spans="1:19">
      <c r="A453" s="92"/>
      <c r="B453" s="94"/>
      <c r="C453" s="36" t="s">
        <v>163</v>
      </c>
      <c r="D453" s="41">
        <v>10</v>
      </c>
      <c r="E453" s="50" t="str">
        <f t="shared" ref="E453:E455" si="237">(MID(E452,SEARCH(":",E452)+1,2)-1) &amp; ":" &amp; (MID(E452,SEARCH(":",E452)+1,2)-D453)</f>
        <v>15:6</v>
      </c>
      <c r="F453" s="43" t="s">
        <v>305</v>
      </c>
      <c r="G453" s="43" t="s">
        <v>305</v>
      </c>
      <c r="H453" s="44" t="s">
        <v>443</v>
      </c>
      <c r="I453" s="45" t="s">
        <v>68</v>
      </c>
      <c r="J453" s="46" t="s">
        <v>36</v>
      </c>
      <c r="K453" s="47" t="s">
        <v>6</v>
      </c>
      <c r="L453" s="48"/>
      <c r="M453" s="96"/>
      <c r="N453" s="96"/>
      <c r="O453" s="96"/>
      <c r="P453" s="97"/>
      <c r="Q453" s="97"/>
      <c r="R453" s="74"/>
      <c r="S453" s="74"/>
    </row>
    <row r="454" spans="1:19">
      <c r="A454" s="92"/>
      <c r="B454" s="94"/>
      <c r="C454" s="36" t="s">
        <v>446</v>
      </c>
      <c r="D454" s="41">
        <v>1</v>
      </c>
      <c r="E454" s="50" t="str">
        <f t="shared" si="237"/>
        <v>5:5</v>
      </c>
      <c r="F454" s="43" t="s">
        <v>84</v>
      </c>
      <c r="G454" s="43" t="s">
        <v>7</v>
      </c>
      <c r="H454" s="49" t="s">
        <v>440</v>
      </c>
      <c r="I454" s="45" t="s">
        <v>68</v>
      </c>
      <c r="J454" s="46" t="s">
        <v>36</v>
      </c>
      <c r="K454" s="47" t="s">
        <v>6</v>
      </c>
      <c r="L454" s="48"/>
      <c r="M454" s="96"/>
      <c r="N454" s="96"/>
      <c r="O454" s="96"/>
      <c r="P454" s="97"/>
      <c r="Q454" s="97"/>
      <c r="R454" s="74"/>
      <c r="S454" s="74"/>
    </row>
    <row r="455" spans="1:19" ht="15" thickBot="1">
      <c r="A455" s="92"/>
      <c r="B455" s="94"/>
      <c r="C455" s="36" t="s">
        <v>447</v>
      </c>
      <c r="D455" s="41">
        <v>5</v>
      </c>
      <c r="E455" s="50" t="str">
        <f t="shared" si="237"/>
        <v>4:0</v>
      </c>
      <c r="F455" s="43" t="s">
        <v>103</v>
      </c>
      <c r="G455" s="43" t="s">
        <v>103</v>
      </c>
      <c r="H455" s="49" t="s">
        <v>444</v>
      </c>
      <c r="I455" s="45" t="s">
        <v>68</v>
      </c>
      <c r="J455" s="46" t="s">
        <v>36</v>
      </c>
      <c r="K455" s="47" t="s">
        <v>6</v>
      </c>
      <c r="L455" s="48"/>
      <c r="M455" s="96"/>
      <c r="N455" s="96"/>
      <c r="O455" s="96"/>
      <c r="P455" s="97"/>
      <c r="Q455" s="97"/>
      <c r="R455" s="75"/>
      <c r="S455" s="75"/>
    </row>
    <row r="456" spans="1:19">
      <c r="A456" s="99" t="s">
        <v>291</v>
      </c>
      <c r="B456" s="93" t="str">
        <f t="shared" ref="B456" si="238">DEC2HEX(P456*4)</f>
        <v>4C</v>
      </c>
      <c r="C456" s="52" t="s">
        <v>454</v>
      </c>
      <c r="D456" s="80" t="str">
        <f>bitConcat1(F457:F460)</f>
        <v>32'b00000000000000000000000000000000</v>
      </c>
      <c r="E456" s="81"/>
      <c r="F456" s="81"/>
      <c r="G456" s="82"/>
      <c r="H456" s="53" t="s">
        <v>251</v>
      </c>
      <c r="I456" s="54"/>
      <c r="J456" s="83" t="str">
        <f>bitConcat1(G457:G460)</f>
        <v>32'b00000000000000000000000000000000</v>
      </c>
      <c r="K456" s="84"/>
      <c r="L456" s="85"/>
      <c r="M456" s="95" t="str">
        <f t="shared" ref="M456" si="239">DEC2HEX(_xlfn.BITLSHIFT(O456,7)+4*P456)</f>
        <v>3CC</v>
      </c>
      <c r="N456" s="95" t="s">
        <v>97</v>
      </c>
      <c r="O456" s="95">
        <v>7</v>
      </c>
      <c r="P456" s="98">
        <v>19</v>
      </c>
      <c r="Q456" s="98" t="str">
        <f>DEC2HEX(_xlfn.BITLSHIFT(O456,5)+P456)</f>
        <v>F3</v>
      </c>
      <c r="R456" s="73" t="str">
        <f>BIN2HEX(LEFT(RIGHT(D456,32),4))&amp;BIN2HEX(LEFT(RIGHT(D456,28),4))&amp;BIN2HEX(LEFT(RIGHT(D456,24),4))&amp;BIN2HEX(LEFT(RIGHT(D456,20),4))&amp;BIN2HEX(LEFT(RIGHT(D456,16),4))&amp;BIN2HEX(LEFT(RIGHT(D456,12),4))&amp;BIN2HEX(LEFT(RIGHT(D456,8),4))&amp;BIN2HEX(LEFT(RIGHT(D456,4),4))</f>
        <v>00000000</v>
      </c>
      <c r="S456" s="73" t="str">
        <f t="shared" ref="S456" si="240">BIN2HEX(LEFT(RIGHT(J456,32),4))&amp;BIN2HEX(LEFT(RIGHT(J456,28),4))&amp;BIN2HEX(LEFT(RIGHT(J456,24),4))&amp;BIN2HEX(LEFT(RIGHT(J456,20),4))&amp;BIN2HEX(LEFT(RIGHT(J456,16),4))&amp;BIN2HEX(LEFT(RIGHT(J456,12),4))&amp;BIN2HEX(LEFT(RIGHT(J456,8),4))&amp;BIN2HEX(LEFT(RIGHT(J456,4),4))</f>
        <v>00000000</v>
      </c>
    </row>
    <row r="457" spans="1:19">
      <c r="A457" s="92"/>
      <c r="B457" s="94"/>
      <c r="C457" s="36" t="s">
        <v>169</v>
      </c>
      <c r="D457" s="41">
        <v>8</v>
      </c>
      <c r="E457" s="42" t="str">
        <f>IF(D457&gt;1,(31)&amp;":"&amp;(31-D457+1),(31-D457+1)&amp;":"&amp;(31-D457+1))</f>
        <v>31:24</v>
      </c>
      <c r="F457" s="43" t="s">
        <v>115</v>
      </c>
      <c r="G457" s="43" t="s">
        <v>115</v>
      </c>
      <c r="H457" s="44" t="s">
        <v>158</v>
      </c>
      <c r="I457" s="45" t="s">
        <v>68</v>
      </c>
      <c r="J457" s="46" t="s">
        <v>36</v>
      </c>
      <c r="K457" s="47" t="s">
        <v>6</v>
      </c>
      <c r="L457" s="48"/>
      <c r="M457" s="96"/>
      <c r="N457" s="96"/>
      <c r="O457" s="96"/>
      <c r="P457" s="97"/>
      <c r="Q457" s="97"/>
      <c r="R457" s="74"/>
      <c r="S457" s="74"/>
    </row>
    <row r="458" spans="1:19">
      <c r="A458" s="92"/>
      <c r="B458" s="94"/>
      <c r="C458" s="36" t="s">
        <v>170</v>
      </c>
      <c r="D458" s="41">
        <v>8</v>
      </c>
      <c r="E458" s="50" t="str">
        <f t="shared" ref="E458" si="241">(MID(E457,SEARCH(":",E457)+1,2)-1) &amp; ":" &amp; (MID(E457,SEARCH(":",E457)+1,2)-D458)</f>
        <v>23:16</v>
      </c>
      <c r="F458" s="43" t="s">
        <v>115</v>
      </c>
      <c r="G458" s="43" t="s">
        <v>115</v>
      </c>
      <c r="H458" s="44" t="s">
        <v>159</v>
      </c>
      <c r="I458" s="45" t="s">
        <v>68</v>
      </c>
      <c r="J458" s="46" t="s">
        <v>36</v>
      </c>
      <c r="K458" s="47" t="s">
        <v>6</v>
      </c>
      <c r="L458" s="48"/>
      <c r="M458" s="96"/>
      <c r="N458" s="96"/>
      <c r="O458" s="96"/>
      <c r="P458" s="97"/>
      <c r="Q458" s="97"/>
      <c r="R458" s="74"/>
      <c r="S458" s="74"/>
    </row>
    <row r="459" spans="1:19" ht="15.75" customHeight="1">
      <c r="A459" s="92"/>
      <c r="B459" s="94"/>
      <c r="C459" s="36" t="s">
        <v>167</v>
      </c>
      <c r="D459" s="41">
        <v>8</v>
      </c>
      <c r="E459" s="50" t="str">
        <f>(MID(E458,SEARCH(":",E458)+1,2)-1) &amp; ":" &amp; (MID(E458,SEARCH(":",E458)+1,2)-D459)</f>
        <v>15:8</v>
      </c>
      <c r="F459" s="43" t="s">
        <v>115</v>
      </c>
      <c r="G459" s="43" t="s">
        <v>115</v>
      </c>
      <c r="H459" s="44" t="s">
        <v>151</v>
      </c>
      <c r="I459" s="45" t="s">
        <v>68</v>
      </c>
      <c r="J459" s="46" t="s">
        <v>36</v>
      </c>
      <c r="K459" s="47" t="s">
        <v>6</v>
      </c>
      <c r="L459" s="48"/>
      <c r="M459" s="96"/>
      <c r="N459" s="96"/>
      <c r="O459" s="96"/>
      <c r="P459" s="97"/>
      <c r="Q459" s="97"/>
      <c r="R459" s="74"/>
      <c r="S459" s="74"/>
    </row>
    <row r="460" spans="1:19" ht="15" thickBot="1">
      <c r="A460" s="92"/>
      <c r="B460" s="94"/>
      <c r="C460" s="36" t="s">
        <v>168</v>
      </c>
      <c r="D460" s="41">
        <v>8</v>
      </c>
      <c r="E460" s="50" t="str">
        <f>(MID(E459,SEARCH(":",E459)+1,2)-1) &amp; ":" &amp; (MID(E459,SEARCH(":",E459)+1,2)-D460)</f>
        <v>7:0</v>
      </c>
      <c r="F460" s="43" t="s">
        <v>115</v>
      </c>
      <c r="G460" s="43" t="s">
        <v>115</v>
      </c>
      <c r="H460" s="44" t="s">
        <v>160</v>
      </c>
      <c r="I460" s="45" t="s">
        <v>68</v>
      </c>
      <c r="J460" s="46" t="s">
        <v>36</v>
      </c>
      <c r="K460" s="47" t="s">
        <v>6</v>
      </c>
      <c r="L460" s="48"/>
      <c r="M460" s="96"/>
      <c r="N460" s="96"/>
      <c r="O460" s="96"/>
      <c r="P460" s="97"/>
      <c r="Q460" s="97"/>
      <c r="R460" s="75"/>
      <c r="S460" s="75"/>
    </row>
    <row r="461" spans="1:19">
      <c r="A461" s="92" t="s">
        <v>292</v>
      </c>
      <c r="B461" s="93" t="str">
        <f t="shared" ref="B461" si="242">DEC2HEX(P461*4)</f>
        <v>50</v>
      </c>
      <c r="C461" s="52" t="s">
        <v>454</v>
      </c>
      <c r="D461" s="80" t="str">
        <f>bitConcat1(F462:F463)</f>
        <v>32'b00000000000000000000000000000000</v>
      </c>
      <c r="E461" s="81"/>
      <c r="F461" s="81"/>
      <c r="G461" s="82"/>
      <c r="H461" s="53" t="s">
        <v>251</v>
      </c>
      <c r="I461" s="54"/>
      <c r="J461" s="83" t="str">
        <f>bitConcat1(G462:G463)</f>
        <v>32'b00000000000000000000000000000000</v>
      </c>
      <c r="K461" s="84"/>
      <c r="L461" s="85"/>
      <c r="M461" s="95" t="str">
        <f t="shared" ref="M461" si="243">DEC2HEX(_xlfn.BITLSHIFT(O461,7)+4*P461)</f>
        <v>3D0</v>
      </c>
      <c r="N461" s="96" t="s">
        <v>97</v>
      </c>
      <c r="O461" s="96">
        <v>7</v>
      </c>
      <c r="P461" s="97">
        <v>20</v>
      </c>
      <c r="Q461" s="98" t="str">
        <f>DEC2HEX(_xlfn.BITLSHIFT(O461,5)+P461)</f>
        <v>F4</v>
      </c>
      <c r="R461" s="73" t="str">
        <f>BIN2HEX(LEFT(RIGHT(D461,32),4))&amp;BIN2HEX(LEFT(RIGHT(D461,28),4))&amp;BIN2HEX(LEFT(RIGHT(D461,24),4))&amp;BIN2HEX(LEFT(RIGHT(D461,20),4))&amp;BIN2HEX(LEFT(RIGHT(D461,16),4))&amp;BIN2HEX(LEFT(RIGHT(D461,12),4))&amp;BIN2HEX(LEFT(RIGHT(D461,8),4))&amp;BIN2HEX(LEFT(RIGHT(D461,4),4))</f>
        <v>00000000</v>
      </c>
      <c r="S461" s="73" t="str">
        <f t="shared" ref="S461" si="244">BIN2HEX(LEFT(RIGHT(J461,32),4))&amp;BIN2HEX(LEFT(RIGHT(J461,28),4))&amp;BIN2HEX(LEFT(RIGHT(J461,24),4))&amp;BIN2HEX(LEFT(RIGHT(J461,20),4))&amp;BIN2HEX(LEFT(RIGHT(J461,16),4))&amp;BIN2HEX(LEFT(RIGHT(J461,12),4))&amp;BIN2HEX(LEFT(RIGHT(J461,8),4))&amp;BIN2HEX(LEFT(RIGHT(J461,4),4))</f>
        <v>00000000</v>
      </c>
    </row>
    <row r="462" spans="1:19">
      <c r="A462" s="92"/>
      <c r="B462" s="94"/>
      <c r="C462" s="36" t="s">
        <v>260</v>
      </c>
      <c r="D462" s="41">
        <v>16</v>
      </c>
      <c r="E462" s="42" t="str">
        <f>IF(D462&gt;1,(31)&amp;":"&amp;(31-D462+1),(31-D462+1)&amp;":"&amp;(31-D462+1))</f>
        <v>31:16</v>
      </c>
      <c r="F462" s="43" t="s">
        <v>245</v>
      </c>
      <c r="G462" s="43" t="s">
        <v>245</v>
      </c>
      <c r="H462" s="44" t="s">
        <v>258</v>
      </c>
      <c r="I462" s="45" t="s">
        <v>68</v>
      </c>
      <c r="J462" s="46" t="s">
        <v>36</v>
      </c>
      <c r="K462" s="47" t="s">
        <v>6</v>
      </c>
      <c r="L462" s="48"/>
      <c r="M462" s="96"/>
      <c r="N462" s="96"/>
      <c r="O462" s="96"/>
      <c r="P462" s="97"/>
      <c r="Q462" s="97"/>
      <c r="R462" s="74"/>
      <c r="S462" s="74"/>
    </row>
    <row r="463" spans="1:19" ht="15" thickBot="1">
      <c r="A463" s="92"/>
      <c r="B463" s="94"/>
      <c r="C463" s="36" t="s">
        <v>152</v>
      </c>
      <c r="D463" s="41">
        <v>16</v>
      </c>
      <c r="E463" s="50" t="str">
        <f>(MID(E462,SEARCH(":",E462)+1,2)-1) &amp; ":" &amp; (MID(E462,SEARCH(":",E462)+1,2)-D463)</f>
        <v>15:0</v>
      </c>
      <c r="F463" s="43" t="s">
        <v>245</v>
      </c>
      <c r="G463" s="43" t="s">
        <v>245</v>
      </c>
      <c r="H463" s="49" t="s">
        <v>121</v>
      </c>
      <c r="I463" s="45" t="s">
        <v>68</v>
      </c>
      <c r="J463" s="46" t="s">
        <v>36</v>
      </c>
      <c r="K463" s="47" t="s">
        <v>6</v>
      </c>
      <c r="L463" s="48"/>
      <c r="M463" s="96"/>
      <c r="N463" s="96"/>
      <c r="O463" s="96"/>
      <c r="P463" s="97"/>
      <c r="Q463" s="97"/>
      <c r="R463" s="75"/>
      <c r="S463" s="75"/>
    </row>
    <row r="464" spans="1:19">
      <c r="A464" s="92" t="s">
        <v>293</v>
      </c>
      <c r="B464" s="93" t="str">
        <f t="shared" ref="B464" si="245">DEC2HEX(P464*4)</f>
        <v>54</v>
      </c>
      <c r="C464" s="52" t="s">
        <v>454</v>
      </c>
      <c r="D464" s="80" t="str">
        <f>bitConcat1(F465:F469)</f>
        <v>32'b00000000101100110001100000100000</v>
      </c>
      <c r="E464" s="81"/>
      <c r="F464" s="81"/>
      <c r="G464" s="82"/>
      <c r="H464" s="53" t="s">
        <v>251</v>
      </c>
      <c r="I464" s="54"/>
      <c r="J464" s="83" t="str">
        <f>bitConcat1(G465:G469)</f>
        <v>32'b00000000000000000001100000000000</v>
      </c>
      <c r="K464" s="84"/>
      <c r="L464" s="85"/>
      <c r="M464" s="95" t="str">
        <f t="shared" ref="M464" si="246">DEC2HEX(_xlfn.BITLSHIFT(O464,7)+4*P464)</f>
        <v>3D4</v>
      </c>
      <c r="N464" s="96" t="s">
        <v>97</v>
      </c>
      <c r="O464" s="96">
        <v>7</v>
      </c>
      <c r="P464" s="97">
        <v>21</v>
      </c>
      <c r="Q464" s="98" t="str">
        <f>DEC2HEX(_xlfn.BITLSHIFT(O464,5)+P464)</f>
        <v>F5</v>
      </c>
      <c r="R464" s="73" t="str">
        <f>BIN2HEX(LEFT(RIGHT(D464,32),4))&amp;BIN2HEX(LEFT(RIGHT(D464,28),4))&amp;BIN2HEX(LEFT(RIGHT(D464,24),4))&amp;BIN2HEX(LEFT(RIGHT(D464,20),4))&amp;BIN2HEX(LEFT(RIGHT(D464,16),4))&amp;BIN2HEX(LEFT(RIGHT(D464,12),4))&amp;BIN2HEX(LEFT(RIGHT(D464,8),4))&amp;BIN2HEX(LEFT(RIGHT(D464,4),4))</f>
        <v>00B31820</v>
      </c>
      <c r="S464" s="73" t="str">
        <f t="shared" ref="S464" si="247">BIN2HEX(LEFT(RIGHT(J464,32),4))&amp;BIN2HEX(LEFT(RIGHT(J464,28),4))&amp;BIN2HEX(LEFT(RIGHT(J464,24),4))&amp;BIN2HEX(LEFT(RIGHT(J464,20),4))&amp;BIN2HEX(LEFT(RIGHT(J464,16),4))&amp;BIN2HEX(LEFT(RIGHT(J464,12),4))&amp;BIN2HEX(LEFT(RIGHT(J464,8),4))&amp;BIN2HEX(LEFT(RIGHT(J464,4),4))</f>
        <v>00001800</v>
      </c>
    </row>
    <row r="465" spans="1:19">
      <c r="A465" s="92"/>
      <c r="B465" s="94"/>
      <c r="C465" s="36" t="s">
        <v>171</v>
      </c>
      <c r="D465" s="41">
        <v>8</v>
      </c>
      <c r="E465" s="42" t="str">
        <f>IF(D465&gt;1,(31)&amp;":"&amp;(31-D465+1),(31-D465+1)&amp;":"&amp;(31-D465+1))</f>
        <v>31:24</v>
      </c>
      <c r="F465" s="43" t="s">
        <v>115</v>
      </c>
      <c r="G465" s="43" t="s">
        <v>115</v>
      </c>
      <c r="H465" s="44" t="s">
        <v>442</v>
      </c>
      <c r="I465" s="45" t="s">
        <v>68</v>
      </c>
      <c r="J465" s="46" t="s">
        <v>36</v>
      </c>
      <c r="K465" s="47" t="s">
        <v>6</v>
      </c>
      <c r="L465" s="48"/>
      <c r="M465" s="96"/>
      <c r="N465" s="96"/>
      <c r="O465" s="96"/>
      <c r="P465" s="97"/>
      <c r="Q465" s="97"/>
      <c r="R465" s="74"/>
      <c r="S465" s="74"/>
    </row>
    <row r="466" spans="1:19">
      <c r="A466" s="92"/>
      <c r="B466" s="94"/>
      <c r="C466" s="36" t="s">
        <v>448</v>
      </c>
      <c r="D466" s="41">
        <v>8</v>
      </c>
      <c r="E466" s="50" t="str">
        <f>(MID(E465,SEARCH(":",E465)+1,2)-1) &amp; ":" &amp; (MID(E465,SEARCH(":",E465)+1,2)-D466)</f>
        <v>23:16</v>
      </c>
      <c r="F466" s="43" t="s">
        <v>460</v>
      </c>
      <c r="G466" s="43" t="s">
        <v>115</v>
      </c>
      <c r="H466" s="49" t="s">
        <v>445</v>
      </c>
      <c r="I466" s="45" t="s">
        <v>68</v>
      </c>
      <c r="J466" s="46" t="s">
        <v>36</v>
      </c>
      <c r="K466" s="47" t="s">
        <v>6</v>
      </c>
      <c r="L466" s="48"/>
      <c r="M466" s="96"/>
      <c r="N466" s="96"/>
      <c r="O466" s="96"/>
      <c r="P466" s="97"/>
      <c r="Q466" s="97"/>
      <c r="R466" s="74"/>
      <c r="S466" s="74"/>
    </row>
    <row r="467" spans="1:19" ht="15.75" customHeight="1">
      <c r="A467" s="92"/>
      <c r="B467" s="94"/>
      <c r="C467" s="36" t="s">
        <v>172</v>
      </c>
      <c r="D467" s="41">
        <v>10</v>
      </c>
      <c r="E467" s="50" t="str">
        <f t="shared" ref="E467:E469" si="248">(MID(E466,SEARCH(":",E466)+1,2)-1) &amp; ":" &amp; (MID(E466,SEARCH(":",E466)+1,2)-D467)</f>
        <v>15:6</v>
      </c>
      <c r="F467" s="43" t="s">
        <v>305</v>
      </c>
      <c r="G467" s="43" t="s">
        <v>305</v>
      </c>
      <c r="H467" s="44" t="s">
        <v>443</v>
      </c>
      <c r="I467" s="45" t="s">
        <v>68</v>
      </c>
      <c r="J467" s="46" t="s">
        <v>36</v>
      </c>
      <c r="K467" s="47" t="s">
        <v>6</v>
      </c>
      <c r="L467" s="48"/>
      <c r="M467" s="96"/>
      <c r="N467" s="96"/>
      <c r="O467" s="96"/>
      <c r="P467" s="97"/>
      <c r="Q467" s="97"/>
      <c r="R467" s="74"/>
      <c r="S467" s="74"/>
    </row>
    <row r="468" spans="1:19">
      <c r="A468" s="92"/>
      <c r="B468" s="94"/>
      <c r="C468" s="36" t="s">
        <v>457</v>
      </c>
      <c r="D468" s="41">
        <v>1</v>
      </c>
      <c r="E468" s="50" t="str">
        <f t="shared" si="248"/>
        <v>5:5</v>
      </c>
      <c r="F468" s="43" t="s">
        <v>84</v>
      </c>
      <c r="G468" s="43" t="s">
        <v>7</v>
      </c>
      <c r="H468" s="49" t="s">
        <v>440</v>
      </c>
      <c r="I468" s="45" t="s">
        <v>68</v>
      </c>
      <c r="J468" s="46" t="s">
        <v>36</v>
      </c>
      <c r="K468" s="47" t="s">
        <v>6</v>
      </c>
      <c r="L468" s="48"/>
      <c r="M468" s="96"/>
      <c r="N468" s="96"/>
      <c r="O468" s="96"/>
      <c r="P468" s="97"/>
      <c r="Q468" s="97"/>
      <c r="R468" s="74"/>
      <c r="S468" s="74"/>
    </row>
    <row r="469" spans="1:19" ht="15" thickBot="1">
      <c r="A469" s="92"/>
      <c r="B469" s="94"/>
      <c r="C469" s="36" t="s">
        <v>449</v>
      </c>
      <c r="D469" s="41">
        <v>5</v>
      </c>
      <c r="E469" s="50" t="str">
        <f t="shared" si="248"/>
        <v>4:0</v>
      </c>
      <c r="F469" s="43" t="s">
        <v>103</v>
      </c>
      <c r="G469" s="43" t="s">
        <v>103</v>
      </c>
      <c r="H469" s="49" t="s">
        <v>444</v>
      </c>
      <c r="I469" s="45" t="s">
        <v>68</v>
      </c>
      <c r="J469" s="46" t="s">
        <v>36</v>
      </c>
      <c r="K469" s="47" t="s">
        <v>6</v>
      </c>
      <c r="L469" s="48"/>
      <c r="M469" s="96"/>
      <c r="N469" s="96"/>
      <c r="O469" s="96"/>
      <c r="P469" s="97"/>
      <c r="Q469" s="97"/>
      <c r="R469" s="75"/>
      <c r="S469" s="75"/>
    </row>
    <row r="470" spans="1:19">
      <c r="A470" s="99" t="s">
        <v>294</v>
      </c>
      <c r="B470" s="93" t="str">
        <f t="shared" ref="B470" si="249">DEC2HEX(P470*4)</f>
        <v>58</v>
      </c>
      <c r="C470" s="52" t="s">
        <v>454</v>
      </c>
      <c r="D470" s="80" t="str">
        <f>bitConcat1(F471:F474)</f>
        <v>32'b00000000000000000000000000000000</v>
      </c>
      <c r="E470" s="81"/>
      <c r="F470" s="81"/>
      <c r="G470" s="82"/>
      <c r="H470" s="53" t="s">
        <v>251</v>
      </c>
      <c r="I470" s="54"/>
      <c r="J470" s="83" t="str">
        <f>bitConcat1(G471:G474)</f>
        <v>32'b00000000000000000000000000000000</v>
      </c>
      <c r="K470" s="84"/>
      <c r="L470" s="85"/>
      <c r="M470" s="95" t="str">
        <f t="shared" ref="M470" si="250">DEC2HEX(_xlfn.BITLSHIFT(O470,7)+4*P470)</f>
        <v>3D8</v>
      </c>
      <c r="N470" s="95" t="s">
        <v>97</v>
      </c>
      <c r="O470" s="95">
        <v>7</v>
      </c>
      <c r="P470" s="98">
        <v>22</v>
      </c>
      <c r="Q470" s="98" t="str">
        <f>DEC2HEX(_xlfn.BITLSHIFT(O470,5)+P470)</f>
        <v>F6</v>
      </c>
      <c r="R470" s="73" t="str">
        <f>BIN2HEX(LEFT(RIGHT(D470,32),4))&amp;BIN2HEX(LEFT(RIGHT(D470,28),4))&amp;BIN2HEX(LEFT(RIGHT(D470,24),4))&amp;BIN2HEX(LEFT(RIGHT(D470,20),4))&amp;BIN2HEX(LEFT(RIGHT(D470,16),4))&amp;BIN2HEX(LEFT(RIGHT(D470,12),4))&amp;BIN2HEX(LEFT(RIGHT(D470,8),4))&amp;BIN2HEX(LEFT(RIGHT(D470,4),4))</f>
        <v>00000000</v>
      </c>
      <c r="S470" s="73" t="str">
        <f t="shared" ref="S470" si="251">BIN2HEX(LEFT(RIGHT(J470,32),4))&amp;BIN2HEX(LEFT(RIGHT(J470,28),4))&amp;BIN2HEX(LEFT(RIGHT(J470,24),4))&amp;BIN2HEX(LEFT(RIGHT(J470,20),4))&amp;BIN2HEX(LEFT(RIGHT(J470,16),4))&amp;BIN2HEX(LEFT(RIGHT(J470,12),4))&amp;BIN2HEX(LEFT(RIGHT(J470,8),4))&amp;BIN2HEX(LEFT(RIGHT(J470,4),4))</f>
        <v>00000000</v>
      </c>
    </row>
    <row r="471" spans="1:19">
      <c r="A471" s="92"/>
      <c r="B471" s="94"/>
      <c r="C471" s="36" t="s">
        <v>178</v>
      </c>
      <c r="D471" s="41">
        <v>8</v>
      </c>
      <c r="E471" s="42" t="str">
        <f>IF(D471&gt;1,(31)&amp;":"&amp;(31-D471+1),(31-D471+1)&amp;":"&amp;(31-D471+1))</f>
        <v>31:24</v>
      </c>
      <c r="F471" s="43" t="s">
        <v>115</v>
      </c>
      <c r="G471" s="43" t="s">
        <v>115</v>
      </c>
      <c r="H471" s="44" t="s">
        <v>158</v>
      </c>
      <c r="I471" s="45" t="s">
        <v>68</v>
      </c>
      <c r="J471" s="46" t="s">
        <v>36</v>
      </c>
      <c r="K471" s="47" t="s">
        <v>6</v>
      </c>
      <c r="L471" s="48"/>
      <c r="M471" s="96"/>
      <c r="N471" s="96"/>
      <c r="O471" s="96"/>
      <c r="P471" s="97"/>
      <c r="Q471" s="97"/>
      <c r="R471" s="74"/>
      <c r="S471" s="74"/>
    </row>
    <row r="472" spans="1:19">
      <c r="A472" s="92"/>
      <c r="B472" s="94"/>
      <c r="C472" s="36" t="s">
        <v>179</v>
      </c>
      <c r="D472" s="41">
        <v>8</v>
      </c>
      <c r="E472" s="50" t="str">
        <f t="shared" ref="E472" si="252">(MID(E471,SEARCH(":",E471)+1,2)-1) &amp; ":" &amp; (MID(E471,SEARCH(":",E471)+1,2)-D472)</f>
        <v>23:16</v>
      </c>
      <c r="F472" s="43" t="s">
        <v>115</v>
      </c>
      <c r="G472" s="43" t="s">
        <v>115</v>
      </c>
      <c r="H472" s="44" t="s">
        <v>159</v>
      </c>
      <c r="I472" s="45" t="s">
        <v>68</v>
      </c>
      <c r="J472" s="46" t="s">
        <v>36</v>
      </c>
      <c r="K472" s="47" t="s">
        <v>6</v>
      </c>
      <c r="L472" s="48"/>
      <c r="M472" s="96"/>
      <c r="N472" s="96"/>
      <c r="O472" s="96"/>
      <c r="P472" s="97"/>
      <c r="Q472" s="97"/>
      <c r="R472" s="74"/>
      <c r="S472" s="74"/>
    </row>
    <row r="473" spans="1:19">
      <c r="A473" s="92"/>
      <c r="B473" s="94"/>
      <c r="C473" s="36" t="s">
        <v>176</v>
      </c>
      <c r="D473" s="41">
        <v>8</v>
      </c>
      <c r="E473" s="50" t="str">
        <f>(MID(E472,SEARCH(":",E472)+1,2)-1) &amp; ":" &amp; (MID(E472,SEARCH(":",E472)+1,2)-D473)</f>
        <v>15:8</v>
      </c>
      <c r="F473" s="43" t="s">
        <v>115</v>
      </c>
      <c r="G473" s="43" t="s">
        <v>115</v>
      </c>
      <c r="H473" s="44" t="s">
        <v>151</v>
      </c>
      <c r="I473" s="45" t="s">
        <v>68</v>
      </c>
      <c r="J473" s="46" t="s">
        <v>36</v>
      </c>
      <c r="K473" s="47" t="s">
        <v>6</v>
      </c>
      <c r="L473" s="48"/>
      <c r="M473" s="96"/>
      <c r="N473" s="96"/>
      <c r="O473" s="96"/>
      <c r="P473" s="97"/>
      <c r="Q473" s="97"/>
      <c r="R473" s="74"/>
      <c r="S473" s="74"/>
    </row>
    <row r="474" spans="1:19" ht="15" thickBot="1">
      <c r="A474" s="92"/>
      <c r="B474" s="94"/>
      <c r="C474" s="36" t="s">
        <v>177</v>
      </c>
      <c r="D474" s="41">
        <v>8</v>
      </c>
      <c r="E474" s="50" t="str">
        <f>(MID(E473,SEARCH(":",E473)+1,2)-1) &amp; ":" &amp; (MID(E473,SEARCH(":",E473)+1,2)-D474)</f>
        <v>7:0</v>
      </c>
      <c r="F474" s="43" t="s">
        <v>115</v>
      </c>
      <c r="G474" s="43" t="s">
        <v>115</v>
      </c>
      <c r="H474" s="44" t="s">
        <v>160</v>
      </c>
      <c r="I474" s="45" t="s">
        <v>68</v>
      </c>
      <c r="J474" s="46" t="s">
        <v>36</v>
      </c>
      <c r="K474" s="47" t="s">
        <v>6</v>
      </c>
      <c r="L474" s="48"/>
      <c r="M474" s="96"/>
      <c r="N474" s="96"/>
      <c r="O474" s="96"/>
      <c r="P474" s="97"/>
      <c r="Q474" s="97"/>
      <c r="R474" s="75"/>
      <c r="S474" s="75"/>
    </row>
    <row r="475" spans="1:19">
      <c r="A475" s="92" t="s">
        <v>295</v>
      </c>
      <c r="B475" s="93" t="str">
        <f t="shared" ref="B475" si="253">DEC2HEX(P475*4)</f>
        <v>5C</v>
      </c>
      <c r="C475" s="52" t="s">
        <v>454</v>
      </c>
      <c r="D475" s="80" t="str">
        <f>bitConcat1(F476:F477)</f>
        <v>32'b00000000000000000000000000000000</v>
      </c>
      <c r="E475" s="81"/>
      <c r="F475" s="81"/>
      <c r="G475" s="82"/>
      <c r="H475" s="53" t="s">
        <v>251</v>
      </c>
      <c r="I475" s="54"/>
      <c r="J475" s="83" t="str">
        <f>bitConcat1(G476:G477)</f>
        <v>32'b00000000000000000000000000000000</v>
      </c>
      <c r="K475" s="84"/>
      <c r="L475" s="85"/>
      <c r="M475" s="95" t="str">
        <f t="shared" ref="M475" si="254">DEC2HEX(_xlfn.BITLSHIFT(O475,7)+4*P475)</f>
        <v>3DC</v>
      </c>
      <c r="N475" s="96" t="s">
        <v>97</v>
      </c>
      <c r="O475" s="96">
        <v>7</v>
      </c>
      <c r="P475" s="97">
        <v>23</v>
      </c>
      <c r="Q475" s="98" t="str">
        <f>DEC2HEX(_xlfn.BITLSHIFT(O475,5)+P475)</f>
        <v>F7</v>
      </c>
      <c r="R475" s="73" t="str">
        <f>BIN2HEX(LEFT(RIGHT(D475,32),4))&amp;BIN2HEX(LEFT(RIGHT(D475,28),4))&amp;BIN2HEX(LEFT(RIGHT(D475,24),4))&amp;BIN2HEX(LEFT(RIGHT(D475,20),4))&amp;BIN2HEX(LEFT(RIGHT(D475,16),4))&amp;BIN2HEX(LEFT(RIGHT(D475,12),4))&amp;BIN2HEX(LEFT(RIGHT(D475,8),4))&amp;BIN2HEX(LEFT(RIGHT(D475,4),4))</f>
        <v>00000000</v>
      </c>
      <c r="S475" s="73" t="str">
        <f t="shared" ref="S475" si="255">BIN2HEX(LEFT(RIGHT(J475,32),4))&amp;BIN2HEX(LEFT(RIGHT(J475,28),4))&amp;BIN2HEX(LEFT(RIGHT(J475,24),4))&amp;BIN2HEX(LEFT(RIGHT(J475,20),4))&amp;BIN2HEX(LEFT(RIGHT(J475,16),4))&amp;BIN2HEX(LEFT(RIGHT(J475,12),4))&amp;BIN2HEX(LEFT(RIGHT(J475,8),4))&amp;BIN2HEX(LEFT(RIGHT(J475,4),4))</f>
        <v>00000000</v>
      </c>
    </row>
    <row r="476" spans="1:19" ht="15.75" customHeight="1">
      <c r="A476" s="92"/>
      <c r="B476" s="94"/>
      <c r="C476" s="36" t="s">
        <v>261</v>
      </c>
      <c r="D476" s="41">
        <v>16</v>
      </c>
      <c r="E476" s="42" t="str">
        <f>IF(D476&gt;1,(31)&amp;":"&amp;(31-D476+1),(31-D476+1)&amp;":"&amp;(31-D476+1))</f>
        <v>31:16</v>
      </c>
      <c r="F476" s="43" t="s">
        <v>245</v>
      </c>
      <c r="G476" s="43" t="s">
        <v>245</v>
      </c>
      <c r="H476" s="44" t="s">
        <v>262</v>
      </c>
      <c r="I476" s="45" t="s">
        <v>68</v>
      </c>
      <c r="J476" s="46" t="s">
        <v>36</v>
      </c>
      <c r="K476" s="47" t="s">
        <v>6</v>
      </c>
      <c r="L476" s="48"/>
      <c r="M476" s="96"/>
      <c r="N476" s="96"/>
      <c r="O476" s="96"/>
      <c r="P476" s="97"/>
      <c r="Q476" s="97"/>
      <c r="R476" s="74"/>
      <c r="S476" s="74"/>
    </row>
    <row r="477" spans="1:19" ht="15" thickBot="1">
      <c r="A477" s="92"/>
      <c r="B477" s="94"/>
      <c r="C477" s="36" t="s">
        <v>152</v>
      </c>
      <c r="D477" s="41">
        <v>16</v>
      </c>
      <c r="E477" s="50" t="str">
        <f>(MID(E476,SEARCH(":",E476)+1,2)-1) &amp; ":" &amp; (MID(E476,SEARCH(":",E476)+1,2)-D477)</f>
        <v>15:0</v>
      </c>
      <c r="F477" s="43" t="s">
        <v>245</v>
      </c>
      <c r="G477" s="43" t="s">
        <v>245</v>
      </c>
      <c r="H477" s="49" t="s">
        <v>121</v>
      </c>
      <c r="I477" s="45" t="s">
        <v>68</v>
      </c>
      <c r="J477" s="46" t="s">
        <v>36</v>
      </c>
      <c r="K477" s="47" t="s">
        <v>6</v>
      </c>
      <c r="L477" s="48"/>
      <c r="M477" s="96"/>
      <c r="N477" s="96"/>
      <c r="O477" s="96"/>
      <c r="P477" s="97"/>
      <c r="Q477" s="97"/>
      <c r="R477" s="75"/>
      <c r="S477" s="75"/>
    </row>
    <row r="478" spans="1:19">
      <c r="A478" s="92" t="s">
        <v>296</v>
      </c>
      <c r="B478" s="93" t="str">
        <f t="shared" ref="B478" si="256">DEC2HEX(P478*4)</f>
        <v>60</v>
      </c>
      <c r="C478" s="52" t="s">
        <v>454</v>
      </c>
      <c r="D478" s="80" t="str">
        <f>bitConcat1(F479:F483)</f>
        <v>32'b00000000101100110001100000100000</v>
      </c>
      <c r="E478" s="81"/>
      <c r="F478" s="81"/>
      <c r="G478" s="82"/>
      <c r="H478" s="53" t="s">
        <v>251</v>
      </c>
      <c r="I478" s="54"/>
      <c r="J478" s="83" t="str">
        <f>bitConcat1(G479:G483)</f>
        <v>32'b00000000000000000001100000000000</v>
      </c>
      <c r="K478" s="84"/>
      <c r="L478" s="85"/>
      <c r="M478" s="95" t="str">
        <f t="shared" ref="M478" si="257">DEC2HEX(_xlfn.BITLSHIFT(O478,7)+4*P478)</f>
        <v>3E0</v>
      </c>
      <c r="N478" s="96" t="s">
        <v>97</v>
      </c>
      <c r="O478" s="96">
        <v>7</v>
      </c>
      <c r="P478" s="97">
        <v>24</v>
      </c>
      <c r="Q478" s="98" t="str">
        <f t="shared" ref="Q478" si="258">DEC2HEX(_xlfn.BITLSHIFT(O478,5)+P478*4)</f>
        <v>140</v>
      </c>
      <c r="R478" s="73" t="str">
        <f>BIN2HEX(LEFT(RIGHT(D478,32),4))&amp;BIN2HEX(LEFT(RIGHT(D478,28),4))&amp;BIN2HEX(LEFT(RIGHT(D478,24),4))&amp;BIN2HEX(LEFT(RIGHT(D478,20),4))&amp;BIN2HEX(LEFT(RIGHT(D478,16),4))&amp;BIN2HEX(LEFT(RIGHT(D478,12),4))&amp;BIN2HEX(LEFT(RIGHT(D478,8),4))&amp;BIN2HEX(LEFT(RIGHT(D478,4),4))</f>
        <v>00B31820</v>
      </c>
      <c r="S478" s="73" t="str">
        <f t="shared" ref="S478" si="259">BIN2HEX(LEFT(RIGHT(J478,32),4))&amp;BIN2HEX(LEFT(RIGHT(J478,28),4))&amp;BIN2HEX(LEFT(RIGHT(J478,24),4))&amp;BIN2HEX(LEFT(RIGHT(J478,20),4))&amp;BIN2HEX(LEFT(RIGHT(J478,16),4))&amp;BIN2HEX(LEFT(RIGHT(J478,12),4))&amp;BIN2HEX(LEFT(RIGHT(J478,8),4))&amp;BIN2HEX(LEFT(RIGHT(J478,4),4))</f>
        <v>00001800</v>
      </c>
    </row>
    <row r="479" spans="1:19">
      <c r="A479" s="92"/>
      <c r="B479" s="94"/>
      <c r="C479" s="36" t="s">
        <v>180</v>
      </c>
      <c r="D479" s="41">
        <v>8</v>
      </c>
      <c r="E479" s="42" t="str">
        <f>IF(D479&gt;1,(31)&amp;":"&amp;(31-D479+1),(31-D479+1)&amp;":"&amp;(31-D479+1))</f>
        <v>31:24</v>
      </c>
      <c r="F479" s="43" t="s">
        <v>115</v>
      </c>
      <c r="G479" s="43" t="s">
        <v>115</v>
      </c>
      <c r="H479" s="44" t="s">
        <v>442</v>
      </c>
      <c r="I479" s="45" t="s">
        <v>68</v>
      </c>
      <c r="J479" s="46" t="s">
        <v>36</v>
      </c>
      <c r="K479" s="47" t="s">
        <v>6</v>
      </c>
      <c r="L479" s="48"/>
      <c r="M479" s="96"/>
      <c r="N479" s="96"/>
      <c r="O479" s="96"/>
      <c r="P479" s="97"/>
      <c r="Q479" s="97"/>
      <c r="R479" s="74"/>
      <c r="S479" s="74"/>
    </row>
    <row r="480" spans="1:19">
      <c r="A480" s="92"/>
      <c r="B480" s="94"/>
      <c r="C480" s="36" t="s">
        <v>450</v>
      </c>
      <c r="D480" s="41">
        <v>8</v>
      </c>
      <c r="E480" s="50" t="str">
        <f>(MID(E479,SEARCH(":",E479)+1,2)-1) &amp; ":" &amp; (MID(E479,SEARCH(":",E479)+1,2)-D480)</f>
        <v>23:16</v>
      </c>
      <c r="F480" s="43" t="s">
        <v>460</v>
      </c>
      <c r="G480" s="43" t="s">
        <v>115</v>
      </c>
      <c r="H480" s="49" t="s">
        <v>445</v>
      </c>
      <c r="I480" s="45" t="s">
        <v>68</v>
      </c>
      <c r="J480" s="46" t="s">
        <v>36</v>
      </c>
      <c r="K480" s="47" t="s">
        <v>6</v>
      </c>
      <c r="L480" s="48"/>
      <c r="M480" s="96"/>
      <c r="N480" s="96"/>
      <c r="O480" s="96"/>
      <c r="P480" s="97"/>
      <c r="Q480" s="97"/>
      <c r="R480" s="74"/>
      <c r="S480" s="74"/>
    </row>
    <row r="481" spans="1:19">
      <c r="A481" s="92"/>
      <c r="B481" s="94"/>
      <c r="C481" s="36" t="s">
        <v>181</v>
      </c>
      <c r="D481" s="41">
        <v>10</v>
      </c>
      <c r="E481" s="50" t="str">
        <f t="shared" ref="E481:E483" si="260">(MID(E480,SEARCH(":",E480)+1,2)-1) &amp; ":" &amp; (MID(E480,SEARCH(":",E480)+1,2)-D481)</f>
        <v>15:6</v>
      </c>
      <c r="F481" s="43" t="s">
        <v>305</v>
      </c>
      <c r="G481" s="43" t="s">
        <v>305</v>
      </c>
      <c r="H481" s="44" t="s">
        <v>443</v>
      </c>
      <c r="I481" s="45" t="s">
        <v>68</v>
      </c>
      <c r="J481" s="46" t="s">
        <v>36</v>
      </c>
      <c r="K481" s="47" t="s">
        <v>6</v>
      </c>
      <c r="L481" s="48"/>
      <c r="M481" s="96"/>
      <c r="N481" s="96"/>
      <c r="O481" s="96"/>
      <c r="P481" s="97"/>
      <c r="Q481" s="97"/>
      <c r="R481" s="74"/>
      <c r="S481" s="74"/>
    </row>
    <row r="482" spans="1:19">
      <c r="A482" s="92"/>
      <c r="B482" s="94"/>
      <c r="C482" s="36" t="s">
        <v>458</v>
      </c>
      <c r="D482" s="41">
        <v>1</v>
      </c>
      <c r="E482" s="50" t="str">
        <f t="shared" si="260"/>
        <v>5:5</v>
      </c>
      <c r="F482" s="43" t="s">
        <v>84</v>
      </c>
      <c r="G482" s="43" t="s">
        <v>7</v>
      </c>
      <c r="H482" s="49" t="s">
        <v>440</v>
      </c>
      <c r="I482" s="45" t="s">
        <v>68</v>
      </c>
      <c r="J482" s="46" t="s">
        <v>36</v>
      </c>
      <c r="K482" s="47" t="s">
        <v>6</v>
      </c>
      <c r="L482" s="48"/>
      <c r="M482" s="96"/>
      <c r="N482" s="96"/>
      <c r="O482" s="96"/>
      <c r="P482" s="97"/>
      <c r="Q482" s="97"/>
      <c r="R482" s="74"/>
      <c r="S482" s="74"/>
    </row>
    <row r="483" spans="1:19" ht="15" thickBot="1">
      <c r="A483" s="92"/>
      <c r="B483" s="94"/>
      <c r="C483" s="36" t="s">
        <v>451</v>
      </c>
      <c r="D483" s="41">
        <v>5</v>
      </c>
      <c r="E483" s="50" t="str">
        <f t="shared" si="260"/>
        <v>4:0</v>
      </c>
      <c r="F483" s="43" t="s">
        <v>103</v>
      </c>
      <c r="G483" s="43" t="s">
        <v>103</v>
      </c>
      <c r="H483" s="49" t="s">
        <v>444</v>
      </c>
      <c r="I483" s="45" t="s">
        <v>68</v>
      </c>
      <c r="J483" s="46" t="s">
        <v>36</v>
      </c>
      <c r="K483" s="47" t="s">
        <v>6</v>
      </c>
      <c r="L483" s="48"/>
      <c r="M483" s="96"/>
      <c r="N483" s="96"/>
      <c r="O483" s="96"/>
      <c r="P483" s="97"/>
      <c r="Q483" s="97"/>
      <c r="R483" s="75"/>
      <c r="S483" s="75"/>
    </row>
    <row r="484" spans="1:19">
      <c r="A484" s="99" t="s">
        <v>297</v>
      </c>
      <c r="B484" s="93" t="str">
        <f t="shared" ref="B484" si="261">DEC2HEX(P484*4)</f>
        <v>64</v>
      </c>
      <c r="C484" s="52" t="s">
        <v>454</v>
      </c>
      <c r="D484" s="80" t="str">
        <f>bitConcat1(F485:F488)</f>
        <v>32'b00000000000000000000000000000000</v>
      </c>
      <c r="E484" s="81"/>
      <c r="F484" s="81"/>
      <c r="G484" s="82"/>
      <c r="H484" s="53" t="s">
        <v>251</v>
      </c>
      <c r="I484" s="54"/>
      <c r="J484" s="83" t="str">
        <f>bitConcat1(G485:G488)</f>
        <v>32'b00000000000000000000000000000000</v>
      </c>
      <c r="K484" s="84"/>
      <c r="L484" s="85"/>
      <c r="M484" s="95" t="str">
        <f t="shared" ref="M484" si="262">DEC2HEX(_xlfn.BITLSHIFT(O484,7)+4*P484)</f>
        <v>3E4</v>
      </c>
      <c r="N484" s="95" t="s">
        <v>97</v>
      </c>
      <c r="O484" s="95">
        <v>7</v>
      </c>
      <c r="P484" s="98">
        <v>25</v>
      </c>
      <c r="Q484" s="98" t="str">
        <f>DEC2HEX(_xlfn.BITLSHIFT(O484,5)+P484)</f>
        <v>F9</v>
      </c>
      <c r="R484" s="73" t="str">
        <f>BIN2HEX(LEFT(RIGHT(D484,32),4))&amp;BIN2HEX(LEFT(RIGHT(D484,28),4))&amp;BIN2HEX(LEFT(RIGHT(D484,24),4))&amp;BIN2HEX(LEFT(RIGHT(D484,20),4))&amp;BIN2HEX(LEFT(RIGHT(D484,16),4))&amp;BIN2HEX(LEFT(RIGHT(D484,12),4))&amp;BIN2HEX(LEFT(RIGHT(D484,8),4))&amp;BIN2HEX(LEFT(RIGHT(D484,4),4))</f>
        <v>00000000</v>
      </c>
      <c r="S484" s="73" t="str">
        <f t="shared" ref="S484" si="263">BIN2HEX(LEFT(RIGHT(J484,32),4))&amp;BIN2HEX(LEFT(RIGHT(J484,28),4))&amp;BIN2HEX(LEFT(RIGHT(J484,24),4))&amp;BIN2HEX(LEFT(RIGHT(J484,20),4))&amp;BIN2HEX(LEFT(RIGHT(J484,16),4))&amp;BIN2HEX(LEFT(RIGHT(J484,12),4))&amp;BIN2HEX(LEFT(RIGHT(J484,8),4))&amp;BIN2HEX(LEFT(RIGHT(J484,4),4))</f>
        <v>00000000</v>
      </c>
    </row>
    <row r="485" spans="1:19">
      <c r="A485" s="92"/>
      <c r="B485" s="94"/>
      <c r="C485" s="36" t="s">
        <v>187</v>
      </c>
      <c r="D485" s="41">
        <v>8</v>
      </c>
      <c r="E485" s="42" t="str">
        <f>IF(D485&gt;1,(31)&amp;":"&amp;(31-D485+1),(31-D485+1)&amp;":"&amp;(31-D485+1))</f>
        <v>31:24</v>
      </c>
      <c r="F485" s="43" t="s">
        <v>115</v>
      </c>
      <c r="G485" s="43" t="s">
        <v>115</v>
      </c>
      <c r="H485" s="44" t="s">
        <v>158</v>
      </c>
      <c r="I485" s="45" t="s">
        <v>68</v>
      </c>
      <c r="J485" s="46" t="s">
        <v>36</v>
      </c>
      <c r="K485" s="47" t="s">
        <v>6</v>
      </c>
      <c r="L485" s="48"/>
      <c r="M485" s="96"/>
      <c r="N485" s="96"/>
      <c r="O485" s="96"/>
      <c r="P485" s="97"/>
      <c r="Q485" s="97"/>
      <c r="R485" s="74"/>
      <c r="S485" s="74"/>
    </row>
    <row r="486" spans="1:19">
      <c r="A486" s="92"/>
      <c r="B486" s="94"/>
      <c r="C486" s="36" t="s">
        <v>188</v>
      </c>
      <c r="D486" s="41">
        <v>8</v>
      </c>
      <c r="E486" s="50" t="str">
        <f t="shared" ref="E486" si="264">(MID(E485,SEARCH(":",E485)+1,2)-1) &amp; ":" &amp; (MID(E485,SEARCH(":",E485)+1,2)-D486)</f>
        <v>23:16</v>
      </c>
      <c r="F486" s="43" t="s">
        <v>115</v>
      </c>
      <c r="G486" s="43" t="s">
        <v>115</v>
      </c>
      <c r="H486" s="44" t="s">
        <v>159</v>
      </c>
      <c r="I486" s="45" t="s">
        <v>68</v>
      </c>
      <c r="J486" s="46" t="s">
        <v>36</v>
      </c>
      <c r="K486" s="47" t="s">
        <v>6</v>
      </c>
      <c r="L486" s="48"/>
      <c r="M486" s="96"/>
      <c r="N486" s="96"/>
      <c r="O486" s="96"/>
      <c r="P486" s="97"/>
      <c r="Q486" s="97"/>
      <c r="R486" s="74"/>
      <c r="S486" s="74"/>
    </row>
    <row r="487" spans="1:19" ht="15.75" customHeight="1">
      <c r="A487" s="92"/>
      <c r="B487" s="94"/>
      <c r="C487" s="36" t="s">
        <v>185</v>
      </c>
      <c r="D487" s="41">
        <v>8</v>
      </c>
      <c r="E487" s="50" t="str">
        <f>(MID(E486,SEARCH(":",E486)+1,2)-1) &amp; ":" &amp; (MID(E486,SEARCH(":",E486)+1,2)-D487)</f>
        <v>15:8</v>
      </c>
      <c r="F487" s="43" t="s">
        <v>115</v>
      </c>
      <c r="G487" s="43" t="s">
        <v>115</v>
      </c>
      <c r="H487" s="44" t="s">
        <v>151</v>
      </c>
      <c r="I487" s="45" t="s">
        <v>68</v>
      </c>
      <c r="J487" s="46" t="s">
        <v>36</v>
      </c>
      <c r="K487" s="47" t="s">
        <v>6</v>
      </c>
      <c r="L487" s="48"/>
      <c r="M487" s="96"/>
      <c r="N487" s="96"/>
      <c r="O487" s="96"/>
      <c r="P487" s="97"/>
      <c r="Q487" s="97"/>
      <c r="R487" s="74"/>
      <c r="S487" s="74"/>
    </row>
    <row r="488" spans="1:19" ht="15" thickBot="1">
      <c r="A488" s="92"/>
      <c r="B488" s="94"/>
      <c r="C488" s="36" t="s">
        <v>186</v>
      </c>
      <c r="D488" s="41">
        <v>8</v>
      </c>
      <c r="E488" s="50" t="str">
        <f>(MID(E487,SEARCH(":",E487)+1,2)-1) &amp; ":" &amp; (MID(E487,SEARCH(":",E487)+1,2)-D488)</f>
        <v>7:0</v>
      </c>
      <c r="F488" s="43" t="s">
        <v>115</v>
      </c>
      <c r="G488" s="43" t="s">
        <v>115</v>
      </c>
      <c r="H488" s="44" t="s">
        <v>160</v>
      </c>
      <c r="I488" s="45" t="s">
        <v>68</v>
      </c>
      <c r="J488" s="46" t="s">
        <v>36</v>
      </c>
      <c r="K488" s="47" t="s">
        <v>6</v>
      </c>
      <c r="L488" s="48"/>
      <c r="M488" s="96"/>
      <c r="N488" s="96"/>
      <c r="O488" s="96"/>
      <c r="P488" s="97"/>
      <c r="Q488" s="97"/>
      <c r="R488" s="75"/>
      <c r="S488" s="75"/>
    </row>
    <row r="489" spans="1:19" ht="15.75" customHeight="1">
      <c r="A489" s="92" t="s">
        <v>298</v>
      </c>
      <c r="B489" s="93" t="str">
        <f t="shared" ref="B489" si="265">DEC2HEX(P489*4)</f>
        <v>68</v>
      </c>
      <c r="C489" s="52" t="s">
        <v>454</v>
      </c>
      <c r="D489" s="80" t="str">
        <f>bitConcat1(F490:F491)</f>
        <v>32'b00000000000000000000000000000000</v>
      </c>
      <c r="E489" s="81"/>
      <c r="F489" s="81"/>
      <c r="G489" s="82"/>
      <c r="H489" s="53" t="s">
        <v>251</v>
      </c>
      <c r="I489" s="54"/>
      <c r="J489" s="83" t="str">
        <f>bitConcat1(G490:G491)</f>
        <v>32'b00000000000000000000000000000000</v>
      </c>
      <c r="K489" s="84"/>
      <c r="L489" s="85"/>
      <c r="M489" s="95" t="str">
        <f t="shared" ref="M489" si="266">DEC2HEX(_xlfn.BITLSHIFT(O489,7)+4*P489)</f>
        <v>3E8</v>
      </c>
      <c r="N489" s="96" t="s">
        <v>97</v>
      </c>
      <c r="O489" s="96">
        <v>7</v>
      </c>
      <c r="P489" s="97">
        <v>26</v>
      </c>
      <c r="Q489" s="98" t="str">
        <f>DEC2HEX(_xlfn.BITLSHIFT(O489,5)+P489)</f>
        <v>FA</v>
      </c>
      <c r="R489" s="73" t="str">
        <f>BIN2HEX(LEFT(RIGHT(D489,32),4))&amp;BIN2HEX(LEFT(RIGHT(D489,28),4))&amp;BIN2HEX(LEFT(RIGHT(D489,24),4))&amp;BIN2HEX(LEFT(RIGHT(D489,20),4))&amp;BIN2HEX(LEFT(RIGHT(D489,16),4))&amp;BIN2HEX(LEFT(RIGHT(D489,12),4))&amp;BIN2HEX(LEFT(RIGHT(D489,8),4))&amp;BIN2HEX(LEFT(RIGHT(D489,4),4))</f>
        <v>00000000</v>
      </c>
      <c r="S489" s="73" t="str">
        <f t="shared" ref="S489" si="267">BIN2HEX(LEFT(RIGHT(J489,32),4))&amp;BIN2HEX(LEFT(RIGHT(J489,28),4))&amp;BIN2HEX(LEFT(RIGHT(J489,24),4))&amp;BIN2HEX(LEFT(RIGHT(J489,20),4))&amp;BIN2HEX(LEFT(RIGHT(J489,16),4))&amp;BIN2HEX(LEFT(RIGHT(J489,12),4))&amp;BIN2HEX(LEFT(RIGHT(J489,8),4))&amp;BIN2HEX(LEFT(RIGHT(J489,4),4))</f>
        <v>00000000</v>
      </c>
    </row>
    <row r="490" spans="1:19">
      <c r="A490" s="92"/>
      <c r="B490" s="94"/>
      <c r="C490" s="36" t="s">
        <v>263</v>
      </c>
      <c r="D490" s="41">
        <v>16</v>
      </c>
      <c r="E490" s="42" t="str">
        <f>IF(D490&gt;1,(31)&amp;":"&amp;(31-D490+1),(31-D490+1)&amp;":"&amp;(31-D490+1))</f>
        <v>31:16</v>
      </c>
      <c r="F490" s="43" t="s">
        <v>245</v>
      </c>
      <c r="G490" s="43" t="s">
        <v>245</v>
      </c>
      <c r="H490" s="44" t="s">
        <v>264</v>
      </c>
      <c r="I490" s="45" t="s">
        <v>68</v>
      </c>
      <c r="J490" s="46" t="s">
        <v>36</v>
      </c>
      <c r="K490" s="47" t="s">
        <v>6</v>
      </c>
      <c r="L490" s="48"/>
      <c r="M490" s="96"/>
      <c r="N490" s="96"/>
      <c r="O490" s="96"/>
      <c r="P490" s="97"/>
      <c r="Q490" s="97"/>
      <c r="R490" s="74"/>
      <c r="S490" s="74"/>
    </row>
    <row r="491" spans="1:19" ht="15" thickBot="1">
      <c r="A491" s="92"/>
      <c r="B491" s="94"/>
      <c r="C491" s="36" t="s">
        <v>152</v>
      </c>
      <c r="D491" s="41">
        <v>16</v>
      </c>
      <c r="E491" s="50" t="str">
        <f>(MID(E490,SEARCH(":",E490)+1,2)-1) &amp; ":" &amp; (MID(E490,SEARCH(":",E490)+1,2)-D491)</f>
        <v>15:0</v>
      </c>
      <c r="F491" s="43" t="s">
        <v>245</v>
      </c>
      <c r="G491" s="43" t="s">
        <v>245</v>
      </c>
      <c r="H491" s="49" t="s">
        <v>121</v>
      </c>
      <c r="I491" s="45" t="s">
        <v>68</v>
      </c>
      <c r="J491" s="46" t="s">
        <v>36</v>
      </c>
      <c r="K491" s="47" t="s">
        <v>6</v>
      </c>
      <c r="L491" s="48"/>
      <c r="M491" s="96"/>
      <c r="N491" s="96"/>
      <c r="O491" s="96"/>
      <c r="P491" s="97"/>
      <c r="Q491" s="97"/>
      <c r="R491" s="75"/>
      <c r="S491" s="75"/>
    </row>
    <row r="492" spans="1:19">
      <c r="A492" s="92" t="s">
        <v>299</v>
      </c>
      <c r="B492" s="93" t="str">
        <f t="shared" ref="B492" si="268">DEC2HEX(P492*4)</f>
        <v>6C</v>
      </c>
      <c r="C492" s="52" t="s">
        <v>454</v>
      </c>
      <c r="D492" s="80" t="str">
        <f>bitConcat1(F493:F497)</f>
        <v>32'b00000000101100110001100000100000</v>
      </c>
      <c r="E492" s="81"/>
      <c r="F492" s="81"/>
      <c r="G492" s="82"/>
      <c r="H492" s="53" t="s">
        <v>251</v>
      </c>
      <c r="I492" s="54"/>
      <c r="J492" s="83" t="str">
        <f>bitConcat1(G493:G497)</f>
        <v>32'b00000000000000000001100000000000</v>
      </c>
      <c r="K492" s="84"/>
      <c r="L492" s="85"/>
      <c r="M492" s="95" t="str">
        <f t="shared" ref="M492" si="269">DEC2HEX(_xlfn.BITLSHIFT(O492,7)+4*P492)</f>
        <v>3EC</v>
      </c>
      <c r="N492" s="96" t="s">
        <v>97</v>
      </c>
      <c r="O492" s="96">
        <v>7</v>
      </c>
      <c r="P492" s="97">
        <v>27</v>
      </c>
      <c r="Q492" s="98" t="str">
        <f>DEC2HEX(_xlfn.BITLSHIFT(O492,5)+P492)</f>
        <v>FB</v>
      </c>
      <c r="R492" s="73" t="str">
        <f>BIN2HEX(LEFT(RIGHT(D492,32),4))&amp;BIN2HEX(LEFT(RIGHT(D492,28),4))&amp;BIN2HEX(LEFT(RIGHT(D492,24),4))&amp;BIN2HEX(LEFT(RIGHT(D492,20),4))&amp;BIN2HEX(LEFT(RIGHT(D492,16),4))&amp;BIN2HEX(LEFT(RIGHT(D492,12),4))&amp;BIN2HEX(LEFT(RIGHT(D492,8),4))&amp;BIN2HEX(LEFT(RIGHT(D492,4),4))</f>
        <v>00B31820</v>
      </c>
      <c r="S492" s="73" t="str">
        <f t="shared" ref="S492" si="270">BIN2HEX(LEFT(RIGHT(J492,32),4))&amp;BIN2HEX(LEFT(RIGHT(J492,28),4))&amp;BIN2HEX(LEFT(RIGHT(J492,24),4))&amp;BIN2HEX(LEFT(RIGHT(J492,20),4))&amp;BIN2HEX(LEFT(RIGHT(J492,16),4))&amp;BIN2HEX(LEFT(RIGHT(J492,12),4))&amp;BIN2HEX(LEFT(RIGHT(J492,8),4))&amp;BIN2HEX(LEFT(RIGHT(J492,4),4))</f>
        <v>00001800</v>
      </c>
    </row>
    <row r="493" spans="1:19">
      <c r="A493" s="92"/>
      <c r="B493" s="94"/>
      <c r="C493" s="36" t="s">
        <v>189</v>
      </c>
      <c r="D493" s="41">
        <v>8</v>
      </c>
      <c r="E493" s="42" t="str">
        <f>IF(D493&gt;1,(31)&amp;":"&amp;(31-D493+1),(31-D493+1)&amp;":"&amp;(31-D493+1))</f>
        <v>31:24</v>
      </c>
      <c r="F493" s="43" t="s">
        <v>115</v>
      </c>
      <c r="G493" s="43" t="s">
        <v>115</v>
      </c>
      <c r="H493" s="44" t="s">
        <v>442</v>
      </c>
      <c r="I493" s="45" t="s">
        <v>68</v>
      </c>
      <c r="J493" s="46" t="s">
        <v>36</v>
      </c>
      <c r="K493" s="47" t="s">
        <v>6</v>
      </c>
      <c r="L493" s="48"/>
      <c r="M493" s="96"/>
      <c r="N493" s="96"/>
      <c r="O493" s="96"/>
      <c r="P493" s="97"/>
      <c r="Q493" s="97"/>
      <c r="R493" s="74"/>
      <c r="S493" s="74"/>
    </row>
    <row r="494" spans="1:19">
      <c r="A494" s="92"/>
      <c r="B494" s="94"/>
      <c r="C494" s="36" t="s">
        <v>452</v>
      </c>
      <c r="D494" s="41">
        <v>8</v>
      </c>
      <c r="E494" s="50" t="str">
        <f>(MID(E493,SEARCH(":",E493)+1,2)-1) &amp; ":" &amp; (MID(E493,SEARCH(":",E493)+1,2)-D494)</f>
        <v>23:16</v>
      </c>
      <c r="F494" s="43" t="s">
        <v>460</v>
      </c>
      <c r="G494" s="43" t="s">
        <v>115</v>
      </c>
      <c r="H494" s="49" t="s">
        <v>445</v>
      </c>
      <c r="I494" s="45" t="s">
        <v>68</v>
      </c>
      <c r="J494" s="46" t="s">
        <v>36</v>
      </c>
      <c r="K494" s="47" t="s">
        <v>6</v>
      </c>
      <c r="L494" s="48"/>
      <c r="M494" s="96"/>
      <c r="N494" s="96"/>
      <c r="O494" s="96"/>
      <c r="P494" s="97"/>
      <c r="Q494" s="97"/>
      <c r="R494" s="74"/>
      <c r="S494" s="74"/>
    </row>
    <row r="495" spans="1:19">
      <c r="A495" s="92"/>
      <c r="B495" s="94"/>
      <c r="C495" s="36" t="s">
        <v>190</v>
      </c>
      <c r="D495" s="41">
        <v>10</v>
      </c>
      <c r="E495" s="50" t="str">
        <f t="shared" ref="E495:E497" si="271">(MID(E494,SEARCH(":",E494)+1,2)-1) &amp; ":" &amp; (MID(E494,SEARCH(":",E494)+1,2)-D495)</f>
        <v>15:6</v>
      </c>
      <c r="F495" s="43" t="s">
        <v>305</v>
      </c>
      <c r="G495" s="43" t="s">
        <v>305</v>
      </c>
      <c r="H495" s="44" t="s">
        <v>443</v>
      </c>
      <c r="I495" s="45" t="s">
        <v>68</v>
      </c>
      <c r="J495" s="46" t="s">
        <v>36</v>
      </c>
      <c r="K495" s="47" t="s">
        <v>6</v>
      </c>
      <c r="L495" s="48"/>
      <c r="M495" s="96"/>
      <c r="N495" s="96"/>
      <c r="O495" s="96"/>
      <c r="P495" s="97"/>
      <c r="Q495" s="97"/>
      <c r="R495" s="74"/>
      <c r="S495" s="74"/>
    </row>
    <row r="496" spans="1:19">
      <c r="A496" s="92"/>
      <c r="B496" s="94"/>
      <c r="C496" s="36" t="s">
        <v>459</v>
      </c>
      <c r="D496" s="41">
        <v>1</v>
      </c>
      <c r="E496" s="50" t="str">
        <f t="shared" si="271"/>
        <v>5:5</v>
      </c>
      <c r="F496" s="43" t="s">
        <v>84</v>
      </c>
      <c r="G496" s="43" t="s">
        <v>7</v>
      </c>
      <c r="H496" s="49" t="s">
        <v>440</v>
      </c>
      <c r="I496" s="45" t="s">
        <v>68</v>
      </c>
      <c r="J496" s="46" t="s">
        <v>36</v>
      </c>
      <c r="K496" s="47" t="s">
        <v>6</v>
      </c>
      <c r="L496" s="48"/>
      <c r="M496" s="96"/>
      <c r="N496" s="96"/>
      <c r="O496" s="96"/>
      <c r="P496" s="97"/>
      <c r="Q496" s="97"/>
      <c r="R496" s="74"/>
      <c r="S496" s="74"/>
    </row>
    <row r="497" spans="1:19" ht="15" thickBot="1">
      <c r="A497" s="92"/>
      <c r="B497" s="94"/>
      <c r="C497" s="36" t="s">
        <v>453</v>
      </c>
      <c r="D497" s="41">
        <v>5</v>
      </c>
      <c r="E497" s="50" t="str">
        <f t="shared" si="271"/>
        <v>4:0</v>
      </c>
      <c r="F497" s="43" t="s">
        <v>103</v>
      </c>
      <c r="G497" s="43" t="s">
        <v>103</v>
      </c>
      <c r="H497" s="49" t="s">
        <v>444</v>
      </c>
      <c r="I497" s="45" t="s">
        <v>68</v>
      </c>
      <c r="J497" s="46" t="s">
        <v>36</v>
      </c>
      <c r="K497" s="47" t="s">
        <v>6</v>
      </c>
      <c r="L497" s="48"/>
      <c r="M497" s="96"/>
      <c r="N497" s="96"/>
      <c r="O497" s="96"/>
      <c r="P497" s="97"/>
      <c r="Q497" s="97"/>
      <c r="R497" s="75"/>
      <c r="S497" s="75"/>
    </row>
    <row r="498" spans="1:19" ht="15.75" customHeight="1">
      <c r="A498" s="76" t="s">
        <v>300</v>
      </c>
      <c r="B498" s="78" t="str">
        <f t="shared" ref="B498" si="272">DEC2HEX(P498*4)</f>
        <v>70</v>
      </c>
      <c r="C498" s="52" t="s">
        <v>454</v>
      </c>
      <c r="D498" s="80" t="str">
        <f>bitConcat1(F499:F506)</f>
        <v>32'b11110111110101001011000101001111</v>
      </c>
      <c r="E498" s="81"/>
      <c r="F498" s="81"/>
      <c r="G498" s="82"/>
      <c r="H498" s="53" t="s">
        <v>251</v>
      </c>
      <c r="I498" s="54"/>
      <c r="J498" s="83" t="str">
        <f>bitConcat1(G499:G506)</f>
        <v>32'b11110111111110001000000010001111</v>
      </c>
      <c r="K498" s="84"/>
      <c r="L498" s="85"/>
      <c r="M498" s="70" t="str">
        <f t="shared" ref="M498" si="273">DEC2HEX(_xlfn.BITLSHIFT(O498,7)+4*P498)</f>
        <v>3F0</v>
      </c>
      <c r="N498" s="86" t="s">
        <v>97</v>
      </c>
      <c r="O498" s="86">
        <v>7</v>
      </c>
      <c r="P498" s="87">
        <v>28</v>
      </c>
      <c r="Q498" s="73" t="str">
        <f>DEC2HEX(_xlfn.BITLSHIFT(O498,5)+P498)</f>
        <v>FC</v>
      </c>
      <c r="R498" s="73" t="str">
        <f>BIN2HEX(LEFT(RIGHT(D498,32),4))&amp;BIN2HEX(LEFT(RIGHT(D498,28),4))&amp;BIN2HEX(LEFT(RIGHT(D498,24),4))&amp;BIN2HEX(LEFT(RIGHT(D498,20),4))&amp;BIN2HEX(LEFT(RIGHT(D498,16),4))&amp;BIN2HEX(LEFT(RIGHT(D498,12),4))&amp;BIN2HEX(LEFT(RIGHT(D498,8),4))&amp;BIN2HEX(LEFT(RIGHT(D498,4),4))</f>
        <v>F7D4B14F</v>
      </c>
      <c r="S498" s="73" t="str">
        <f t="shared" ref="S498" si="274">BIN2HEX(LEFT(RIGHT(J498,32),4))&amp;BIN2HEX(LEFT(RIGHT(J498,28),4))&amp;BIN2HEX(LEFT(RIGHT(J498,24),4))&amp;BIN2HEX(LEFT(RIGHT(J498,20),4))&amp;BIN2HEX(LEFT(RIGHT(J498,16),4))&amp;BIN2HEX(LEFT(RIGHT(J498,12),4))&amp;BIN2HEX(LEFT(RIGHT(J498,8),4))&amp;BIN2HEX(LEFT(RIGHT(J498,4),4))</f>
        <v>F7F8808F</v>
      </c>
    </row>
    <row r="499" spans="1:19">
      <c r="A499" s="77"/>
      <c r="B499" s="79"/>
      <c r="C499" s="36" t="s">
        <v>398</v>
      </c>
      <c r="D499" s="41">
        <v>4</v>
      </c>
      <c r="E499" s="42" t="str">
        <f>IF(D499&gt;1,(31)&amp;":"&amp;(31-D499+1),(31-D499+1)&amp;":"&amp;(31-D499+1))</f>
        <v>31:28</v>
      </c>
      <c r="F499" s="43" t="s">
        <v>317</v>
      </c>
      <c r="G499" s="43" t="s">
        <v>317</v>
      </c>
      <c r="H499" s="44" t="s">
        <v>312</v>
      </c>
      <c r="I499" s="45" t="s">
        <v>68</v>
      </c>
      <c r="J499" s="46" t="s">
        <v>36</v>
      </c>
      <c r="K499" s="47" t="s">
        <v>6</v>
      </c>
      <c r="L499" s="48"/>
      <c r="M499" s="71"/>
      <c r="N499" s="71"/>
      <c r="O499" s="71"/>
      <c r="P499" s="88"/>
      <c r="Q499" s="74"/>
      <c r="R499" s="74"/>
      <c r="S499" s="74"/>
    </row>
    <row r="500" spans="1:19">
      <c r="A500" s="77"/>
      <c r="B500" s="79"/>
      <c r="C500" s="36" t="s">
        <v>399</v>
      </c>
      <c r="D500" s="41">
        <v>4</v>
      </c>
      <c r="E500" s="50" t="str">
        <f>(MID(E499,SEARCH(":",E499)+1,2)-1) &amp; ":" &amp; (MID(E499,SEARCH(":",E499)+1,2)-D500)</f>
        <v>27:24</v>
      </c>
      <c r="F500" s="43" t="s">
        <v>318</v>
      </c>
      <c r="G500" s="43" t="s">
        <v>318</v>
      </c>
      <c r="H500" s="49" t="s">
        <v>191</v>
      </c>
      <c r="I500" s="45" t="s">
        <v>68</v>
      </c>
      <c r="J500" s="46" t="s">
        <v>36</v>
      </c>
      <c r="K500" s="47" t="s">
        <v>6</v>
      </c>
      <c r="L500" s="48"/>
      <c r="M500" s="71"/>
      <c r="N500" s="71"/>
      <c r="O500" s="71"/>
      <c r="P500" s="88"/>
      <c r="Q500" s="74"/>
      <c r="R500" s="74"/>
      <c r="S500" s="74"/>
    </row>
    <row r="501" spans="1:19">
      <c r="A501" s="77"/>
      <c r="B501" s="79"/>
      <c r="C501" s="36" t="s">
        <v>400</v>
      </c>
      <c r="D501" s="41">
        <v>4</v>
      </c>
      <c r="E501" s="50" t="str">
        <f t="shared" ref="E501:E504" si="275">(MID(E500,SEARCH(":",E500)+1,2)-1) &amp; ":" &amp; (MID(E500,SEARCH(":",E500)+1,2)-D501)</f>
        <v>23:20</v>
      </c>
      <c r="F501" s="43" t="s">
        <v>474</v>
      </c>
      <c r="G501" s="43" t="s">
        <v>317</v>
      </c>
      <c r="H501" s="49" t="s">
        <v>315</v>
      </c>
      <c r="I501" s="45" t="s">
        <v>68</v>
      </c>
      <c r="J501" s="46" t="s">
        <v>36</v>
      </c>
      <c r="K501" s="47" t="s">
        <v>6</v>
      </c>
      <c r="L501" s="48"/>
      <c r="M501" s="71"/>
      <c r="N501" s="71"/>
      <c r="O501" s="71"/>
      <c r="P501" s="88"/>
      <c r="Q501" s="74"/>
      <c r="R501" s="74"/>
      <c r="S501" s="74"/>
    </row>
    <row r="502" spans="1:19">
      <c r="A502" s="77"/>
      <c r="B502" s="79"/>
      <c r="C502" s="36" t="s">
        <v>401</v>
      </c>
      <c r="D502" s="41">
        <v>4</v>
      </c>
      <c r="E502" s="50" t="str">
        <f t="shared" si="275"/>
        <v>19:16</v>
      </c>
      <c r="F502" s="43" t="s">
        <v>472</v>
      </c>
      <c r="G502" s="43" t="s">
        <v>319</v>
      </c>
      <c r="H502" s="49" t="s">
        <v>314</v>
      </c>
      <c r="I502" s="45" t="s">
        <v>68</v>
      </c>
      <c r="J502" s="46" t="s">
        <v>36</v>
      </c>
      <c r="K502" s="47" t="s">
        <v>6</v>
      </c>
      <c r="L502" s="48"/>
      <c r="M502" s="71"/>
      <c r="N502" s="71"/>
      <c r="O502" s="71"/>
      <c r="P502" s="88"/>
      <c r="Q502" s="74"/>
      <c r="R502" s="74"/>
      <c r="S502" s="74"/>
    </row>
    <row r="503" spans="1:19">
      <c r="A503" s="77"/>
      <c r="B503" s="79"/>
      <c r="C503" s="36" t="s">
        <v>402</v>
      </c>
      <c r="D503" s="41">
        <v>4</v>
      </c>
      <c r="E503" s="50" t="str">
        <f t="shared" si="275"/>
        <v>15:12</v>
      </c>
      <c r="F503" s="43" t="s">
        <v>473</v>
      </c>
      <c r="G503" s="43" t="s">
        <v>319</v>
      </c>
      <c r="H503" s="44" t="s">
        <v>193</v>
      </c>
      <c r="I503" s="45" t="s">
        <v>68</v>
      </c>
      <c r="J503" s="46" t="s">
        <v>36</v>
      </c>
      <c r="K503" s="47" t="s">
        <v>6</v>
      </c>
      <c r="L503" s="48"/>
      <c r="M503" s="71"/>
      <c r="N503" s="71"/>
      <c r="O503" s="71"/>
      <c r="P503" s="88"/>
      <c r="Q503" s="74"/>
      <c r="R503" s="74"/>
      <c r="S503" s="74"/>
    </row>
    <row r="504" spans="1:19">
      <c r="A504" s="77"/>
      <c r="B504" s="79"/>
      <c r="C504" s="36" t="s">
        <v>403</v>
      </c>
      <c r="D504" s="41">
        <v>4</v>
      </c>
      <c r="E504" s="50" t="str">
        <f t="shared" si="275"/>
        <v>11:8</v>
      </c>
      <c r="F504" s="43" t="s">
        <v>475</v>
      </c>
      <c r="G504" s="43" t="s">
        <v>320</v>
      </c>
      <c r="H504" s="44" t="s">
        <v>192</v>
      </c>
      <c r="I504" s="45" t="s">
        <v>68</v>
      </c>
      <c r="J504" s="46" t="s">
        <v>36</v>
      </c>
      <c r="K504" s="47" t="s">
        <v>6</v>
      </c>
      <c r="L504" s="48"/>
      <c r="M504" s="71"/>
      <c r="N504" s="71"/>
      <c r="O504" s="71"/>
      <c r="P504" s="88"/>
      <c r="Q504" s="74"/>
      <c r="R504" s="74"/>
      <c r="S504" s="74"/>
    </row>
    <row r="505" spans="1:19">
      <c r="A505" s="77"/>
      <c r="B505" s="79"/>
      <c r="C505" s="62" t="s">
        <v>404</v>
      </c>
      <c r="D505" s="41">
        <v>4</v>
      </c>
      <c r="E505" s="50" t="str">
        <f>(MID(E504,SEARCH(":",E504)+1,2)-1) &amp; ":" &amp; (MID(E504,SEARCH(":",E504)+1,2)-D505)</f>
        <v>7:4</v>
      </c>
      <c r="F505" s="43" t="s">
        <v>472</v>
      </c>
      <c r="G505" s="43" t="s">
        <v>319</v>
      </c>
      <c r="H505" s="62" t="s">
        <v>316</v>
      </c>
      <c r="I505" s="45" t="s">
        <v>68</v>
      </c>
      <c r="J505" s="46" t="s">
        <v>36</v>
      </c>
      <c r="K505" s="47" t="s">
        <v>6</v>
      </c>
      <c r="L505" s="48"/>
      <c r="M505" s="71"/>
      <c r="N505" s="71"/>
      <c r="O505" s="71"/>
      <c r="P505" s="88"/>
      <c r="Q505" s="74"/>
      <c r="R505" s="74"/>
      <c r="S505" s="74"/>
    </row>
    <row r="506" spans="1:19" ht="15" thickBot="1">
      <c r="A506" s="77"/>
      <c r="B506" s="79"/>
      <c r="C506" s="36" t="s">
        <v>152</v>
      </c>
      <c r="D506" s="41">
        <v>4</v>
      </c>
      <c r="E506" s="50" t="str">
        <f>(MID(E505,SEARCH(":",E505)+1,2)-1) &amp; ":" &amp; (MID(E505,SEARCH(":",E505)+1,2)-D506)</f>
        <v>3:0</v>
      </c>
      <c r="F506" s="51" t="s">
        <v>317</v>
      </c>
      <c r="G506" s="51" t="s">
        <v>317</v>
      </c>
      <c r="H506" s="44" t="s">
        <v>102</v>
      </c>
      <c r="I506" s="45" t="s">
        <v>68</v>
      </c>
      <c r="J506" s="46" t="s">
        <v>36</v>
      </c>
      <c r="K506" s="47" t="s">
        <v>6</v>
      </c>
      <c r="L506" s="48"/>
      <c r="M506" s="71"/>
      <c r="N506" s="71"/>
      <c r="O506" s="71"/>
      <c r="P506" s="88"/>
      <c r="Q506" s="74"/>
      <c r="R506" s="75"/>
      <c r="S506" s="75"/>
    </row>
    <row r="507" spans="1:19">
      <c r="A507" s="76" t="s">
        <v>301</v>
      </c>
      <c r="B507" s="78" t="str">
        <f t="shared" ref="B507" si="276">DEC2HEX(P507*4)</f>
        <v>74</v>
      </c>
      <c r="C507" s="52" t="s">
        <v>454</v>
      </c>
      <c r="D507" s="80" t="str">
        <f>bitConcat1(F508:F515)</f>
        <v>32'b11110111110101001011000101000000</v>
      </c>
      <c r="E507" s="81"/>
      <c r="F507" s="81"/>
      <c r="G507" s="82"/>
      <c r="H507" s="53" t="s">
        <v>251</v>
      </c>
      <c r="I507" s="54"/>
      <c r="J507" s="83" t="str">
        <f>bitConcat1(G508:G515)</f>
        <v>32'b11110111111110001000000010000000</v>
      </c>
      <c r="K507" s="84"/>
      <c r="L507" s="85"/>
      <c r="M507" s="70" t="str">
        <f t="shared" ref="M507" si="277">DEC2HEX(_xlfn.BITLSHIFT(O507,7)+4*P507)</f>
        <v>3F4</v>
      </c>
      <c r="N507" s="86" t="s">
        <v>97</v>
      </c>
      <c r="O507" s="86">
        <v>7</v>
      </c>
      <c r="P507" s="87">
        <v>29</v>
      </c>
      <c r="Q507" s="73" t="str">
        <f>DEC2HEX(_xlfn.BITLSHIFT(O507,5)+P507)</f>
        <v>FD</v>
      </c>
      <c r="R507" s="73" t="str">
        <f>BIN2HEX(LEFT(RIGHT(D507,32),4))&amp;BIN2HEX(LEFT(RIGHT(D507,28),4))&amp;BIN2HEX(LEFT(RIGHT(D507,24),4))&amp;BIN2HEX(LEFT(RIGHT(D507,20),4))&amp;BIN2HEX(LEFT(RIGHT(D507,16),4))&amp;BIN2HEX(LEFT(RIGHT(D507,12),4))&amp;BIN2HEX(LEFT(RIGHT(D507,8),4))&amp;BIN2HEX(LEFT(RIGHT(D507,4),4))</f>
        <v>F7D4B140</v>
      </c>
      <c r="S507" s="73" t="str">
        <f t="shared" ref="S507" si="278">BIN2HEX(LEFT(RIGHT(J507,32),4))&amp;BIN2HEX(LEFT(RIGHT(J507,28),4))&amp;BIN2HEX(LEFT(RIGHT(J507,24),4))&amp;BIN2HEX(LEFT(RIGHT(J507,20),4))&amp;BIN2HEX(LEFT(RIGHT(J507,16),4))&amp;BIN2HEX(LEFT(RIGHT(J507,12),4))&amp;BIN2HEX(LEFT(RIGHT(J507,8),4))&amp;BIN2HEX(LEFT(RIGHT(J507,4),4))</f>
        <v>F7F88080</v>
      </c>
    </row>
    <row r="508" spans="1:19">
      <c r="A508" s="77"/>
      <c r="B508" s="79"/>
      <c r="C508" s="36" t="s">
        <v>405</v>
      </c>
      <c r="D508" s="41">
        <v>4</v>
      </c>
      <c r="E508" s="42" t="str">
        <f>IF(D508&gt;1,(31)&amp;":"&amp;(31-D508+1),(31-D508+1)&amp;":"&amp;(31-D508+1))</f>
        <v>31:28</v>
      </c>
      <c r="F508" s="43" t="s">
        <v>317</v>
      </c>
      <c r="G508" s="43" t="s">
        <v>317</v>
      </c>
      <c r="H508" s="44" t="s">
        <v>312</v>
      </c>
      <c r="I508" s="45" t="s">
        <v>68</v>
      </c>
      <c r="J508" s="46" t="s">
        <v>36</v>
      </c>
      <c r="K508" s="47" t="s">
        <v>6</v>
      </c>
      <c r="L508" s="48"/>
      <c r="M508" s="71"/>
      <c r="N508" s="71"/>
      <c r="O508" s="71"/>
      <c r="P508" s="88"/>
      <c r="Q508" s="74"/>
      <c r="R508" s="74"/>
      <c r="S508" s="74"/>
    </row>
    <row r="509" spans="1:19">
      <c r="A509" s="77"/>
      <c r="B509" s="79"/>
      <c r="C509" s="36" t="s">
        <v>406</v>
      </c>
      <c r="D509" s="41">
        <v>4</v>
      </c>
      <c r="E509" s="50" t="str">
        <f>(MID(E508,SEARCH(":",E508)+1,2)-1) &amp; ":" &amp; (MID(E508,SEARCH(":",E508)+1,2)-D509)</f>
        <v>27:24</v>
      </c>
      <c r="F509" s="43" t="s">
        <v>318</v>
      </c>
      <c r="G509" s="43" t="s">
        <v>318</v>
      </c>
      <c r="H509" s="49" t="s">
        <v>191</v>
      </c>
      <c r="I509" s="45" t="s">
        <v>68</v>
      </c>
      <c r="J509" s="46" t="s">
        <v>36</v>
      </c>
      <c r="K509" s="47" t="s">
        <v>6</v>
      </c>
      <c r="L509" s="48"/>
      <c r="M509" s="71"/>
      <c r="N509" s="71"/>
      <c r="O509" s="71"/>
      <c r="P509" s="88"/>
      <c r="Q509" s="74"/>
      <c r="R509" s="74"/>
      <c r="S509" s="74"/>
    </row>
    <row r="510" spans="1:19" ht="15.75" customHeight="1">
      <c r="A510" s="77"/>
      <c r="B510" s="79"/>
      <c r="C510" s="36" t="s">
        <v>407</v>
      </c>
      <c r="D510" s="41">
        <v>4</v>
      </c>
      <c r="E510" s="50" t="str">
        <f t="shared" ref="E510:E513" si="279">(MID(E509,SEARCH(":",E509)+1,2)-1) &amp; ":" &amp; (MID(E509,SEARCH(":",E509)+1,2)-D510)</f>
        <v>23:20</v>
      </c>
      <c r="F510" s="43" t="s">
        <v>474</v>
      </c>
      <c r="G510" s="43" t="s">
        <v>317</v>
      </c>
      <c r="H510" s="49" t="s">
        <v>315</v>
      </c>
      <c r="I510" s="45" t="s">
        <v>68</v>
      </c>
      <c r="J510" s="46" t="s">
        <v>36</v>
      </c>
      <c r="K510" s="47" t="s">
        <v>6</v>
      </c>
      <c r="L510" s="48"/>
      <c r="M510" s="71"/>
      <c r="N510" s="71"/>
      <c r="O510" s="71"/>
      <c r="P510" s="88"/>
      <c r="Q510" s="74"/>
      <c r="R510" s="74"/>
      <c r="S510" s="74"/>
    </row>
    <row r="511" spans="1:19">
      <c r="A511" s="77"/>
      <c r="B511" s="79"/>
      <c r="C511" s="36" t="s">
        <v>408</v>
      </c>
      <c r="D511" s="41">
        <v>4</v>
      </c>
      <c r="E511" s="50" t="str">
        <f t="shared" si="279"/>
        <v>19:16</v>
      </c>
      <c r="F511" s="43" t="s">
        <v>472</v>
      </c>
      <c r="G511" s="43" t="s">
        <v>319</v>
      </c>
      <c r="H511" s="49" t="s">
        <v>314</v>
      </c>
      <c r="I511" s="45" t="s">
        <v>68</v>
      </c>
      <c r="J511" s="46" t="s">
        <v>36</v>
      </c>
      <c r="K511" s="47" t="s">
        <v>6</v>
      </c>
      <c r="L511" s="48"/>
      <c r="M511" s="71"/>
      <c r="N511" s="71"/>
      <c r="O511" s="71"/>
      <c r="P511" s="88"/>
      <c r="Q511" s="74"/>
      <c r="R511" s="74"/>
      <c r="S511" s="74"/>
    </row>
    <row r="512" spans="1:19" ht="15.75" customHeight="1">
      <c r="A512" s="77"/>
      <c r="B512" s="79"/>
      <c r="C512" s="36" t="s">
        <v>409</v>
      </c>
      <c r="D512" s="41">
        <v>4</v>
      </c>
      <c r="E512" s="50" t="str">
        <f t="shared" si="279"/>
        <v>15:12</v>
      </c>
      <c r="F512" s="43" t="s">
        <v>473</v>
      </c>
      <c r="G512" s="43" t="s">
        <v>319</v>
      </c>
      <c r="H512" s="44" t="s">
        <v>193</v>
      </c>
      <c r="I512" s="45" t="s">
        <v>68</v>
      </c>
      <c r="J512" s="46" t="s">
        <v>36</v>
      </c>
      <c r="K512" s="47" t="s">
        <v>6</v>
      </c>
      <c r="L512" s="48"/>
      <c r="M512" s="71"/>
      <c r="N512" s="71"/>
      <c r="O512" s="71"/>
      <c r="P512" s="88"/>
      <c r="Q512" s="74"/>
      <c r="R512" s="74"/>
      <c r="S512" s="74"/>
    </row>
    <row r="513" spans="1:19" ht="15.75" customHeight="1">
      <c r="A513" s="77"/>
      <c r="B513" s="79"/>
      <c r="C513" s="36" t="s">
        <v>410</v>
      </c>
      <c r="D513" s="41">
        <v>4</v>
      </c>
      <c r="E513" s="50" t="str">
        <f t="shared" si="279"/>
        <v>11:8</v>
      </c>
      <c r="F513" s="43" t="s">
        <v>475</v>
      </c>
      <c r="G513" s="43" t="s">
        <v>320</v>
      </c>
      <c r="H513" s="44" t="s">
        <v>192</v>
      </c>
      <c r="I513" s="45" t="s">
        <v>68</v>
      </c>
      <c r="J513" s="46" t="s">
        <v>36</v>
      </c>
      <c r="K513" s="47" t="s">
        <v>6</v>
      </c>
      <c r="L513" s="48"/>
      <c r="M513" s="71"/>
      <c r="N513" s="71"/>
      <c r="O513" s="71"/>
      <c r="P513" s="88"/>
      <c r="Q513" s="74"/>
      <c r="R513" s="74"/>
      <c r="S513" s="74"/>
    </row>
    <row r="514" spans="1:19">
      <c r="A514" s="77"/>
      <c r="B514" s="79"/>
      <c r="C514" s="62" t="s">
        <v>411</v>
      </c>
      <c r="D514" s="41">
        <v>4</v>
      </c>
      <c r="E514" s="50" t="str">
        <f>(MID(E513,SEARCH(":",E513)+1,2)-1) &amp; ":" &amp; (MID(E513,SEARCH(":",E513)+1,2)-D514)</f>
        <v>7:4</v>
      </c>
      <c r="F514" s="43" t="s">
        <v>472</v>
      </c>
      <c r="G514" s="43" t="s">
        <v>319</v>
      </c>
      <c r="H514" s="62" t="s">
        <v>316</v>
      </c>
      <c r="I514" s="45" t="s">
        <v>68</v>
      </c>
      <c r="J514" s="46" t="s">
        <v>36</v>
      </c>
      <c r="K514" s="47" t="s">
        <v>6</v>
      </c>
      <c r="L514" s="48"/>
      <c r="M514" s="71"/>
      <c r="N514" s="71"/>
      <c r="O514" s="71"/>
      <c r="P514" s="88"/>
      <c r="Q514" s="74"/>
      <c r="R514" s="74"/>
      <c r="S514" s="74"/>
    </row>
    <row r="515" spans="1:19" ht="15" thickBot="1">
      <c r="A515" s="77"/>
      <c r="B515" s="79"/>
      <c r="C515" s="36" t="s">
        <v>152</v>
      </c>
      <c r="D515" s="41">
        <v>4</v>
      </c>
      <c r="E515" s="50" t="str">
        <f>(MID(E514,SEARCH(":",E514)+1,2)-1) &amp; ":" &amp; (MID(E514,SEARCH(":",E514)+1,2)-D515)</f>
        <v>3:0</v>
      </c>
      <c r="F515" s="51" t="s">
        <v>320</v>
      </c>
      <c r="G515" s="51" t="s">
        <v>320</v>
      </c>
      <c r="H515" s="44" t="s">
        <v>102</v>
      </c>
      <c r="I515" s="45" t="s">
        <v>68</v>
      </c>
      <c r="J515" s="46" t="s">
        <v>36</v>
      </c>
      <c r="K515" s="47" t="s">
        <v>6</v>
      </c>
      <c r="L515" s="48"/>
      <c r="M515" s="71"/>
      <c r="N515" s="71"/>
      <c r="O515" s="71"/>
      <c r="P515" s="88"/>
      <c r="Q515" s="74"/>
      <c r="R515" s="75"/>
      <c r="S515" s="75"/>
    </row>
    <row r="516" spans="1:19">
      <c r="A516" s="76" t="s">
        <v>302</v>
      </c>
      <c r="B516" s="78" t="str">
        <f t="shared" ref="B516" si="280">DEC2HEX(P516*4)</f>
        <v>78</v>
      </c>
      <c r="C516" s="52" t="s">
        <v>454</v>
      </c>
      <c r="D516" s="80" t="str">
        <f>bitConcat1(F517:F524)</f>
        <v>32'b11110111110101001011000101001111</v>
      </c>
      <c r="E516" s="81"/>
      <c r="F516" s="81"/>
      <c r="G516" s="82"/>
      <c r="H516" s="53" t="s">
        <v>251</v>
      </c>
      <c r="I516" s="54"/>
      <c r="J516" s="83" t="str">
        <f>bitConcat1(G517:G524)</f>
        <v>32'b11110111111110001000000010001111</v>
      </c>
      <c r="K516" s="84"/>
      <c r="L516" s="85"/>
      <c r="M516" s="70" t="str">
        <f t="shared" ref="M516" si="281">DEC2HEX(_xlfn.BITLSHIFT(O516,7)+4*P516)</f>
        <v>3F8</v>
      </c>
      <c r="N516" s="86" t="s">
        <v>97</v>
      </c>
      <c r="O516" s="86">
        <v>7</v>
      </c>
      <c r="P516" s="87">
        <v>30</v>
      </c>
      <c r="Q516" s="73" t="str">
        <f>DEC2HEX(_xlfn.BITLSHIFT(O516,5)+P516)</f>
        <v>FE</v>
      </c>
      <c r="R516" s="73" t="str">
        <f>BIN2HEX(LEFT(RIGHT(D516,32),4))&amp;BIN2HEX(LEFT(RIGHT(D516,28),4))&amp;BIN2HEX(LEFT(RIGHT(D516,24),4))&amp;BIN2HEX(LEFT(RIGHT(D516,20),4))&amp;BIN2HEX(LEFT(RIGHT(D516,16),4))&amp;BIN2HEX(LEFT(RIGHT(D516,12),4))&amp;BIN2HEX(LEFT(RIGHT(D516,8),4))&amp;BIN2HEX(LEFT(RIGHT(D516,4),4))</f>
        <v>F7D4B14F</v>
      </c>
      <c r="S516" s="73" t="str">
        <f t="shared" ref="S516" si="282">BIN2HEX(LEFT(RIGHT(J516,32),4))&amp;BIN2HEX(LEFT(RIGHT(J516,28),4))&amp;BIN2HEX(LEFT(RIGHT(J516,24),4))&amp;BIN2HEX(LEFT(RIGHT(J516,20),4))&amp;BIN2HEX(LEFT(RIGHT(J516,16),4))&amp;BIN2HEX(LEFT(RIGHT(J516,12),4))&amp;BIN2HEX(LEFT(RIGHT(J516,8),4))&amp;BIN2HEX(LEFT(RIGHT(J516,4),4))</f>
        <v>F7F8808F</v>
      </c>
    </row>
    <row r="517" spans="1:19">
      <c r="A517" s="77"/>
      <c r="B517" s="79"/>
      <c r="C517" s="36" t="s">
        <v>465</v>
      </c>
      <c r="D517" s="41">
        <v>4</v>
      </c>
      <c r="E517" s="42" t="str">
        <f>IF(D517&gt;1,(31)&amp;":"&amp;(31-D517+1),(31-D517+1)&amp;":"&amp;(31-D517+1))</f>
        <v>31:28</v>
      </c>
      <c r="F517" s="43" t="s">
        <v>317</v>
      </c>
      <c r="G517" s="43" t="s">
        <v>317</v>
      </c>
      <c r="H517" s="44" t="s">
        <v>312</v>
      </c>
      <c r="I517" s="45" t="s">
        <v>68</v>
      </c>
      <c r="J517" s="46" t="s">
        <v>36</v>
      </c>
      <c r="K517" s="47" t="s">
        <v>6</v>
      </c>
      <c r="L517" s="48"/>
      <c r="M517" s="71"/>
      <c r="N517" s="71"/>
      <c r="O517" s="71"/>
      <c r="P517" s="88"/>
      <c r="Q517" s="74"/>
      <c r="R517" s="74"/>
      <c r="S517" s="74"/>
    </row>
    <row r="518" spans="1:19">
      <c r="A518" s="77"/>
      <c r="B518" s="79"/>
      <c r="C518" s="36" t="s">
        <v>466</v>
      </c>
      <c r="D518" s="41">
        <v>4</v>
      </c>
      <c r="E518" s="50" t="str">
        <f>(MID(E517,SEARCH(":",E517)+1,2)-1) &amp; ":" &amp; (MID(E517,SEARCH(":",E517)+1,2)-D518)</f>
        <v>27:24</v>
      </c>
      <c r="F518" s="43" t="s">
        <v>318</v>
      </c>
      <c r="G518" s="43" t="s">
        <v>318</v>
      </c>
      <c r="H518" s="49" t="s">
        <v>191</v>
      </c>
      <c r="I518" s="45" t="s">
        <v>68</v>
      </c>
      <c r="J518" s="46" t="s">
        <v>36</v>
      </c>
      <c r="K518" s="47" t="s">
        <v>6</v>
      </c>
      <c r="L518" s="48"/>
      <c r="M518" s="71"/>
      <c r="N518" s="71"/>
      <c r="O518" s="71"/>
      <c r="P518" s="88"/>
      <c r="Q518" s="74"/>
      <c r="R518" s="74"/>
      <c r="S518" s="74"/>
    </row>
    <row r="519" spans="1:19">
      <c r="A519" s="77"/>
      <c r="B519" s="79"/>
      <c r="C519" s="36" t="s">
        <v>467</v>
      </c>
      <c r="D519" s="41">
        <v>4</v>
      </c>
      <c r="E519" s="50" t="str">
        <f t="shared" ref="E519:E522" si="283">(MID(E518,SEARCH(":",E518)+1,2)-1) &amp; ":" &amp; (MID(E518,SEARCH(":",E518)+1,2)-D519)</f>
        <v>23:20</v>
      </c>
      <c r="F519" s="43" t="s">
        <v>474</v>
      </c>
      <c r="G519" s="43" t="s">
        <v>317</v>
      </c>
      <c r="H519" s="49" t="s">
        <v>315</v>
      </c>
      <c r="I519" s="45" t="s">
        <v>68</v>
      </c>
      <c r="J519" s="46" t="s">
        <v>36</v>
      </c>
      <c r="K519" s="47" t="s">
        <v>6</v>
      </c>
      <c r="L519" s="48"/>
      <c r="M519" s="71"/>
      <c r="N519" s="71"/>
      <c r="O519" s="71"/>
      <c r="P519" s="88"/>
      <c r="Q519" s="74"/>
      <c r="R519" s="74"/>
      <c r="S519" s="74"/>
    </row>
    <row r="520" spans="1:19">
      <c r="A520" s="77"/>
      <c r="B520" s="79"/>
      <c r="C520" s="36" t="s">
        <v>468</v>
      </c>
      <c r="D520" s="41">
        <v>4</v>
      </c>
      <c r="E520" s="50" t="str">
        <f t="shared" si="283"/>
        <v>19:16</v>
      </c>
      <c r="F520" s="43" t="s">
        <v>472</v>
      </c>
      <c r="G520" s="43" t="s">
        <v>319</v>
      </c>
      <c r="H520" s="49" t="s">
        <v>314</v>
      </c>
      <c r="I520" s="45" t="s">
        <v>68</v>
      </c>
      <c r="J520" s="46" t="s">
        <v>36</v>
      </c>
      <c r="K520" s="47" t="s">
        <v>6</v>
      </c>
      <c r="L520" s="48"/>
      <c r="M520" s="71"/>
      <c r="N520" s="71"/>
      <c r="O520" s="71"/>
      <c r="P520" s="88"/>
      <c r="Q520" s="74"/>
      <c r="R520" s="74"/>
      <c r="S520" s="74"/>
    </row>
    <row r="521" spans="1:19">
      <c r="A521" s="77"/>
      <c r="B521" s="79"/>
      <c r="C521" s="36" t="s">
        <v>469</v>
      </c>
      <c r="D521" s="41">
        <v>4</v>
      </c>
      <c r="E521" s="50" t="str">
        <f t="shared" si="283"/>
        <v>15:12</v>
      </c>
      <c r="F521" s="43" t="s">
        <v>473</v>
      </c>
      <c r="G521" s="43" t="s">
        <v>319</v>
      </c>
      <c r="H521" s="44" t="s">
        <v>193</v>
      </c>
      <c r="I521" s="45" t="s">
        <v>68</v>
      </c>
      <c r="J521" s="46" t="s">
        <v>36</v>
      </c>
      <c r="K521" s="47" t="s">
        <v>6</v>
      </c>
      <c r="L521" s="48"/>
      <c r="M521" s="71"/>
      <c r="N521" s="71"/>
      <c r="O521" s="71"/>
      <c r="P521" s="88"/>
      <c r="Q521" s="74"/>
      <c r="R521" s="74"/>
      <c r="S521" s="74"/>
    </row>
    <row r="522" spans="1:19">
      <c r="A522" s="77"/>
      <c r="B522" s="79"/>
      <c r="C522" s="36" t="s">
        <v>470</v>
      </c>
      <c r="D522" s="41">
        <v>4</v>
      </c>
      <c r="E522" s="50" t="str">
        <f t="shared" si="283"/>
        <v>11:8</v>
      </c>
      <c r="F522" s="43" t="s">
        <v>475</v>
      </c>
      <c r="G522" s="43" t="s">
        <v>320</v>
      </c>
      <c r="H522" s="44" t="s">
        <v>192</v>
      </c>
      <c r="I522" s="45" t="s">
        <v>68</v>
      </c>
      <c r="J522" s="46" t="s">
        <v>36</v>
      </c>
      <c r="K522" s="47" t="s">
        <v>6</v>
      </c>
      <c r="L522" s="48"/>
      <c r="M522" s="71"/>
      <c r="N522" s="71"/>
      <c r="O522" s="71"/>
      <c r="P522" s="88"/>
      <c r="Q522" s="74"/>
      <c r="R522" s="74"/>
      <c r="S522" s="74"/>
    </row>
    <row r="523" spans="1:19">
      <c r="A523" s="77"/>
      <c r="B523" s="79"/>
      <c r="C523" s="62" t="s">
        <v>471</v>
      </c>
      <c r="D523" s="41">
        <v>4</v>
      </c>
      <c r="E523" s="50" t="str">
        <f>(MID(E522,SEARCH(":",E522)+1,2)-1) &amp; ":" &amp; (MID(E522,SEARCH(":",E522)+1,2)-D523)</f>
        <v>7:4</v>
      </c>
      <c r="F523" s="43" t="s">
        <v>472</v>
      </c>
      <c r="G523" s="43" t="s">
        <v>319</v>
      </c>
      <c r="H523" s="62" t="s">
        <v>316</v>
      </c>
      <c r="I523" s="45" t="s">
        <v>68</v>
      </c>
      <c r="J523" s="46" t="s">
        <v>36</v>
      </c>
      <c r="K523" s="47" t="s">
        <v>6</v>
      </c>
      <c r="L523" s="48"/>
      <c r="M523" s="71"/>
      <c r="N523" s="71"/>
      <c r="O523" s="71"/>
      <c r="P523" s="88"/>
      <c r="Q523" s="74"/>
      <c r="R523" s="74"/>
      <c r="S523" s="74"/>
    </row>
    <row r="524" spans="1:19" ht="15.75" customHeight="1" thickBot="1">
      <c r="A524" s="77"/>
      <c r="B524" s="79"/>
      <c r="C524" s="36" t="s">
        <v>152</v>
      </c>
      <c r="D524" s="41">
        <v>4</v>
      </c>
      <c r="E524" s="50" t="str">
        <f>(MID(E523,SEARCH(":",E523)+1,2)-1) &amp; ":" &amp; (MID(E523,SEARCH(":",E523)+1,2)-D524)</f>
        <v>3:0</v>
      </c>
      <c r="F524" s="51" t="s">
        <v>317</v>
      </c>
      <c r="G524" s="51" t="s">
        <v>317</v>
      </c>
      <c r="H524" s="44" t="s">
        <v>102</v>
      </c>
      <c r="I524" s="45" t="s">
        <v>68</v>
      </c>
      <c r="J524" s="46" t="s">
        <v>36</v>
      </c>
      <c r="K524" s="47" t="s">
        <v>6</v>
      </c>
      <c r="L524" s="48"/>
      <c r="M524" s="71"/>
      <c r="N524" s="71"/>
      <c r="O524" s="71"/>
      <c r="P524" s="88"/>
      <c r="Q524" s="74"/>
      <c r="R524" s="75"/>
      <c r="S524" s="75"/>
    </row>
    <row r="525" spans="1:19">
      <c r="A525" s="76" t="s">
        <v>303</v>
      </c>
      <c r="B525" s="78" t="str">
        <f t="shared" ref="B525" si="284">DEC2HEX(P525*4)</f>
        <v>7C</v>
      </c>
      <c r="C525" s="52" t="s">
        <v>454</v>
      </c>
      <c r="D525" s="80" t="str">
        <f>bitConcat1(F526:F533)</f>
        <v>32'b11110111110101001011000101000111</v>
      </c>
      <c r="E525" s="81"/>
      <c r="F525" s="81"/>
      <c r="G525" s="82"/>
      <c r="H525" s="53" t="s">
        <v>251</v>
      </c>
      <c r="I525" s="54"/>
      <c r="J525" s="83" t="str">
        <f>bitConcat1(G526:G533)</f>
        <v>32'b11110111111110001000000010000111</v>
      </c>
      <c r="K525" s="84"/>
      <c r="L525" s="85"/>
      <c r="M525" s="70" t="str">
        <f t="shared" ref="M525" si="285">DEC2HEX(_xlfn.BITLSHIFT(O525,7)+4*P525)</f>
        <v>3FC</v>
      </c>
      <c r="N525" s="86" t="s">
        <v>97</v>
      </c>
      <c r="O525" s="86">
        <v>7</v>
      </c>
      <c r="P525" s="87">
        <v>31</v>
      </c>
      <c r="Q525" s="73" t="str">
        <f>DEC2HEX(_xlfn.BITLSHIFT(O525,5)+P525)</f>
        <v>FF</v>
      </c>
      <c r="R525" s="73" t="str">
        <f>BIN2HEX(LEFT(RIGHT(D525,32),4))&amp;BIN2HEX(LEFT(RIGHT(D525,28),4))&amp;BIN2HEX(LEFT(RIGHT(D525,24),4))&amp;BIN2HEX(LEFT(RIGHT(D525,20),4))&amp;BIN2HEX(LEFT(RIGHT(D525,16),4))&amp;BIN2HEX(LEFT(RIGHT(D525,12),4))&amp;BIN2HEX(LEFT(RIGHT(D525,8),4))&amp;BIN2HEX(LEFT(RIGHT(D525,4),4))</f>
        <v>F7D4B147</v>
      </c>
      <c r="S525" s="73" t="str">
        <f t="shared" ref="S525" si="286">BIN2HEX(LEFT(RIGHT(J525,32),4))&amp;BIN2HEX(LEFT(RIGHT(J525,28),4))&amp;BIN2HEX(LEFT(RIGHT(J525,24),4))&amp;BIN2HEX(LEFT(RIGHT(J525,20),4))&amp;BIN2HEX(LEFT(RIGHT(J525,16),4))&amp;BIN2HEX(LEFT(RIGHT(J525,12),4))&amp;BIN2HEX(LEFT(RIGHT(J525,8),4))&amp;BIN2HEX(LEFT(RIGHT(J525,4),4))</f>
        <v>F7F88087</v>
      </c>
    </row>
    <row r="526" spans="1:19">
      <c r="A526" s="77"/>
      <c r="B526" s="79"/>
      <c r="C526" s="36" t="s">
        <v>412</v>
      </c>
      <c r="D526" s="41">
        <v>4</v>
      </c>
      <c r="E526" s="42" t="str">
        <f>IF(D526&gt;1,(31)&amp;":"&amp;(31-D526+1),(31-D526+1)&amp;":"&amp;(31-D526+1))</f>
        <v>31:28</v>
      </c>
      <c r="F526" s="43" t="s">
        <v>317</v>
      </c>
      <c r="G526" s="43" t="s">
        <v>317</v>
      </c>
      <c r="H526" s="44" t="s">
        <v>312</v>
      </c>
      <c r="I526" s="45" t="s">
        <v>68</v>
      </c>
      <c r="J526" s="46" t="s">
        <v>36</v>
      </c>
      <c r="K526" s="47" t="s">
        <v>6</v>
      </c>
      <c r="L526" s="48"/>
      <c r="M526" s="71"/>
      <c r="N526" s="71"/>
      <c r="O526" s="71"/>
      <c r="P526" s="88"/>
      <c r="Q526" s="74"/>
      <c r="R526" s="74"/>
      <c r="S526" s="74"/>
    </row>
    <row r="527" spans="1:19">
      <c r="A527" s="77"/>
      <c r="B527" s="79"/>
      <c r="C527" s="36" t="s">
        <v>413</v>
      </c>
      <c r="D527" s="41">
        <v>4</v>
      </c>
      <c r="E527" s="50" t="str">
        <f>(MID(E526,SEARCH(":",E526)+1,2)-1) &amp; ":" &amp; (MID(E526,SEARCH(":",E526)+1,2)-D527)</f>
        <v>27:24</v>
      </c>
      <c r="F527" s="43" t="s">
        <v>318</v>
      </c>
      <c r="G527" s="43" t="s">
        <v>318</v>
      </c>
      <c r="H527" s="49" t="s">
        <v>191</v>
      </c>
      <c r="I527" s="45" t="s">
        <v>68</v>
      </c>
      <c r="J527" s="46" t="s">
        <v>36</v>
      </c>
      <c r="K527" s="47" t="s">
        <v>6</v>
      </c>
      <c r="L527" s="48"/>
      <c r="M527" s="71"/>
      <c r="N527" s="71"/>
      <c r="O527" s="71"/>
      <c r="P527" s="88"/>
      <c r="Q527" s="74"/>
      <c r="R527" s="74"/>
      <c r="S527" s="74"/>
    </row>
    <row r="528" spans="1:19">
      <c r="A528" s="77"/>
      <c r="B528" s="79"/>
      <c r="C528" s="36" t="s">
        <v>414</v>
      </c>
      <c r="D528" s="41">
        <v>4</v>
      </c>
      <c r="E528" s="50" t="str">
        <f t="shared" ref="E528:E531" si="287">(MID(E527,SEARCH(":",E527)+1,2)-1) &amp; ":" &amp; (MID(E527,SEARCH(":",E527)+1,2)-D528)</f>
        <v>23:20</v>
      </c>
      <c r="F528" s="43" t="s">
        <v>474</v>
      </c>
      <c r="G528" s="43" t="s">
        <v>317</v>
      </c>
      <c r="H528" s="49" t="s">
        <v>315</v>
      </c>
      <c r="I528" s="45" t="s">
        <v>68</v>
      </c>
      <c r="J528" s="46" t="s">
        <v>36</v>
      </c>
      <c r="K528" s="47" t="s">
        <v>6</v>
      </c>
      <c r="L528" s="48"/>
      <c r="M528" s="71"/>
      <c r="N528" s="71"/>
      <c r="O528" s="71"/>
      <c r="P528" s="88"/>
      <c r="Q528" s="74"/>
      <c r="R528" s="74"/>
      <c r="S528" s="74"/>
    </row>
    <row r="529" spans="1:19">
      <c r="A529" s="77"/>
      <c r="B529" s="79"/>
      <c r="C529" s="36" t="s">
        <v>415</v>
      </c>
      <c r="D529" s="41">
        <v>4</v>
      </c>
      <c r="E529" s="50" t="str">
        <f t="shared" si="287"/>
        <v>19:16</v>
      </c>
      <c r="F529" s="43" t="s">
        <v>472</v>
      </c>
      <c r="G529" s="43" t="s">
        <v>319</v>
      </c>
      <c r="H529" s="49" t="s">
        <v>314</v>
      </c>
      <c r="I529" s="45" t="s">
        <v>68</v>
      </c>
      <c r="J529" s="46" t="s">
        <v>36</v>
      </c>
      <c r="K529" s="47" t="s">
        <v>6</v>
      </c>
      <c r="L529" s="48"/>
      <c r="M529" s="71"/>
      <c r="N529" s="71"/>
      <c r="O529" s="71"/>
      <c r="P529" s="88"/>
      <c r="Q529" s="74"/>
      <c r="R529" s="74"/>
      <c r="S529" s="74"/>
    </row>
    <row r="530" spans="1:19">
      <c r="A530" s="77"/>
      <c r="B530" s="79"/>
      <c r="C530" s="36" t="s">
        <v>416</v>
      </c>
      <c r="D530" s="41">
        <v>4</v>
      </c>
      <c r="E530" s="50" t="str">
        <f t="shared" si="287"/>
        <v>15:12</v>
      </c>
      <c r="F530" s="43" t="s">
        <v>473</v>
      </c>
      <c r="G530" s="43" t="s">
        <v>319</v>
      </c>
      <c r="H530" s="44" t="s">
        <v>193</v>
      </c>
      <c r="I530" s="45" t="s">
        <v>68</v>
      </c>
      <c r="J530" s="46" t="s">
        <v>36</v>
      </c>
      <c r="K530" s="47" t="s">
        <v>6</v>
      </c>
      <c r="L530" s="48"/>
      <c r="M530" s="71"/>
      <c r="N530" s="71"/>
      <c r="O530" s="71"/>
      <c r="P530" s="88"/>
      <c r="Q530" s="74"/>
      <c r="R530" s="74"/>
      <c r="S530" s="74"/>
    </row>
    <row r="531" spans="1:19">
      <c r="A531" s="77"/>
      <c r="B531" s="79"/>
      <c r="C531" s="36" t="s">
        <v>417</v>
      </c>
      <c r="D531" s="41">
        <v>4</v>
      </c>
      <c r="E531" s="50" t="str">
        <f t="shared" si="287"/>
        <v>11:8</v>
      </c>
      <c r="F531" s="43" t="s">
        <v>475</v>
      </c>
      <c r="G531" s="43" t="s">
        <v>320</v>
      </c>
      <c r="H531" s="44" t="s">
        <v>192</v>
      </c>
      <c r="I531" s="45" t="s">
        <v>68</v>
      </c>
      <c r="J531" s="46" t="s">
        <v>36</v>
      </c>
      <c r="K531" s="47" t="s">
        <v>6</v>
      </c>
      <c r="L531" s="48"/>
      <c r="M531" s="71"/>
      <c r="N531" s="71"/>
      <c r="O531" s="71"/>
      <c r="P531" s="88"/>
      <c r="Q531" s="74"/>
      <c r="R531" s="74"/>
      <c r="S531" s="74"/>
    </row>
    <row r="532" spans="1:19">
      <c r="A532" s="77"/>
      <c r="B532" s="79"/>
      <c r="C532" s="62" t="s">
        <v>418</v>
      </c>
      <c r="D532" s="41">
        <v>4</v>
      </c>
      <c r="E532" s="50" t="str">
        <f>(MID(E531,SEARCH(":",E531)+1,2)-1) &amp; ":" &amp; (MID(E531,SEARCH(":",E531)+1,2)-D532)</f>
        <v>7:4</v>
      </c>
      <c r="F532" s="43" t="s">
        <v>472</v>
      </c>
      <c r="G532" s="43" t="s">
        <v>319</v>
      </c>
      <c r="H532" s="62" t="s">
        <v>316</v>
      </c>
      <c r="I532" s="45" t="s">
        <v>68</v>
      </c>
      <c r="J532" s="46" t="s">
        <v>36</v>
      </c>
      <c r="K532" s="47" t="s">
        <v>6</v>
      </c>
      <c r="L532" s="48"/>
      <c r="M532" s="71"/>
      <c r="N532" s="71"/>
      <c r="O532" s="71"/>
      <c r="P532" s="88"/>
      <c r="Q532" s="74"/>
      <c r="R532" s="74"/>
      <c r="S532" s="74"/>
    </row>
    <row r="533" spans="1:19" ht="15" thickBot="1">
      <c r="A533" s="77"/>
      <c r="B533" s="79"/>
      <c r="C533" s="36" t="s">
        <v>152</v>
      </c>
      <c r="D533" s="41">
        <v>4</v>
      </c>
      <c r="E533" s="50" t="str">
        <f>(MID(E532,SEARCH(":",E532)+1,2)-1) &amp; ":" &amp; (MID(E532,SEARCH(":",E532)+1,2)-D533)</f>
        <v>3:0</v>
      </c>
      <c r="F533" s="51" t="s">
        <v>318</v>
      </c>
      <c r="G533" s="51" t="s">
        <v>318</v>
      </c>
      <c r="H533" s="44" t="s">
        <v>102</v>
      </c>
      <c r="I533" s="45" t="s">
        <v>68</v>
      </c>
      <c r="J533" s="46" t="s">
        <v>36</v>
      </c>
      <c r="K533" s="47" t="s">
        <v>6</v>
      </c>
      <c r="L533" s="48"/>
      <c r="M533" s="89"/>
      <c r="N533" s="89"/>
      <c r="O533" s="89"/>
      <c r="P533" s="90"/>
      <c r="Q533" s="91"/>
      <c r="R533" s="75"/>
      <c r="S533" s="75"/>
    </row>
  </sheetData>
  <autoFilter ref="A1:L179" xr:uid="{00000000-0009-0000-0000-000000000000}"/>
  <customSheetViews>
    <customSheetView guid="{2BBBE5B5-B14C-4BF7-9B95-9EEB3666FF3B}">
      <pane ySplit="1" topLeftCell="A2" activePane="bottomLeft" state="frozen"/>
      <selection pane="bottomLeft" activeCell="J10" sqref="J10"/>
      <pageMargins left="0.7" right="0.7" top="0.75" bottom="0.75" header="0.51180555555555551" footer="0.51180555555555551"/>
      <pageSetup firstPageNumber="0" orientation="portrait" horizontalDpi="300" verticalDpi="300" r:id="rId1"/>
      <headerFooter alignWithMargins="0"/>
    </customSheetView>
  </customSheetViews>
  <mergeCells count="880">
    <mergeCell ref="R254:R265"/>
    <mergeCell ref="S254:S265"/>
    <mergeCell ref="A266:A274"/>
    <mergeCell ref="B266:B274"/>
    <mergeCell ref="D266:G266"/>
    <mergeCell ref="J266:L266"/>
    <mergeCell ref="M266:M274"/>
    <mergeCell ref="N266:N274"/>
    <mergeCell ref="O266:O274"/>
    <mergeCell ref="P266:P274"/>
    <mergeCell ref="Q266:Q274"/>
    <mergeCell ref="R266:R274"/>
    <mergeCell ref="S266:S274"/>
    <mergeCell ref="A254:A265"/>
    <mergeCell ref="B254:B265"/>
    <mergeCell ref="D254:G254"/>
    <mergeCell ref="J254:L254"/>
    <mergeCell ref="M254:M265"/>
    <mergeCell ref="N254:N265"/>
    <mergeCell ref="O254:O265"/>
    <mergeCell ref="P254:P265"/>
    <mergeCell ref="Q254:Q265"/>
    <mergeCell ref="R236:R244"/>
    <mergeCell ref="S236:S244"/>
    <mergeCell ref="A245:A253"/>
    <mergeCell ref="B245:B253"/>
    <mergeCell ref="D245:G245"/>
    <mergeCell ref="J245:L245"/>
    <mergeCell ref="M245:M253"/>
    <mergeCell ref="N245:N253"/>
    <mergeCell ref="O245:O253"/>
    <mergeCell ref="P245:P253"/>
    <mergeCell ref="Q245:Q253"/>
    <mergeCell ref="R245:R253"/>
    <mergeCell ref="S245:S253"/>
    <mergeCell ref="A236:A244"/>
    <mergeCell ref="B236:B244"/>
    <mergeCell ref="D236:G236"/>
    <mergeCell ref="J236:L236"/>
    <mergeCell ref="M236:M244"/>
    <mergeCell ref="N236:N244"/>
    <mergeCell ref="O236:O244"/>
    <mergeCell ref="P236:P244"/>
    <mergeCell ref="Q236:Q244"/>
    <mergeCell ref="R227:R229"/>
    <mergeCell ref="S227:S229"/>
    <mergeCell ref="A230:A235"/>
    <mergeCell ref="B230:B235"/>
    <mergeCell ref="D230:G230"/>
    <mergeCell ref="J230:L230"/>
    <mergeCell ref="M230:M235"/>
    <mergeCell ref="N230:N235"/>
    <mergeCell ref="O230:O235"/>
    <mergeCell ref="P230:P235"/>
    <mergeCell ref="Q230:Q235"/>
    <mergeCell ref="R230:R235"/>
    <mergeCell ref="S230:S235"/>
    <mergeCell ref="D227:G227"/>
    <mergeCell ref="J227:L227"/>
    <mergeCell ref="A227:A229"/>
    <mergeCell ref="B227:B229"/>
    <mergeCell ref="M227:M229"/>
    <mergeCell ref="N227:N229"/>
    <mergeCell ref="O227:O229"/>
    <mergeCell ref="P227:P229"/>
    <mergeCell ref="Q227:Q229"/>
    <mergeCell ref="R216:R221"/>
    <mergeCell ref="S216:S221"/>
    <mergeCell ref="A222:A226"/>
    <mergeCell ref="B222:B226"/>
    <mergeCell ref="D222:G222"/>
    <mergeCell ref="J222:L222"/>
    <mergeCell ref="M222:M226"/>
    <mergeCell ref="N222:N226"/>
    <mergeCell ref="O222:O226"/>
    <mergeCell ref="P222:P226"/>
    <mergeCell ref="Q222:Q226"/>
    <mergeCell ref="R222:R226"/>
    <mergeCell ref="S222:S226"/>
    <mergeCell ref="A216:A221"/>
    <mergeCell ref="B216:B221"/>
    <mergeCell ref="D216:G216"/>
    <mergeCell ref="J216:L216"/>
    <mergeCell ref="M216:M221"/>
    <mergeCell ref="N216:N221"/>
    <mergeCell ref="O216:O221"/>
    <mergeCell ref="P216:P221"/>
    <mergeCell ref="Q216:Q221"/>
    <mergeCell ref="R208:R212"/>
    <mergeCell ref="S208:S212"/>
    <mergeCell ref="A213:A215"/>
    <mergeCell ref="B213:B215"/>
    <mergeCell ref="D213:G213"/>
    <mergeCell ref="J213:L213"/>
    <mergeCell ref="M213:M215"/>
    <mergeCell ref="N213:N215"/>
    <mergeCell ref="O213:O215"/>
    <mergeCell ref="P213:P215"/>
    <mergeCell ref="Q213:Q215"/>
    <mergeCell ref="R213:R215"/>
    <mergeCell ref="S213:S215"/>
    <mergeCell ref="A208:A212"/>
    <mergeCell ref="B208:B212"/>
    <mergeCell ref="D208:G208"/>
    <mergeCell ref="J208:L208"/>
    <mergeCell ref="M208:M212"/>
    <mergeCell ref="N208:N212"/>
    <mergeCell ref="O208:O212"/>
    <mergeCell ref="P208:P212"/>
    <mergeCell ref="Q208:Q212"/>
    <mergeCell ref="R199:R201"/>
    <mergeCell ref="S199:S201"/>
    <mergeCell ref="A202:A207"/>
    <mergeCell ref="B202:B207"/>
    <mergeCell ref="D202:G202"/>
    <mergeCell ref="J202:L202"/>
    <mergeCell ref="M202:M207"/>
    <mergeCell ref="N202:N207"/>
    <mergeCell ref="O202:O207"/>
    <mergeCell ref="P202:P207"/>
    <mergeCell ref="Q202:Q207"/>
    <mergeCell ref="R202:R207"/>
    <mergeCell ref="S202:S207"/>
    <mergeCell ref="A199:A201"/>
    <mergeCell ref="B199:B201"/>
    <mergeCell ref="D199:G199"/>
    <mergeCell ref="J199:L199"/>
    <mergeCell ref="M199:M201"/>
    <mergeCell ref="N199:N201"/>
    <mergeCell ref="O199:O201"/>
    <mergeCell ref="P199:P201"/>
    <mergeCell ref="Q199:Q201"/>
    <mergeCell ref="R188:R193"/>
    <mergeCell ref="S188:S193"/>
    <mergeCell ref="A194:A198"/>
    <mergeCell ref="B194:B198"/>
    <mergeCell ref="D194:G194"/>
    <mergeCell ref="J194:L194"/>
    <mergeCell ref="M194:M198"/>
    <mergeCell ref="N194:N198"/>
    <mergeCell ref="O194:O198"/>
    <mergeCell ref="P194:P198"/>
    <mergeCell ref="Q194:Q198"/>
    <mergeCell ref="R194:R198"/>
    <mergeCell ref="S194:S198"/>
    <mergeCell ref="A188:A193"/>
    <mergeCell ref="B188:B193"/>
    <mergeCell ref="D188:G188"/>
    <mergeCell ref="J188:L188"/>
    <mergeCell ref="M188:M193"/>
    <mergeCell ref="N188:N193"/>
    <mergeCell ref="O188:O193"/>
    <mergeCell ref="P188:P193"/>
    <mergeCell ref="Q188:Q193"/>
    <mergeCell ref="R180:R184"/>
    <mergeCell ref="S180:S184"/>
    <mergeCell ref="A185:A187"/>
    <mergeCell ref="B185:B187"/>
    <mergeCell ref="D185:G185"/>
    <mergeCell ref="J185:L185"/>
    <mergeCell ref="M185:M187"/>
    <mergeCell ref="N185:N187"/>
    <mergeCell ref="O185:O187"/>
    <mergeCell ref="P185:P187"/>
    <mergeCell ref="Q185:Q187"/>
    <mergeCell ref="R185:R187"/>
    <mergeCell ref="S185:S187"/>
    <mergeCell ref="A180:A184"/>
    <mergeCell ref="B180:B184"/>
    <mergeCell ref="D180:G180"/>
    <mergeCell ref="J180:L180"/>
    <mergeCell ref="M180:M184"/>
    <mergeCell ref="N180:N184"/>
    <mergeCell ref="O180:O184"/>
    <mergeCell ref="P180:P184"/>
    <mergeCell ref="Q180:Q184"/>
    <mergeCell ref="R160:R169"/>
    <mergeCell ref="S160:S169"/>
    <mergeCell ref="A170:A179"/>
    <mergeCell ref="B170:B179"/>
    <mergeCell ref="M170:M179"/>
    <mergeCell ref="N170:N179"/>
    <mergeCell ref="O170:O179"/>
    <mergeCell ref="P170:P179"/>
    <mergeCell ref="Q170:Q179"/>
    <mergeCell ref="R170:R179"/>
    <mergeCell ref="S170:S179"/>
    <mergeCell ref="A160:A169"/>
    <mergeCell ref="B160:B169"/>
    <mergeCell ref="D160:G160"/>
    <mergeCell ref="J160:L160"/>
    <mergeCell ref="M160:M169"/>
    <mergeCell ref="N160:N169"/>
    <mergeCell ref="O160:O169"/>
    <mergeCell ref="P160:P169"/>
    <mergeCell ref="Q160:Q169"/>
    <mergeCell ref="D170:G170"/>
    <mergeCell ref="J170:L170"/>
    <mergeCell ref="R144:R152"/>
    <mergeCell ref="S144:S152"/>
    <mergeCell ref="A153:A159"/>
    <mergeCell ref="B153:B159"/>
    <mergeCell ref="D153:G153"/>
    <mergeCell ref="J153:L153"/>
    <mergeCell ref="M153:M159"/>
    <mergeCell ref="N153:N159"/>
    <mergeCell ref="O153:O159"/>
    <mergeCell ref="P153:P159"/>
    <mergeCell ref="Q153:Q159"/>
    <mergeCell ref="R153:R159"/>
    <mergeCell ref="S153:S159"/>
    <mergeCell ref="A144:A152"/>
    <mergeCell ref="B144:B152"/>
    <mergeCell ref="D144:G144"/>
    <mergeCell ref="J144:L144"/>
    <mergeCell ref="M144:M152"/>
    <mergeCell ref="N144:N152"/>
    <mergeCell ref="O144:O152"/>
    <mergeCell ref="P144:P152"/>
    <mergeCell ref="Q144:Q152"/>
    <mergeCell ref="R95:R101"/>
    <mergeCell ref="R102:R107"/>
    <mergeCell ref="R108:R115"/>
    <mergeCell ref="R117:R125"/>
    <mergeCell ref="R126:R134"/>
    <mergeCell ref="R135:R143"/>
    <mergeCell ref="R50:R55"/>
    <mergeCell ref="R56:R60"/>
    <mergeCell ref="R61:R66"/>
    <mergeCell ref="R67:R72"/>
    <mergeCell ref="R73:R77"/>
    <mergeCell ref="R78:R83"/>
    <mergeCell ref="R84:R89"/>
    <mergeCell ref="R90:R94"/>
    <mergeCell ref="S135:S143"/>
    <mergeCell ref="S67:S72"/>
    <mergeCell ref="S73:S77"/>
    <mergeCell ref="S78:S83"/>
    <mergeCell ref="S84:S89"/>
    <mergeCell ref="S90:S94"/>
    <mergeCell ref="S95:S101"/>
    <mergeCell ref="S102:S107"/>
    <mergeCell ref="S108:S115"/>
    <mergeCell ref="S117:S125"/>
    <mergeCell ref="S2:S10"/>
    <mergeCell ref="S11:S17"/>
    <mergeCell ref="S18:S27"/>
    <mergeCell ref="S28:S37"/>
    <mergeCell ref="S38:S42"/>
    <mergeCell ref="S50:S55"/>
    <mergeCell ref="S56:S60"/>
    <mergeCell ref="S61:S66"/>
    <mergeCell ref="S126:S134"/>
    <mergeCell ref="D38:G38"/>
    <mergeCell ref="J38:L38"/>
    <mergeCell ref="D43:G43"/>
    <mergeCell ref="J43:L43"/>
    <mergeCell ref="D50:G50"/>
    <mergeCell ref="J50:L50"/>
    <mergeCell ref="D56:G56"/>
    <mergeCell ref="J56:L56"/>
    <mergeCell ref="D108:G108"/>
    <mergeCell ref="J108:L108"/>
    <mergeCell ref="J67:L67"/>
    <mergeCell ref="D73:G73"/>
    <mergeCell ref="J73:L73"/>
    <mergeCell ref="D78:G78"/>
    <mergeCell ref="J78:L78"/>
    <mergeCell ref="D84:G84"/>
    <mergeCell ref="J84:L84"/>
    <mergeCell ref="D90:G90"/>
    <mergeCell ref="J90:L90"/>
    <mergeCell ref="M108:M115"/>
    <mergeCell ref="N108:N115"/>
    <mergeCell ref="O108:O115"/>
    <mergeCell ref="P108:P115"/>
    <mergeCell ref="Q2:Q10"/>
    <mergeCell ref="Q11:Q17"/>
    <mergeCell ref="Q18:Q27"/>
    <mergeCell ref="Q28:Q37"/>
    <mergeCell ref="Q38:Q42"/>
    <mergeCell ref="Q50:Q55"/>
    <mergeCell ref="Q108:Q115"/>
    <mergeCell ref="M38:M42"/>
    <mergeCell ref="N38:N42"/>
    <mergeCell ref="O38:O42"/>
    <mergeCell ref="P38:P42"/>
    <mergeCell ref="M50:M55"/>
    <mergeCell ref="N50:N55"/>
    <mergeCell ref="O50:O55"/>
    <mergeCell ref="P50:P55"/>
    <mergeCell ref="M2:M10"/>
    <mergeCell ref="M11:M17"/>
    <mergeCell ref="M18:M27"/>
    <mergeCell ref="M28:M37"/>
    <mergeCell ref="M67:M72"/>
    <mergeCell ref="A38:A42"/>
    <mergeCell ref="B38:B42"/>
    <mergeCell ref="A50:A55"/>
    <mergeCell ref="B50:B55"/>
    <mergeCell ref="B108:B115"/>
    <mergeCell ref="A56:A60"/>
    <mergeCell ref="B56:B60"/>
    <mergeCell ref="A61:A66"/>
    <mergeCell ref="B61:B66"/>
    <mergeCell ref="A67:A72"/>
    <mergeCell ref="B67:B72"/>
    <mergeCell ref="A73:A77"/>
    <mergeCell ref="B73:B77"/>
    <mergeCell ref="A84:A89"/>
    <mergeCell ref="B84:B89"/>
    <mergeCell ref="A95:A101"/>
    <mergeCell ref="B95:B101"/>
    <mergeCell ref="A108:A116"/>
    <mergeCell ref="A43:A49"/>
    <mergeCell ref="B43:B49"/>
    <mergeCell ref="A18:A27"/>
    <mergeCell ref="B18:B27"/>
    <mergeCell ref="A28:A37"/>
    <mergeCell ref="B28:B37"/>
    <mergeCell ref="A2:A10"/>
    <mergeCell ref="B2:B10"/>
    <mergeCell ref="A11:A17"/>
    <mergeCell ref="B11:B17"/>
    <mergeCell ref="D2:G2"/>
    <mergeCell ref="J2:L2"/>
    <mergeCell ref="D11:G11"/>
    <mergeCell ref="J11:L11"/>
    <mergeCell ref="D18:G18"/>
    <mergeCell ref="J18:L18"/>
    <mergeCell ref="D28:G28"/>
    <mergeCell ref="J28:L28"/>
    <mergeCell ref="R2:R10"/>
    <mergeCell ref="R11:R17"/>
    <mergeCell ref="R18:R27"/>
    <mergeCell ref="R28:R37"/>
    <mergeCell ref="R38:R42"/>
    <mergeCell ref="N2:N10"/>
    <mergeCell ref="N11:N17"/>
    <mergeCell ref="N18:N27"/>
    <mergeCell ref="N28:N37"/>
    <mergeCell ref="O2:O10"/>
    <mergeCell ref="O11:O17"/>
    <mergeCell ref="O18:O27"/>
    <mergeCell ref="O28:O37"/>
    <mergeCell ref="P2:P10"/>
    <mergeCell ref="P11:P17"/>
    <mergeCell ref="P18:P27"/>
    <mergeCell ref="P28:P37"/>
    <mergeCell ref="N67:N72"/>
    <mergeCell ref="O67:O72"/>
    <mergeCell ref="P67:P72"/>
    <mergeCell ref="Q67:Q72"/>
    <mergeCell ref="D61:G61"/>
    <mergeCell ref="J61:L61"/>
    <mergeCell ref="D67:G67"/>
    <mergeCell ref="M56:M60"/>
    <mergeCell ref="N56:N60"/>
    <mergeCell ref="O56:O60"/>
    <mergeCell ref="P56:P60"/>
    <mergeCell ref="Q56:Q60"/>
    <mergeCell ref="M61:M66"/>
    <mergeCell ref="N61:N66"/>
    <mergeCell ref="O61:O66"/>
    <mergeCell ref="P61:P66"/>
    <mergeCell ref="Q61:Q66"/>
    <mergeCell ref="M73:M77"/>
    <mergeCell ref="N73:N77"/>
    <mergeCell ref="O73:O77"/>
    <mergeCell ref="P73:P77"/>
    <mergeCell ref="Q73:Q77"/>
    <mergeCell ref="A78:A83"/>
    <mergeCell ref="B78:B83"/>
    <mergeCell ref="M78:M83"/>
    <mergeCell ref="N78:N83"/>
    <mergeCell ref="O78:O83"/>
    <mergeCell ref="P78:P83"/>
    <mergeCell ref="Q78:Q83"/>
    <mergeCell ref="M84:M89"/>
    <mergeCell ref="N84:N89"/>
    <mergeCell ref="O84:O89"/>
    <mergeCell ref="P84:P89"/>
    <mergeCell ref="Q84:Q89"/>
    <mergeCell ref="A90:A94"/>
    <mergeCell ref="B90:B94"/>
    <mergeCell ref="M90:M94"/>
    <mergeCell ref="N90:N94"/>
    <mergeCell ref="O90:O94"/>
    <mergeCell ref="P90:P94"/>
    <mergeCell ref="Q90:Q94"/>
    <mergeCell ref="M95:M101"/>
    <mergeCell ref="N95:N101"/>
    <mergeCell ref="O95:O101"/>
    <mergeCell ref="P95:P101"/>
    <mergeCell ref="Q95:Q101"/>
    <mergeCell ref="D95:G95"/>
    <mergeCell ref="J95:L95"/>
    <mergeCell ref="A102:A107"/>
    <mergeCell ref="B102:B107"/>
    <mergeCell ref="M102:M107"/>
    <mergeCell ref="N102:N107"/>
    <mergeCell ref="O102:O107"/>
    <mergeCell ref="P102:P107"/>
    <mergeCell ref="Q102:Q107"/>
    <mergeCell ref="D102:G102"/>
    <mergeCell ref="J102:L102"/>
    <mergeCell ref="A117:A125"/>
    <mergeCell ref="B117:B125"/>
    <mergeCell ref="M117:M125"/>
    <mergeCell ref="N117:N125"/>
    <mergeCell ref="O117:O125"/>
    <mergeCell ref="P117:P125"/>
    <mergeCell ref="Q117:Q125"/>
    <mergeCell ref="A126:A134"/>
    <mergeCell ref="B126:B134"/>
    <mergeCell ref="M126:M134"/>
    <mergeCell ref="N126:N134"/>
    <mergeCell ref="O126:O134"/>
    <mergeCell ref="P126:P134"/>
    <mergeCell ref="Q126:Q134"/>
    <mergeCell ref="D117:G117"/>
    <mergeCell ref="J117:L117"/>
    <mergeCell ref="D126:G126"/>
    <mergeCell ref="J126:L126"/>
    <mergeCell ref="A135:A143"/>
    <mergeCell ref="B135:B143"/>
    <mergeCell ref="M135:M143"/>
    <mergeCell ref="N135:N143"/>
    <mergeCell ref="O135:O143"/>
    <mergeCell ref="P135:P143"/>
    <mergeCell ref="Q135:Q143"/>
    <mergeCell ref="D135:G135"/>
    <mergeCell ref="J135:L135"/>
    <mergeCell ref="R275:R283"/>
    <mergeCell ref="S275:S283"/>
    <mergeCell ref="A284:A290"/>
    <mergeCell ref="B284:B290"/>
    <mergeCell ref="D284:G284"/>
    <mergeCell ref="J284:L284"/>
    <mergeCell ref="M284:M290"/>
    <mergeCell ref="N284:N290"/>
    <mergeCell ref="O284:O290"/>
    <mergeCell ref="P284:P290"/>
    <mergeCell ref="Q284:Q290"/>
    <mergeCell ref="R284:R290"/>
    <mergeCell ref="S284:S290"/>
    <mergeCell ref="A275:A283"/>
    <mergeCell ref="B275:B283"/>
    <mergeCell ref="D275:G275"/>
    <mergeCell ref="J275:L275"/>
    <mergeCell ref="M275:M283"/>
    <mergeCell ref="N275:N283"/>
    <mergeCell ref="O275:O283"/>
    <mergeCell ref="P275:P283"/>
    <mergeCell ref="Q275:Q283"/>
    <mergeCell ref="R291:R300"/>
    <mergeCell ref="S291:S300"/>
    <mergeCell ref="A301:A310"/>
    <mergeCell ref="B301:B310"/>
    <mergeCell ref="J301:L301"/>
    <mergeCell ref="M301:M310"/>
    <mergeCell ref="N301:N310"/>
    <mergeCell ref="O301:O310"/>
    <mergeCell ref="P301:P310"/>
    <mergeCell ref="Q301:Q310"/>
    <mergeCell ref="R301:R310"/>
    <mergeCell ref="S301:S310"/>
    <mergeCell ref="A291:A300"/>
    <mergeCell ref="B291:B300"/>
    <mergeCell ref="D291:G291"/>
    <mergeCell ref="J291:L291"/>
    <mergeCell ref="M291:M300"/>
    <mergeCell ref="N291:N300"/>
    <mergeCell ref="O291:O300"/>
    <mergeCell ref="P291:P300"/>
    <mergeCell ref="Q291:Q300"/>
    <mergeCell ref="D301:G301"/>
    <mergeCell ref="R311:R315"/>
    <mergeCell ref="S311:S315"/>
    <mergeCell ref="A316:A318"/>
    <mergeCell ref="B316:B318"/>
    <mergeCell ref="D316:G316"/>
    <mergeCell ref="J316:L316"/>
    <mergeCell ref="M316:M318"/>
    <mergeCell ref="N316:N318"/>
    <mergeCell ref="O316:O318"/>
    <mergeCell ref="P316:P318"/>
    <mergeCell ref="Q316:Q318"/>
    <mergeCell ref="R316:R318"/>
    <mergeCell ref="S316:S318"/>
    <mergeCell ref="A311:A315"/>
    <mergeCell ref="B311:B315"/>
    <mergeCell ref="D311:G311"/>
    <mergeCell ref="J311:L311"/>
    <mergeCell ref="M311:M315"/>
    <mergeCell ref="N311:N315"/>
    <mergeCell ref="O311:O315"/>
    <mergeCell ref="P311:P315"/>
    <mergeCell ref="Q311:Q315"/>
    <mergeCell ref="R319:R324"/>
    <mergeCell ref="S319:S324"/>
    <mergeCell ref="A325:A329"/>
    <mergeCell ref="B325:B329"/>
    <mergeCell ref="D325:G325"/>
    <mergeCell ref="J325:L325"/>
    <mergeCell ref="M325:M329"/>
    <mergeCell ref="N325:N329"/>
    <mergeCell ref="O325:O329"/>
    <mergeCell ref="P325:P329"/>
    <mergeCell ref="Q325:Q329"/>
    <mergeCell ref="R325:R329"/>
    <mergeCell ref="S325:S329"/>
    <mergeCell ref="A319:A324"/>
    <mergeCell ref="B319:B324"/>
    <mergeCell ref="D319:G319"/>
    <mergeCell ref="J319:L319"/>
    <mergeCell ref="M319:M324"/>
    <mergeCell ref="N319:N324"/>
    <mergeCell ref="O319:O324"/>
    <mergeCell ref="P319:P324"/>
    <mergeCell ref="Q319:Q324"/>
    <mergeCell ref="R330:R332"/>
    <mergeCell ref="S330:S332"/>
    <mergeCell ref="A333:A338"/>
    <mergeCell ref="B333:B338"/>
    <mergeCell ref="D333:G333"/>
    <mergeCell ref="J333:L333"/>
    <mergeCell ref="M333:M338"/>
    <mergeCell ref="N333:N338"/>
    <mergeCell ref="O333:O338"/>
    <mergeCell ref="P333:P338"/>
    <mergeCell ref="Q333:Q338"/>
    <mergeCell ref="R333:R338"/>
    <mergeCell ref="S333:S338"/>
    <mergeCell ref="A330:A332"/>
    <mergeCell ref="B330:B332"/>
    <mergeCell ref="D330:G330"/>
    <mergeCell ref="J330:L330"/>
    <mergeCell ref="M330:M332"/>
    <mergeCell ref="N330:N332"/>
    <mergeCell ref="O330:O332"/>
    <mergeCell ref="P330:P332"/>
    <mergeCell ref="Q330:Q332"/>
    <mergeCell ref="R339:R343"/>
    <mergeCell ref="S339:S343"/>
    <mergeCell ref="A344:A346"/>
    <mergeCell ref="B344:B346"/>
    <mergeCell ref="D344:G344"/>
    <mergeCell ref="J344:L344"/>
    <mergeCell ref="M344:M346"/>
    <mergeCell ref="N344:N346"/>
    <mergeCell ref="O344:O346"/>
    <mergeCell ref="P344:P346"/>
    <mergeCell ref="Q344:Q346"/>
    <mergeCell ref="R344:R346"/>
    <mergeCell ref="S344:S346"/>
    <mergeCell ref="A339:A343"/>
    <mergeCell ref="B339:B343"/>
    <mergeCell ref="D339:G339"/>
    <mergeCell ref="J339:L339"/>
    <mergeCell ref="M339:M343"/>
    <mergeCell ref="N339:N343"/>
    <mergeCell ref="O339:O343"/>
    <mergeCell ref="P339:P343"/>
    <mergeCell ref="Q339:Q343"/>
    <mergeCell ref="R347:R352"/>
    <mergeCell ref="S347:S352"/>
    <mergeCell ref="A353:A357"/>
    <mergeCell ref="B353:B357"/>
    <mergeCell ref="D353:G353"/>
    <mergeCell ref="J353:L353"/>
    <mergeCell ref="M353:M357"/>
    <mergeCell ref="N353:N357"/>
    <mergeCell ref="O353:O357"/>
    <mergeCell ref="P353:P357"/>
    <mergeCell ref="Q353:Q357"/>
    <mergeCell ref="R353:R357"/>
    <mergeCell ref="S353:S357"/>
    <mergeCell ref="A347:A352"/>
    <mergeCell ref="B347:B352"/>
    <mergeCell ref="D347:G347"/>
    <mergeCell ref="J347:L347"/>
    <mergeCell ref="M347:M352"/>
    <mergeCell ref="N347:N352"/>
    <mergeCell ref="O347:O352"/>
    <mergeCell ref="P347:P352"/>
    <mergeCell ref="Q347:Q352"/>
    <mergeCell ref="R358:R360"/>
    <mergeCell ref="S358:S360"/>
    <mergeCell ref="A361:A366"/>
    <mergeCell ref="B361:B366"/>
    <mergeCell ref="D361:G361"/>
    <mergeCell ref="J361:L361"/>
    <mergeCell ref="M361:M366"/>
    <mergeCell ref="N361:N366"/>
    <mergeCell ref="O361:O366"/>
    <mergeCell ref="P361:P366"/>
    <mergeCell ref="Q361:Q366"/>
    <mergeCell ref="R361:R366"/>
    <mergeCell ref="S361:S366"/>
    <mergeCell ref="A358:A360"/>
    <mergeCell ref="B358:B360"/>
    <mergeCell ref="D358:G358"/>
    <mergeCell ref="J358:L358"/>
    <mergeCell ref="M358:M360"/>
    <mergeCell ref="N358:N360"/>
    <mergeCell ref="O358:O360"/>
    <mergeCell ref="P358:P360"/>
    <mergeCell ref="Q358:Q360"/>
    <mergeCell ref="R367:R375"/>
    <mergeCell ref="S367:S375"/>
    <mergeCell ref="A376:A387"/>
    <mergeCell ref="B376:B387"/>
    <mergeCell ref="D376:G376"/>
    <mergeCell ref="J376:L376"/>
    <mergeCell ref="M376:M387"/>
    <mergeCell ref="N376:N387"/>
    <mergeCell ref="O376:O387"/>
    <mergeCell ref="P376:P387"/>
    <mergeCell ref="Q376:Q387"/>
    <mergeCell ref="R376:R387"/>
    <mergeCell ref="S376:S387"/>
    <mergeCell ref="A367:A375"/>
    <mergeCell ref="B367:B375"/>
    <mergeCell ref="D367:G367"/>
    <mergeCell ref="J367:L367"/>
    <mergeCell ref="M367:M375"/>
    <mergeCell ref="N367:N375"/>
    <mergeCell ref="O367:O375"/>
    <mergeCell ref="P367:P375"/>
    <mergeCell ref="Q367:Q375"/>
    <mergeCell ref="R388:R396"/>
    <mergeCell ref="S388:S396"/>
    <mergeCell ref="A397:A405"/>
    <mergeCell ref="B397:B405"/>
    <mergeCell ref="D397:G397"/>
    <mergeCell ref="J397:L397"/>
    <mergeCell ref="M397:M405"/>
    <mergeCell ref="N397:N405"/>
    <mergeCell ref="O397:O405"/>
    <mergeCell ref="P397:P405"/>
    <mergeCell ref="Q397:Q405"/>
    <mergeCell ref="R397:R405"/>
    <mergeCell ref="S397:S405"/>
    <mergeCell ref="A388:A396"/>
    <mergeCell ref="B388:B396"/>
    <mergeCell ref="D388:G388"/>
    <mergeCell ref="J388:L388"/>
    <mergeCell ref="M388:M396"/>
    <mergeCell ref="N388:N396"/>
    <mergeCell ref="O388:O396"/>
    <mergeCell ref="P388:P396"/>
    <mergeCell ref="Q388:Q396"/>
    <mergeCell ref="R406:R414"/>
    <mergeCell ref="S406:S414"/>
    <mergeCell ref="A415:A421"/>
    <mergeCell ref="B415:B421"/>
    <mergeCell ref="D415:G415"/>
    <mergeCell ref="J415:L415"/>
    <mergeCell ref="M415:M421"/>
    <mergeCell ref="N415:N421"/>
    <mergeCell ref="O415:O421"/>
    <mergeCell ref="P415:P421"/>
    <mergeCell ref="Q415:Q421"/>
    <mergeCell ref="R415:R421"/>
    <mergeCell ref="S415:S421"/>
    <mergeCell ref="A406:A414"/>
    <mergeCell ref="B406:B414"/>
    <mergeCell ref="D406:G406"/>
    <mergeCell ref="J406:L406"/>
    <mergeCell ref="M406:M414"/>
    <mergeCell ref="N406:N414"/>
    <mergeCell ref="O406:O414"/>
    <mergeCell ref="P406:P414"/>
    <mergeCell ref="Q406:Q414"/>
    <mergeCell ref="R422:R431"/>
    <mergeCell ref="S422:S431"/>
    <mergeCell ref="A432:A441"/>
    <mergeCell ref="B432:B441"/>
    <mergeCell ref="D432:G432"/>
    <mergeCell ref="J432:L432"/>
    <mergeCell ref="M432:M441"/>
    <mergeCell ref="N432:N441"/>
    <mergeCell ref="O432:O441"/>
    <mergeCell ref="P432:P441"/>
    <mergeCell ref="Q432:Q441"/>
    <mergeCell ref="R432:R441"/>
    <mergeCell ref="S432:S441"/>
    <mergeCell ref="A422:A431"/>
    <mergeCell ref="B422:B431"/>
    <mergeCell ref="D422:G422"/>
    <mergeCell ref="J422:L422"/>
    <mergeCell ref="M422:M431"/>
    <mergeCell ref="N422:N431"/>
    <mergeCell ref="O422:O431"/>
    <mergeCell ref="P422:P431"/>
    <mergeCell ref="Q422:Q431"/>
    <mergeCell ref="R442:R446"/>
    <mergeCell ref="S442:S446"/>
    <mergeCell ref="A447:A449"/>
    <mergeCell ref="B447:B449"/>
    <mergeCell ref="D447:G447"/>
    <mergeCell ref="J447:L447"/>
    <mergeCell ref="M447:M449"/>
    <mergeCell ref="N447:N449"/>
    <mergeCell ref="O447:O449"/>
    <mergeCell ref="P447:P449"/>
    <mergeCell ref="Q447:Q449"/>
    <mergeCell ref="R447:R449"/>
    <mergeCell ref="S447:S449"/>
    <mergeCell ref="A442:A446"/>
    <mergeCell ref="B442:B446"/>
    <mergeCell ref="D442:G442"/>
    <mergeCell ref="J442:L442"/>
    <mergeCell ref="M442:M446"/>
    <mergeCell ref="N442:N446"/>
    <mergeCell ref="O442:O446"/>
    <mergeCell ref="P442:P446"/>
    <mergeCell ref="Q442:Q446"/>
    <mergeCell ref="R450:R455"/>
    <mergeCell ref="S450:S455"/>
    <mergeCell ref="A456:A460"/>
    <mergeCell ref="B456:B460"/>
    <mergeCell ref="D456:G456"/>
    <mergeCell ref="J456:L456"/>
    <mergeCell ref="M456:M460"/>
    <mergeCell ref="N456:N460"/>
    <mergeCell ref="O456:O460"/>
    <mergeCell ref="P456:P460"/>
    <mergeCell ref="Q456:Q460"/>
    <mergeCell ref="R456:R460"/>
    <mergeCell ref="S456:S460"/>
    <mergeCell ref="A450:A455"/>
    <mergeCell ref="B450:B455"/>
    <mergeCell ref="D450:G450"/>
    <mergeCell ref="J450:L450"/>
    <mergeCell ref="M450:M455"/>
    <mergeCell ref="N450:N455"/>
    <mergeCell ref="O450:O455"/>
    <mergeCell ref="P450:P455"/>
    <mergeCell ref="Q450:Q455"/>
    <mergeCell ref="R461:R463"/>
    <mergeCell ref="S461:S463"/>
    <mergeCell ref="A464:A469"/>
    <mergeCell ref="B464:B469"/>
    <mergeCell ref="D464:G464"/>
    <mergeCell ref="J464:L464"/>
    <mergeCell ref="M464:M469"/>
    <mergeCell ref="N464:N469"/>
    <mergeCell ref="O464:O469"/>
    <mergeCell ref="P464:P469"/>
    <mergeCell ref="Q464:Q469"/>
    <mergeCell ref="R464:R469"/>
    <mergeCell ref="S464:S469"/>
    <mergeCell ref="A461:A463"/>
    <mergeCell ref="B461:B463"/>
    <mergeCell ref="D461:G461"/>
    <mergeCell ref="J461:L461"/>
    <mergeCell ref="M461:M463"/>
    <mergeCell ref="N461:N463"/>
    <mergeCell ref="O461:O463"/>
    <mergeCell ref="P461:P463"/>
    <mergeCell ref="Q461:Q463"/>
    <mergeCell ref="S475:S477"/>
    <mergeCell ref="A470:A474"/>
    <mergeCell ref="B470:B474"/>
    <mergeCell ref="D470:G470"/>
    <mergeCell ref="J470:L470"/>
    <mergeCell ref="M470:M474"/>
    <mergeCell ref="N470:N474"/>
    <mergeCell ref="O470:O474"/>
    <mergeCell ref="P470:P474"/>
    <mergeCell ref="Q470:Q474"/>
    <mergeCell ref="A475:A477"/>
    <mergeCell ref="B475:B477"/>
    <mergeCell ref="D475:G475"/>
    <mergeCell ref="J475:L475"/>
    <mergeCell ref="M475:M477"/>
    <mergeCell ref="N475:N477"/>
    <mergeCell ref="O475:O477"/>
    <mergeCell ref="P475:P477"/>
    <mergeCell ref="Q475:Q477"/>
    <mergeCell ref="A478:A483"/>
    <mergeCell ref="B478:B483"/>
    <mergeCell ref="D478:G478"/>
    <mergeCell ref="J478:L478"/>
    <mergeCell ref="M478:M483"/>
    <mergeCell ref="N478:N483"/>
    <mergeCell ref="O478:O483"/>
    <mergeCell ref="P478:P483"/>
    <mergeCell ref="Q478:Q483"/>
    <mergeCell ref="A484:A488"/>
    <mergeCell ref="B484:B488"/>
    <mergeCell ref="D484:G484"/>
    <mergeCell ref="J484:L484"/>
    <mergeCell ref="M484:M488"/>
    <mergeCell ref="N484:N488"/>
    <mergeCell ref="O484:O488"/>
    <mergeCell ref="P484:P488"/>
    <mergeCell ref="Q484:Q488"/>
    <mergeCell ref="A489:A491"/>
    <mergeCell ref="B489:B491"/>
    <mergeCell ref="D489:G489"/>
    <mergeCell ref="J489:L489"/>
    <mergeCell ref="M489:M491"/>
    <mergeCell ref="N489:N491"/>
    <mergeCell ref="O489:O491"/>
    <mergeCell ref="P489:P491"/>
    <mergeCell ref="Q489:Q491"/>
    <mergeCell ref="A492:A497"/>
    <mergeCell ref="B492:B497"/>
    <mergeCell ref="D492:G492"/>
    <mergeCell ref="J492:L492"/>
    <mergeCell ref="M492:M497"/>
    <mergeCell ref="N492:N497"/>
    <mergeCell ref="O492:O497"/>
    <mergeCell ref="P492:P497"/>
    <mergeCell ref="Q492:Q497"/>
    <mergeCell ref="A498:A506"/>
    <mergeCell ref="B498:B506"/>
    <mergeCell ref="D498:G498"/>
    <mergeCell ref="J498:L498"/>
    <mergeCell ref="M498:M506"/>
    <mergeCell ref="N498:N506"/>
    <mergeCell ref="O498:O506"/>
    <mergeCell ref="P498:P506"/>
    <mergeCell ref="Q498:Q506"/>
    <mergeCell ref="A507:A515"/>
    <mergeCell ref="B507:B515"/>
    <mergeCell ref="D507:G507"/>
    <mergeCell ref="J507:L507"/>
    <mergeCell ref="M507:M515"/>
    <mergeCell ref="N507:N515"/>
    <mergeCell ref="O507:O515"/>
    <mergeCell ref="P507:P515"/>
    <mergeCell ref="Q507:Q515"/>
    <mergeCell ref="R525:R533"/>
    <mergeCell ref="S525:S533"/>
    <mergeCell ref="A516:A524"/>
    <mergeCell ref="B516:B524"/>
    <mergeCell ref="D516:G516"/>
    <mergeCell ref="J516:L516"/>
    <mergeCell ref="M516:M524"/>
    <mergeCell ref="N516:N524"/>
    <mergeCell ref="O516:O524"/>
    <mergeCell ref="P516:P524"/>
    <mergeCell ref="Q516:Q524"/>
    <mergeCell ref="A525:A533"/>
    <mergeCell ref="B525:B533"/>
    <mergeCell ref="D525:G525"/>
    <mergeCell ref="J525:L525"/>
    <mergeCell ref="M525:M533"/>
    <mergeCell ref="N525:N533"/>
    <mergeCell ref="O525:O533"/>
    <mergeCell ref="P525:P533"/>
    <mergeCell ref="Q525:Q533"/>
    <mergeCell ref="M43:M49"/>
    <mergeCell ref="N43:N49"/>
    <mergeCell ref="O43:O49"/>
    <mergeCell ref="P43:P49"/>
    <mergeCell ref="Q43:Q49"/>
    <mergeCell ref="R43:R49"/>
    <mergeCell ref="S43:S49"/>
    <mergeCell ref="R516:R524"/>
    <mergeCell ref="S516:S524"/>
    <mergeCell ref="S498:S506"/>
    <mergeCell ref="R507:R515"/>
    <mergeCell ref="S507:S515"/>
    <mergeCell ref="R498:R506"/>
    <mergeCell ref="R489:R491"/>
    <mergeCell ref="S489:S491"/>
    <mergeCell ref="R492:R497"/>
    <mergeCell ref="S492:S497"/>
    <mergeCell ref="R478:R483"/>
    <mergeCell ref="S478:S483"/>
    <mergeCell ref="R484:R488"/>
    <mergeCell ref="S484:S488"/>
    <mergeCell ref="R470:R474"/>
    <mergeCell ref="S470:S474"/>
    <mergeCell ref="R475:R477"/>
  </mergeCells>
  <conditionalFormatting sqref="C13:C14 C3 C116 C62">
    <cfRule type="cellIs" dxfId="396" priority="2058" stopIfTrue="1" operator="equal">
      <formula>"reserved"</formula>
    </cfRule>
  </conditionalFormatting>
  <conditionalFormatting sqref="C12">
    <cfRule type="cellIs" dxfId="395" priority="2057" stopIfTrue="1" operator="equal">
      <formula>"reserved"</formula>
    </cfRule>
  </conditionalFormatting>
  <conditionalFormatting sqref="C51">
    <cfRule type="cellIs" dxfId="394" priority="2012" stopIfTrue="1" operator="equal">
      <formula>"reserved"</formula>
    </cfRule>
  </conditionalFormatting>
  <conditionalFormatting sqref="C29">
    <cfRule type="cellIs" dxfId="393" priority="2039" stopIfTrue="1" operator="equal">
      <formula>"reserved"</formula>
    </cfRule>
  </conditionalFormatting>
  <conditionalFormatting sqref="C33:C34">
    <cfRule type="cellIs" dxfId="392" priority="2037" stopIfTrue="1" operator="equal">
      <formula>"reserved"</formula>
    </cfRule>
  </conditionalFormatting>
  <conditionalFormatting sqref="C111">
    <cfRule type="cellIs" dxfId="391" priority="2001" stopIfTrue="1" operator="equal">
      <formula>"reserved"</formula>
    </cfRule>
  </conditionalFormatting>
  <conditionalFormatting sqref="C52">
    <cfRule type="cellIs" dxfId="390" priority="2008" stopIfTrue="1" operator="equal">
      <formula>"reserved"</formula>
    </cfRule>
  </conditionalFormatting>
  <conditionalFormatting sqref="C32">
    <cfRule type="cellIs" dxfId="389" priority="2040" stopIfTrue="1" operator="equal">
      <formula>"reserved"</formula>
    </cfRule>
  </conditionalFormatting>
  <conditionalFormatting sqref="C112">
    <cfRule type="cellIs" dxfId="388" priority="2002" stopIfTrue="1" operator="equal">
      <formula>"reserved"</formula>
    </cfRule>
  </conditionalFormatting>
  <conditionalFormatting sqref="C113">
    <cfRule type="cellIs" dxfId="387" priority="1999" stopIfTrue="1" operator="equal">
      <formula>"reserved"</formula>
    </cfRule>
  </conditionalFormatting>
  <conditionalFormatting sqref="C54">
    <cfRule type="cellIs" dxfId="386" priority="2011" stopIfTrue="1" operator="equal">
      <formula>"reserved"</formula>
    </cfRule>
  </conditionalFormatting>
  <conditionalFormatting sqref="C19 C22:C24">
    <cfRule type="cellIs" dxfId="385" priority="2048" stopIfTrue="1" operator="equal">
      <formula>"reserved"</formula>
    </cfRule>
  </conditionalFormatting>
  <conditionalFormatting sqref="C109">
    <cfRule type="cellIs" dxfId="384" priority="2003" stopIfTrue="1" operator="equal">
      <formula>"reserved"</formula>
    </cfRule>
  </conditionalFormatting>
  <conditionalFormatting sqref="C114">
    <cfRule type="cellIs" dxfId="383" priority="2000" stopIfTrue="1" operator="equal">
      <formula>"reserved"</formula>
    </cfRule>
  </conditionalFormatting>
  <conditionalFormatting sqref="C53">
    <cfRule type="cellIs" dxfId="382" priority="2010" stopIfTrue="1" operator="equal">
      <formula>"reserved"</formula>
    </cfRule>
  </conditionalFormatting>
  <conditionalFormatting sqref="C110">
    <cfRule type="cellIs" dxfId="381" priority="2004" stopIfTrue="1" operator="equal">
      <formula>"reserved"</formula>
    </cfRule>
  </conditionalFormatting>
  <conditionalFormatting sqref="C22">
    <cfRule type="cellIs" dxfId="380" priority="1919" stopIfTrue="1" operator="equal">
      <formula>"reserved"</formula>
    </cfRule>
  </conditionalFormatting>
  <conditionalFormatting sqref="C23:C24">
    <cfRule type="cellIs" dxfId="379" priority="1917" stopIfTrue="1" operator="equal">
      <formula>"reserved"</formula>
    </cfRule>
  </conditionalFormatting>
  <conditionalFormatting sqref="C45:C49">
    <cfRule type="cellIs" dxfId="378" priority="1901" stopIfTrue="1" operator="equal">
      <formula>"reserved"</formula>
    </cfRule>
  </conditionalFormatting>
  <conditionalFormatting sqref="C41">
    <cfRule type="cellIs" dxfId="377" priority="1903" stopIfTrue="1" operator="equal">
      <formula>"reserved"</formula>
    </cfRule>
  </conditionalFormatting>
  <conditionalFormatting sqref="C44">
    <cfRule type="cellIs" dxfId="376" priority="1900" stopIfTrue="1" operator="equal">
      <formula>"reserved"</formula>
    </cfRule>
  </conditionalFormatting>
  <conditionalFormatting sqref="C92">
    <cfRule type="cellIs" dxfId="375" priority="837" stopIfTrue="1" operator="equal">
      <formula>"reserved"</formula>
    </cfRule>
  </conditionalFormatting>
  <conditionalFormatting sqref="C96">
    <cfRule type="cellIs" dxfId="374" priority="835" stopIfTrue="1" operator="equal">
      <formula>"reserved"</formula>
    </cfRule>
  </conditionalFormatting>
  <conditionalFormatting sqref="C187">
    <cfRule type="cellIs" dxfId="373" priority="797" stopIfTrue="1" operator="equal">
      <formula>"reserved"</formula>
    </cfRule>
  </conditionalFormatting>
  <conditionalFormatting sqref="C186">
    <cfRule type="cellIs" dxfId="372" priority="796" stopIfTrue="1" operator="equal">
      <formula>"reserved"</formula>
    </cfRule>
  </conditionalFormatting>
  <conditionalFormatting sqref="C214">
    <cfRule type="cellIs" dxfId="371" priority="740" stopIfTrue="1" operator="equal">
      <formula>"reserved"</formula>
    </cfRule>
  </conditionalFormatting>
  <conditionalFormatting sqref="C225">
    <cfRule type="cellIs" dxfId="370" priority="739" stopIfTrue="1" operator="equal">
      <formula>"reserved"</formula>
    </cfRule>
  </conditionalFormatting>
  <conditionalFormatting sqref="C42">
    <cfRule type="cellIs" dxfId="369" priority="857" stopIfTrue="1" operator="equal">
      <formula>"reserved"</formula>
    </cfRule>
  </conditionalFormatting>
  <conditionalFormatting sqref="C39">
    <cfRule type="cellIs" dxfId="368" priority="856" stopIfTrue="1" operator="equal">
      <formula>"reserved"</formula>
    </cfRule>
  </conditionalFormatting>
  <conditionalFormatting sqref="C40">
    <cfRule type="cellIs" dxfId="367" priority="855" stopIfTrue="1" operator="equal">
      <formula>"reserved"</formula>
    </cfRule>
  </conditionalFormatting>
  <conditionalFormatting sqref="C59">
    <cfRule type="cellIs" dxfId="366" priority="854" stopIfTrue="1" operator="equal">
      <formula>"reserved"</formula>
    </cfRule>
  </conditionalFormatting>
  <conditionalFormatting sqref="C60">
    <cfRule type="cellIs" dxfId="365" priority="853" stopIfTrue="1" operator="equal">
      <formula>"reserved"</formula>
    </cfRule>
  </conditionalFormatting>
  <conditionalFormatting sqref="C57">
    <cfRule type="cellIs" dxfId="364" priority="852" stopIfTrue="1" operator="equal">
      <formula>"reserved"</formula>
    </cfRule>
  </conditionalFormatting>
  <conditionalFormatting sqref="C58">
    <cfRule type="cellIs" dxfId="363" priority="851" stopIfTrue="1" operator="equal">
      <formula>"reserved"</formula>
    </cfRule>
  </conditionalFormatting>
  <conditionalFormatting sqref="C74">
    <cfRule type="cellIs" dxfId="362" priority="844" stopIfTrue="1" operator="equal">
      <formula>"reserved"</formula>
    </cfRule>
  </conditionalFormatting>
  <conditionalFormatting sqref="C75">
    <cfRule type="cellIs" dxfId="361" priority="843" stopIfTrue="1" operator="equal">
      <formula>"reserved"</formula>
    </cfRule>
  </conditionalFormatting>
  <conditionalFormatting sqref="C76">
    <cfRule type="cellIs" dxfId="360" priority="846" stopIfTrue="1" operator="equal">
      <formula>"reserved"</formula>
    </cfRule>
  </conditionalFormatting>
  <conditionalFormatting sqref="C77">
    <cfRule type="cellIs" dxfId="359" priority="845" stopIfTrue="1" operator="equal">
      <formula>"reserved"</formula>
    </cfRule>
  </conditionalFormatting>
  <conditionalFormatting sqref="C93">
    <cfRule type="cellIs" dxfId="358" priority="840" stopIfTrue="1" operator="equal">
      <formula>"reserved"</formula>
    </cfRule>
  </conditionalFormatting>
  <conditionalFormatting sqref="C79">
    <cfRule type="cellIs" dxfId="357" priority="841" stopIfTrue="1" operator="equal">
      <formula>"reserved"</formula>
    </cfRule>
  </conditionalFormatting>
  <conditionalFormatting sqref="C91">
    <cfRule type="cellIs" dxfId="356" priority="838" stopIfTrue="1" operator="equal">
      <formula>"reserved"</formula>
    </cfRule>
  </conditionalFormatting>
  <conditionalFormatting sqref="C211">
    <cfRule type="cellIs" dxfId="355" priority="745" stopIfTrue="1" operator="equal">
      <formula>"reserved"</formula>
    </cfRule>
  </conditionalFormatting>
  <conditionalFormatting sqref="C212">
    <cfRule type="cellIs" dxfId="354" priority="744" stopIfTrue="1" operator="equal">
      <formula>"reserved"</formula>
    </cfRule>
  </conditionalFormatting>
  <conditionalFormatting sqref="C183">
    <cfRule type="cellIs" dxfId="353" priority="798" stopIfTrue="1" operator="equal">
      <formula>"reserved"</formula>
    </cfRule>
  </conditionalFormatting>
  <conditionalFormatting sqref="C94">
    <cfRule type="cellIs" dxfId="352" priority="839" stopIfTrue="1" operator="equal">
      <formula>"reserved"</formula>
    </cfRule>
  </conditionalFormatting>
  <conditionalFormatting sqref="C209">
    <cfRule type="cellIs" dxfId="351" priority="743" stopIfTrue="1" operator="equal">
      <formula>"reserved"</formula>
    </cfRule>
  </conditionalFormatting>
  <conditionalFormatting sqref="C215">
    <cfRule type="cellIs" dxfId="350" priority="741" stopIfTrue="1" operator="equal">
      <formula>"reserved"</formula>
    </cfRule>
  </conditionalFormatting>
  <conditionalFormatting sqref="C210">
    <cfRule type="cellIs" dxfId="349" priority="742" stopIfTrue="1" operator="equal">
      <formula>"reserved"</formula>
    </cfRule>
  </conditionalFormatting>
  <conditionalFormatting sqref="C226">
    <cfRule type="cellIs" dxfId="348" priority="738" stopIfTrue="1" operator="equal">
      <formula>"reserved"</formula>
    </cfRule>
  </conditionalFormatting>
  <conditionalFormatting sqref="C228">
    <cfRule type="cellIs" dxfId="347" priority="734" stopIfTrue="1" operator="equal">
      <formula>"reserved"</formula>
    </cfRule>
  </conditionalFormatting>
  <conditionalFormatting sqref="C182">
    <cfRule type="cellIs" dxfId="346" priority="752" stopIfTrue="1" operator="equal">
      <formula>"reserved"</formula>
    </cfRule>
  </conditionalFormatting>
  <conditionalFormatting sqref="C197">
    <cfRule type="cellIs" dxfId="345" priority="751" stopIfTrue="1" operator="equal">
      <formula>"reserved"</formula>
    </cfRule>
  </conditionalFormatting>
  <conditionalFormatting sqref="C181">
    <cfRule type="cellIs" dxfId="344" priority="753" stopIfTrue="1" operator="equal">
      <formula>"reserved"</formula>
    </cfRule>
  </conditionalFormatting>
  <conditionalFormatting sqref="C195">
    <cfRule type="cellIs" dxfId="343" priority="749" stopIfTrue="1" operator="equal">
      <formula>"reserved"</formula>
    </cfRule>
  </conditionalFormatting>
  <conditionalFormatting sqref="C196">
    <cfRule type="cellIs" dxfId="342" priority="748" stopIfTrue="1" operator="equal">
      <formula>"reserved"</formula>
    </cfRule>
  </conditionalFormatting>
  <conditionalFormatting sqref="C198">
    <cfRule type="cellIs" dxfId="341" priority="750" stopIfTrue="1" operator="equal">
      <formula>"reserved"</formula>
    </cfRule>
  </conditionalFormatting>
  <conditionalFormatting sqref="C224">
    <cfRule type="cellIs" dxfId="340" priority="736" stopIfTrue="1" operator="equal">
      <formula>"reserved"</formula>
    </cfRule>
  </conditionalFormatting>
  <conditionalFormatting sqref="C229">
    <cfRule type="cellIs" dxfId="339" priority="735" stopIfTrue="1" operator="equal">
      <formula>"reserved"</formula>
    </cfRule>
  </conditionalFormatting>
  <conditionalFormatting sqref="C223">
    <cfRule type="cellIs" dxfId="338" priority="737" stopIfTrue="1" operator="equal">
      <formula>"reserved"</formula>
    </cfRule>
  </conditionalFormatting>
  <conditionalFormatting sqref="C184">
    <cfRule type="cellIs" dxfId="337" priority="754" stopIfTrue="1" operator="equal">
      <formula>"reserved"</formula>
    </cfRule>
  </conditionalFormatting>
  <conditionalFormatting sqref="C200">
    <cfRule type="cellIs" dxfId="336" priority="746" stopIfTrue="1" operator="equal">
      <formula>"reserved"</formula>
    </cfRule>
  </conditionalFormatting>
  <conditionalFormatting sqref="C201">
    <cfRule type="cellIs" dxfId="335" priority="747" stopIfTrue="1" operator="equal">
      <formula>"reserved"</formula>
    </cfRule>
  </conditionalFormatting>
  <conditionalFormatting sqref="C318">
    <cfRule type="cellIs" dxfId="334" priority="696" stopIfTrue="1" operator="equal">
      <formula>"reserved"</formula>
    </cfRule>
  </conditionalFormatting>
  <conditionalFormatting sqref="C314">
    <cfRule type="cellIs" dxfId="333" priority="697" stopIfTrue="1" operator="equal">
      <formula>"reserved"</formula>
    </cfRule>
  </conditionalFormatting>
  <conditionalFormatting sqref="C317">
    <cfRule type="cellIs" dxfId="332" priority="695" stopIfTrue="1" operator="equal">
      <formula>"reserved"</formula>
    </cfRule>
  </conditionalFormatting>
  <conditionalFormatting sqref="C313">
    <cfRule type="cellIs" dxfId="331" priority="651" stopIfTrue="1" operator="equal">
      <formula>"reserved"</formula>
    </cfRule>
  </conditionalFormatting>
  <conditionalFormatting sqref="C328">
    <cfRule type="cellIs" dxfId="330" priority="650" stopIfTrue="1" operator="equal">
      <formula>"reserved"</formula>
    </cfRule>
  </conditionalFormatting>
  <conditionalFormatting sqref="C312">
    <cfRule type="cellIs" dxfId="329" priority="652" stopIfTrue="1" operator="equal">
      <formula>"reserved"</formula>
    </cfRule>
  </conditionalFormatting>
  <conditionalFormatting sqref="C343">
    <cfRule type="cellIs" dxfId="328" priority="643" stopIfTrue="1" operator="equal">
      <formula>"reserved"</formula>
    </cfRule>
  </conditionalFormatting>
  <conditionalFormatting sqref="C326">
    <cfRule type="cellIs" dxfId="327" priority="648" stopIfTrue="1" operator="equal">
      <formula>"reserved"</formula>
    </cfRule>
  </conditionalFormatting>
  <conditionalFormatting sqref="C327">
    <cfRule type="cellIs" dxfId="326" priority="647" stopIfTrue="1" operator="equal">
      <formula>"reserved"</formula>
    </cfRule>
  </conditionalFormatting>
  <conditionalFormatting sqref="C329">
    <cfRule type="cellIs" dxfId="325" priority="649" stopIfTrue="1" operator="equal">
      <formula>"reserved"</formula>
    </cfRule>
  </conditionalFormatting>
  <conditionalFormatting sqref="C346">
    <cfRule type="cellIs" dxfId="324" priority="640" stopIfTrue="1" operator="equal">
      <formula>"reserved"</formula>
    </cfRule>
  </conditionalFormatting>
  <conditionalFormatting sqref="C341">
    <cfRule type="cellIs" dxfId="323" priority="641" stopIfTrue="1" operator="equal">
      <formula>"reserved"</formula>
    </cfRule>
  </conditionalFormatting>
  <conditionalFormatting sqref="C315">
    <cfRule type="cellIs" dxfId="322" priority="653" stopIfTrue="1" operator="equal">
      <formula>"reserved"</formula>
    </cfRule>
  </conditionalFormatting>
  <conditionalFormatting sqref="C340">
    <cfRule type="cellIs" dxfId="321" priority="642" stopIfTrue="1" operator="equal">
      <formula>"reserved"</formula>
    </cfRule>
  </conditionalFormatting>
  <conditionalFormatting sqref="C342">
    <cfRule type="cellIs" dxfId="320" priority="644" stopIfTrue="1" operator="equal">
      <formula>"reserved"</formula>
    </cfRule>
  </conditionalFormatting>
  <conditionalFormatting sqref="C332">
    <cfRule type="cellIs" dxfId="319" priority="646" stopIfTrue="1" operator="equal">
      <formula>"reserved"</formula>
    </cfRule>
  </conditionalFormatting>
  <conditionalFormatting sqref="C331">
    <cfRule type="cellIs" dxfId="318" priority="645" stopIfTrue="1" operator="equal">
      <formula>"reserved"</formula>
    </cfRule>
  </conditionalFormatting>
  <conditionalFormatting sqref="C345">
    <cfRule type="cellIs" dxfId="317" priority="639" stopIfTrue="1" operator="equal">
      <formula>"reserved"</formula>
    </cfRule>
  </conditionalFormatting>
  <conditionalFormatting sqref="C356">
    <cfRule type="cellIs" dxfId="316" priority="638" stopIfTrue="1" operator="equal">
      <formula>"reserved"</formula>
    </cfRule>
  </conditionalFormatting>
  <conditionalFormatting sqref="C354">
    <cfRule type="cellIs" dxfId="315" priority="636" stopIfTrue="1" operator="equal">
      <formula>"reserved"</formula>
    </cfRule>
  </conditionalFormatting>
  <conditionalFormatting sqref="C355">
    <cfRule type="cellIs" dxfId="314" priority="635" stopIfTrue="1" operator="equal">
      <formula>"reserved"</formula>
    </cfRule>
  </conditionalFormatting>
  <conditionalFormatting sqref="C360">
    <cfRule type="cellIs" dxfId="313" priority="634" stopIfTrue="1" operator="equal">
      <formula>"reserved"</formula>
    </cfRule>
  </conditionalFormatting>
  <conditionalFormatting sqref="C359">
    <cfRule type="cellIs" dxfId="312" priority="633" stopIfTrue="1" operator="equal">
      <formula>"reserved"</formula>
    </cfRule>
  </conditionalFormatting>
  <conditionalFormatting sqref="C357">
    <cfRule type="cellIs" dxfId="311" priority="637" stopIfTrue="1" operator="equal">
      <formula>"reserved"</formula>
    </cfRule>
  </conditionalFormatting>
  <conditionalFormatting sqref="C446">
    <cfRule type="cellIs" dxfId="310" priority="552" stopIfTrue="1" operator="equal">
      <formula>"reserved"</formula>
    </cfRule>
  </conditionalFormatting>
  <conditionalFormatting sqref="C443">
    <cfRule type="cellIs" dxfId="309" priority="551" stopIfTrue="1" operator="equal">
      <formula>"reserved"</formula>
    </cfRule>
  </conditionalFormatting>
  <conditionalFormatting sqref="C449">
    <cfRule type="cellIs" dxfId="308" priority="595" stopIfTrue="1" operator="equal">
      <formula>"reserved"</formula>
    </cfRule>
  </conditionalFormatting>
  <conditionalFormatting sqref="C445">
    <cfRule type="cellIs" dxfId="307" priority="596" stopIfTrue="1" operator="equal">
      <formula>"reserved"</formula>
    </cfRule>
  </conditionalFormatting>
  <conditionalFormatting sqref="C448">
    <cfRule type="cellIs" dxfId="306" priority="594" stopIfTrue="1" operator="equal">
      <formula>"reserved"</formula>
    </cfRule>
  </conditionalFormatting>
  <conditionalFormatting sqref="C444">
    <cfRule type="cellIs" dxfId="305" priority="550" stopIfTrue="1" operator="equal">
      <formula>"reserved"</formula>
    </cfRule>
  </conditionalFormatting>
  <conditionalFormatting sqref="C459">
    <cfRule type="cellIs" dxfId="304" priority="549" stopIfTrue="1" operator="equal">
      <formula>"reserved"</formula>
    </cfRule>
  </conditionalFormatting>
  <conditionalFormatting sqref="C460">
    <cfRule type="cellIs" dxfId="303" priority="548" stopIfTrue="1" operator="equal">
      <formula>"reserved"</formula>
    </cfRule>
  </conditionalFormatting>
  <conditionalFormatting sqref="C457">
    <cfRule type="cellIs" dxfId="302" priority="547" stopIfTrue="1" operator="equal">
      <formula>"reserved"</formula>
    </cfRule>
  </conditionalFormatting>
  <conditionalFormatting sqref="C458">
    <cfRule type="cellIs" dxfId="301" priority="546" stopIfTrue="1" operator="equal">
      <formula>"reserved"</formula>
    </cfRule>
  </conditionalFormatting>
  <conditionalFormatting sqref="C463">
    <cfRule type="cellIs" dxfId="300" priority="545" stopIfTrue="1" operator="equal">
      <formula>"reserved"</formula>
    </cfRule>
  </conditionalFormatting>
  <conditionalFormatting sqref="C462">
    <cfRule type="cellIs" dxfId="299" priority="544" stopIfTrue="1" operator="equal">
      <formula>"reserved"</formula>
    </cfRule>
  </conditionalFormatting>
  <conditionalFormatting sqref="C471">
    <cfRule type="cellIs" dxfId="298" priority="541" stopIfTrue="1" operator="equal">
      <formula>"reserved"</formula>
    </cfRule>
  </conditionalFormatting>
  <conditionalFormatting sqref="C472">
    <cfRule type="cellIs" dxfId="297" priority="540" stopIfTrue="1" operator="equal">
      <formula>"reserved"</formula>
    </cfRule>
  </conditionalFormatting>
  <conditionalFormatting sqref="C473">
    <cfRule type="cellIs" dxfId="296" priority="543" stopIfTrue="1" operator="equal">
      <formula>"reserved"</formula>
    </cfRule>
  </conditionalFormatting>
  <conditionalFormatting sqref="C474">
    <cfRule type="cellIs" dxfId="295" priority="542" stopIfTrue="1" operator="equal">
      <formula>"reserved"</formula>
    </cfRule>
  </conditionalFormatting>
  <conditionalFormatting sqref="C477">
    <cfRule type="cellIs" dxfId="294" priority="539" stopIfTrue="1" operator="equal">
      <formula>"reserved"</formula>
    </cfRule>
  </conditionalFormatting>
  <conditionalFormatting sqref="C476">
    <cfRule type="cellIs" dxfId="293" priority="538" stopIfTrue="1" operator="equal">
      <formula>"reserved"</formula>
    </cfRule>
  </conditionalFormatting>
  <conditionalFormatting sqref="C485">
    <cfRule type="cellIs" dxfId="292" priority="535" stopIfTrue="1" operator="equal">
      <formula>"reserved"</formula>
    </cfRule>
  </conditionalFormatting>
  <conditionalFormatting sqref="C486">
    <cfRule type="cellIs" dxfId="291" priority="534" stopIfTrue="1" operator="equal">
      <formula>"reserved"</formula>
    </cfRule>
  </conditionalFormatting>
  <conditionalFormatting sqref="C491">
    <cfRule type="cellIs" dxfId="290" priority="533" stopIfTrue="1" operator="equal">
      <formula>"reserved"</formula>
    </cfRule>
  </conditionalFormatting>
  <conditionalFormatting sqref="C490">
    <cfRule type="cellIs" dxfId="289" priority="532" stopIfTrue="1" operator="equal">
      <formula>"reserved"</formula>
    </cfRule>
  </conditionalFormatting>
  <conditionalFormatting sqref="C487">
    <cfRule type="cellIs" dxfId="288" priority="537" stopIfTrue="1" operator="equal">
      <formula>"reserved"</formula>
    </cfRule>
  </conditionalFormatting>
  <conditionalFormatting sqref="C488">
    <cfRule type="cellIs" dxfId="287" priority="536" stopIfTrue="1" operator="equal">
      <formula>"reserved"</formula>
    </cfRule>
  </conditionalFormatting>
  <conditionalFormatting sqref="C125">
    <cfRule type="cellIs" dxfId="286" priority="524" stopIfTrue="1" operator="equal">
      <formula>"reserved"</formula>
    </cfRule>
  </conditionalFormatting>
  <conditionalFormatting sqref="C120">
    <cfRule type="cellIs" dxfId="285" priority="520" stopIfTrue="1" operator="equal">
      <formula>"reserved"</formula>
    </cfRule>
  </conditionalFormatting>
  <conditionalFormatting sqref="C121">
    <cfRule type="cellIs" dxfId="284" priority="521" stopIfTrue="1" operator="equal">
      <formula>"reserved"</formula>
    </cfRule>
  </conditionalFormatting>
  <conditionalFormatting sqref="C122">
    <cfRule type="cellIs" dxfId="283" priority="518" stopIfTrue="1" operator="equal">
      <formula>"reserved"</formula>
    </cfRule>
  </conditionalFormatting>
  <conditionalFormatting sqref="C118">
    <cfRule type="cellIs" dxfId="282" priority="522" stopIfTrue="1" operator="equal">
      <formula>"reserved"</formula>
    </cfRule>
  </conditionalFormatting>
  <conditionalFormatting sqref="C123">
    <cfRule type="cellIs" dxfId="281" priority="519" stopIfTrue="1" operator="equal">
      <formula>"reserved"</formula>
    </cfRule>
  </conditionalFormatting>
  <conditionalFormatting sqref="C119">
    <cfRule type="cellIs" dxfId="280" priority="523" stopIfTrue="1" operator="equal">
      <formula>"reserved"</formula>
    </cfRule>
  </conditionalFormatting>
  <conditionalFormatting sqref="C134">
    <cfRule type="cellIs" dxfId="279" priority="517" stopIfTrue="1" operator="equal">
      <formula>"reserved"</formula>
    </cfRule>
  </conditionalFormatting>
  <conditionalFormatting sqref="C129">
    <cfRule type="cellIs" dxfId="278" priority="513" stopIfTrue="1" operator="equal">
      <formula>"reserved"</formula>
    </cfRule>
  </conditionalFormatting>
  <conditionalFormatting sqref="C130">
    <cfRule type="cellIs" dxfId="277" priority="514" stopIfTrue="1" operator="equal">
      <formula>"reserved"</formula>
    </cfRule>
  </conditionalFormatting>
  <conditionalFormatting sqref="C131">
    <cfRule type="cellIs" dxfId="276" priority="511" stopIfTrue="1" operator="equal">
      <formula>"reserved"</formula>
    </cfRule>
  </conditionalFormatting>
  <conditionalFormatting sqref="C127">
    <cfRule type="cellIs" dxfId="275" priority="515" stopIfTrue="1" operator="equal">
      <formula>"reserved"</formula>
    </cfRule>
  </conditionalFormatting>
  <conditionalFormatting sqref="C132">
    <cfRule type="cellIs" dxfId="274" priority="512" stopIfTrue="1" operator="equal">
      <formula>"reserved"</formula>
    </cfRule>
  </conditionalFormatting>
  <conditionalFormatting sqref="C128">
    <cfRule type="cellIs" dxfId="273" priority="516" stopIfTrue="1" operator="equal">
      <formula>"reserved"</formula>
    </cfRule>
  </conditionalFormatting>
  <conditionalFormatting sqref="C143">
    <cfRule type="cellIs" dxfId="272" priority="510" stopIfTrue="1" operator="equal">
      <formula>"reserved"</formula>
    </cfRule>
  </conditionalFormatting>
  <conditionalFormatting sqref="C138">
    <cfRule type="cellIs" dxfId="271" priority="506" stopIfTrue="1" operator="equal">
      <formula>"reserved"</formula>
    </cfRule>
  </conditionalFormatting>
  <conditionalFormatting sqref="C139">
    <cfRule type="cellIs" dxfId="270" priority="507" stopIfTrue="1" operator="equal">
      <formula>"reserved"</formula>
    </cfRule>
  </conditionalFormatting>
  <conditionalFormatting sqref="C140">
    <cfRule type="cellIs" dxfId="269" priority="504" stopIfTrue="1" operator="equal">
      <formula>"reserved"</formula>
    </cfRule>
  </conditionalFormatting>
  <conditionalFormatting sqref="C136">
    <cfRule type="cellIs" dxfId="268" priority="508" stopIfTrue="1" operator="equal">
      <formula>"reserved"</formula>
    </cfRule>
  </conditionalFormatting>
  <conditionalFormatting sqref="C141">
    <cfRule type="cellIs" dxfId="267" priority="505" stopIfTrue="1" operator="equal">
      <formula>"reserved"</formula>
    </cfRule>
  </conditionalFormatting>
  <conditionalFormatting sqref="C137">
    <cfRule type="cellIs" dxfId="266" priority="509" stopIfTrue="1" operator="equal">
      <formula>"reserved"</formula>
    </cfRule>
  </conditionalFormatting>
  <conditionalFormatting sqref="C244">
    <cfRule type="cellIs" dxfId="265" priority="503" stopIfTrue="1" operator="equal">
      <formula>"reserved"</formula>
    </cfRule>
  </conditionalFormatting>
  <conditionalFormatting sqref="C239">
    <cfRule type="cellIs" dxfId="264" priority="499" stopIfTrue="1" operator="equal">
      <formula>"reserved"</formula>
    </cfRule>
  </conditionalFormatting>
  <conditionalFormatting sqref="C240">
    <cfRule type="cellIs" dxfId="263" priority="500" stopIfTrue="1" operator="equal">
      <formula>"reserved"</formula>
    </cfRule>
  </conditionalFormatting>
  <conditionalFormatting sqref="C241">
    <cfRule type="cellIs" dxfId="262" priority="497" stopIfTrue="1" operator="equal">
      <formula>"reserved"</formula>
    </cfRule>
  </conditionalFormatting>
  <conditionalFormatting sqref="C237">
    <cfRule type="cellIs" dxfId="261" priority="501" stopIfTrue="1" operator="equal">
      <formula>"reserved"</formula>
    </cfRule>
  </conditionalFormatting>
  <conditionalFormatting sqref="C242">
    <cfRule type="cellIs" dxfId="260" priority="498" stopIfTrue="1" operator="equal">
      <formula>"reserved"</formula>
    </cfRule>
  </conditionalFormatting>
  <conditionalFormatting sqref="C238">
    <cfRule type="cellIs" dxfId="259" priority="502" stopIfTrue="1" operator="equal">
      <formula>"reserved"</formula>
    </cfRule>
  </conditionalFormatting>
  <conditionalFormatting sqref="C253">
    <cfRule type="cellIs" dxfId="258" priority="496" stopIfTrue="1" operator="equal">
      <formula>"reserved"</formula>
    </cfRule>
  </conditionalFormatting>
  <conditionalFormatting sqref="C248">
    <cfRule type="cellIs" dxfId="257" priority="492" stopIfTrue="1" operator="equal">
      <formula>"reserved"</formula>
    </cfRule>
  </conditionalFormatting>
  <conditionalFormatting sqref="C249">
    <cfRule type="cellIs" dxfId="256" priority="493" stopIfTrue="1" operator="equal">
      <formula>"reserved"</formula>
    </cfRule>
  </conditionalFormatting>
  <conditionalFormatting sqref="C250">
    <cfRule type="cellIs" dxfId="255" priority="490" stopIfTrue="1" operator="equal">
      <formula>"reserved"</formula>
    </cfRule>
  </conditionalFormatting>
  <conditionalFormatting sqref="C246">
    <cfRule type="cellIs" dxfId="254" priority="494" stopIfTrue="1" operator="equal">
      <formula>"reserved"</formula>
    </cfRule>
  </conditionalFormatting>
  <conditionalFormatting sqref="C251">
    <cfRule type="cellIs" dxfId="253" priority="491" stopIfTrue="1" operator="equal">
      <formula>"reserved"</formula>
    </cfRule>
  </conditionalFormatting>
  <conditionalFormatting sqref="C247">
    <cfRule type="cellIs" dxfId="252" priority="495" stopIfTrue="1" operator="equal">
      <formula>"reserved"</formula>
    </cfRule>
  </conditionalFormatting>
  <conditionalFormatting sqref="C265">
    <cfRule type="cellIs" dxfId="251" priority="489" stopIfTrue="1" operator="equal">
      <formula>"reserved"</formula>
    </cfRule>
  </conditionalFormatting>
  <conditionalFormatting sqref="C257">
    <cfRule type="cellIs" dxfId="250" priority="485" stopIfTrue="1" operator="equal">
      <formula>"reserved"</formula>
    </cfRule>
  </conditionalFormatting>
  <conditionalFormatting sqref="C258">
    <cfRule type="cellIs" dxfId="249" priority="486" stopIfTrue="1" operator="equal">
      <formula>"reserved"</formula>
    </cfRule>
  </conditionalFormatting>
  <conditionalFormatting sqref="C259">
    <cfRule type="cellIs" dxfId="248" priority="483" stopIfTrue="1" operator="equal">
      <formula>"reserved"</formula>
    </cfRule>
  </conditionalFormatting>
  <conditionalFormatting sqref="C255">
    <cfRule type="cellIs" dxfId="247" priority="487" stopIfTrue="1" operator="equal">
      <formula>"reserved"</formula>
    </cfRule>
  </conditionalFormatting>
  <conditionalFormatting sqref="C260">
    <cfRule type="cellIs" dxfId="246" priority="484" stopIfTrue="1" operator="equal">
      <formula>"reserved"</formula>
    </cfRule>
  </conditionalFormatting>
  <conditionalFormatting sqref="C256">
    <cfRule type="cellIs" dxfId="245" priority="488" stopIfTrue="1" operator="equal">
      <formula>"reserved"</formula>
    </cfRule>
  </conditionalFormatting>
  <conditionalFormatting sqref="C274">
    <cfRule type="cellIs" dxfId="244" priority="482" stopIfTrue="1" operator="equal">
      <formula>"reserved"</formula>
    </cfRule>
  </conditionalFormatting>
  <conditionalFormatting sqref="C269">
    <cfRule type="cellIs" dxfId="243" priority="478" stopIfTrue="1" operator="equal">
      <formula>"reserved"</formula>
    </cfRule>
  </conditionalFormatting>
  <conditionalFormatting sqref="C270">
    <cfRule type="cellIs" dxfId="242" priority="479" stopIfTrue="1" operator="equal">
      <formula>"reserved"</formula>
    </cfRule>
  </conditionalFormatting>
  <conditionalFormatting sqref="C271">
    <cfRule type="cellIs" dxfId="241" priority="476" stopIfTrue="1" operator="equal">
      <formula>"reserved"</formula>
    </cfRule>
  </conditionalFormatting>
  <conditionalFormatting sqref="C267">
    <cfRule type="cellIs" dxfId="240" priority="480" stopIfTrue="1" operator="equal">
      <formula>"reserved"</formula>
    </cfRule>
  </conditionalFormatting>
  <conditionalFormatting sqref="C272">
    <cfRule type="cellIs" dxfId="239" priority="477" stopIfTrue="1" operator="equal">
      <formula>"reserved"</formula>
    </cfRule>
  </conditionalFormatting>
  <conditionalFormatting sqref="C268">
    <cfRule type="cellIs" dxfId="238" priority="481" stopIfTrue="1" operator="equal">
      <formula>"reserved"</formula>
    </cfRule>
  </conditionalFormatting>
  <conditionalFormatting sqref="C375">
    <cfRule type="cellIs" dxfId="237" priority="475" stopIfTrue="1" operator="equal">
      <formula>"reserved"</formula>
    </cfRule>
  </conditionalFormatting>
  <conditionalFormatting sqref="C370">
    <cfRule type="cellIs" dxfId="236" priority="471" stopIfTrue="1" operator="equal">
      <formula>"reserved"</formula>
    </cfRule>
  </conditionalFormatting>
  <conditionalFormatting sqref="C371">
    <cfRule type="cellIs" dxfId="235" priority="472" stopIfTrue="1" operator="equal">
      <formula>"reserved"</formula>
    </cfRule>
  </conditionalFormatting>
  <conditionalFormatting sqref="C372">
    <cfRule type="cellIs" dxfId="234" priority="469" stopIfTrue="1" operator="equal">
      <formula>"reserved"</formula>
    </cfRule>
  </conditionalFormatting>
  <conditionalFormatting sqref="C368">
    <cfRule type="cellIs" dxfId="233" priority="473" stopIfTrue="1" operator="equal">
      <formula>"reserved"</formula>
    </cfRule>
  </conditionalFormatting>
  <conditionalFormatting sqref="C373">
    <cfRule type="cellIs" dxfId="232" priority="470" stopIfTrue="1" operator="equal">
      <formula>"reserved"</formula>
    </cfRule>
  </conditionalFormatting>
  <conditionalFormatting sqref="C369">
    <cfRule type="cellIs" dxfId="231" priority="474" stopIfTrue="1" operator="equal">
      <formula>"reserved"</formula>
    </cfRule>
  </conditionalFormatting>
  <conditionalFormatting sqref="C387">
    <cfRule type="cellIs" dxfId="230" priority="468" stopIfTrue="1" operator="equal">
      <formula>"reserved"</formula>
    </cfRule>
  </conditionalFormatting>
  <conditionalFormatting sqref="C379">
    <cfRule type="cellIs" dxfId="229" priority="464" stopIfTrue="1" operator="equal">
      <formula>"reserved"</formula>
    </cfRule>
  </conditionalFormatting>
  <conditionalFormatting sqref="C380">
    <cfRule type="cellIs" dxfId="228" priority="465" stopIfTrue="1" operator="equal">
      <formula>"reserved"</formula>
    </cfRule>
  </conditionalFormatting>
  <conditionalFormatting sqref="C381">
    <cfRule type="cellIs" dxfId="227" priority="462" stopIfTrue="1" operator="equal">
      <formula>"reserved"</formula>
    </cfRule>
  </conditionalFormatting>
  <conditionalFormatting sqref="C377">
    <cfRule type="cellIs" dxfId="226" priority="466" stopIfTrue="1" operator="equal">
      <formula>"reserved"</formula>
    </cfRule>
  </conditionalFormatting>
  <conditionalFormatting sqref="C382">
    <cfRule type="cellIs" dxfId="225" priority="463" stopIfTrue="1" operator="equal">
      <formula>"reserved"</formula>
    </cfRule>
  </conditionalFormatting>
  <conditionalFormatting sqref="C378">
    <cfRule type="cellIs" dxfId="224" priority="467" stopIfTrue="1" operator="equal">
      <formula>"reserved"</formula>
    </cfRule>
  </conditionalFormatting>
  <conditionalFormatting sqref="C396">
    <cfRule type="cellIs" dxfId="223" priority="461" stopIfTrue="1" operator="equal">
      <formula>"reserved"</formula>
    </cfRule>
  </conditionalFormatting>
  <conditionalFormatting sqref="C391">
    <cfRule type="cellIs" dxfId="222" priority="457" stopIfTrue="1" operator="equal">
      <formula>"reserved"</formula>
    </cfRule>
  </conditionalFormatting>
  <conditionalFormatting sqref="C392">
    <cfRule type="cellIs" dxfId="221" priority="458" stopIfTrue="1" operator="equal">
      <formula>"reserved"</formula>
    </cfRule>
  </conditionalFormatting>
  <conditionalFormatting sqref="C393">
    <cfRule type="cellIs" dxfId="220" priority="455" stopIfTrue="1" operator="equal">
      <formula>"reserved"</formula>
    </cfRule>
  </conditionalFormatting>
  <conditionalFormatting sqref="C389">
    <cfRule type="cellIs" dxfId="219" priority="459" stopIfTrue="1" operator="equal">
      <formula>"reserved"</formula>
    </cfRule>
  </conditionalFormatting>
  <conditionalFormatting sqref="C394">
    <cfRule type="cellIs" dxfId="218" priority="456" stopIfTrue="1" operator="equal">
      <formula>"reserved"</formula>
    </cfRule>
  </conditionalFormatting>
  <conditionalFormatting sqref="C390">
    <cfRule type="cellIs" dxfId="217" priority="460" stopIfTrue="1" operator="equal">
      <formula>"reserved"</formula>
    </cfRule>
  </conditionalFormatting>
  <conditionalFormatting sqref="C405">
    <cfRule type="cellIs" dxfId="216" priority="454" stopIfTrue="1" operator="equal">
      <formula>"reserved"</formula>
    </cfRule>
  </conditionalFormatting>
  <conditionalFormatting sqref="C400">
    <cfRule type="cellIs" dxfId="215" priority="450" stopIfTrue="1" operator="equal">
      <formula>"reserved"</formula>
    </cfRule>
  </conditionalFormatting>
  <conditionalFormatting sqref="C401">
    <cfRule type="cellIs" dxfId="214" priority="451" stopIfTrue="1" operator="equal">
      <formula>"reserved"</formula>
    </cfRule>
  </conditionalFormatting>
  <conditionalFormatting sqref="C402">
    <cfRule type="cellIs" dxfId="213" priority="448" stopIfTrue="1" operator="equal">
      <formula>"reserved"</formula>
    </cfRule>
  </conditionalFormatting>
  <conditionalFormatting sqref="C398">
    <cfRule type="cellIs" dxfId="212" priority="452" stopIfTrue="1" operator="equal">
      <formula>"reserved"</formula>
    </cfRule>
  </conditionalFormatting>
  <conditionalFormatting sqref="C403">
    <cfRule type="cellIs" dxfId="211" priority="449" stopIfTrue="1" operator="equal">
      <formula>"reserved"</formula>
    </cfRule>
  </conditionalFormatting>
  <conditionalFormatting sqref="C399">
    <cfRule type="cellIs" dxfId="210" priority="453" stopIfTrue="1" operator="equal">
      <formula>"reserved"</formula>
    </cfRule>
  </conditionalFormatting>
  <conditionalFormatting sqref="C506">
    <cfRule type="cellIs" dxfId="209" priority="447" stopIfTrue="1" operator="equal">
      <formula>"reserved"</formula>
    </cfRule>
  </conditionalFormatting>
  <conditionalFormatting sqref="C501">
    <cfRule type="cellIs" dxfId="208" priority="443" stopIfTrue="1" operator="equal">
      <formula>"reserved"</formula>
    </cfRule>
  </conditionalFormatting>
  <conditionalFormatting sqref="C502">
    <cfRule type="cellIs" dxfId="207" priority="444" stopIfTrue="1" operator="equal">
      <formula>"reserved"</formula>
    </cfRule>
  </conditionalFormatting>
  <conditionalFormatting sqref="C503">
    <cfRule type="cellIs" dxfId="206" priority="441" stopIfTrue="1" operator="equal">
      <formula>"reserved"</formula>
    </cfRule>
  </conditionalFormatting>
  <conditionalFormatting sqref="C499">
    <cfRule type="cellIs" dxfId="205" priority="445" stopIfTrue="1" operator="equal">
      <formula>"reserved"</formula>
    </cfRule>
  </conditionalFormatting>
  <conditionalFormatting sqref="C504">
    <cfRule type="cellIs" dxfId="204" priority="442" stopIfTrue="1" operator="equal">
      <formula>"reserved"</formula>
    </cfRule>
  </conditionalFormatting>
  <conditionalFormatting sqref="C500">
    <cfRule type="cellIs" dxfId="203" priority="446" stopIfTrue="1" operator="equal">
      <formula>"reserved"</formula>
    </cfRule>
  </conditionalFormatting>
  <conditionalFormatting sqref="C515">
    <cfRule type="cellIs" dxfId="202" priority="440" stopIfTrue="1" operator="equal">
      <formula>"reserved"</formula>
    </cfRule>
  </conditionalFormatting>
  <conditionalFormatting sqref="C510">
    <cfRule type="cellIs" dxfId="201" priority="436" stopIfTrue="1" operator="equal">
      <formula>"reserved"</formula>
    </cfRule>
  </conditionalFormatting>
  <conditionalFormatting sqref="C511">
    <cfRule type="cellIs" dxfId="200" priority="437" stopIfTrue="1" operator="equal">
      <formula>"reserved"</formula>
    </cfRule>
  </conditionalFormatting>
  <conditionalFormatting sqref="C512">
    <cfRule type="cellIs" dxfId="199" priority="434" stopIfTrue="1" operator="equal">
      <formula>"reserved"</formula>
    </cfRule>
  </conditionalFormatting>
  <conditionalFormatting sqref="C508">
    <cfRule type="cellIs" dxfId="198" priority="438" stopIfTrue="1" operator="equal">
      <formula>"reserved"</formula>
    </cfRule>
  </conditionalFormatting>
  <conditionalFormatting sqref="C513">
    <cfRule type="cellIs" dxfId="197" priority="435" stopIfTrue="1" operator="equal">
      <formula>"reserved"</formula>
    </cfRule>
  </conditionalFormatting>
  <conditionalFormatting sqref="C509">
    <cfRule type="cellIs" dxfId="196" priority="439" stopIfTrue="1" operator="equal">
      <formula>"reserved"</formula>
    </cfRule>
  </conditionalFormatting>
  <conditionalFormatting sqref="C533">
    <cfRule type="cellIs" dxfId="195" priority="426" stopIfTrue="1" operator="equal">
      <formula>"reserved"</formula>
    </cfRule>
  </conditionalFormatting>
  <conditionalFormatting sqref="C528">
    <cfRule type="cellIs" dxfId="194" priority="422" stopIfTrue="1" operator="equal">
      <formula>"reserved"</formula>
    </cfRule>
  </conditionalFormatting>
  <conditionalFormatting sqref="C529">
    <cfRule type="cellIs" dxfId="193" priority="423" stopIfTrue="1" operator="equal">
      <formula>"reserved"</formula>
    </cfRule>
  </conditionalFormatting>
  <conditionalFormatting sqref="C530">
    <cfRule type="cellIs" dxfId="192" priority="420" stopIfTrue="1" operator="equal">
      <formula>"reserved"</formula>
    </cfRule>
  </conditionalFormatting>
  <conditionalFormatting sqref="C526">
    <cfRule type="cellIs" dxfId="191" priority="424" stopIfTrue="1" operator="equal">
      <formula>"reserved"</formula>
    </cfRule>
  </conditionalFormatting>
  <conditionalFormatting sqref="C531">
    <cfRule type="cellIs" dxfId="190" priority="421" stopIfTrue="1" operator="equal">
      <formula>"reserved"</formula>
    </cfRule>
  </conditionalFormatting>
  <conditionalFormatting sqref="C527">
    <cfRule type="cellIs" dxfId="189" priority="425" stopIfTrue="1" operator="equal">
      <formula>"reserved"</formula>
    </cfRule>
  </conditionalFormatting>
  <conditionalFormatting sqref="C524">
    <cfRule type="cellIs" dxfId="188" priority="433" stopIfTrue="1" operator="equal">
      <formula>"reserved"</formula>
    </cfRule>
  </conditionalFormatting>
  <conditionalFormatting sqref="C519">
    <cfRule type="cellIs" dxfId="187" priority="429" stopIfTrue="1" operator="equal">
      <formula>"reserved"</formula>
    </cfRule>
  </conditionalFormatting>
  <conditionalFormatting sqref="C520">
    <cfRule type="cellIs" dxfId="186" priority="430" stopIfTrue="1" operator="equal">
      <formula>"reserved"</formula>
    </cfRule>
  </conditionalFormatting>
  <conditionalFormatting sqref="C521">
    <cfRule type="cellIs" dxfId="185" priority="427" stopIfTrue="1" operator="equal">
      <formula>"reserved"</formula>
    </cfRule>
  </conditionalFormatting>
  <conditionalFormatting sqref="C517">
    <cfRule type="cellIs" dxfId="184" priority="431" stopIfTrue="1" operator="equal">
      <formula>"reserved"</formula>
    </cfRule>
  </conditionalFormatting>
  <conditionalFormatting sqref="C522">
    <cfRule type="cellIs" dxfId="183" priority="428" stopIfTrue="1" operator="equal">
      <formula>"reserved"</formula>
    </cfRule>
  </conditionalFormatting>
  <conditionalFormatting sqref="C518">
    <cfRule type="cellIs" dxfId="182" priority="432" stopIfTrue="1" operator="equal">
      <formula>"reserved"</formula>
    </cfRule>
  </conditionalFormatting>
  <conditionalFormatting sqref="C4:C5">
    <cfRule type="cellIs" dxfId="181" priority="419" stopIfTrue="1" operator="equal">
      <formula>"reserved"</formula>
    </cfRule>
  </conditionalFormatting>
  <conditionalFormatting sqref="C20">
    <cfRule type="cellIs" dxfId="180" priority="418" stopIfTrue="1" operator="equal">
      <formula>"reserved"</formula>
    </cfRule>
  </conditionalFormatting>
  <conditionalFormatting sqref="C20">
    <cfRule type="cellIs" dxfId="179" priority="417" stopIfTrue="1" operator="equal">
      <formula>"reserved"</formula>
    </cfRule>
  </conditionalFormatting>
  <conditionalFormatting sqref="C21">
    <cfRule type="cellIs" dxfId="178" priority="416" stopIfTrue="1" operator="equal">
      <formula>"reserved"</formula>
    </cfRule>
  </conditionalFormatting>
  <conditionalFormatting sqref="C21">
    <cfRule type="cellIs" dxfId="177" priority="415" stopIfTrue="1" operator="equal">
      <formula>"reserved"</formula>
    </cfRule>
  </conditionalFormatting>
  <conditionalFormatting sqref="C30">
    <cfRule type="cellIs" dxfId="176" priority="414" stopIfTrue="1" operator="equal">
      <formula>"reserved"</formula>
    </cfRule>
  </conditionalFormatting>
  <conditionalFormatting sqref="C31">
    <cfRule type="cellIs" dxfId="175" priority="412" stopIfTrue="1" operator="equal">
      <formula>"reserved"</formula>
    </cfRule>
  </conditionalFormatting>
  <conditionalFormatting sqref="C88">
    <cfRule type="cellIs" dxfId="174" priority="287" stopIfTrue="1" operator="equal">
      <formula>"reserved"</formula>
    </cfRule>
  </conditionalFormatting>
  <conditionalFormatting sqref="C70">
    <cfRule type="cellIs" dxfId="173" priority="291" stopIfTrue="1" operator="equal">
      <formula>"reserved"</formula>
    </cfRule>
  </conditionalFormatting>
  <conditionalFormatting sqref="C55">
    <cfRule type="cellIs" dxfId="172" priority="294" stopIfTrue="1" operator="equal">
      <formula>"reserved"</formula>
    </cfRule>
  </conditionalFormatting>
  <conditionalFormatting sqref="C68">
    <cfRule type="cellIs" dxfId="171" priority="293" stopIfTrue="1" operator="equal">
      <formula>"reserved"</formula>
    </cfRule>
  </conditionalFormatting>
  <conditionalFormatting sqref="C69">
    <cfRule type="cellIs" dxfId="170" priority="290" stopIfTrue="1" operator="equal">
      <formula>"reserved"</formula>
    </cfRule>
  </conditionalFormatting>
  <conditionalFormatting sqref="C71">
    <cfRule type="cellIs" dxfId="169" priority="292" stopIfTrue="1" operator="equal">
      <formula>"reserved"</formula>
    </cfRule>
  </conditionalFormatting>
  <conditionalFormatting sqref="C103">
    <cfRule type="cellIs" dxfId="168" priority="283" stopIfTrue="1" operator="equal">
      <formula>"reserved"</formula>
    </cfRule>
  </conditionalFormatting>
  <conditionalFormatting sqref="C72">
    <cfRule type="cellIs" dxfId="167" priority="289" stopIfTrue="1" operator="equal">
      <formula>"reserved"</formula>
    </cfRule>
  </conditionalFormatting>
  <conditionalFormatting sqref="C89">
    <cfRule type="cellIs" dxfId="166" priority="284" stopIfTrue="1" operator="equal">
      <formula>"reserved"</formula>
    </cfRule>
  </conditionalFormatting>
  <conditionalFormatting sqref="C87">
    <cfRule type="cellIs" dxfId="165" priority="286" stopIfTrue="1" operator="equal">
      <formula>"reserved"</formula>
    </cfRule>
  </conditionalFormatting>
  <conditionalFormatting sqref="C86">
    <cfRule type="cellIs" dxfId="164" priority="285" stopIfTrue="1" operator="equal">
      <formula>"reserved"</formula>
    </cfRule>
  </conditionalFormatting>
  <conditionalFormatting sqref="C106">
    <cfRule type="cellIs" dxfId="163" priority="282" stopIfTrue="1" operator="equal">
      <formula>"reserved"</formula>
    </cfRule>
  </conditionalFormatting>
  <conditionalFormatting sqref="C105">
    <cfRule type="cellIs" dxfId="162" priority="281" stopIfTrue="1" operator="equal">
      <formula>"reserved"</formula>
    </cfRule>
  </conditionalFormatting>
  <conditionalFormatting sqref="C104">
    <cfRule type="cellIs" dxfId="161" priority="280" stopIfTrue="1" operator="equal">
      <formula>"reserved"</formula>
    </cfRule>
  </conditionalFormatting>
  <conditionalFormatting sqref="C85">
    <cfRule type="cellIs" dxfId="160" priority="288" stopIfTrue="1" operator="equal">
      <formula>"reserved"</formula>
    </cfRule>
  </conditionalFormatting>
  <conditionalFormatting sqref="C206">
    <cfRule type="cellIs" dxfId="159" priority="262" stopIfTrue="1" operator="equal">
      <formula>"reserved"</formula>
    </cfRule>
  </conditionalFormatting>
  <conditionalFormatting sqref="C320">
    <cfRule type="cellIs" dxfId="158" priority="273" stopIfTrue="1" operator="equal">
      <formula>"reserved"</formula>
    </cfRule>
  </conditionalFormatting>
  <conditionalFormatting sqref="C323">
    <cfRule type="cellIs" dxfId="157" priority="272" stopIfTrue="1" operator="equal">
      <formula>"reserved"</formula>
    </cfRule>
  </conditionalFormatting>
  <conditionalFormatting sqref="C193">
    <cfRule type="cellIs" dxfId="156" priority="274" stopIfTrue="1" operator="equal">
      <formula>"reserved"</formula>
    </cfRule>
  </conditionalFormatting>
  <conditionalFormatting sqref="C190">
    <cfRule type="cellIs" dxfId="155" priority="275" stopIfTrue="1" operator="equal">
      <formula>"reserved"</formula>
    </cfRule>
  </conditionalFormatting>
  <conditionalFormatting sqref="C321">
    <cfRule type="cellIs" dxfId="154" priority="270" stopIfTrue="1" operator="equal">
      <formula>"reserved"</formula>
    </cfRule>
  </conditionalFormatting>
  <conditionalFormatting sqref="C189">
    <cfRule type="cellIs" dxfId="153" priority="278" stopIfTrue="1" operator="equal">
      <formula>"reserved"</formula>
    </cfRule>
  </conditionalFormatting>
  <conditionalFormatting sqref="C192">
    <cfRule type="cellIs" dxfId="152" priority="277" stopIfTrue="1" operator="equal">
      <formula>"reserved"</formula>
    </cfRule>
  </conditionalFormatting>
  <conditionalFormatting sqref="C191">
    <cfRule type="cellIs" dxfId="151" priority="276" stopIfTrue="1" operator="equal">
      <formula>"reserved"</formula>
    </cfRule>
  </conditionalFormatting>
  <conditionalFormatting sqref="C453">
    <cfRule type="cellIs" dxfId="150" priority="266" stopIfTrue="1" operator="equal">
      <formula>"reserved"</formula>
    </cfRule>
  </conditionalFormatting>
  <conditionalFormatting sqref="C219">
    <cfRule type="cellIs" dxfId="149" priority="236" stopIfTrue="1" operator="equal">
      <formula>"reserved"</formula>
    </cfRule>
  </conditionalFormatting>
  <conditionalFormatting sqref="C322">
    <cfRule type="cellIs" dxfId="148" priority="271" stopIfTrue="1" operator="equal">
      <formula>"reserved"</formula>
    </cfRule>
  </conditionalFormatting>
  <conditionalFormatting sqref="C363">
    <cfRule type="cellIs" dxfId="147" priority="225" stopIfTrue="1" operator="equal">
      <formula>"reserved"</formula>
    </cfRule>
  </conditionalFormatting>
  <conditionalFormatting sqref="C107">
    <cfRule type="cellIs" dxfId="146" priority="279" stopIfTrue="1" operator="equal">
      <formula>"reserved"</formula>
    </cfRule>
  </conditionalFormatting>
  <conditionalFormatting sqref="C454">
    <cfRule type="cellIs" dxfId="145" priority="267" stopIfTrue="1" operator="equal">
      <formula>"reserved"</formula>
    </cfRule>
  </conditionalFormatting>
  <conditionalFormatting sqref="C455">
    <cfRule type="cellIs" dxfId="144" priority="264" stopIfTrue="1" operator="equal">
      <formula>"reserved"</formula>
    </cfRule>
  </conditionalFormatting>
  <conditionalFormatting sqref="C334">
    <cfRule type="cellIs" dxfId="143" priority="258" stopIfTrue="1" operator="equal">
      <formula>"reserved"</formula>
    </cfRule>
  </conditionalFormatting>
  <conditionalFormatting sqref="C205">
    <cfRule type="cellIs" dxfId="142" priority="261" stopIfTrue="1" operator="equal">
      <formula>"reserved"</formula>
    </cfRule>
  </conditionalFormatting>
  <conditionalFormatting sqref="C204">
    <cfRule type="cellIs" dxfId="141" priority="260" stopIfTrue="1" operator="equal">
      <formula>"reserved"</formula>
    </cfRule>
  </conditionalFormatting>
  <conditionalFormatting sqref="C337">
    <cfRule type="cellIs" dxfId="140" priority="257" stopIfTrue="1" operator="equal">
      <formula>"reserved"</formula>
    </cfRule>
  </conditionalFormatting>
  <conditionalFormatting sqref="C348">
    <cfRule type="cellIs" dxfId="139" priority="248" stopIfTrue="1" operator="equal">
      <formula>"reserved"</formula>
    </cfRule>
  </conditionalFormatting>
  <conditionalFormatting sqref="C351">
    <cfRule type="cellIs" dxfId="138" priority="247" stopIfTrue="1" operator="equal">
      <formula>"reserved"</formula>
    </cfRule>
  </conditionalFormatting>
  <conditionalFormatting sqref="C335">
    <cfRule type="cellIs" dxfId="137" priority="255" stopIfTrue="1" operator="equal">
      <formula>"reserved"</formula>
    </cfRule>
  </conditionalFormatting>
  <conditionalFormatting sqref="C364">
    <cfRule type="cellIs" dxfId="136" priority="226" stopIfTrue="1" operator="equal">
      <formula>"reserved"</formula>
    </cfRule>
  </conditionalFormatting>
  <conditionalFormatting sqref="C203">
    <cfRule type="cellIs" dxfId="135" priority="263" stopIfTrue="1" operator="equal">
      <formula>"reserved"</formula>
    </cfRule>
  </conditionalFormatting>
  <conditionalFormatting sqref="C451">
    <cfRule type="cellIs" dxfId="134" priority="268" stopIfTrue="1" operator="equal">
      <formula>"reserved"</formula>
    </cfRule>
  </conditionalFormatting>
  <conditionalFormatting sqref="C336">
    <cfRule type="cellIs" dxfId="133" priority="256" stopIfTrue="1" operator="equal">
      <formula>"reserved"</formula>
    </cfRule>
  </conditionalFormatting>
  <conditionalFormatting sqref="C349">
    <cfRule type="cellIs" dxfId="132" priority="245" stopIfTrue="1" operator="equal">
      <formula>"reserved"</formula>
    </cfRule>
  </conditionalFormatting>
  <conditionalFormatting sqref="C338">
    <cfRule type="cellIs" dxfId="131" priority="254" stopIfTrue="1" operator="equal">
      <formula>"reserved"</formula>
    </cfRule>
  </conditionalFormatting>
  <conditionalFormatting sqref="C469">
    <cfRule type="cellIs" dxfId="130" priority="249" stopIfTrue="1" operator="equal">
      <formula>"reserved"</formula>
    </cfRule>
  </conditionalFormatting>
  <conditionalFormatting sqref="C235">
    <cfRule type="cellIs" dxfId="129" priority="229" stopIfTrue="1" operator="equal">
      <formula>"reserved"</formula>
    </cfRule>
  </conditionalFormatting>
  <conditionalFormatting sqref="C217">
    <cfRule type="cellIs" dxfId="128" priority="238" stopIfTrue="1" operator="equal">
      <formula>"reserved"</formula>
    </cfRule>
  </conditionalFormatting>
  <conditionalFormatting sqref="C17">
    <cfRule type="cellIs" dxfId="127" priority="207" stopIfTrue="1" operator="equal">
      <formula>"reserved"</formula>
    </cfRule>
  </conditionalFormatting>
  <conditionalFormatting sqref="C220">
    <cfRule type="cellIs" dxfId="126" priority="237" stopIfTrue="1" operator="equal">
      <formula>"reserved"</formula>
    </cfRule>
  </conditionalFormatting>
  <conditionalFormatting sqref="C233">
    <cfRule type="cellIs" dxfId="125" priority="231" stopIfTrue="1" operator="equal">
      <formula>"reserved"</formula>
    </cfRule>
  </conditionalFormatting>
  <conditionalFormatting sqref="C232">
    <cfRule type="cellIs" dxfId="124" priority="230" stopIfTrue="1" operator="equal">
      <formula>"reserved"</formula>
    </cfRule>
  </conditionalFormatting>
  <conditionalFormatting sqref="C324">
    <cfRule type="cellIs" dxfId="123" priority="269" stopIfTrue="1" operator="equal">
      <formula>"reserved"</formula>
    </cfRule>
  </conditionalFormatting>
  <conditionalFormatting sqref="C495">
    <cfRule type="cellIs" dxfId="122" priority="221" stopIfTrue="1" operator="equal">
      <formula>"reserved"</formula>
    </cfRule>
  </conditionalFormatting>
  <conditionalFormatting sqref="C497">
    <cfRule type="cellIs" dxfId="121" priority="219" stopIfTrue="1" operator="equal">
      <formula>"reserved"</formula>
    </cfRule>
  </conditionalFormatting>
  <conditionalFormatting sqref="C10">
    <cfRule type="cellIs" dxfId="120" priority="208" stopIfTrue="1" operator="equal">
      <formula>"reserved"</formula>
    </cfRule>
  </conditionalFormatting>
  <conditionalFormatting sqref="C234">
    <cfRule type="cellIs" dxfId="119" priority="232" stopIfTrue="1" operator="equal">
      <formula>"reserved"</formula>
    </cfRule>
  </conditionalFormatting>
  <conditionalFormatting sqref="C493">
    <cfRule type="cellIs" dxfId="118" priority="223" stopIfTrue="1" operator="equal">
      <formula>"reserved"</formula>
    </cfRule>
  </conditionalFormatting>
  <conditionalFormatting sqref="C452">
    <cfRule type="cellIs" dxfId="117" priority="265" stopIfTrue="1" operator="equal">
      <formula>"reserved"</formula>
    </cfRule>
  </conditionalFormatting>
  <conditionalFormatting sqref="C25">
    <cfRule type="cellIs" dxfId="116" priority="202" stopIfTrue="1" operator="equal">
      <formula>"reserved"</formula>
    </cfRule>
  </conditionalFormatting>
  <conditionalFormatting sqref="C6:C8">
    <cfRule type="cellIs" dxfId="115" priority="211" stopIfTrue="1" operator="equal">
      <formula>"reserved"</formula>
    </cfRule>
  </conditionalFormatting>
  <conditionalFormatting sqref="C350">
    <cfRule type="cellIs" dxfId="114" priority="246" stopIfTrue="1" operator="equal">
      <formula>"reserved"</formula>
    </cfRule>
  </conditionalFormatting>
  <conditionalFormatting sqref="C465">
    <cfRule type="cellIs" dxfId="113" priority="253" stopIfTrue="1" operator="equal">
      <formula>"reserved"</formula>
    </cfRule>
  </conditionalFormatting>
  <conditionalFormatting sqref="C466">
    <cfRule type="cellIs" dxfId="112" priority="250" stopIfTrue="1" operator="equal">
      <formula>"reserved"</formula>
    </cfRule>
  </conditionalFormatting>
  <conditionalFormatting sqref="C468">
    <cfRule type="cellIs" dxfId="111" priority="252" stopIfTrue="1" operator="equal">
      <formula>"reserved"</formula>
    </cfRule>
  </conditionalFormatting>
  <conditionalFormatting sqref="C467">
    <cfRule type="cellIs" dxfId="110" priority="251" stopIfTrue="1" operator="equal">
      <formula>"reserved"</formula>
    </cfRule>
  </conditionalFormatting>
  <conditionalFormatting sqref="C207">
    <cfRule type="cellIs" dxfId="109" priority="259" stopIfTrue="1" operator="equal">
      <formula>"reserved"</formula>
    </cfRule>
  </conditionalFormatting>
  <conditionalFormatting sqref="C480">
    <cfRule type="cellIs" dxfId="108" priority="240" stopIfTrue="1" operator="equal">
      <formula>"reserved"</formula>
    </cfRule>
  </conditionalFormatting>
  <conditionalFormatting sqref="C365">
    <cfRule type="cellIs" dxfId="107" priority="227" stopIfTrue="1" operator="equal">
      <formula>"reserved"</formula>
    </cfRule>
  </conditionalFormatting>
  <conditionalFormatting sqref="C483">
    <cfRule type="cellIs" dxfId="106" priority="239" stopIfTrue="1" operator="equal">
      <formula>"reserved"</formula>
    </cfRule>
  </conditionalFormatting>
  <conditionalFormatting sqref="C9">
    <cfRule type="cellIs" dxfId="105" priority="209" stopIfTrue="1" operator="equal">
      <formula>"reserved"</formula>
    </cfRule>
  </conditionalFormatting>
  <conditionalFormatting sqref="C352">
    <cfRule type="cellIs" dxfId="104" priority="244" stopIfTrue="1" operator="equal">
      <formula>"reserved"</formula>
    </cfRule>
  </conditionalFormatting>
  <conditionalFormatting sqref="C36">
    <cfRule type="cellIs" dxfId="103" priority="200" stopIfTrue="1" operator="equal">
      <formula>"reserved"</formula>
    </cfRule>
  </conditionalFormatting>
  <conditionalFormatting sqref="C482">
    <cfRule type="cellIs" dxfId="102" priority="242" stopIfTrue="1" operator="equal">
      <formula>"reserved"</formula>
    </cfRule>
  </conditionalFormatting>
  <conditionalFormatting sqref="C35">
    <cfRule type="cellIs" dxfId="101" priority="199" stopIfTrue="1" operator="equal">
      <formula>"reserved"</formula>
    </cfRule>
  </conditionalFormatting>
  <conditionalFormatting sqref="C479">
    <cfRule type="cellIs" dxfId="100" priority="243" stopIfTrue="1" operator="equal">
      <formula>"reserved"</formula>
    </cfRule>
  </conditionalFormatting>
  <conditionalFormatting sqref="C26">
    <cfRule type="cellIs" dxfId="99" priority="203" stopIfTrue="1" operator="equal">
      <formula>"reserved"</formula>
    </cfRule>
  </conditionalFormatting>
  <conditionalFormatting sqref="C362">
    <cfRule type="cellIs" dxfId="98" priority="228" stopIfTrue="1" operator="equal">
      <formula>"reserved"</formula>
    </cfRule>
  </conditionalFormatting>
  <conditionalFormatting sqref="C16">
    <cfRule type="cellIs" dxfId="97" priority="206" stopIfTrue="1" operator="equal">
      <formula>"reserved"</formula>
    </cfRule>
  </conditionalFormatting>
  <conditionalFormatting sqref="C15">
    <cfRule type="cellIs" dxfId="96" priority="205" stopIfTrue="1" operator="equal">
      <formula>"reserved"</formula>
    </cfRule>
  </conditionalFormatting>
  <conditionalFormatting sqref="C481">
    <cfRule type="cellIs" dxfId="95" priority="241" stopIfTrue="1" operator="equal">
      <formula>"reserved"</formula>
    </cfRule>
  </conditionalFormatting>
  <conditionalFormatting sqref="C37">
    <cfRule type="cellIs" dxfId="94" priority="201" stopIfTrue="1" operator="equal">
      <formula>"reserved"</formula>
    </cfRule>
  </conditionalFormatting>
  <conditionalFormatting sqref="C218">
    <cfRule type="cellIs" dxfId="93" priority="235" stopIfTrue="1" operator="equal">
      <formula>"reserved"</formula>
    </cfRule>
  </conditionalFormatting>
  <conditionalFormatting sqref="C221">
    <cfRule type="cellIs" dxfId="92" priority="234" stopIfTrue="1" operator="equal">
      <formula>"reserved"</formula>
    </cfRule>
  </conditionalFormatting>
  <conditionalFormatting sqref="C231">
    <cfRule type="cellIs" dxfId="91" priority="233" stopIfTrue="1" operator="equal">
      <formula>"reserved"</formula>
    </cfRule>
  </conditionalFormatting>
  <conditionalFormatting sqref="C494">
    <cfRule type="cellIs" dxfId="90" priority="220" stopIfTrue="1" operator="equal">
      <formula>"reserved"</formula>
    </cfRule>
  </conditionalFormatting>
  <conditionalFormatting sqref="C496">
    <cfRule type="cellIs" dxfId="89" priority="222" stopIfTrue="1" operator="equal">
      <formula>"reserved"</formula>
    </cfRule>
  </conditionalFormatting>
  <conditionalFormatting sqref="C366">
    <cfRule type="cellIs" dxfId="88" priority="224" stopIfTrue="1" operator="equal">
      <formula>"reserved"</formula>
    </cfRule>
  </conditionalFormatting>
  <conditionalFormatting sqref="C27">
    <cfRule type="cellIs" dxfId="87" priority="204" stopIfTrue="1" operator="equal">
      <formula>"reserved"</formula>
    </cfRule>
  </conditionalFormatting>
  <conditionalFormatting sqref="C410:C412">
    <cfRule type="cellIs" dxfId="86" priority="142" stopIfTrue="1" operator="equal">
      <formula>"reserved"</formula>
    </cfRule>
  </conditionalFormatting>
  <conditionalFormatting sqref="C439">
    <cfRule type="cellIs" dxfId="85" priority="117" stopIfTrue="1" operator="equal">
      <formula>"reserved"</formula>
    </cfRule>
  </conditionalFormatting>
  <conditionalFormatting sqref="C417:C418">
    <cfRule type="cellIs" dxfId="84" priority="139" stopIfTrue="1" operator="equal">
      <formula>"reserved"</formula>
    </cfRule>
  </conditionalFormatting>
  <conditionalFormatting sqref="C419">
    <cfRule type="cellIs" dxfId="83" priority="135" stopIfTrue="1" operator="equal">
      <formula>"reserved"</formula>
    </cfRule>
  </conditionalFormatting>
  <conditionalFormatting sqref="C431">
    <cfRule type="cellIs" dxfId="82" priority="127" stopIfTrue="1" operator="equal">
      <formula>"reserved"</formula>
    </cfRule>
  </conditionalFormatting>
  <conditionalFormatting sqref="C299">
    <cfRule type="cellIs" dxfId="81" priority="71" stopIfTrue="1" operator="equal">
      <formula>"reserved"</formula>
    </cfRule>
  </conditionalFormatting>
  <conditionalFormatting sqref="C423 C426:C428">
    <cfRule type="cellIs" dxfId="80" priority="134" stopIfTrue="1" operator="equal">
      <formula>"reserved"</formula>
    </cfRule>
  </conditionalFormatting>
  <conditionalFormatting sqref="C426">
    <cfRule type="cellIs" dxfId="79" priority="133" stopIfTrue="1" operator="equal">
      <formula>"reserved"</formula>
    </cfRule>
  </conditionalFormatting>
  <conditionalFormatting sqref="C424">
    <cfRule type="cellIs" dxfId="78" priority="130" stopIfTrue="1" operator="equal">
      <formula>"reserved"</formula>
    </cfRule>
  </conditionalFormatting>
  <conditionalFormatting sqref="C425">
    <cfRule type="cellIs" dxfId="77" priority="129" stopIfTrue="1" operator="equal">
      <formula>"reserved"</formula>
    </cfRule>
  </conditionalFormatting>
  <conditionalFormatting sqref="C424">
    <cfRule type="cellIs" dxfId="76" priority="131" stopIfTrue="1" operator="equal">
      <formula>"reserved"</formula>
    </cfRule>
  </conditionalFormatting>
  <conditionalFormatting sqref="C427:C428">
    <cfRule type="cellIs" dxfId="75" priority="132" stopIfTrue="1" operator="equal">
      <formula>"reserved"</formula>
    </cfRule>
  </conditionalFormatting>
  <conditionalFormatting sqref="C425">
    <cfRule type="cellIs" dxfId="74" priority="128" stopIfTrue="1" operator="equal">
      <formula>"reserved"</formula>
    </cfRule>
  </conditionalFormatting>
  <conditionalFormatting sqref="C430">
    <cfRule type="cellIs" dxfId="73" priority="126" stopIfTrue="1" operator="equal">
      <formula>"reserved"</formula>
    </cfRule>
  </conditionalFormatting>
  <conditionalFormatting sqref="C429">
    <cfRule type="cellIs" dxfId="72" priority="125" stopIfTrue="1" operator="equal">
      <formula>"reserved"</formula>
    </cfRule>
  </conditionalFormatting>
  <conditionalFormatting sqref="C436">
    <cfRule type="cellIs" dxfId="71" priority="124" stopIfTrue="1" operator="equal">
      <formula>"reserved"</formula>
    </cfRule>
  </conditionalFormatting>
  <conditionalFormatting sqref="C433">
    <cfRule type="cellIs" dxfId="70" priority="123" stopIfTrue="1" operator="equal">
      <formula>"reserved"</formula>
    </cfRule>
  </conditionalFormatting>
  <conditionalFormatting sqref="C437:C438">
    <cfRule type="cellIs" dxfId="69" priority="122" stopIfTrue="1" operator="equal">
      <formula>"reserved"</formula>
    </cfRule>
  </conditionalFormatting>
  <conditionalFormatting sqref="C434">
    <cfRule type="cellIs" dxfId="68" priority="121" stopIfTrue="1" operator="equal">
      <formula>"reserved"</formula>
    </cfRule>
  </conditionalFormatting>
  <conditionalFormatting sqref="C435">
    <cfRule type="cellIs" dxfId="67" priority="120" stopIfTrue="1" operator="equal">
      <formula>"reserved"</formula>
    </cfRule>
  </conditionalFormatting>
  <conditionalFormatting sqref="C441">
    <cfRule type="cellIs" dxfId="66" priority="119" stopIfTrue="1" operator="equal">
      <formula>"reserved"</formula>
    </cfRule>
  </conditionalFormatting>
  <conditionalFormatting sqref="C407">
    <cfRule type="cellIs" dxfId="65" priority="144" stopIfTrue="1" operator="equal">
      <formula>"reserved"</formula>
    </cfRule>
  </conditionalFormatting>
  <conditionalFormatting sqref="C440">
    <cfRule type="cellIs" dxfId="64" priority="118" stopIfTrue="1" operator="equal">
      <formula>"reserved"</formula>
    </cfRule>
  </conditionalFormatting>
  <conditionalFormatting sqref="C296:C297">
    <cfRule type="cellIs" dxfId="63" priority="77" stopIfTrue="1" operator="equal">
      <formula>"reserved"</formula>
    </cfRule>
  </conditionalFormatting>
  <conditionalFormatting sqref="C292 C295:C297">
    <cfRule type="cellIs" dxfId="62" priority="79" stopIfTrue="1" operator="equal">
      <formula>"reserved"</formula>
    </cfRule>
  </conditionalFormatting>
  <conditionalFormatting sqref="C295">
    <cfRule type="cellIs" dxfId="61" priority="78" stopIfTrue="1" operator="equal">
      <formula>"reserved"</formula>
    </cfRule>
  </conditionalFormatting>
  <conditionalFormatting sqref="C294">
    <cfRule type="cellIs" dxfId="60" priority="74" stopIfTrue="1" operator="equal">
      <formula>"reserved"</formula>
    </cfRule>
  </conditionalFormatting>
  <conditionalFormatting sqref="C293">
    <cfRule type="cellIs" dxfId="59" priority="76" stopIfTrue="1" operator="equal">
      <formula>"reserved"</formula>
    </cfRule>
  </conditionalFormatting>
  <conditionalFormatting sqref="C293">
    <cfRule type="cellIs" dxfId="58" priority="75" stopIfTrue="1" operator="equal">
      <formula>"reserved"</formula>
    </cfRule>
  </conditionalFormatting>
  <conditionalFormatting sqref="C294">
    <cfRule type="cellIs" dxfId="57" priority="73" stopIfTrue="1" operator="equal">
      <formula>"reserved"</formula>
    </cfRule>
  </conditionalFormatting>
  <conditionalFormatting sqref="C300">
    <cfRule type="cellIs" dxfId="56" priority="72" stopIfTrue="1" operator="equal">
      <formula>"reserved"</formula>
    </cfRule>
  </conditionalFormatting>
  <conditionalFormatting sqref="C420">
    <cfRule type="cellIs" dxfId="55" priority="136" stopIfTrue="1" operator="equal">
      <formula>"reserved"</formula>
    </cfRule>
  </conditionalFormatting>
  <conditionalFormatting sqref="C408:C409">
    <cfRule type="cellIs" dxfId="54" priority="143" stopIfTrue="1" operator="equal">
      <formula>"reserved"</formula>
    </cfRule>
  </conditionalFormatting>
  <conditionalFormatting sqref="C279:C281">
    <cfRule type="cellIs" dxfId="53" priority="87" stopIfTrue="1" operator="equal">
      <formula>"reserved"</formula>
    </cfRule>
  </conditionalFormatting>
  <conditionalFormatting sqref="C414">
    <cfRule type="cellIs" dxfId="52" priority="140" stopIfTrue="1" operator="equal">
      <formula>"reserved"</formula>
    </cfRule>
  </conditionalFormatting>
  <conditionalFormatting sqref="C413">
    <cfRule type="cellIs" dxfId="51" priority="141" stopIfTrue="1" operator="equal">
      <formula>"reserved"</formula>
    </cfRule>
  </conditionalFormatting>
  <conditionalFormatting sqref="C286:C287">
    <cfRule type="cellIs" dxfId="50" priority="84" stopIfTrue="1" operator="equal">
      <formula>"reserved"</formula>
    </cfRule>
  </conditionalFormatting>
  <conditionalFormatting sqref="C416">
    <cfRule type="cellIs" dxfId="49" priority="138" stopIfTrue="1" operator="equal">
      <formula>"reserved"</formula>
    </cfRule>
  </conditionalFormatting>
  <conditionalFormatting sqref="C298">
    <cfRule type="cellIs" dxfId="48" priority="70" stopIfTrue="1" operator="equal">
      <formula>"reserved"</formula>
    </cfRule>
  </conditionalFormatting>
  <conditionalFormatting sqref="C421">
    <cfRule type="cellIs" dxfId="47" priority="137" stopIfTrue="1" operator="equal">
      <formula>"reserved"</formula>
    </cfRule>
  </conditionalFormatting>
  <conditionalFormatting sqref="C308">
    <cfRule type="cellIs" dxfId="46" priority="62" stopIfTrue="1" operator="equal">
      <formula>"reserved"</formula>
    </cfRule>
  </conditionalFormatting>
  <conditionalFormatting sqref="C306:C307">
    <cfRule type="cellIs" dxfId="45" priority="67" stopIfTrue="1" operator="equal">
      <formula>"reserved"</formula>
    </cfRule>
  </conditionalFormatting>
  <conditionalFormatting sqref="C305">
    <cfRule type="cellIs" dxfId="44" priority="69" stopIfTrue="1" operator="equal">
      <formula>"reserved"</formula>
    </cfRule>
  </conditionalFormatting>
  <conditionalFormatting sqref="C302">
    <cfRule type="cellIs" dxfId="43" priority="68" stopIfTrue="1" operator="equal">
      <formula>"reserved"</formula>
    </cfRule>
  </conditionalFormatting>
  <conditionalFormatting sqref="C303">
    <cfRule type="cellIs" dxfId="42" priority="66" stopIfTrue="1" operator="equal">
      <formula>"reserved"</formula>
    </cfRule>
  </conditionalFormatting>
  <conditionalFormatting sqref="C304">
    <cfRule type="cellIs" dxfId="41" priority="65" stopIfTrue="1" operator="equal">
      <formula>"reserved"</formula>
    </cfRule>
  </conditionalFormatting>
  <conditionalFormatting sqref="C310">
    <cfRule type="cellIs" dxfId="40" priority="64" stopIfTrue="1" operator="equal">
      <formula>"reserved"</formula>
    </cfRule>
  </conditionalFormatting>
  <conditionalFormatting sqref="C309">
    <cfRule type="cellIs" dxfId="39" priority="63" stopIfTrue="1" operator="equal">
      <formula>"reserved"</formula>
    </cfRule>
  </conditionalFormatting>
  <conditionalFormatting sqref="C288">
    <cfRule type="cellIs" dxfId="38" priority="80" stopIfTrue="1" operator="equal">
      <formula>"reserved"</formula>
    </cfRule>
  </conditionalFormatting>
  <conditionalFormatting sqref="C276">
    <cfRule type="cellIs" dxfId="37" priority="89" stopIfTrue="1" operator="equal">
      <formula>"reserved"</formula>
    </cfRule>
  </conditionalFormatting>
  <conditionalFormatting sqref="C289">
    <cfRule type="cellIs" dxfId="36" priority="81" stopIfTrue="1" operator="equal">
      <formula>"reserved"</formula>
    </cfRule>
  </conditionalFormatting>
  <conditionalFormatting sqref="C277:C278">
    <cfRule type="cellIs" dxfId="35" priority="88" stopIfTrue="1" operator="equal">
      <formula>"reserved"</formula>
    </cfRule>
  </conditionalFormatting>
  <conditionalFormatting sqref="C283">
    <cfRule type="cellIs" dxfId="34" priority="85" stopIfTrue="1" operator="equal">
      <formula>"reserved"</formula>
    </cfRule>
  </conditionalFormatting>
  <conditionalFormatting sqref="C282">
    <cfRule type="cellIs" dxfId="33" priority="86" stopIfTrue="1" operator="equal">
      <formula>"reserved"</formula>
    </cfRule>
  </conditionalFormatting>
  <conditionalFormatting sqref="C285">
    <cfRule type="cellIs" dxfId="32" priority="83" stopIfTrue="1" operator="equal">
      <formula>"reserved"</formula>
    </cfRule>
  </conditionalFormatting>
  <conditionalFormatting sqref="C290">
    <cfRule type="cellIs" dxfId="31" priority="82" stopIfTrue="1" operator="equal">
      <formula>"reserved"</formula>
    </cfRule>
  </conditionalFormatting>
  <conditionalFormatting sqref="C157">
    <cfRule type="cellIs" dxfId="30" priority="25" stopIfTrue="1" operator="equal">
      <formula>"reserved"</formula>
    </cfRule>
  </conditionalFormatting>
  <conditionalFormatting sqref="C145">
    <cfRule type="cellIs" dxfId="29" priority="34" stopIfTrue="1" operator="equal">
      <formula>"reserved"</formula>
    </cfRule>
  </conditionalFormatting>
  <conditionalFormatting sqref="C158">
    <cfRule type="cellIs" dxfId="28" priority="26" stopIfTrue="1" operator="equal">
      <formula>"reserved"</formula>
    </cfRule>
  </conditionalFormatting>
  <conditionalFormatting sqref="C146:C147">
    <cfRule type="cellIs" dxfId="27" priority="33" stopIfTrue="1" operator="equal">
      <formula>"reserved"</formula>
    </cfRule>
  </conditionalFormatting>
  <conditionalFormatting sqref="C148:C150">
    <cfRule type="cellIs" dxfId="26" priority="32" stopIfTrue="1" operator="equal">
      <formula>"reserved"</formula>
    </cfRule>
  </conditionalFormatting>
  <conditionalFormatting sqref="C152">
    <cfRule type="cellIs" dxfId="25" priority="30" stopIfTrue="1" operator="equal">
      <formula>"reserved"</formula>
    </cfRule>
  </conditionalFormatting>
  <conditionalFormatting sqref="C151">
    <cfRule type="cellIs" dxfId="24" priority="31" stopIfTrue="1" operator="equal">
      <formula>"reserved"</formula>
    </cfRule>
  </conditionalFormatting>
  <conditionalFormatting sqref="C154">
    <cfRule type="cellIs" dxfId="23" priority="28" stopIfTrue="1" operator="equal">
      <formula>"reserved"</formula>
    </cfRule>
  </conditionalFormatting>
  <conditionalFormatting sqref="C155:C156">
    <cfRule type="cellIs" dxfId="22" priority="29" stopIfTrue="1" operator="equal">
      <formula>"reserved"</formula>
    </cfRule>
  </conditionalFormatting>
  <conditionalFormatting sqref="C167">
    <cfRule type="cellIs" dxfId="21" priority="15" stopIfTrue="1" operator="equal">
      <formula>"reserved"</formula>
    </cfRule>
  </conditionalFormatting>
  <conditionalFormatting sqref="C159">
    <cfRule type="cellIs" dxfId="20" priority="27" stopIfTrue="1" operator="equal">
      <formula>"reserved"</formula>
    </cfRule>
  </conditionalFormatting>
  <conditionalFormatting sqref="C165:C166">
    <cfRule type="cellIs" dxfId="19" priority="22" stopIfTrue="1" operator="equal">
      <formula>"reserved"</formula>
    </cfRule>
  </conditionalFormatting>
  <conditionalFormatting sqref="C161 C164:C166">
    <cfRule type="cellIs" dxfId="18" priority="24" stopIfTrue="1" operator="equal">
      <formula>"reserved"</formula>
    </cfRule>
  </conditionalFormatting>
  <conditionalFormatting sqref="C164">
    <cfRule type="cellIs" dxfId="17" priority="23" stopIfTrue="1" operator="equal">
      <formula>"reserved"</formula>
    </cfRule>
  </conditionalFormatting>
  <conditionalFormatting sqref="C162">
    <cfRule type="cellIs" dxfId="16" priority="21" stopIfTrue="1" operator="equal">
      <formula>"reserved"</formula>
    </cfRule>
  </conditionalFormatting>
  <conditionalFormatting sqref="C163">
    <cfRule type="cellIs" dxfId="15" priority="18" stopIfTrue="1" operator="equal">
      <formula>"reserved"</formula>
    </cfRule>
  </conditionalFormatting>
  <conditionalFormatting sqref="C162">
    <cfRule type="cellIs" dxfId="14" priority="20" stopIfTrue="1" operator="equal">
      <formula>"reserved"</formula>
    </cfRule>
  </conditionalFormatting>
  <conditionalFormatting sqref="C163">
    <cfRule type="cellIs" dxfId="13" priority="19" stopIfTrue="1" operator="equal">
      <formula>"reserved"</formula>
    </cfRule>
  </conditionalFormatting>
  <conditionalFormatting sqref="C177">
    <cfRule type="cellIs" dxfId="12" priority="7" stopIfTrue="1" operator="equal">
      <formula>"reserved"</formula>
    </cfRule>
  </conditionalFormatting>
  <conditionalFormatting sqref="C169">
    <cfRule type="cellIs" dxfId="11" priority="17" stopIfTrue="1" operator="equal">
      <formula>"reserved"</formula>
    </cfRule>
  </conditionalFormatting>
  <conditionalFormatting sqref="C168">
    <cfRule type="cellIs" dxfId="10" priority="16" stopIfTrue="1" operator="equal">
      <formula>"reserved"</formula>
    </cfRule>
  </conditionalFormatting>
  <conditionalFormatting sqref="C174">
    <cfRule type="cellIs" dxfId="9" priority="14" stopIfTrue="1" operator="equal">
      <formula>"reserved"</formula>
    </cfRule>
  </conditionalFormatting>
  <conditionalFormatting sqref="C171">
    <cfRule type="cellIs" dxfId="8" priority="13" stopIfTrue="1" operator="equal">
      <formula>"reserved"</formula>
    </cfRule>
  </conditionalFormatting>
  <conditionalFormatting sqref="C175:C176">
    <cfRule type="cellIs" dxfId="7" priority="12" stopIfTrue="1" operator="equal">
      <formula>"reserved"</formula>
    </cfRule>
  </conditionalFormatting>
  <conditionalFormatting sqref="C172">
    <cfRule type="cellIs" dxfId="6" priority="11" stopIfTrue="1" operator="equal">
      <formula>"reserved"</formula>
    </cfRule>
  </conditionalFormatting>
  <conditionalFormatting sqref="C173">
    <cfRule type="cellIs" dxfId="5" priority="10" stopIfTrue="1" operator="equal">
      <formula>"reserved"</formula>
    </cfRule>
  </conditionalFormatting>
  <conditionalFormatting sqref="C179">
    <cfRule type="cellIs" dxfId="4" priority="9" stopIfTrue="1" operator="equal">
      <formula>"reserved"</formula>
    </cfRule>
  </conditionalFormatting>
  <conditionalFormatting sqref="C178">
    <cfRule type="cellIs" dxfId="3" priority="8" stopIfTrue="1" operator="equal">
      <formula>"reserved"</formula>
    </cfRule>
  </conditionalFormatting>
  <conditionalFormatting sqref="C63:C66">
    <cfRule type="cellIs" dxfId="2" priority="5" stopIfTrue="1" operator="equal">
      <formula>"reserved"</formula>
    </cfRule>
  </conditionalFormatting>
  <conditionalFormatting sqref="C80:C83">
    <cfRule type="cellIs" dxfId="1" priority="3" stopIfTrue="1" operator="equal">
      <formula>"reserved"</formula>
    </cfRule>
  </conditionalFormatting>
  <conditionalFormatting sqref="C97:C101">
    <cfRule type="cellIs" dxfId="0" priority="1" stopIfTrue="1" operator="equal">
      <formula>"reserved"</formula>
    </cfRule>
  </conditionalFormatting>
  <dataValidations xWindow="1800" yWindow="969" count="6">
    <dataValidation type="list" allowBlank="1" showInputMessage="1" showErrorMessage="1" sqref="I103:I107 I51:I55 I57:I60 I62:I66 I68:I72 I74:I77 I85:I89 I91:I94 I44:I49 I443:I446 I109:I116 I118:I125 I127:I134 I3:I10 I79:I83 I255:I265 I12:I17 I39:I42 I231:I235 I186:I187 I189:I193 I195:I198 I214:I215 I203:I207 I209:I212 I217:I221 I223:I226 I200:I201 I136:I143 I237:I244 I246:I253 I377:I387 I154:I159 I228:I229 I171:I179 I423:I431 I181:I184 I362:I366 I317:I318 I320:I324 I326:I329 I345:I346 I334:I338 I340:I343 I348:I352 I354:I357 I331:I332 I267:I274 I368:I375 I526:I533 I389:I396 I285:I290 I359:I360 I302:I310 I276:I283 I312:I315 I493:I497 I448:I449 I451:I455 I457:I460 I476:I477 I465:I469 I471:I474 I479:I483 I485:I488 I462:I463 I398:I405 I499:I506 I508:I515 I517:I524 I416:I421 I490:I491 I433:I441 I407:I414 I19:I27 I161:I169 I292:I300 I145:I152 I29:I37 I96:I101" xr:uid="{00000000-0002-0000-0000-000000000000}">
      <formula1>"WR,RO"</formula1>
    </dataValidation>
    <dataValidation type="list" allowBlank="1" showErrorMessage="1" sqref="I1" xr:uid="{00000000-0002-0000-0000-000001000000}">
      <formula1>"WR,RO"</formula1>
    </dataValidation>
    <dataValidation type="list" allowBlank="1" showInputMessage="1" showErrorMessage="1" sqref="K103:K107 K51:K55 K57:K60 K62:K66 K68:K72 K74:K77 K85:K89 K91:K94 K44:K49 K443:K446 K109:K116 K118:K125 K127:K134 K3:K10 K79:K83 K255:K265 K12:K17 K39:K42 K231:K235 K186:K187 K189:K193 K195:K198 K214:K215 K203:K207 K209:K212 K217:K221 K223:K226 K200:K201 K136:K143 K237:K244 K246:K253 K377:K387 K154:K159 K228:K229 K171:K179 K145:K152 K181:K184 K362:K366 K317:K318 K320:K324 K326:K329 K345:K346 K334:K338 K340:K343 K348:K352 K354:K357 K331:K332 K267:K274 K368:K375 K526:K533 K389:K396 K285:K290 K359:K360 K302:K310 K276:K283 K312:K315 K493:K497 K448:K449 K451:K455 K457:K460 K476:K477 K465:K469 K471:K474 K479:K483 K485:K488 K462:K463 K398:K405 K499:K506 K508:K515 K517:K524 K416:K421 K490:K491 K433:K441 K407:K414 K19:K27 K161:K169 K292:K300 K423:K431 K29:K37 K96:K101" xr:uid="{00000000-0002-0000-0000-000002000000}">
      <formula1>BOOLEAN</formula1>
    </dataValidation>
    <dataValidation allowBlank="1" showInputMessage="1" showErrorMessage="1" prompt="8 bit Hexa number between 0x0 and 0xff. Offset within register space for block" sqref="B1:B2 B28 B11 B18 B38 B50 B108 M1:S2 B43 B56 B67 B61 B73 B84 B78 M84:S84 B90 B102 B95 B117 B126 B135 M102:S102 M38:S38 M28:S28 M11:S11 M18:S18 M78:S78 M43:S43 M50:S50 M56:S56 M61:S61 M67:S67 M73:S73 M90:S90 M95:S95 M126:S126 M117:S117 M108:S108 M135:S135 B144 B170 B153 B160 B180 B188 B236 M144:S144 B185 B194 B202 B199 B208 B216 B213 M216:S216 B222 B230 B227 B245 B254 B266 M230:S230 M180:S180 M170:S170 M153:S153 M160:S160 M213:S213 M185:S185 M188:S188 M194:S194 M199:S199 M202:S202 M208:S208 M222:S222 M227:S227 M254:S254 M245:S245 M236:S236 M266:S266 B275 B301 B284 B291 B311 B319 B367 M275:S275 B316 B325 B333 B330 B339 B347 B344 M347:S347 B353 B361 B358 B376 B388 B397 M361:S361 M311:S311 M301:S301 M284:S284 M291:S291 M344:S344 M316:S316 M319:S319 M325:S325 M330:S330 M333:S333 M339:S339 M353:S353 M358:S358 M388:S388 M376:S376 M367:S367 M397:S397 B406 B432 B415 B422 B442 B450 B498 M406:S406 B447 B456 B464 B461 B470 B478 B475 M478:S478 B484 B492 B489 B507 B516 B525 M492:S492 M442:S442 M432:S432 M415:S415 M422:S422 M475:S475 M447:S447 M450:S450 M456:S456 M461:S461 M464:S464 M470:S470 M484:S484 M489:S489 M516:S516 M507:S507 M498:S498 M525:S525" xr:uid="{00000000-0002-0000-0000-000003000000}">
      <formula1>0</formula1>
      <formula2>0</formula2>
    </dataValidation>
    <dataValidation allowBlank="1" showInputMessage="1" sqref="G1 F171:G179 F51:G55 F39:G42 F57:G60 F85:G89 F74:G77 F465:G469 F91:G94 F479:G483 F145:G152 F508:G515 F499:G506 F276:G283 F292:G300 F334:G338 F186:G187 F68:G72 F181:G184 F195:G198 F348:G352 F200:G201 F209:G212 F451:G455 F214:G215 F223:G226 F189:G193 F109:G116 F517:G524 F127:G134 F377:G387 F416:G421 F493:G497 F228:G229 F389:G396 F317:G318 F103:G107 F312:G315 F326:G329 F362:G366 F331:G332 F340:G343 F398:G405 F345:G346 F354:G357 F231:G235 F237:G244 F423:G431 F136:G143 F118:G125 F19:G27 F359:G360 F161:G169 F448:G449 F217:G221 F443:G446 F457:G460 F320:G324 F462:G463 F471:G474 F490:G491 F476:G477 F485:G488 F203:G207 F246:G253 F255:G265 F368:G375 F267:G274 F154:G159 F3:G10 F526:G533 F407:G414 F285:G290 F12:G17 F29:G37 F433:G441 F302:G310 F44:G49 F62:G66 F79:G83 F96:G101" xr:uid="{00000000-0002-0000-0000-000004000000}"/>
    <dataValidation type="list" allowBlank="1" sqref="J1:J533" xr:uid="{00000000-0002-0000-0000-000005000000}">
      <formula1>"Default, Soft Strap, Hard Strap, Fuse"</formula1>
    </dataValidation>
  </dataValidations>
  <pageMargins left="0.7" right="0.7" top="0.75" bottom="0.75" header="0.51180555555555551" footer="0.51180555555555551"/>
  <pageSetup firstPageNumber="0" orientation="portrait" horizontalDpi="300" verticalDpi="300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S16"/>
  <sheetViews>
    <sheetView topLeftCell="F4" workbookViewId="0">
      <selection activeCell="L9" sqref="L9"/>
    </sheetView>
  </sheetViews>
  <sheetFormatPr defaultRowHeight="14.4"/>
  <cols>
    <col min="1" max="1" width="18.33203125" customWidth="1"/>
    <col min="2" max="2" width="2" bestFit="1" customWidth="1"/>
    <col min="3" max="3" width="5.5546875" bestFit="1" customWidth="1"/>
    <col min="4" max="4" width="8.5546875" bestFit="1" customWidth="1"/>
    <col min="5" max="5" width="42.6640625" customWidth="1"/>
    <col min="6" max="6" width="4" bestFit="1" customWidth="1"/>
    <col min="7" max="7" width="7.5546875" bestFit="1" customWidth="1"/>
    <col min="8" max="8" width="3.88671875" bestFit="1" customWidth="1"/>
  </cols>
  <sheetData>
    <row r="1" spans="1:19">
      <c r="A1" s="156" t="e">
        <f ca="1">bitConcat(D2:D11)</f>
        <v>#NAME?</v>
      </c>
      <c r="B1" s="156"/>
      <c r="C1" s="156"/>
      <c r="D1" s="156"/>
      <c r="E1" s="156"/>
      <c r="F1" s="156"/>
      <c r="G1" s="156"/>
      <c r="H1" s="156"/>
      <c r="I1" s="157"/>
    </row>
    <row r="2" spans="1:19">
      <c r="A2" s="23" t="s">
        <v>69</v>
      </c>
      <c r="B2" s="23">
        <v>5</v>
      </c>
      <c r="C2" s="27" t="str">
        <f>IF(B2&gt;1,(23)&amp;":"&amp;(23-B2+1),(23-B2+1)&amp;":"&amp;(23-B2+1))</f>
        <v>23:19</v>
      </c>
      <c r="D2" s="35" t="s">
        <v>91</v>
      </c>
      <c r="E2" s="24" t="s">
        <v>70</v>
      </c>
      <c r="F2" s="24" t="s">
        <v>68</v>
      </c>
      <c r="G2" s="24" t="s">
        <v>36</v>
      </c>
      <c r="H2" s="24" t="s">
        <v>6</v>
      </c>
      <c r="I2" s="25"/>
    </row>
    <row r="3" spans="1:19">
      <c r="A3" s="23" t="s">
        <v>90</v>
      </c>
      <c r="B3" s="23">
        <v>1</v>
      </c>
      <c r="C3" s="18" t="e">
        <f t="shared" ref="C3:C11" ca="1" si="0">(MID(str_cnvt(C2),SEARCH(":",str_cnvt(C2))+1,2)-1) &amp; ":" &amp; (MID(str_cnvt(C2),SEARCH(":",str_cnvt(C2))+1,2)-B3)</f>
        <v>#NAME?</v>
      </c>
      <c r="D3" s="30" t="s">
        <v>7</v>
      </c>
      <c r="E3" s="30" t="s">
        <v>90</v>
      </c>
      <c r="F3" s="24" t="s">
        <v>68</v>
      </c>
      <c r="G3" s="24" t="s">
        <v>36</v>
      </c>
      <c r="H3" s="24" t="s">
        <v>6</v>
      </c>
      <c r="I3" s="25"/>
    </row>
    <row r="4" spans="1:19" ht="129.6">
      <c r="A4" s="23" t="s">
        <v>71</v>
      </c>
      <c r="B4" s="23">
        <v>3</v>
      </c>
      <c r="C4" s="18" t="e">
        <f t="shared" ca="1" si="0"/>
        <v>#NAME?</v>
      </c>
      <c r="D4" s="35" t="s">
        <v>94</v>
      </c>
      <c r="E4" s="34" t="s">
        <v>93</v>
      </c>
      <c r="F4" s="24" t="s">
        <v>68</v>
      </c>
      <c r="G4" s="24" t="s">
        <v>36</v>
      </c>
      <c r="H4" s="24" t="s">
        <v>6</v>
      </c>
      <c r="I4" s="25"/>
    </row>
    <row r="5" spans="1:19">
      <c r="A5" s="23" t="s">
        <v>72</v>
      </c>
      <c r="B5" s="23">
        <v>1</v>
      </c>
      <c r="C5" s="18" t="e">
        <f t="shared" ca="1" si="0"/>
        <v>#NAME?</v>
      </c>
      <c r="D5" s="28" t="s">
        <v>7</v>
      </c>
      <c r="E5" s="26" t="s">
        <v>77</v>
      </c>
      <c r="F5" s="24" t="s">
        <v>68</v>
      </c>
      <c r="G5" s="24" t="s">
        <v>36</v>
      </c>
      <c r="H5" s="24" t="s">
        <v>6</v>
      </c>
      <c r="I5" s="25"/>
    </row>
    <row r="6" spans="1:19">
      <c r="A6" s="23" t="s">
        <v>73</v>
      </c>
      <c r="B6" s="23">
        <v>1</v>
      </c>
      <c r="C6" s="18" t="e">
        <f t="shared" ca="1" si="0"/>
        <v>#NAME?</v>
      </c>
      <c r="D6" s="35" t="s">
        <v>7</v>
      </c>
      <c r="E6" s="26" t="s">
        <v>78</v>
      </c>
      <c r="F6" s="24" t="s">
        <v>68</v>
      </c>
      <c r="G6" s="24" t="s">
        <v>36</v>
      </c>
      <c r="H6" s="24" t="s">
        <v>6</v>
      </c>
      <c r="I6" s="25"/>
    </row>
    <row r="7" spans="1:19">
      <c r="A7" s="23" t="s">
        <v>74</v>
      </c>
      <c r="B7" s="23">
        <v>1</v>
      </c>
      <c r="C7" s="18" t="e">
        <f t="shared" ca="1" si="0"/>
        <v>#NAME?</v>
      </c>
      <c r="D7" s="35" t="s">
        <v>84</v>
      </c>
      <c r="E7" s="26" t="s">
        <v>79</v>
      </c>
      <c r="F7" s="24" t="s">
        <v>68</v>
      </c>
      <c r="G7" s="24" t="s">
        <v>36</v>
      </c>
      <c r="H7" s="24" t="s">
        <v>6</v>
      </c>
      <c r="I7" s="25"/>
    </row>
    <row r="8" spans="1:19" ht="57.6">
      <c r="A8" s="23" t="s">
        <v>75</v>
      </c>
      <c r="B8" s="23">
        <v>3</v>
      </c>
      <c r="C8" s="18" t="e">
        <f t="shared" ca="1" si="0"/>
        <v>#NAME?</v>
      </c>
      <c r="D8" s="35" t="s">
        <v>81</v>
      </c>
      <c r="E8" s="29" t="s">
        <v>89</v>
      </c>
      <c r="F8" s="24" t="s">
        <v>68</v>
      </c>
      <c r="G8" s="24" t="s">
        <v>36</v>
      </c>
      <c r="H8" s="24" t="s">
        <v>6</v>
      </c>
      <c r="I8" s="25"/>
    </row>
    <row r="9" spans="1:19">
      <c r="A9" s="23" t="s">
        <v>76</v>
      </c>
      <c r="B9" s="23">
        <v>1</v>
      </c>
      <c r="C9" s="18" t="e">
        <f t="shared" ca="1" si="0"/>
        <v>#NAME?</v>
      </c>
      <c r="D9" s="35" t="s">
        <v>84</v>
      </c>
      <c r="E9" s="26" t="s">
        <v>80</v>
      </c>
      <c r="F9" s="24" t="s">
        <v>68</v>
      </c>
      <c r="G9" s="24" t="s">
        <v>36</v>
      </c>
      <c r="H9" s="24" t="s">
        <v>6</v>
      </c>
      <c r="I9" s="25"/>
    </row>
    <row r="10" spans="1:19">
      <c r="A10" s="23" t="s">
        <v>85</v>
      </c>
      <c r="B10" s="23">
        <v>2</v>
      </c>
      <c r="C10" s="18" t="e">
        <f t="shared" ca="1" si="0"/>
        <v>#NAME?</v>
      </c>
      <c r="D10" s="28" t="s">
        <v>88</v>
      </c>
      <c r="E10" s="26"/>
      <c r="F10" s="24"/>
      <c r="G10" s="24"/>
      <c r="H10" s="24"/>
      <c r="I10" s="25"/>
      <c r="S10" t="s">
        <v>95</v>
      </c>
    </row>
    <row r="11" spans="1:19" ht="28.8">
      <c r="A11" s="23" t="s">
        <v>86</v>
      </c>
      <c r="B11" s="23">
        <v>6</v>
      </c>
      <c r="C11" s="18" t="e">
        <f t="shared" ca="1" si="0"/>
        <v>#NAME?</v>
      </c>
      <c r="D11" s="28" t="s">
        <v>87</v>
      </c>
      <c r="E11" s="26"/>
      <c r="F11" s="24" t="s">
        <v>68</v>
      </c>
      <c r="G11" s="24" t="s">
        <v>36</v>
      </c>
      <c r="H11" s="24" t="s">
        <v>6</v>
      </c>
      <c r="I11" s="25"/>
    </row>
    <row r="16" spans="1:19">
      <c r="N16">
        <v>0</v>
      </c>
      <c r="O16">
        <v>1</v>
      </c>
      <c r="P16">
        <v>1</v>
      </c>
      <c r="Q16">
        <v>3</v>
      </c>
      <c r="R16">
        <v>0</v>
      </c>
      <c r="S16">
        <v>0</v>
      </c>
    </row>
  </sheetData>
  <mergeCells count="1">
    <mergeCell ref="A1:I1"/>
  </mergeCells>
  <dataValidations disablePrompts="1" count="4">
    <dataValidation type="list" allowBlank="1" sqref="G1:G11" xr:uid="{00000000-0002-0000-0100-000000000000}">
      <formula1>"Default, Soft Strap, Hard Strap, Fuse"</formula1>
    </dataValidation>
    <dataValidation allowBlank="1" showInputMessage="1" sqref="D1" xr:uid="{00000000-0002-0000-0100-000001000000}"/>
    <dataValidation type="list" allowBlank="1" showInputMessage="1" showErrorMessage="1" sqref="H2:H11" xr:uid="{00000000-0002-0000-0100-000002000000}">
      <formula1>BOOLEAN</formula1>
    </dataValidation>
    <dataValidation type="list" allowBlank="1" showInputMessage="1" showErrorMessage="1" sqref="F2:F11" xr:uid="{00000000-0002-0000-0100-000003000000}">
      <formula1>"WR,RO"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"/>
  <sheetViews>
    <sheetView workbookViewId="0">
      <selection activeCell="D27" sqref="D27"/>
    </sheetView>
  </sheetViews>
  <sheetFormatPr defaultRowHeight="14.4"/>
  <sheetData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9:H15"/>
  <sheetViews>
    <sheetView workbookViewId="0">
      <selection activeCell="A10" sqref="A10"/>
    </sheetView>
  </sheetViews>
  <sheetFormatPr defaultRowHeight="14.4"/>
  <cols>
    <col min="1" max="1" width="13.44140625" customWidth="1"/>
  </cols>
  <sheetData>
    <row r="9" spans="1:8">
      <c r="D9" t="s">
        <v>17</v>
      </c>
    </row>
    <row r="10" spans="1:8">
      <c r="A10" t="s">
        <v>5</v>
      </c>
      <c r="C10" t="s">
        <v>15</v>
      </c>
      <c r="D10" t="s">
        <v>18</v>
      </c>
      <c r="F10" t="s">
        <v>11</v>
      </c>
      <c r="H10" t="s">
        <v>8</v>
      </c>
    </row>
    <row r="11" spans="1:8">
      <c r="A11" t="s">
        <v>20</v>
      </c>
      <c r="C11" t="s">
        <v>16</v>
      </c>
      <c r="D11" t="s">
        <v>19</v>
      </c>
      <c r="F11" t="s">
        <v>12</v>
      </c>
      <c r="H11" t="s">
        <v>6</v>
      </c>
    </row>
    <row r="12" spans="1:8">
      <c r="A12" t="s">
        <v>9</v>
      </c>
      <c r="C12" t="s">
        <v>13</v>
      </c>
    </row>
    <row r="13" spans="1:8">
      <c r="A13" t="s">
        <v>10</v>
      </c>
    </row>
    <row r="14" spans="1:8">
      <c r="A14" t="s">
        <v>14</v>
      </c>
    </row>
    <row r="15" spans="1:8">
      <c r="A15" t="s">
        <v>22</v>
      </c>
    </row>
  </sheetData>
  <customSheetViews>
    <customSheetView guid="{2BBBE5B5-B14C-4BF7-9B95-9EEB3666FF3B}" state="hidden">
      <selection activeCell="D22" sqref="D22"/>
      <pageMargins left="0.7" right="0.7" top="0.75" bottom="0.75" header="0.51180555555555551" footer="0.51180555555555551"/>
      <pageSetup firstPageNumber="0" orientation="portrait" horizontalDpi="300" verticalDpi="300"/>
      <headerFooter alignWithMargins="0"/>
    </customSheetView>
  </customSheetViews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H26"/>
  <sheetViews>
    <sheetView workbookViewId="0">
      <selection activeCell="A40" sqref="A40"/>
    </sheetView>
  </sheetViews>
  <sheetFormatPr defaultRowHeight="14.4"/>
  <cols>
    <col min="1" max="1" width="9.5546875" bestFit="1" customWidth="1"/>
    <col min="2" max="2" width="14" bestFit="1" customWidth="1"/>
  </cols>
  <sheetData>
    <row r="1" spans="1:8" ht="15" thickBot="1">
      <c r="A1" s="9" t="s">
        <v>27</v>
      </c>
      <c r="B1" s="11" t="s">
        <v>28</v>
      </c>
      <c r="C1" s="10"/>
      <c r="D1" s="11"/>
      <c r="E1" s="10"/>
      <c r="F1" s="11"/>
      <c r="G1" s="10"/>
      <c r="H1" s="11"/>
    </row>
    <row r="2" spans="1:8">
      <c r="A2" s="6" t="s">
        <v>25</v>
      </c>
      <c r="B2" s="4" t="s">
        <v>30</v>
      </c>
      <c r="C2" s="3"/>
      <c r="D2" s="4"/>
      <c r="E2" s="3"/>
      <c r="F2" s="4"/>
      <c r="G2" s="3"/>
      <c r="H2" s="4"/>
    </row>
    <row r="3" spans="1:8">
      <c r="A3" s="6" t="s">
        <v>26</v>
      </c>
      <c r="B3" s="4" t="s">
        <v>29</v>
      </c>
      <c r="C3" s="3"/>
      <c r="D3" s="4"/>
      <c r="E3" s="3"/>
      <c r="F3" s="4"/>
      <c r="G3" s="3"/>
      <c r="H3" s="4"/>
    </row>
    <row r="4" spans="1:8">
      <c r="A4" s="6"/>
      <c r="B4" s="4" t="s">
        <v>31</v>
      </c>
      <c r="C4" s="3"/>
      <c r="D4" s="4"/>
      <c r="E4" s="3"/>
      <c r="F4" s="4"/>
      <c r="G4" s="3"/>
      <c r="H4" s="4"/>
    </row>
    <row r="5" spans="1:8">
      <c r="A5" s="6"/>
      <c r="B5" s="4" t="s">
        <v>32</v>
      </c>
      <c r="C5" s="3"/>
      <c r="D5" s="4"/>
      <c r="E5" s="3"/>
      <c r="F5" s="4"/>
      <c r="G5" s="3"/>
      <c r="H5" s="4"/>
    </row>
    <row r="6" spans="1:8">
      <c r="A6" s="6"/>
      <c r="B6" s="4"/>
      <c r="C6" s="3"/>
      <c r="D6" s="4"/>
      <c r="E6" s="3"/>
      <c r="F6" s="4"/>
      <c r="G6" s="3"/>
      <c r="H6" s="4"/>
    </row>
    <row r="7" spans="1:8">
      <c r="A7" s="6"/>
      <c r="B7" s="4"/>
      <c r="C7" s="3"/>
      <c r="D7" s="4"/>
      <c r="E7" s="3"/>
      <c r="F7" s="4"/>
      <c r="G7" s="3"/>
      <c r="H7" s="4"/>
    </row>
    <row r="8" spans="1:8">
      <c r="A8" s="6"/>
      <c r="B8" s="4"/>
      <c r="C8" s="3"/>
      <c r="D8" s="4"/>
      <c r="E8" s="3"/>
      <c r="F8" s="4"/>
      <c r="G8" s="3"/>
      <c r="H8" s="4"/>
    </row>
    <row r="9" spans="1:8">
      <c r="A9" s="6"/>
      <c r="B9" s="4"/>
      <c r="C9" s="3"/>
      <c r="D9" s="4"/>
      <c r="E9" s="3"/>
      <c r="F9" s="4"/>
      <c r="G9" s="3"/>
      <c r="H9" s="4"/>
    </row>
    <row r="10" spans="1:8">
      <c r="A10" s="6"/>
      <c r="B10" s="4"/>
      <c r="C10" s="3"/>
      <c r="D10" s="4"/>
      <c r="E10" s="3"/>
      <c r="F10" s="4"/>
      <c r="G10" s="3"/>
      <c r="H10" s="4"/>
    </row>
    <row r="11" spans="1:8">
      <c r="A11" s="6"/>
      <c r="B11" s="4"/>
      <c r="C11" s="3"/>
      <c r="D11" s="4"/>
      <c r="E11" s="3"/>
      <c r="F11" s="4"/>
      <c r="G11" s="3"/>
      <c r="H11" s="4"/>
    </row>
    <row r="12" spans="1:8">
      <c r="A12" s="6"/>
      <c r="B12" s="4"/>
      <c r="C12" s="3"/>
      <c r="D12" s="4"/>
      <c r="E12" s="3"/>
      <c r="F12" s="4"/>
      <c r="G12" s="3"/>
      <c r="H12" s="4"/>
    </row>
    <row r="13" spans="1:8">
      <c r="A13" s="6"/>
      <c r="B13" s="4"/>
      <c r="C13" s="3"/>
      <c r="D13" s="4"/>
      <c r="E13" s="3"/>
      <c r="F13" s="4"/>
      <c r="G13" s="3"/>
      <c r="H13" s="4"/>
    </row>
    <row r="14" spans="1:8">
      <c r="A14" s="6"/>
      <c r="B14" s="4"/>
      <c r="C14" s="3"/>
      <c r="D14" s="4"/>
      <c r="E14" s="3"/>
      <c r="F14" s="4"/>
      <c r="G14" s="3"/>
      <c r="H14" s="4"/>
    </row>
    <row r="15" spans="1:8">
      <c r="A15" s="6"/>
      <c r="B15" s="4"/>
      <c r="C15" s="3"/>
      <c r="D15" s="4"/>
      <c r="E15" s="3"/>
      <c r="F15" s="4"/>
      <c r="G15" s="3"/>
      <c r="H15" s="4"/>
    </row>
    <row r="16" spans="1:8">
      <c r="A16" s="6"/>
      <c r="B16" s="4"/>
      <c r="C16" s="3"/>
      <c r="D16" s="4"/>
      <c r="E16" s="3"/>
      <c r="F16" s="4"/>
      <c r="G16" s="3"/>
      <c r="H16" s="4"/>
    </row>
    <row r="17" spans="1:8">
      <c r="A17" s="6"/>
      <c r="B17" s="4"/>
      <c r="C17" s="3"/>
      <c r="D17" s="4"/>
      <c r="E17" s="3"/>
      <c r="F17" s="4"/>
      <c r="G17" s="3"/>
      <c r="H17" s="4"/>
    </row>
    <row r="18" spans="1:8">
      <c r="A18" s="6"/>
      <c r="B18" s="4"/>
      <c r="C18" s="3"/>
      <c r="D18" s="4"/>
      <c r="E18" s="3"/>
      <c r="F18" s="4"/>
      <c r="G18" s="3"/>
      <c r="H18" s="4"/>
    </row>
    <row r="19" spans="1:8">
      <c r="A19" s="6"/>
      <c r="B19" s="4"/>
      <c r="C19" s="3"/>
      <c r="D19" s="4"/>
      <c r="E19" s="3"/>
      <c r="F19" s="4"/>
      <c r="G19" s="3"/>
      <c r="H19" s="4"/>
    </row>
    <row r="20" spans="1:8">
      <c r="A20" s="6"/>
      <c r="B20" s="4"/>
      <c r="C20" s="3"/>
      <c r="D20" s="4"/>
      <c r="E20" s="3"/>
      <c r="F20" s="4"/>
      <c r="G20" s="3"/>
      <c r="H20" s="4"/>
    </row>
    <row r="21" spans="1:8">
      <c r="A21" s="6"/>
      <c r="B21" s="4"/>
      <c r="C21" s="3"/>
      <c r="D21" s="4"/>
      <c r="E21" s="3"/>
      <c r="F21" s="4"/>
      <c r="G21" s="3"/>
      <c r="H21" s="4"/>
    </row>
    <row r="22" spans="1:8">
      <c r="A22" s="6"/>
      <c r="B22" s="4"/>
      <c r="C22" s="3"/>
      <c r="D22" s="4"/>
      <c r="E22" s="3"/>
      <c r="F22" s="4"/>
      <c r="G22" s="3"/>
      <c r="H22" s="4"/>
    </row>
    <row r="23" spans="1:8">
      <c r="A23" s="6"/>
      <c r="B23" s="4"/>
      <c r="C23" s="3"/>
      <c r="D23" s="4"/>
      <c r="E23" s="3"/>
      <c r="F23" s="4"/>
      <c r="G23" s="3"/>
      <c r="H23" s="4"/>
    </row>
    <row r="24" spans="1:8">
      <c r="A24" s="6"/>
      <c r="B24" s="4"/>
      <c r="C24" s="3"/>
      <c r="D24" s="4"/>
      <c r="E24" s="3"/>
      <c r="F24" s="4"/>
      <c r="G24" s="3"/>
      <c r="H24" s="4"/>
    </row>
    <row r="25" spans="1:8">
      <c r="A25" s="6"/>
      <c r="B25" s="4"/>
      <c r="C25" s="3"/>
      <c r="D25" s="4"/>
      <c r="E25" s="3"/>
      <c r="F25" s="4"/>
      <c r="G25" s="3"/>
      <c r="H25" s="4"/>
    </row>
    <row r="26" spans="1:8" ht="15" thickBot="1">
      <c r="A26" s="7"/>
      <c r="B26" s="5"/>
      <c r="C26" s="8"/>
      <c r="D26" s="5"/>
      <c r="E26" s="8"/>
      <c r="F26" s="5"/>
      <c r="G26" s="8"/>
      <c r="H26" s="5"/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0">
    <tabColor rgb="FFFF0000"/>
  </sheetPr>
  <dimension ref="A1:C72"/>
  <sheetViews>
    <sheetView workbookViewId="0">
      <selection activeCell="H13" sqref="H13"/>
    </sheetView>
  </sheetViews>
  <sheetFormatPr defaultRowHeight="14.4"/>
  <cols>
    <col min="1" max="1" width="17" style="15" bestFit="1" customWidth="1"/>
    <col min="2" max="2" width="55" style="16" customWidth="1"/>
    <col min="3" max="3" width="10.6640625" style="15" bestFit="1" customWidth="1"/>
  </cols>
  <sheetData>
    <row r="1" spans="1:3">
      <c r="A1" s="12" t="s">
        <v>37</v>
      </c>
      <c r="B1" s="14" t="s">
        <v>38</v>
      </c>
      <c r="C1" s="13" t="s">
        <v>35</v>
      </c>
    </row>
    <row r="2" spans="1:3">
      <c r="A2" s="158" t="s">
        <v>42</v>
      </c>
      <c r="B2" s="16" t="s">
        <v>41</v>
      </c>
      <c r="C2" s="20" t="s">
        <v>40</v>
      </c>
    </row>
    <row r="3" spans="1:3" ht="28.8">
      <c r="A3" s="159"/>
      <c r="B3" s="16" t="s">
        <v>39</v>
      </c>
      <c r="C3" s="20" t="s">
        <v>40</v>
      </c>
    </row>
    <row r="4" spans="1:3" ht="43.2">
      <c r="A4" s="158" t="s">
        <v>44</v>
      </c>
      <c r="B4" s="16" t="s">
        <v>43</v>
      </c>
      <c r="C4" s="21">
        <v>41337</v>
      </c>
    </row>
    <row r="5" spans="1:3" ht="43.2">
      <c r="A5" s="159"/>
      <c r="B5" s="16" t="s">
        <v>45</v>
      </c>
      <c r="C5" s="21">
        <v>41337</v>
      </c>
    </row>
    <row r="6" spans="1:3" ht="57.6">
      <c r="A6" s="158" t="s">
        <v>46</v>
      </c>
      <c r="B6" s="16" t="s">
        <v>50</v>
      </c>
      <c r="C6" s="15" t="s">
        <v>52</v>
      </c>
    </row>
    <row r="7" spans="1:3" ht="28.8">
      <c r="A7" s="160"/>
      <c r="B7" s="19" t="s">
        <v>49</v>
      </c>
      <c r="C7" s="15" t="s">
        <v>52</v>
      </c>
    </row>
    <row r="8" spans="1:3" ht="57.6">
      <c r="A8" s="160"/>
      <c r="B8" s="19" t="s">
        <v>51</v>
      </c>
      <c r="C8" s="15" t="s">
        <v>52</v>
      </c>
    </row>
    <row r="9" spans="1:3" ht="43.2">
      <c r="A9" s="160"/>
      <c r="B9" s="16" t="s">
        <v>47</v>
      </c>
      <c r="C9" s="15" t="s">
        <v>52</v>
      </c>
    </row>
    <row r="10" spans="1:3" ht="43.2">
      <c r="A10" s="159"/>
      <c r="B10" s="16" t="s">
        <v>48</v>
      </c>
      <c r="C10" s="15" t="s">
        <v>52</v>
      </c>
    </row>
    <row r="11" spans="1:3" ht="43.2">
      <c r="A11" s="158" t="s">
        <v>61</v>
      </c>
      <c r="B11" s="16" t="s">
        <v>53</v>
      </c>
      <c r="C11" s="21">
        <v>41515</v>
      </c>
    </row>
    <row r="12" spans="1:3" ht="43.2">
      <c r="A12" s="160"/>
      <c r="B12" s="16" t="s">
        <v>54</v>
      </c>
      <c r="C12" s="21">
        <v>41515</v>
      </c>
    </row>
    <row r="13" spans="1:3" ht="43.2">
      <c r="A13" s="160"/>
      <c r="B13" s="16" t="s">
        <v>55</v>
      </c>
      <c r="C13" s="21">
        <v>41515</v>
      </c>
    </row>
    <row r="14" spans="1:3" ht="43.2">
      <c r="A14" s="160"/>
      <c r="B14" s="16" t="s">
        <v>56</v>
      </c>
      <c r="C14" s="21">
        <v>41515</v>
      </c>
    </row>
    <row r="15" spans="1:3" ht="43.2">
      <c r="A15" s="160"/>
      <c r="B15" s="16" t="s">
        <v>57</v>
      </c>
      <c r="C15" s="21">
        <v>41515</v>
      </c>
    </row>
    <row r="16" spans="1:3" ht="43.2">
      <c r="A16" s="160"/>
      <c r="B16" s="16" t="s">
        <v>58</v>
      </c>
      <c r="C16" s="21">
        <v>41515</v>
      </c>
    </row>
    <row r="17" spans="1:3" ht="43.2">
      <c r="A17" s="160"/>
      <c r="B17" s="16" t="s">
        <v>59</v>
      </c>
      <c r="C17" s="21">
        <v>41520</v>
      </c>
    </row>
    <row r="18" spans="1:3" ht="43.2">
      <c r="A18" s="159"/>
      <c r="B18" s="16" t="s">
        <v>60</v>
      </c>
      <c r="C18" s="21">
        <v>41520</v>
      </c>
    </row>
    <row r="19" spans="1:3" ht="57.6">
      <c r="A19" s="158" t="s">
        <v>62</v>
      </c>
      <c r="B19" s="16" t="s">
        <v>65</v>
      </c>
      <c r="C19" s="21">
        <v>41541</v>
      </c>
    </row>
    <row r="20" spans="1:3" ht="57.6">
      <c r="A20" s="160"/>
      <c r="B20" s="16" t="s">
        <v>64</v>
      </c>
      <c r="C20" s="22">
        <v>41541</v>
      </c>
    </row>
    <row r="21" spans="1:3" ht="28.8">
      <c r="A21" s="160"/>
      <c r="B21" s="19" t="s">
        <v>67</v>
      </c>
      <c r="C21" s="22">
        <v>41541</v>
      </c>
    </row>
    <row r="22" spans="1:3" ht="43.2">
      <c r="A22" s="160"/>
      <c r="B22" s="16" t="s">
        <v>63</v>
      </c>
      <c r="C22" s="22">
        <v>41541</v>
      </c>
    </row>
    <row r="23" spans="1:3" ht="28.8">
      <c r="A23" s="159"/>
      <c r="B23" s="16" t="s">
        <v>66</v>
      </c>
      <c r="C23" s="22">
        <v>41541</v>
      </c>
    </row>
    <row r="24" spans="1:3" ht="43.2">
      <c r="B24" s="16" t="s">
        <v>82</v>
      </c>
      <c r="C24" s="21">
        <v>42872</v>
      </c>
    </row>
    <row r="25" spans="1:3" ht="43.2">
      <c r="B25" s="16" t="s">
        <v>83</v>
      </c>
      <c r="C25" s="21">
        <v>42872</v>
      </c>
    </row>
    <row r="26" spans="1:3" ht="28.8">
      <c r="B26" s="16" t="s">
        <v>101</v>
      </c>
      <c r="C26" s="21">
        <v>43705</v>
      </c>
    </row>
    <row r="27" spans="1:3" ht="43.2">
      <c r="B27" s="16" t="s">
        <v>104</v>
      </c>
      <c r="C27" s="21">
        <v>43705</v>
      </c>
    </row>
    <row r="28" spans="1:3" ht="43.2">
      <c r="B28" s="16" t="s">
        <v>105</v>
      </c>
      <c r="C28" s="21">
        <v>43705</v>
      </c>
    </row>
    <row r="29" spans="1:3" ht="43.2">
      <c r="B29" s="16" t="s">
        <v>107</v>
      </c>
      <c r="C29" s="21">
        <v>43705</v>
      </c>
    </row>
    <row r="30" spans="1:3" ht="43.2">
      <c r="B30" s="16" t="s">
        <v>108</v>
      </c>
      <c r="C30" s="21">
        <v>43705</v>
      </c>
    </row>
    <row r="31" spans="1:3" ht="43.2">
      <c r="B31" s="16" t="s">
        <v>109</v>
      </c>
      <c r="C31" s="21">
        <v>43705</v>
      </c>
    </row>
    <row r="32" spans="1:3" ht="43.2">
      <c r="B32" s="16" t="s">
        <v>110</v>
      </c>
      <c r="C32" s="21">
        <v>43705</v>
      </c>
    </row>
    <row r="33" spans="2:3" ht="43.2">
      <c r="B33" s="16" t="s">
        <v>111</v>
      </c>
      <c r="C33" s="21">
        <v>43705</v>
      </c>
    </row>
    <row r="34" spans="2:3" ht="43.2">
      <c r="B34" s="16" t="s">
        <v>112</v>
      </c>
      <c r="C34" s="21">
        <v>43705</v>
      </c>
    </row>
    <row r="35" spans="2:3" ht="43.2">
      <c r="B35" s="16" t="s">
        <v>113</v>
      </c>
      <c r="C35" s="21">
        <v>43705</v>
      </c>
    </row>
    <row r="36" spans="2:3" ht="43.2">
      <c r="B36" s="16" t="s">
        <v>114</v>
      </c>
      <c r="C36" s="21">
        <v>43705</v>
      </c>
    </row>
    <row r="37" spans="2:3" ht="43.2">
      <c r="B37" s="16" t="s">
        <v>128</v>
      </c>
      <c r="C37" s="21">
        <v>43807</v>
      </c>
    </row>
    <row r="38" spans="2:3" ht="43.2">
      <c r="B38" s="16" t="s">
        <v>131</v>
      </c>
      <c r="C38" s="21">
        <v>43807</v>
      </c>
    </row>
    <row r="39" spans="2:3" ht="43.2">
      <c r="B39" s="16" t="s">
        <v>132</v>
      </c>
      <c r="C39" s="21">
        <v>43807</v>
      </c>
    </row>
    <row r="40" spans="2:3" ht="43.2">
      <c r="B40" s="16" t="s">
        <v>131</v>
      </c>
      <c r="C40" s="21">
        <v>43807</v>
      </c>
    </row>
    <row r="41" spans="2:3" ht="43.2">
      <c r="B41" s="16" t="s">
        <v>133</v>
      </c>
      <c r="C41" s="21">
        <v>43807</v>
      </c>
    </row>
    <row r="42" spans="2:3" ht="43.2">
      <c r="B42" s="16" t="s">
        <v>139</v>
      </c>
      <c r="C42" s="21">
        <v>43807</v>
      </c>
    </row>
    <row r="43" spans="2:3" ht="43.2">
      <c r="B43" s="16" t="s">
        <v>216</v>
      </c>
      <c r="C43" s="21">
        <v>43807</v>
      </c>
    </row>
    <row r="44" spans="2:3" ht="43.2">
      <c r="B44" s="16" t="s">
        <v>217</v>
      </c>
      <c r="C44" s="21">
        <v>43807</v>
      </c>
    </row>
    <row r="45" spans="2:3" ht="43.2">
      <c r="B45" s="16" t="s">
        <v>218</v>
      </c>
      <c r="C45" s="21">
        <v>43807</v>
      </c>
    </row>
    <row r="46" spans="2:3" ht="43.2">
      <c r="B46" s="16" t="s">
        <v>221</v>
      </c>
      <c r="C46" s="21">
        <v>43809</v>
      </c>
    </row>
    <row r="47" spans="2:3" ht="43.2">
      <c r="B47" s="16" t="s">
        <v>222</v>
      </c>
      <c r="C47" s="21">
        <v>43809</v>
      </c>
    </row>
    <row r="48" spans="2:3" ht="43.2">
      <c r="B48" s="16" t="s">
        <v>223</v>
      </c>
      <c r="C48" s="21">
        <v>43809</v>
      </c>
    </row>
    <row r="49" spans="2:3" ht="43.2">
      <c r="B49" s="16" t="s">
        <v>224</v>
      </c>
      <c r="C49" s="21">
        <v>43809</v>
      </c>
    </row>
    <row r="50" spans="2:3" ht="43.2">
      <c r="B50" s="16" t="s">
        <v>225</v>
      </c>
      <c r="C50" s="21">
        <v>43809</v>
      </c>
    </row>
    <row r="51" spans="2:3" ht="43.2">
      <c r="B51" s="16" t="s">
        <v>226</v>
      </c>
      <c r="C51" s="21">
        <v>43809</v>
      </c>
    </row>
    <row r="52" spans="2:3" ht="43.2">
      <c r="B52" s="16" t="s">
        <v>227</v>
      </c>
      <c r="C52" s="21">
        <v>43809</v>
      </c>
    </row>
    <row r="53" spans="2:3" ht="43.2">
      <c r="B53" s="16" t="s">
        <v>228</v>
      </c>
      <c r="C53" s="21">
        <v>43809</v>
      </c>
    </row>
    <row r="54" spans="2:3" ht="43.2">
      <c r="B54" s="16" t="s">
        <v>229</v>
      </c>
      <c r="C54" s="21">
        <v>43809</v>
      </c>
    </row>
    <row r="55" spans="2:3" ht="43.2">
      <c r="B55" s="16" t="s">
        <v>230</v>
      </c>
      <c r="C55" s="21">
        <v>43809</v>
      </c>
    </row>
    <row r="56" spans="2:3" ht="43.2">
      <c r="B56" s="16" t="s">
        <v>231</v>
      </c>
      <c r="C56" s="21">
        <v>43809</v>
      </c>
    </row>
    <row r="57" spans="2:3" ht="43.2">
      <c r="B57" s="16" t="s">
        <v>232</v>
      </c>
      <c r="C57" s="21">
        <v>43809</v>
      </c>
    </row>
    <row r="58" spans="2:3" ht="43.2">
      <c r="B58" s="16" t="s">
        <v>233</v>
      </c>
      <c r="C58" s="21">
        <v>43809</v>
      </c>
    </row>
    <row r="59" spans="2:3" ht="43.2">
      <c r="B59" s="16" t="s">
        <v>234</v>
      </c>
      <c r="C59" s="21">
        <v>43809</v>
      </c>
    </row>
    <row r="60" spans="2:3" ht="43.2">
      <c r="B60" s="16" t="s">
        <v>235</v>
      </c>
      <c r="C60" s="21">
        <v>43809</v>
      </c>
    </row>
    <row r="61" spans="2:3" ht="43.2">
      <c r="B61" s="16" t="s">
        <v>236</v>
      </c>
      <c r="C61" s="21">
        <v>43809</v>
      </c>
    </row>
    <row r="62" spans="2:3" ht="43.2">
      <c r="B62" s="16" t="s">
        <v>237</v>
      </c>
      <c r="C62" s="21">
        <v>43809</v>
      </c>
    </row>
    <row r="63" spans="2:3" ht="43.2">
      <c r="B63" s="16" t="s">
        <v>238</v>
      </c>
      <c r="C63" s="21">
        <v>43809</v>
      </c>
    </row>
    <row r="64" spans="2:3" ht="43.2">
      <c r="B64" s="16" t="s">
        <v>239</v>
      </c>
      <c r="C64" s="21">
        <v>43809</v>
      </c>
    </row>
    <row r="65" spans="2:3" ht="43.2">
      <c r="B65" s="16" t="s">
        <v>240</v>
      </c>
      <c r="C65" s="21">
        <v>43809</v>
      </c>
    </row>
    <row r="66" spans="2:3" ht="43.2">
      <c r="B66" s="16" t="s">
        <v>241</v>
      </c>
      <c r="C66" s="21">
        <v>43811</v>
      </c>
    </row>
    <row r="67" spans="2:3" ht="43.2">
      <c r="B67" s="16" t="s">
        <v>242</v>
      </c>
      <c r="C67" s="21">
        <v>43811</v>
      </c>
    </row>
    <row r="68" spans="2:3" ht="43.2">
      <c r="B68" s="16" t="s">
        <v>243</v>
      </c>
      <c r="C68" s="21">
        <v>43811</v>
      </c>
    </row>
    <row r="69" spans="2:3" ht="43.2">
      <c r="B69" s="16" t="s">
        <v>244</v>
      </c>
      <c r="C69" s="21">
        <v>43811</v>
      </c>
    </row>
    <row r="70" spans="2:3" ht="43.2">
      <c r="B70" s="16" t="s">
        <v>246</v>
      </c>
      <c r="C70" s="21">
        <v>43811</v>
      </c>
    </row>
    <row r="71" spans="2:3" ht="43.2">
      <c r="B71" s="16" t="s">
        <v>247</v>
      </c>
      <c r="C71" s="21">
        <v>43835</v>
      </c>
    </row>
    <row r="72" spans="2:3" ht="43.2">
      <c r="B72" s="16" t="s">
        <v>248</v>
      </c>
      <c r="C72" s="21">
        <v>43835</v>
      </c>
    </row>
  </sheetData>
  <mergeCells count="5">
    <mergeCell ref="A2:A3"/>
    <mergeCell ref="A4:A5"/>
    <mergeCell ref="A6:A10"/>
    <mergeCell ref="A11:A18"/>
    <mergeCell ref="A19:A23"/>
  </mergeCells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843C0F9E50B914A96F8D271432EBC33" ma:contentTypeVersion="0" ma:contentTypeDescription="Create a new document." ma:contentTypeScope="" ma:versionID="5e835c43eb47666319830cdb216a144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tns:customPropertyEditors xmlns:tns="http://schemas.microsoft.com/office/2006/customDocumentInformationPanel">
  <tns:showOnOpen>false</tns:showOnOpen>
  <tns:defaultPropertyEditorNamespace>Standard and SharePoint library properties</tns:defaultPropertyEditorNamespace>
</tns:customPropertyEditors>
</file>

<file path=customXml/itemProps1.xml><?xml version="1.0" encoding="utf-8"?>
<ds:datastoreItem xmlns:ds="http://schemas.openxmlformats.org/officeDocument/2006/customXml" ds:itemID="{8B4EE478-C465-497B-9ECD-59BED90515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6FEDBEE-D3F8-4B1A-80EF-A24D04DB9439}">
  <ds:schemaRefs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E56C059C-0B93-40BB-9822-6178BB3A15BC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2DD03405-03D1-40B4-9D2C-BC29A5D25E3C}">
  <ds:schemaRefs>
    <ds:schemaRef ds:uri="http://schemas.microsoft.com/office/2006/customDocumentInformationPan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ADPLL_Config</vt:lpstr>
      <vt:lpstr>Sheet1</vt:lpstr>
      <vt:lpstr>Sheet3</vt:lpstr>
      <vt:lpstr>Sheet2</vt:lpstr>
      <vt:lpstr>lists</vt:lpstr>
      <vt:lpstr>rel-notes</vt:lpstr>
      <vt:lpstr>BLOCK_NAMES</vt:lpstr>
      <vt:lpstr>BOOLEAN</vt:lpstr>
      <vt:lpstr>DEFAULT_TYPE</vt:lpstr>
      <vt:lpstr>hw_type</vt:lpstr>
      <vt:lpstr>hwclr</vt:lpstr>
      <vt:lpstr>hwtype</vt:lpstr>
      <vt:lpstr>REG_TYPE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Yom Tov, Chanan</dc:creator>
  <cp:keywords>CTPClassification=CTP_IC:VisualMarkings=, CTPClassification=CTP_IC</cp:keywords>
  <cp:lastModifiedBy>Kovshov, Marina</cp:lastModifiedBy>
  <dcterms:created xsi:type="dcterms:W3CDTF">2011-12-18T09:45:58Z</dcterms:created>
  <dcterms:modified xsi:type="dcterms:W3CDTF">2021-02-18T08:07:39Z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25617fb0-2588-47b3-b932-27bb06d1ea23</vt:lpwstr>
  </property>
  <property fmtid="{D5CDD505-2E9C-101B-9397-08002B2CF9AE}" pid="3" name="CTP_BU">
    <vt:lpwstr>MIXED SIGNAL IP SOL GROUP</vt:lpwstr>
  </property>
  <property fmtid="{D5CDD505-2E9C-101B-9397-08002B2CF9AE}" pid="4" name="CTP_TimeStamp">
    <vt:lpwstr>2020-07-23 13:51:51Z</vt:lpwstr>
  </property>
  <property fmtid="{D5CDD505-2E9C-101B-9397-08002B2CF9AE}" pid="5" name="ContentTypeId">
    <vt:lpwstr>0x010100A843C0F9E50B914A96F8D271432EBC33</vt:lpwstr>
  </property>
  <property fmtid="{D5CDD505-2E9C-101B-9397-08002B2CF9AE}" pid="6" name="CTPClassification">
    <vt:lpwstr>CTP_IC</vt:lpwstr>
  </property>
  <property fmtid="{D5CDD505-2E9C-101B-9397-08002B2CF9AE}" pid="7" name="MSIP_Label_9aa06179-68b3-4e2b-b09b-a2424735516b_Enabled">
    <vt:lpwstr>True</vt:lpwstr>
  </property>
  <property fmtid="{D5CDD505-2E9C-101B-9397-08002B2CF9AE}" pid="8" name="MSIP_Label_9aa06179-68b3-4e2b-b09b-a2424735516b_SiteId">
    <vt:lpwstr>46c98d88-e344-4ed4-8496-4ed7712e255d</vt:lpwstr>
  </property>
  <property fmtid="{D5CDD505-2E9C-101B-9397-08002B2CF9AE}" pid="9" name="MSIP_Label_9aa06179-68b3-4e2b-b09b-a2424735516b_Owner">
    <vt:lpwstr>yehuda.berkovitz@intel.com</vt:lpwstr>
  </property>
  <property fmtid="{D5CDD505-2E9C-101B-9397-08002B2CF9AE}" pid="10" name="MSIP_Label_9aa06179-68b3-4e2b-b09b-a2424735516b_SetDate">
    <vt:lpwstr>2020-08-27T11:48:05.6180557Z</vt:lpwstr>
  </property>
  <property fmtid="{D5CDD505-2E9C-101B-9397-08002B2CF9AE}" pid="11" name="MSIP_Label_9aa06179-68b3-4e2b-b09b-a2424735516b_Name">
    <vt:lpwstr>Intel Confidential</vt:lpwstr>
  </property>
  <property fmtid="{D5CDD505-2E9C-101B-9397-08002B2CF9AE}" pid="12" name="MSIP_Label_9aa06179-68b3-4e2b-b09b-a2424735516b_Application">
    <vt:lpwstr>Microsoft Azure Information Protection</vt:lpwstr>
  </property>
  <property fmtid="{D5CDD505-2E9C-101B-9397-08002B2CF9AE}" pid="13" name="MSIP_Label_9aa06179-68b3-4e2b-b09b-a2424735516b_ActionId">
    <vt:lpwstr>e756b2db-52be-409d-af9e-5c674b79472c</vt:lpwstr>
  </property>
  <property fmtid="{D5CDD505-2E9C-101B-9397-08002B2CF9AE}" pid="14" name="MSIP_Label_9aa06179-68b3-4e2b-b09b-a2424735516b_Extended_MSFT_Method">
    <vt:lpwstr>Automatic</vt:lpwstr>
  </property>
  <property fmtid="{D5CDD505-2E9C-101B-9397-08002B2CF9AE}" pid="15" name="Sensitivity">
    <vt:lpwstr>Intel Confidential</vt:lpwstr>
  </property>
</Properties>
</file>