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kovshov\OneDrive - Intel Corporation\Desktop\soconline\1p1\"/>
    </mc:Choice>
  </mc:AlternateContent>
  <xr:revisionPtr revIDLastSave="16" documentId="13_ncr:1_{2383DB13-55DE-46D8-95C5-C96ADCA56D42}" xr6:coauthVersionLast="45" xr6:coauthVersionMax="45" xr10:uidLastSave="{34963771-9A5F-4F52-8A2D-4541D056A605}"/>
  <bookViews>
    <workbookView xWindow="-108" yWindow="-108" windowWidth="23256" windowHeight="12576" xr2:uid="{00000000-000D-0000-FFFF-FFFF00000000}"/>
  </bookViews>
  <sheets>
    <sheet name="SERDES_LANE_ANA_RX1" sheetId="1" r:id="rId1"/>
    <sheet name="Sheet2" sheetId="2" state="hidden" r:id="rId2"/>
    <sheet name="lists" sheetId="19" state="hidden" r:id="rId3"/>
  </sheets>
  <functionGroups builtInGroupCount="19"/>
  <externalReferences>
    <externalReference r:id="rId4"/>
  </externalReferences>
  <definedNames>
    <definedName name="_xlnm._FilterDatabase" localSheetId="0" hidden="1">SERDES_LANE_ANA_RX1!$A$1:$L$11</definedName>
    <definedName name="BLOCK_NAMES">Sheet2!$A$10:$A$14</definedName>
    <definedName name="BOOLEAN">Sheet2!$H$10:$H$11</definedName>
    <definedName name="default">[1]List!$J$1:$J$5</definedName>
    <definedName name="DEFAULT_TYPE" comment="types for defining registers defaults.">lists!$B$2:$B$26</definedName>
    <definedName name="hw_type">Sheet2!$D$10:$D$12</definedName>
    <definedName name="hwclr">Sheet2!$D$10:$D$11</definedName>
    <definedName name="hwtype">Sheet2!$D$10:$D$11</definedName>
    <definedName name="REG_TYPE">lists!$A$2:$A$26</definedName>
  </definedNames>
  <calcPr calcId="191029"/>
  <customWorkbookViews>
    <customWorkbookView name="Virobnik, Udi - Personal View" guid="{2BBBE5B5-B14C-4BF7-9B95-9EEB3666FF3B}" mergeInterval="0" personalView="1" maximized="1" windowWidth="1920" windowHeight="855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0" i="1" l="1"/>
  <c r="Q119" i="1"/>
  <c r="M119" i="1"/>
  <c r="E118" i="1"/>
  <c r="Q117" i="1"/>
  <c r="M117" i="1"/>
  <c r="E116" i="1"/>
  <c r="Q115" i="1"/>
  <c r="M115" i="1"/>
  <c r="E114" i="1"/>
  <c r="Q113" i="1"/>
  <c r="M113" i="1"/>
  <c r="E112" i="1"/>
  <c r="Q111" i="1"/>
  <c r="M111" i="1"/>
  <c r="E110" i="1"/>
  <c r="Q109" i="1"/>
  <c r="M109" i="1"/>
  <c r="E108" i="1"/>
  <c r="Q107" i="1"/>
  <c r="M107" i="1"/>
  <c r="E106" i="1"/>
  <c r="Q105" i="1"/>
  <c r="M105" i="1"/>
  <c r="E104" i="1"/>
  <c r="Q103" i="1"/>
  <c r="M103" i="1"/>
  <c r="E102" i="1"/>
  <c r="Q101" i="1"/>
  <c r="M101" i="1"/>
  <c r="E100" i="1"/>
  <c r="Q99" i="1"/>
  <c r="M99" i="1"/>
  <c r="E98" i="1"/>
  <c r="Q97" i="1"/>
  <c r="M97" i="1"/>
  <c r="E96" i="1"/>
  <c r="Q95" i="1"/>
  <c r="M95" i="1"/>
  <c r="E94" i="1"/>
  <c r="Q93" i="1"/>
  <c r="M93" i="1"/>
  <c r="D107" i="1"/>
  <c r="D97" i="1"/>
  <c r="D109" i="1"/>
  <c r="D113" i="1"/>
  <c r="D99" i="1"/>
  <c r="D101" i="1"/>
  <c r="D105" i="1"/>
  <c r="D117" i="1"/>
  <c r="J97" i="1"/>
  <c r="J109" i="1"/>
  <c r="D95" i="1"/>
  <c r="J119" i="1"/>
  <c r="J103" i="1"/>
  <c r="D103" i="1"/>
  <c r="D93" i="1"/>
  <c r="J111" i="1"/>
  <c r="J115" i="1"/>
  <c r="J113" i="1"/>
  <c r="J105" i="1"/>
  <c r="J107" i="1"/>
  <c r="J101" i="1"/>
  <c r="J117" i="1"/>
  <c r="D119" i="1"/>
  <c r="D111" i="1"/>
  <c r="J93" i="1"/>
  <c r="J95" i="1"/>
  <c r="J99" i="1"/>
  <c r="D115" i="1"/>
  <c r="R107" i="1" l="1"/>
  <c r="S109" i="1"/>
  <c r="R115" i="1"/>
  <c r="S117" i="1"/>
  <c r="R105" i="1"/>
  <c r="S107" i="1"/>
  <c r="R113" i="1"/>
  <c r="S115" i="1"/>
  <c r="S105" i="1"/>
  <c r="R111" i="1"/>
  <c r="S113" i="1"/>
  <c r="R119" i="1"/>
  <c r="R109" i="1"/>
  <c r="S111" i="1"/>
  <c r="R117" i="1"/>
  <c r="S119" i="1"/>
  <c r="R95" i="1"/>
  <c r="S97" i="1"/>
  <c r="R93" i="1"/>
  <c r="S95" i="1"/>
  <c r="R101" i="1"/>
  <c r="S103" i="1"/>
  <c r="R97" i="1"/>
  <c r="S99" i="1"/>
  <c r="R103" i="1"/>
  <c r="S93" i="1"/>
  <c r="R99" i="1"/>
  <c r="S101" i="1"/>
  <c r="E92" i="1" l="1"/>
  <c r="Q91" i="1"/>
  <c r="M91" i="1"/>
  <c r="E90" i="1"/>
  <c r="Q89" i="1"/>
  <c r="M89" i="1"/>
  <c r="E88" i="1"/>
  <c r="Q87" i="1"/>
  <c r="M87" i="1"/>
  <c r="E86" i="1"/>
  <c r="Q85" i="1"/>
  <c r="M85" i="1"/>
  <c r="E84" i="1"/>
  <c r="Q83" i="1"/>
  <c r="M83" i="1"/>
  <c r="E82" i="1"/>
  <c r="Q81" i="1"/>
  <c r="M81" i="1"/>
  <c r="J15" i="1"/>
  <c r="D87" i="1"/>
  <c r="J48" i="1"/>
  <c r="D85" i="1"/>
  <c r="J69" i="1"/>
  <c r="J79" i="1"/>
  <c r="J85" i="1"/>
  <c r="D91" i="1"/>
  <c r="J87" i="1"/>
  <c r="J56" i="1"/>
  <c r="J26" i="1"/>
  <c r="J60" i="1"/>
  <c r="D83" i="1"/>
  <c r="J37" i="1"/>
  <c r="J75" i="1"/>
  <c r="J89" i="1"/>
  <c r="J52" i="1"/>
  <c r="D89" i="1"/>
  <c r="J81" i="1"/>
  <c r="D81" i="1"/>
  <c r="J83" i="1"/>
  <c r="J2" i="1"/>
  <c r="J91" i="1"/>
  <c r="J77" i="1"/>
  <c r="S89" i="1" l="1"/>
  <c r="R91" i="1"/>
  <c r="R89" i="1"/>
  <c r="S91" i="1"/>
  <c r="R87" i="1"/>
  <c r="R85" i="1"/>
  <c r="S87" i="1"/>
  <c r="S85" i="1"/>
  <c r="R83" i="1"/>
  <c r="S83" i="1"/>
  <c r="R81" i="1"/>
  <c r="S81" i="1"/>
  <c r="Q79" i="1" l="1"/>
  <c r="M79" i="1"/>
  <c r="Q77" i="1"/>
  <c r="M77" i="1"/>
  <c r="Q75" i="1"/>
  <c r="M75" i="1"/>
  <c r="Q69" i="1"/>
  <c r="M69" i="1"/>
  <c r="Q60" i="1"/>
  <c r="M60" i="1"/>
  <c r="Q56" i="1"/>
  <c r="M56" i="1"/>
  <c r="Q52" i="1"/>
  <c r="M52" i="1"/>
  <c r="Q48" i="1"/>
  <c r="M48" i="1"/>
  <c r="Q37" i="1"/>
  <c r="Q26" i="1"/>
  <c r="M37" i="1"/>
  <c r="M26" i="1"/>
  <c r="Q15" i="1"/>
  <c r="M15" i="1"/>
  <c r="E80" i="1" l="1"/>
  <c r="E78" i="1"/>
  <c r="E76" i="1"/>
  <c r="E70" i="1"/>
  <c r="E61" i="1"/>
  <c r="E57" i="1"/>
  <c r="E53" i="1"/>
  <c r="E49" i="1"/>
  <c r="E38" i="1"/>
  <c r="E27" i="1"/>
  <c r="E16" i="1"/>
  <c r="E3" i="1"/>
  <c r="E54" i="1"/>
  <c r="E71" i="1"/>
  <c r="E58" i="1"/>
  <c r="D15" i="1"/>
  <c r="D26" i="1"/>
  <c r="I56" i="1"/>
  <c r="I69" i="1"/>
  <c r="D77" i="1"/>
  <c r="E17" i="1"/>
  <c r="D60" i="1"/>
  <c r="I77" i="1"/>
  <c r="D56" i="1"/>
  <c r="I48" i="1"/>
  <c r="E50" i="1"/>
  <c r="E4" i="1"/>
  <c r="I15" i="1"/>
  <c r="D52" i="1"/>
  <c r="D2" i="1"/>
  <c r="I37" i="1"/>
  <c r="E62" i="1"/>
  <c r="D75" i="1"/>
  <c r="D79" i="1"/>
  <c r="E39" i="1"/>
  <c r="I75" i="1"/>
  <c r="I60" i="1"/>
  <c r="I26" i="1"/>
  <c r="I79" i="1"/>
  <c r="D37" i="1"/>
  <c r="E28" i="1"/>
  <c r="I52" i="1"/>
  <c r="D48" i="1"/>
  <c r="D69" i="1"/>
  <c r="R79" i="1" l="1"/>
  <c r="S69" i="1"/>
  <c r="R26" i="1"/>
  <c r="R69" i="1"/>
  <c r="R52" i="1"/>
  <c r="R60" i="1"/>
  <c r="S26" i="1"/>
  <c r="R48" i="1"/>
  <c r="S48" i="1"/>
  <c r="S60" i="1"/>
  <c r="S37" i="1"/>
  <c r="R15" i="1"/>
  <c r="R75" i="1"/>
  <c r="S52" i="1"/>
  <c r="R56" i="1"/>
  <c r="R37" i="1"/>
  <c r="R77" i="1"/>
  <c r="S15" i="1"/>
  <c r="S56" i="1"/>
  <c r="S79" i="1"/>
  <c r="S75" i="1"/>
  <c r="S77" i="1"/>
  <c r="Q2" i="1"/>
  <c r="M2" i="1"/>
  <c r="E63" i="1"/>
  <c r="E40" i="1"/>
  <c r="E41" i="1" s="1"/>
  <c r="E42" i="1" s="1"/>
  <c r="E43" i="1" s="1"/>
  <c r="E44" i="1" s="1"/>
  <c r="E18" i="1"/>
  <c r="E64" i="1"/>
  <c r="E29" i="1"/>
  <c r="E55" i="1"/>
  <c r="I2" i="1"/>
  <c r="E51" i="1"/>
  <c r="E5" i="1"/>
  <c r="E59" i="1"/>
  <c r="E72" i="1"/>
  <c r="S2" i="1" l="1"/>
  <c r="R2" i="1"/>
  <c r="E30" i="1"/>
  <c r="E19" i="1"/>
  <c r="E45" i="1"/>
  <c r="E20" i="1"/>
  <c r="E6" i="1"/>
  <c r="E73" i="1"/>
  <c r="E21" i="1"/>
  <c r="E65" i="1"/>
  <c r="E7" i="1"/>
  <c r="E8" i="1" s="1"/>
  <c r="E22" i="1"/>
  <c r="E66" i="1"/>
  <c r="E67" i="1" s="1"/>
  <c r="E68" i="1"/>
  <c r="E9" i="1"/>
  <c r="E10" i="1" s="1"/>
  <c r="E11" i="1" l="1"/>
  <c r="E12" i="1" s="1"/>
  <c r="E31" i="1"/>
  <c r="E23" i="1"/>
  <c r="E24" i="1" s="1"/>
  <c r="E74" i="1"/>
  <c r="E46" i="1"/>
  <c r="E47" i="1" l="1"/>
  <c r="E25" i="1"/>
  <c r="E13" i="1"/>
  <c r="E32" i="1"/>
  <c r="E33" i="1" l="1"/>
  <c r="E14" i="1"/>
  <c r="E34" i="1" l="1"/>
  <c r="E35" i="1" l="1"/>
  <c r="E36" i="1" l="1"/>
</calcChain>
</file>

<file path=xl/sharedStrings.xml><?xml version="1.0" encoding="utf-8"?>
<sst xmlns="http://schemas.openxmlformats.org/spreadsheetml/2006/main" count="952" uniqueCount="225">
  <si>
    <t>Field Name</t>
  </si>
  <si>
    <t>Width</t>
  </si>
  <si>
    <t>Bits</t>
  </si>
  <si>
    <t>Description</t>
  </si>
  <si>
    <t>Need to latch for at-speed scan?</t>
  </si>
  <si>
    <t>COMMON</t>
  </si>
  <si>
    <t>NO</t>
  </si>
  <si>
    <t>1'b0</t>
  </si>
  <si>
    <t>YES</t>
  </si>
  <si>
    <t>FFDIV</t>
  </si>
  <si>
    <t>DEBUF</t>
  </si>
  <si>
    <t>HEX2DEC</t>
  </si>
  <si>
    <t>DEC2HEX</t>
  </si>
  <si>
    <t>PULSE</t>
  </si>
  <si>
    <t>SEBUF</t>
  </si>
  <si>
    <t>wr</t>
  </si>
  <si>
    <t>r</t>
  </si>
  <si>
    <t>hw type</t>
  </si>
  <si>
    <t>hwclr</t>
  </si>
  <si>
    <t>we</t>
  </si>
  <si>
    <t>PHMOD</t>
  </si>
  <si>
    <t>Reg Offset</t>
  </si>
  <si>
    <t>CMU</t>
  </si>
  <si>
    <t>default type</t>
  </si>
  <si>
    <t>Reg Type</t>
  </si>
  <si>
    <t>WR</t>
  </si>
  <si>
    <t>RO</t>
  </si>
  <si>
    <t>REG_TYPE</t>
  </si>
  <si>
    <t>DEFAULT_TYPE</t>
  </si>
  <si>
    <t>soft strap</t>
  </si>
  <si>
    <t>default</t>
  </si>
  <si>
    <t>strap</t>
  </si>
  <si>
    <t>fuse</t>
  </si>
  <si>
    <t>Reg Name</t>
  </si>
  <si>
    <t>Sus Well</t>
  </si>
  <si>
    <t>Default</t>
  </si>
  <si>
    <t>RW</t>
  </si>
  <si>
    <t>Reg Soconline Offset</t>
  </si>
  <si>
    <t>user define</t>
  </si>
  <si>
    <t xml:space="preserve">Domain </t>
  </si>
  <si>
    <t>decoder pin</t>
  </si>
  <si>
    <t>SA ADDRESS</t>
  </si>
  <si>
    <t>Reset value</t>
  </si>
  <si>
    <t>NVM_value</t>
  </si>
  <si>
    <t>Reset_value</t>
  </si>
  <si>
    <t>Reset Value(HEX)</t>
  </si>
  <si>
    <t>NVM Value(HEX)</t>
  </si>
  <si>
    <t>NVM value</t>
  </si>
  <si>
    <t>afe_inp_rtrm_slc</t>
  </si>
  <si>
    <t>rtrm_monen</t>
  </si>
  <si>
    <t>20'b0</t>
  </si>
  <si>
    <t>odac_en</t>
  </si>
  <si>
    <t>odac_range</t>
  </si>
  <si>
    <t>afe_st1_config</t>
  </si>
  <si>
    <t>afe_st2_config</t>
  </si>
  <si>
    <t>afe_st3_config</t>
  </si>
  <si>
    <t>32'b0</t>
  </si>
  <si>
    <t>4'b0111</t>
  </si>
  <si>
    <t>1'b1</t>
  </si>
  <si>
    <t>afe_misc</t>
  </si>
  <si>
    <t>rtrm_spare</t>
  </si>
  <si>
    <t>rtrm_vcmlddr_en</t>
  </si>
  <si>
    <t>rtrm_vcmlddr</t>
  </si>
  <si>
    <t>rtrm_fbk</t>
  </si>
  <si>
    <t>rtrm_en</t>
  </si>
  <si>
    <t>rtrm_vpoff</t>
  </si>
  <si>
    <t>rtrm_vpon</t>
  </si>
  <si>
    <t>rtrm_vnoff</t>
  </si>
  <si>
    <t>rtrm_vnon</t>
  </si>
  <si>
    <t>rtrm_gry</t>
  </si>
  <si>
    <t>rtrm_bin</t>
  </si>
  <si>
    <t>st1_bin_ivcm_n</t>
  </si>
  <si>
    <t>st1_bin_ivcm_p</t>
  </si>
  <si>
    <t>st1_diode_tune</t>
  </si>
  <si>
    <t>st1_en_cmbuf</t>
  </si>
  <si>
    <t>st1_en_mon</t>
  </si>
  <si>
    <t>st1_gry_rload</t>
  </si>
  <si>
    <t>st1_swcapn_gray</t>
  </si>
  <si>
    <t>st1_swcapp_gray</t>
  </si>
  <si>
    <t>st1_swresn_gray</t>
  </si>
  <si>
    <t>st1_swresp_gray</t>
  </si>
  <si>
    <t>st2_spare</t>
  </si>
  <si>
    <t>st2_bin_ivcm_n</t>
  </si>
  <si>
    <t>st2_bin_ivcm_p</t>
  </si>
  <si>
    <t>st2_bin_rload</t>
  </si>
  <si>
    <t>st2_diode_tune</t>
  </si>
  <si>
    <t>st2_en_cmbuf</t>
  </si>
  <si>
    <t>st2_en_mon</t>
  </si>
  <si>
    <t>st2_gry_gain_n</t>
  </si>
  <si>
    <t>st2_gry_gain_p</t>
  </si>
  <si>
    <t>st3_spare</t>
  </si>
  <si>
    <t>st3_bin_ivcm_n</t>
  </si>
  <si>
    <t>st3_bin_ivcm_p</t>
  </si>
  <si>
    <t>st3_bin_rload</t>
  </si>
  <si>
    <t>st3_diode_tune</t>
  </si>
  <si>
    <t>st3_en_cmbuf</t>
  </si>
  <si>
    <t>st3_en_mon</t>
  </si>
  <si>
    <t>st3_gry_gain_n</t>
  </si>
  <si>
    <t>st3_gry_gain_p</t>
  </si>
  <si>
    <t>afe_st1_odac</t>
  </si>
  <si>
    <t>st1_odac_spare</t>
  </si>
  <si>
    <t>st1_odac_gry</t>
  </si>
  <si>
    <t>st2_odac_spare</t>
  </si>
  <si>
    <t>st2_odac_gry</t>
  </si>
  <si>
    <t>afe_st2_odac</t>
  </si>
  <si>
    <t>st3_odac_spare</t>
  </si>
  <si>
    <t>st3_odac_gry</t>
  </si>
  <si>
    <t>afe_st3_odac</t>
  </si>
  <si>
    <t>afe_refgen</t>
  </si>
  <si>
    <t>refgen_spare</t>
  </si>
  <si>
    <t>refgen_mon_en</t>
  </si>
  <si>
    <t>vcc_reg_vtrm</t>
  </si>
  <si>
    <t>vcc_reg_itrm</t>
  </si>
  <si>
    <t>vcm3_trm</t>
  </si>
  <si>
    <t>vcm2_trm</t>
  </si>
  <si>
    <t>vcm1_trm</t>
  </si>
  <si>
    <t>vcmi_trm</t>
  </si>
  <si>
    <t>misc_spare</t>
  </si>
  <si>
    <t>amon_en</t>
  </si>
  <si>
    <t>acmp_en</t>
  </si>
  <si>
    <t>bias_en</t>
  </si>
  <si>
    <t>spare0_spare</t>
  </si>
  <si>
    <t>afe_spare0</t>
  </si>
  <si>
    <t>afe_spare1</t>
  </si>
  <si>
    <t>spare1_spare</t>
  </si>
  <si>
    <t>afe_spare2</t>
  </si>
  <si>
    <t>spare2_spare</t>
  </si>
  <si>
    <t>2'b01</t>
  </si>
  <si>
    <t>4'b0000</t>
  </si>
  <si>
    <t>26'b0</t>
  </si>
  <si>
    <t>nocon</t>
  </si>
  <si>
    <t>address placeholder</t>
  </si>
  <si>
    <t>rx1_nocon_reg0</t>
  </si>
  <si>
    <t>rx1_nocon_reg1</t>
  </si>
  <si>
    <t>C</t>
  </si>
  <si>
    <t>1C</t>
  </si>
  <si>
    <t>2C</t>
  </si>
  <si>
    <t>3C</t>
  </si>
  <si>
    <t>Spare bits</t>
  </si>
  <si>
    <t>Enable for DC monitor</t>
  </si>
  <si>
    <t>Enable for vcm ladder</t>
  </si>
  <si>
    <t>Vcm control</t>
  </si>
  <si>
    <t>Fallback bits for vcm contorol</t>
  </si>
  <si>
    <t>Termination global enable</t>
  </si>
  <si>
    <t>Trim vgs for turning off pmoses</t>
  </si>
  <si>
    <t>Trim vgs for turning on pmoses</t>
  </si>
  <si>
    <t>Trim vgs for turning off nmoses</t>
  </si>
  <si>
    <t>Trim vgs for turning on nmoses</t>
  </si>
  <si>
    <t>Termination resistance control (MSBits)</t>
  </si>
  <si>
    <t>Termination resistance control (LSBits)</t>
  </si>
  <si>
    <t>Nmos common mode keeper current trim</t>
  </si>
  <si>
    <t>Pmos common mode keeper current trim</t>
  </si>
  <si>
    <t>Trim of core current</t>
  </si>
  <si>
    <t>Enable of common mode keeper</t>
  </si>
  <si>
    <t>Rload control</t>
  </si>
  <si>
    <t>Degeneration capacitor control, nmos side</t>
  </si>
  <si>
    <t>Degeneration capacitor control, pmos side</t>
  </si>
  <si>
    <t>Degeneration resistor control, nmos side</t>
  </si>
  <si>
    <t>Degeneration resistor control, pmos side</t>
  </si>
  <si>
    <t>Gain control, nmos side</t>
  </si>
  <si>
    <t>Gain control, pmos side</t>
  </si>
  <si>
    <t>Offset DAC enable</t>
  </si>
  <si>
    <t>Current control</t>
  </si>
  <si>
    <t>Output voltage trim</t>
  </si>
  <si>
    <t>Output current trim</t>
  </si>
  <si>
    <t>vcm trim for st3</t>
  </si>
  <si>
    <t>vcm trim for st2</t>
  </si>
  <si>
    <t>vcm trim for st1</t>
  </si>
  <si>
    <t>vcm trim for rterm</t>
  </si>
  <si>
    <t>global enable for dc monitor</t>
  </si>
  <si>
    <t>global enable for comparator switch</t>
  </si>
  <si>
    <t>Trim for offset dac range</t>
  </si>
  <si>
    <t>bias current enable</t>
  </si>
  <si>
    <t>8'b0</t>
  </si>
  <si>
    <t>4'b0</t>
  </si>
  <si>
    <t>2'b0</t>
  </si>
  <si>
    <t>3'b0</t>
  </si>
  <si>
    <t>6'b0</t>
  </si>
  <si>
    <t>unconnected</t>
  </si>
  <si>
    <t>rx1_nocon_reg2</t>
  </si>
  <si>
    <t>rx1_nocon_reg3</t>
  </si>
  <si>
    <t>rx1_nocon_reg4</t>
  </si>
  <si>
    <t>rx1_nocon_reg5</t>
  </si>
  <si>
    <t>HDL Path</t>
  </si>
  <si>
    <t>prototype path</t>
  </si>
  <si>
    <t>flcn_lane_wrap_ins.ipn5flcntop_single_lane_top_lane0_ins.flcn_lane_ana_top_ins.flcn_lane_ana_wrap_ins.i_ipn5flctc2top_lane_top.rx_top.rx_core</t>
  </si>
  <si>
    <t>3'b011</t>
  </si>
  <si>
    <t>3'b101</t>
  </si>
  <si>
    <t>3'b111</t>
  </si>
  <si>
    <t>3'b010</t>
  </si>
  <si>
    <t>2'b00</t>
  </si>
  <si>
    <t>5'b10000</t>
  </si>
  <si>
    <t>6'b000000</t>
  </si>
  <si>
    <t>11'b11000000000</t>
  </si>
  <si>
    <t>2'b10</t>
  </si>
  <si>
    <t>rx1_nocon_reg6</t>
  </si>
  <si>
    <t>rx1_nocon_reg7</t>
  </si>
  <si>
    <t>rx1_nocon_reg8</t>
  </si>
  <si>
    <t>rx1_nocon_reg9</t>
  </si>
  <si>
    <t>rx1_nocon_reg10</t>
  </si>
  <si>
    <t>rx1_nocon_reg11</t>
  </si>
  <si>
    <t>rx1_nocon_reg12</t>
  </si>
  <si>
    <t>rx1_nocon_reg13</t>
  </si>
  <si>
    <t>rx1_nocon_reg14</t>
  </si>
  <si>
    <t>rx1_nocon_reg15</t>
  </si>
  <si>
    <t>rx1_nocon_reg16</t>
  </si>
  <si>
    <t>rx1_nocon_reg17</t>
  </si>
  <si>
    <t>rx1_nocon_reg18</t>
  </si>
  <si>
    <t>rx1_nocon_reg19</t>
  </si>
  <si>
    <t>4C</t>
  </si>
  <si>
    <t>5C</t>
  </si>
  <si>
    <t>6C</t>
  </si>
  <si>
    <t>7C</t>
  </si>
  <si>
    <t>5'b11000</t>
  </si>
  <si>
    <t>4'b1100</t>
  </si>
  <si>
    <t>6'b110000</t>
  </si>
  <si>
    <t>st2_rload_range</t>
  </si>
  <si>
    <t>6'b11111</t>
  </si>
  <si>
    <t>st3_rload_range</t>
  </si>
  <si>
    <t>enable signal</t>
  </si>
  <si>
    <t>end of calibration value</t>
  </si>
  <si>
    <t>sequence</t>
  </si>
  <si>
    <t>no</t>
  </si>
  <si>
    <t>yes</t>
  </si>
  <si>
    <t xml:space="preserve">yes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</si>
</sst>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8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0"/>
      <color indexed="8"/>
      <name val="Neo Sans Intel"/>
      <family val="2"/>
    </font>
    <font>
      <b/>
      <sz val="10"/>
      <color indexed="60"/>
      <name val="Neo Sans Inte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name val="Neo Sans Intel"/>
      <family val="2"/>
    </font>
    <font>
      <sz val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EFDBB"/>
        <bgColor indexed="26"/>
      </patternFill>
    </fill>
    <fill>
      <patternFill patternType="solid">
        <fgColor rgb="FFFFC000"/>
        <bgColor indexed="26"/>
      </patternFill>
    </fill>
    <fill>
      <patternFill patternType="solid">
        <fgColor rgb="FFCCECFF"/>
        <bgColor indexed="26"/>
      </patternFill>
    </fill>
    <fill>
      <patternFill patternType="solid">
        <fgColor rgb="FFBBF2FD"/>
        <bgColor indexed="26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69">
    <xf numFmtId="0" fontId="0" fillId="0" borderId="0"/>
    <xf numFmtId="0" fontId="22" fillId="2" borderId="0" applyNumberFormat="0" applyBorder="0" applyAlignment="0" applyProtection="0"/>
    <xf numFmtId="0" fontId="22" fillId="3" borderId="0" applyNumberFormat="0" applyBorder="0" applyAlignment="0" applyProtection="0"/>
    <xf numFmtId="0" fontId="22" fillId="4" borderId="0" applyNumberFormat="0" applyBorder="0" applyAlignment="0" applyProtection="0"/>
    <xf numFmtId="0" fontId="22" fillId="5" borderId="0" applyNumberFormat="0" applyBorder="0" applyAlignment="0" applyProtection="0"/>
    <xf numFmtId="0" fontId="22" fillId="6" borderId="0" applyNumberFormat="0" applyBorder="0" applyAlignment="0" applyProtection="0"/>
    <xf numFmtId="0" fontId="22" fillId="7" borderId="0" applyNumberFormat="0" applyBorder="0" applyAlignment="0" applyProtection="0"/>
    <xf numFmtId="0" fontId="22" fillId="8" borderId="0" applyNumberFormat="0" applyBorder="0" applyAlignment="0" applyProtection="0"/>
    <xf numFmtId="0" fontId="22" fillId="9" borderId="0" applyNumberFormat="0" applyBorder="0" applyAlignment="0" applyProtection="0"/>
    <xf numFmtId="0" fontId="22" fillId="10" borderId="0" applyNumberFormat="0" applyBorder="0" applyAlignment="0" applyProtection="0"/>
    <xf numFmtId="0" fontId="22" fillId="5" borderId="0" applyNumberFormat="0" applyBorder="0" applyAlignment="0" applyProtection="0"/>
    <xf numFmtId="0" fontId="22" fillId="8" borderId="0" applyNumberFormat="0" applyBorder="0" applyAlignment="0" applyProtection="0"/>
    <xf numFmtId="0" fontId="22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5" fillId="3" borderId="0" applyNumberFormat="0" applyBorder="0" applyAlignment="0" applyProtection="0"/>
    <xf numFmtId="0" fontId="6" fillId="20" borderId="1" applyNumberFormat="0" applyAlignment="0" applyProtection="0"/>
    <xf numFmtId="0" fontId="7" fillId="21" borderId="2" applyNumberFormat="0" applyAlignment="0" applyProtection="0"/>
    <xf numFmtId="0" fontId="8" fillId="0" borderId="0" applyNumberFormat="0" applyFill="0" applyBorder="0" applyAlignment="0" applyProtection="0"/>
    <xf numFmtId="0" fontId="9" fillId="4" borderId="0" applyNumberFormat="0" applyBorder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3" fillId="7" borderId="1" applyNumberFormat="0" applyAlignment="0" applyProtection="0"/>
    <xf numFmtId="0" fontId="14" fillId="0" borderId="6" applyNumberFormat="0" applyFill="0" applyAlignment="0" applyProtection="0"/>
    <xf numFmtId="0" fontId="15" fillId="22" borderId="0" applyNumberFormat="0" applyBorder="0" applyAlignment="0" applyProtection="0"/>
    <xf numFmtId="0" fontId="16" fillId="0" borderId="0"/>
    <xf numFmtId="0" fontId="16" fillId="0" borderId="0"/>
    <xf numFmtId="0" fontId="23" fillId="0" borderId="0"/>
    <xf numFmtId="0" fontId="22" fillId="23" borderId="7" applyNumberFormat="0" applyAlignment="0" applyProtection="0"/>
    <xf numFmtId="0" fontId="17" fillId="20" borderId="8" applyNumberForma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26" fillId="24" borderId="0" applyNumberFormat="0" applyBorder="0" applyAlignment="0" applyProtection="0"/>
    <xf numFmtId="0" fontId="27" fillId="25" borderId="12" applyNumberFormat="0" applyAlignment="0" applyProtection="0"/>
    <xf numFmtId="0" fontId="17" fillId="20" borderId="21" applyNumberFormat="0" applyAlignment="0" applyProtection="0"/>
    <xf numFmtId="0" fontId="22" fillId="23" borderId="20" applyNumberFormat="0" applyAlignment="0" applyProtection="0"/>
    <xf numFmtId="0" fontId="19" fillId="0" borderId="26" applyNumberFormat="0" applyFill="0" applyAlignment="0" applyProtection="0"/>
    <xf numFmtId="0" fontId="17" fillId="20" borderId="25" applyNumberFormat="0" applyAlignment="0" applyProtection="0"/>
    <xf numFmtId="0" fontId="22" fillId="23" borderId="24" applyNumberFormat="0" applyAlignment="0" applyProtection="0"/>
    <xf numFmtId="0" fontId="13" fillId="7" borderId="19" applyNumberFormat="0" applyAlignment="0" applyProtection="0"/>
    <xf numFmtId="0" fontId="13" fillId="7" borderId="23" applyNumberFormat="0" applyAlignment="0" applyProtection="0"/>
    <xf numFmtId="0" fontId="6" fillId="20" borderId="19" applyNumberFormat="0" applyAlignment="0" applyProtection="0"/>
    <xf numFmtId="0" fontId="6" fillId="20" borderId="23" applyNumberFormat="0" applyAlignment="0" applyProtection="0"/>
    <xf numFmtId="0" fontId="3" fillId="0" borderId="0"/>
    <xf numFmtId="0" fontId="19" fillId="0" borderId="22" applyNumberFormat="0" applyFill="0" applyAlignment="0" applyProtection="0"/>
    <xf numFmtId="0" fontId="2" fillId="0" borderId="0"/>
    <xf numFmtId="0" fontId="17" fillId="20" borderId="25" applyNumberFormat="0" applyAlignment="0" applyProtection="0"/>
    <xf numFmtId="0" fontId="22" fillId="23" borderId="24" applyNumberFormat="0" applyAlignment="0" applyProtection="0"/>
    <xf numFmtId="0" fontId="13" fillId="7" borderId="23" applyNumberFormat="0" applyAlignment="0" applyProtection="0"/>
    <xf numFmtId="0" fontId="6" fillId="20" borderId="23" applyNumberFormat="0" applyAlignment="0" applyProtection="0"/>
    <xf numFmtId="0" fontId="2" fillId="0" borderId="0"/>
    <xf numFmtId="0" fontId="19" fillId="0" borderId="26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</cellStyleXfs>
  <cellXfs count="80">
    <xf numFmtId="0" fontId="0" fillId="0" borderId="0" xfId="0"/>
    <xf numFmtId="0" fontId="21" fillId="0" borderId="0" xfId="0" applyFont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3" xfId="0" applyBorder="1"/>
    <xf numFmtId="0" fontId="0" fillId="0" borderId="0" xfId="0" applyBorder="1" applyAlignment="1">
      <alignment horizontal="center" vertical="center" wrapText="1"/>
    </xf>
    <xf numFmtId="49" fontId="0" fillId="0" borderId="0" xfId="0" applyNumberFormat="1" applyBorder="1" applyAlignment="1">
      <alignment horizontal="center" vertical="center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 wrapText="1"/>
    </xf>
    <xf numFmtId="0" fontId="0" fillId="0" borderId="29" xfId="0" applyBorder="1" applyAlignment="1">
      <alignment wrapText="1"/>
    </xf>
    <xf numFmtId="0" fontId="24" fillId="26" borderId="30" xfId="0" applyFont="1" applyFill="1" applyBorder="1" applyAlignment="1">
      <alignment horizontal="center" vertical="center" wrapText="1"/>
    </xf>
    <xf numFmtId="49" fontId="24" fillId="26" borderId="30" xfId="0" applyNumberFormat="1" applyFont="1" applyFill="1" applyBorder="1" applyAlignment="1">
      <alignment horizontal="center" vertical="center" wrapText="1"/>
    </xf>
    <xf numFmtId="0" fontId="24" fillId="26" borderId="31" xfId="0" applyFont="1" applyFill="1" applyBorder="1" applyAlignment="1">
      <alignment horizontal="center" vertical="center" wrapText="1"/>
    </xf>
    <xf numFmtId="0" fontId="24" fillId="26" borderId="28" xfId="0" applyFont="1" applyFill="1" applyBorder="1" applyAlignment="1">
      <alignment horizontal="center" vertical="center" wrapText="1"/>
    </xf>
    <xf numFmtId="49" fontId="24" fillId="0" borderId="29" xfId="0" applyNumberFormat="1" applyFont="1" applyFill="1" applyBorder="1" applyAlignment="1">
      <alignment horizontal="center" vertical="center" wrapText="1"/>
    </xf>
    <xf numFmtId="0" fontId="28" fillId="0" borderId="29" xfId="37" applyFont="1" applyBorder="1" applyAlignment="1">
      <alignment horizontal="center" vertical="center" wrapText="1"/>
    </xf>
    <xf numFmtId="0" fontId="24" fillId="0" borderId="29" xfId="0" applyFont="1" applyBorder="1" applyAlignment="1">
      <alignment horizontal="center" vertical="center" wrapText="1"/>
    </xf>
    <xf numFmtId="0" fontId="0" fillId="0" borderId="37" xfId="0" applyBorder="1"/>
    <xf numFmtId="0" fontId="24" fillId="26" borderId="30" xfId="0" applyFont="1" applyFill="1" applyBorder="1" applyAlignment="1">
      <alignment horizontal="left" vertical="center" wrapText="1"/>
    </xf>
    <xf numFmtId="0" fontId="0" fillId="0" borderId="29" xfId="0" applyBorder="1" applyAlignment="1">
      <alignment horizontal="left"/>
    </xf>
    <xf numFmtId="0" fontId="0" fillId="0" borderId="0" xfId="0" applyBorder="1" applyAlignment="1">
      <alignment horizontal="left" vertical="center" wrapText="1"/>
    </xf>
    <xf numFmtId="49" fontId="24" fillId="26" borderId="30" xfId="0" applyNumberFormat="1" applyFont="1" applyFill="1" applyBorder="1" applyAlignment="1">
      <alignment horizontal="left" vertical="center" wrapText="1"/>
    </xf>
    <xf numFmtId="49" fontId="0" fillId="0" borderId="0" xfId="0" applyNumberFormat="1" applyBorder="1" applyAlignment="1">
      <alignment horizontal="left" vertical="center" wrapText="1"/>
    </xf>
    <xf numFmtId="0" fontId="0" fillId="0" borderId="39" xfId="0" applyBorder="1"/>
    <xf numFmtId="0" fontId="25" fillId="22" borderId="36" xfId="36" applyNumberFormat="1" applyFont="1" applyBorder="1" applyAlignment="1" applyProtection="1">
      <alignment horizontal="left" vertical="center" wrapText="1"/>
    </xf>
    <xf numFmtId="0" fontId="28" fillId="0" borderId="39" xfId="37" applyFont="1" applyBorder="1" applyAlignment="1">
      <alignment horizontal="center" vertical="center" wrapText="1"/>
    </xf>
    <xf numFmtId="0" fontId="0" fillId="0" borderId="39" xfId="0" applyBorder="1" applyAlignment="1">
      <alignment horizontal="left"/>
    </xf>
    <xf numFmtId="0" fontId="0" fillId="0" borderId="0" xfId="0" applyFill="1" applyBorder="1" applyAlignment="1">
      <alignment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 wrapText="1"/>
    </xf>
    <xf numFmtId="0" fontId="0" fillId="0" borderId="29" xfId="0" applyBorder="1" applyAlignment="1">
      <alignment wrapText="1"/>
    </xf>
    <xf numFmtId="49" fontId="24" fillId="0" borderId="29" xfId="0" applyNumberFormat="1" applyFont="1" applyFill="1" applyBorder="1" applyAlignment="1">
      <alignment horizontal="center" vertical="center" wrapText="1"/>
    </xf>
    <xf numFmtId="0" fontId="28" fillId="0" borderId="29" xfId="37" applyFont="1" applyBorder="1" applyAlignment="1">
      <alignment horizontal="center" vertical="center" wrapText="1"/>
    </xf>
    <xf numFmtId="0" fontId="24" fillId="0" borderId="29" xfId="0" applyFont="1" applyBorder="1" applyAlignment="1">
      <alignment horizontal="center" vertical="center" wrapText="1"/>
    </xf>
    <xf numFmtId="0" fontId="0" fillId="0" borderId="29" xfId="0" applyBorder="1"/>
    <xf numFmtId="0" fontId="0" fillId="0" borderId="29" xfId="0" applyBorder="1" applyAlignment="1">
      <alignment horizontal="center"/>
    </xf>
    <xf numFmtId="0" fontId="25" fillId="22" borderId="34" xfId="36" applyNumberFormat="1" applyFont="1" applyBorder="1" applyAlignment="1" applyProtection="1">
      <alignment horizontal="left" vertical="center" wrapText="1"/>
    </xf>
    <xf numFmtId="0" fontId="0" fillId="0" borderId="29" xfId="0" applyBorder="1" applyAlignment="1">
      <alignment horizontal="left"/>
    </xf>
    <xf numFmtId="0" fontId="25" fillId="22" borderId="35" xfId="36" applyFont="1" applyBorder="1" applyAlignment="1">
      <alignment vertical="center" wrapText="1"/>
    </xf>
    <xf numFmtId="49" fontId="24" fillId="0" borderId="39" xfId="0" applyNumberFormat="1" applyFont="1" applyBorder="1" applyAlignment="1">
      <alignment horizontal="center" vertical="center" wrapText="1"/>
    </xf>
    <xf numFmtId="0" fontId="24" fillId="0" borderId="39" xfId="0" applyFont="1" applyBorder="1" applyAlignment="1">
      <alignment horizontal="center" vertical="center" wrapText="1"/>
    </xf>
    <xf numFmtId="0" fontId="0" fillId="0" borderId="39" xfId="0" applyBorder="1" applyAlignment="1">
      <alignment horizontal="center"/>
    </xf>
    <xf numFmtId="0" fontId="0" fillId="0" borderId="39" xfId="0" applyBorder="1"/>
    <xf numFmtId="0" fontId="28" fillId="0" borderId="39" xfId="37" applyFont="1" applyBorder="1" applyAlignment="1">
      <alignment horizontal="center" vertical="center" wrapText="1"/>
    </xf>
    <xf numFmtId="0" fontId="25" fillId="22" borderId="35" xfId="36" applyFont="1" applyBorder="1" applyAlignment="1">
      <alignment vertical="center" wrapText="1"/>
    </xf>
    <xf numFmtId="49" fontId="24" fillId="0" borderId="39" xfId="0" applyNumberFormat="1" applyFont="1" applyBorder="1" applyAlignment="1">
      <alignment horizontal="center" vertical="center" wrapText="1"/>
    </xf>
    <xf numFmtId="0" fontId="24" fillId="0" borderId="39" xfId="0" applyFont="1" applyBorder="1" applyAlignment="1">
      <alignment horizontal="center" vertical="center" wrapText="1"/>
    </xf>
    <xf numFmtId="0" fontId="0" fillId="0" borderId="39" xfId="0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Fill="1" applyBorder="1" applyAlignment="1"/>
    <xf numFmtId="0" fontId="24" fillId="26" borderId="28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Border="1" applyAlignment="1"/>
    <xf numFmtId="0" fontId="0" fillId="0" borderId="0" xfId="0" applyBorder="1" applyAlignment="1">
      <alignment horizontal="left"/>
    </xf>
    <xf numFmtId="0" fontId="0" fillId="31" borderId="29" xfId="0" applyFill="1" applyBorder="1" applyAlignment="1">
      <alignment horizontal="left"/>
    </xf>
    <xf numFmtId="0" fontId="0" fillId="31" borderId="29" xfId="0" applyFill="1" applyBorder="1" applyAlignment="1">
      <alignment horizontal="center"/>
    </xf>
    <xf numFmtId="0" fontId="0" fillId="31" borderId="39" xfId="0" applyFill="1" applyBorder="1" applyAlignment="1">
      <alignment horizontal="left"/>
    </xf>
    <xf numFmtId="0" fontId="25" fillId="27" borderId="30" xfId="36" applyFont="1" applyFill="1" applyBorder="1" applyAlignment="1">
      <alignment horizontal="center" vertical="center" wrapText="1"/>
    </xf>
    <xf numFmtId="0" fontId="25" fillId="27" borderId="27" xfId="36" applyFont="1" applyFill="1" applyBorder="1" applyAlignment="1">
      <alignment horizontal="center" vertical="center" wrapText="1"/>
    </xf>
    <xf numFmtId="0" fontId="25" fillId="28" borderId="29" xfId="36" applyNumberFormat="1" applyFont="1" applyFill="1" applyBorder="1" applyAlignment="1" applyProtection="1">
      <alignment horizontal="center" vertical="center" wrapText="1"/>
    </xf>
    <xf numFmtId="0" fontId="25" fillId="22" borderId="35" xfId="36" applyFont="1" applyBorder="1" applyAlignment="1">
      <alignment horizontal="center" vertical="center" wrapText="1"/>
    </xf>
    <xf numFmtId="0" fontId="25" fillId="22" borderId="40" xfId="36" applyFont="1" applyBorder="1" applyAlignment="1">
      <alignment horizontal="center" vertical="center" wrapText="1"/>
    </xf>
    <xf numFmtId="0" fontId="25" fillId="30" borderId="40" xfId="36" applyFont="1" applyFill="1" applyBorder="1" applyAlignment="1">
      <alignment horizontal="center" vertical="center" wrapText="1"/>
    </xf>
    <xf numFmtId="0" fontId="25" fillId="30" borderId="41" xfId="36" applyFont="1" applyFill="1" applyBorder="1" applyAlignment="1">
      <alignment horizontal="center" vertical="center" wrapText="1"/>
    </xf>
    <xf numFmtId="0" fontId="25" fillId="29" borderId="18" xfId="36" applyNumberFormat="1" applyFont="1" applyFill="1" applyBorder="1" applyAlignment="1" applyProtection="1">
      <alignment horizontal="center" vertical="center" wrapText="1"/>
    </xf>
    <xf numFmtId="0" fontId="25" fillId="29" borderId="33" xfId="36" applyNumberFormat="1" applyFont="1" applyFill="1" applyBorder="1" applyAlignment="1" applyProtection="1">
      <alignment horizontal="center" vertical="center" wrapText="1"/>
    </xf>
    <xf numFmtId="0" fontId="25" fillId="29" borderId="32" xfId="36" applyNumberFormat="1" applyFont="1" applyFill="1" applyBorder="1" applyAlignment="1" applyProtection="1">
      <alignment horizontal="center" vertical="center" wrapText="1"/>
    </xf>
    <xf numFmtId="0" fontId="25" fillId="22" borderId="32" xfId="36" applyNumberFormat="1" applyFont="1" applyBorder="1" applyAlignment="1" applyProtection="1">
      <alignment horizontal="center" vertical="center" wrapText="1"/>
    </xf>
    <xf numFmtId="0" fontId="25" fillId="22" borderId="36" xfId="36" applyNumberFormat="1" applyFont="1" applyBorder="1" applyAlignment="1" applyProtection="1">
      <alignment horizontal="center" vertical="center" wrapText="1"/>
    </xf>
    <xf numFmtId="0" fontId="25" fillId="22" borderId="18" xfId="36" applyNumberFormat="1" applyFont="1" applyBorder="1" applyAlignment="1" applyProtection="1">
      <alignment horizontal="center" vertical="center" wrapText="1"/>
    </xf>
    <xf numFmtId="0" fontId="25" fillId="27" borderId="34" xfId="36" applyNumberFormat="1" applyFont="1" applyFill="1" applyBorder="1" applyAlignment="1" applyProtection="1">
      <alignment horizontal="center" vertical="center" wrapText="1"/>
    </xf>
    <xf numFmtId="0" fontId="25" fillId="27" borderId="38" xfId="36" applyNumberFormat="1" applyFont="1" applyFill="1" applyBorder="1" applyAlignment="1" applyProtection="1">
      <alignment horizontal="center" vertical="center" wrapText="1"/>
    </xf>
    <xf numFmtId="0" fontId="25" fillId="22" borderId="34" xfId="36" applyNumberFormat="1" applyFont="1" applyBorder="1" applyAlignment="1" applyProtection="1">
      <alignment horizontal="center" vertical="center" wrapText="1"/>
    </xf>
  </cellXfs>
  <cellStyles count="69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alculation 2" xfId="54" xr:uid="{00000000-0005-0000-0000-00001A000000}"/>
    <cellStyle name="Calculation 2 2" xfId="62" xr:uid="{4EDD82C5-096F-4B5C-909C-4D555E43EF8F}"/>
    <cellStyle name="Calculation 3" xfId="55" xr:uid="{00000000-0005-0000-0000-00001B000000}"/>
    <cellStyle name="Check Cell" xfId="27" builtinId="23" customBuiltin="1"/>
    <cellStyle name="Check Cell 2" xfId="46" xr:uid="{00000000-0005-0000-0000-00001D000000}"/>
    <cellStyle name="Explanatory Text" xfId="28" builtinId="53" customBuiltin="1"/>
    <cellStyle name="Good" xfId="29" builtinId="26" customBuiltin="1"/>
    <cellStyle name="Good 2" xfId="45" xr:uid="{00000000-0005-0000-0000-000020000000}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Input 2" xfId="52" xr:uid="{00000000-0005-0000-0000-000026000000}"/>
    <cellStyle name="Input 2 2" xfId="61" xr:uid="{5A47B42B-9FC7-49EE-83E3-ADF7696BDA99}"/>
    <cellStyle name="Input 3" xfId="53" xr:uid="{00000000-0005-0000-0000-000027000000}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B000000}"/>
    <cellStyle name="Normal 2 2" xfId="38" xr:uid="{00000000-0005-0000-0000-00002C000000}"/>
    <cellStyle name="Normal 3" xfId="39" xr:uid="{00000000-0005-0000-0000-00002D000000}"/>
    <cellStyle name="Normal 3 2" xfId="56" xr:uid="{00000000-0005-0000-0000-00002E000000}"/>
    <cellStyle name="Normal 3 2 2" xfId="63" xr:uid="{3CAC20A0-BA08-4ED0-BB1D-50A595883574}"/>
    <cellStyle name="Normal 3 2 2 2" xfId="68" xr:uid="{9C6F8BB5-F409-4E0B-9778-0F013170F2EC}"/>
    <cellStyle name="Normal 3 2 3" xfId="66" xr:uid="{CAA4CE23-72F1-42F5-95B0-CA91025C955E}"/>
    <cellStyle name="Normal 3 3" xfId="58" xr:uid="{756E39F9-05D4-4F18-8633-9CE223FCCCDA}"/>
    <cellStyle name="Normal 3 3 2" xfId="67" xr:uid="{83CEC08C-7EF1-4120-91C3-6BDC8195464D}"/>
    <cellStyle name="Normal 3 4" xfId="65" xr:uid="{0D23A9D1-01B0-4908-A01A-622F5D84779C}"/>
    <cellStyle name="Note" xfId="40" builtinId="10" customBuiltin="1"/>
    <cellStyle name="Note 2" xfId="48" xr:uid="{00000000-0005-0000-0000-000030000000}"/>
    <cellStyle name="Note 2 2" xfId="60" xr:uid="{493FD1C8-31B7-4895-9025-5AA7FF5B1FD0}"/>
    <cellStyle name="Note 3" xfId="51" xr:uid="{00000000-0005-0000-0000-000031000000}"/>
    <cellStyle name="Output" xfId="41" builtinId="21" customBuiltin="1"/>
    <cellStyle name="Output 2" xfId="47" xr:uid="{00000000-0005-0000-0000-000033000000}"/>
    <cellStyle name="Output 2 2" xfId="59" xr:uid="{CA99CCCA-3B81-4A9C-A7D7-224A475BF179}"/>
    <cellStyle name="Output 3" xfId="50" xr:uid="{00000000-0005-0000-0000-000034000000}"/>
    <cellStyle name="Title" xfId="42" builtinId="15" customBuiltin="1"/>
    <cellStyle name="Total" xfId="43" builtinId="25" customBuiltin="1"/>
    <cellStyle name="Total 2" xfId="57" xr:uid="{00000000-0005-0000-0000-000037000000}"/>
    <cellStyle name="Total 2 2" xfId="64" xr:uid="{FFFF014B-CE6A-465B-AB51-A3CFAF290215}"/>
    <cellStyle name="Total 3" xfId="49" xr:uid="{00000000-0005-0000-0000-000038000000}"/>
    <cellStyle name="Warning Text" xfId="44" builtinId="11" customBuiltin="1"/>
  </cellStyles>
  <dxfs count="0"/>
  <tableStyles count="0" defaultTableStyle="TableStyleMedium2" defaultPivotStyle="PivotStyleLight16"/>
  <colors>
    <mruColors>
      <color rgb="FFBBF2FD"/>
      <color rgb="FF00CCFF"/>
      <color rgb="FFFF9999"/>
      <color rgb="FFFCBCFC"/>
      <color rgb="FFC6FFB9"/>
      <color rgb="FFBEFD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arepoint.ger.ith.intel.com/Users/uvirobni/AppData/Local/Microsoft/Windows/Temporary%20Internet%20Files/Content.Outlook/KURMAHKO/p1269_iCLK_CAS_Signal_Bucketing_LP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SC_Grandioso"/>
      <sheetName val="SSCa"/>
      <sheetName val="SSCa_PI"/>
      <sheetName val="SSCa_Postdiv"/>
      <sheetName val="SSCa_AsyncLogic"/>
      <sheetName val="SSCd"/>
      <sheetName val="GEN Diff Buffer"/>
      <sheetName val="GEN MoDDIV"/>
      <sheetName val="GEN SE Buffer"/>
      <sheetName val="Non-SSC Divtop"/>
      <sheetName val="Diff Buffer"/>
      <sheetName val="CBTOP"/>
      <sheetName val="CBANA"/>
      <sheetName val="CBTOP_OLD"/>
      <sheetName val="iref bias"/>
      <sheetName val="OSC"/>
      <sheetName val="SFR"/>
      <sheetName val="LCPLLTOP"/>
      <sheetName val="Mon Port"/>
      <sheetName val="CML2CMOS"/>
      <sheetName val="c69pxpllshr_inbufreftop"/>
      <sheetName val="c69pxpllshr_inbuftop"/>
      <sheetName val="List"/>
      <sheetName val="sandbox"/>
      <sheetName val="Sheet1"/>
      <sheetName val="Crapo"/>
      <sheetName val="Sheet8"/>
      <sheetName val="Sheet9"/>
      <sheetName val="Sheet10"/>
      <sheetName val="Sheet11"/>
      <sheetName val="Sheet11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1">
          <cell r="J1" t="str">
            <v>FUSE (high priority)  w/ internally hard tied register default</v>
          </cell>
        </row>
        <row r="2">
          <cell r="J2" t="str">
            <v>FUSE (nice to have)  w/ internally hard tied register default</v>
          </cell>
        </row>
        <row r="3">
          <cell r="J3" t="str">
            <v>PIN/STRAP - externally hard tied register default</v>
          </cell>
        </row>
        <row r="4">
          <cell r="J4" t="str">
            <v>Internally hard tied register default (no fuse)</v>
          </cell>
        </row>
        <row r="5">
          <cell r="J5" t="str">
            <v>N/A</v>
          </cell>
        </row>
      </sheetData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AJ120"/>
  <sheetViews>
    <sheetView tabSelected="1" topLeftCell="D1" zoomScale="80" zoomScaleNormal="80" workbookViewId="0">
      <pane ySplit="1" topLeftCell="A119" activePane="bottomLeft" state="frozen"/>
      <selection pane="bottomLeft" activeCell="X24" sqref="X24"/>
    </sheetView>
  </sheetViews>
  <sheetFormatPr defaultColWidth="9.109375" defaultRowHeight="14.4"/>
  <cols>
    <col min="1" max="1" width="32.33203125" style="14" customWidth="1"/>
    <col min="2" max="2" width="11.44140625" style="15" bestFit="1" customWidth="1"/>
    <col min="3" max="3" width="48.6640625" style="27" bestFit="1" customWidth="1"/>
    <col min="4" max="4" width="6.6640625" style="12" bestFit="1" customWidth="1"/>
    <col min="5" max="5" width="20.5546875" style="13" customWidth="1"/>
    <col min="6" max="6" width="15.5546875" style="29" bestFit="1" customWidth="1"/>
    <col min="7" max="7" width="13.88671875" style="13" customWidth="1"/>
    <col min="8" max="8" width="73.6640625" style="1" customWidth="1"/>
    <col min="9" max="9" width="10" style="12" hidden="1" customWidth="1"/>
    <col min="10" max="10" width="12.88671875" style="12" hidden="1" customWidth="1"/>
    <col min="11" max="11" width="18.33203125" style="14" hidden="1" customWidth="1"/>
    <col min="12" max="12" width="26.44140625" style="14" hidden="1" customWidth="1"/>
    <col min="13" max="16" width="11.44140625" style="15" hidden="1" customWidth="1"/>
    <col min="17" max="17" width="16.44140625" style="15" hidden="1" customWidth="1"/>
    <col min="18" max="18" width="42.109375" style="15" hidden="1" customWidth="1"/>
    <col min="19" max="19" width="11.5546875" style="2" hidden="1" customWidth="1"/>
    <col min="20" max="22" width="13.88671875" style="13" customWidth="1"/>
    <col min="35" max="35" width="40.6640625" style="56" customWidth="1"/>
    <col min="36" max="36" width="132.21875" style="2" bestFit="1" customWidth="1"/>
    <col min="37" max="37" width="42.6640625" style="2" bestFit="1" customWidth="1"/>
    <col min="38" max="16384" width="9.109375" style="2"/>
  </cols>
  <sheetData>
    <row r="1" spans="1:36" ht="40.200000000000003" thickBot="1">
      <c r="A1" s="17" t="s">
        <v>33</v>
      </c>
      <c r="B1" s="17" t="s">
        <v>21</v>
      </c>
      <c r="C1" s="25" t="s">
        <v>0</v>
      </c>
      <c r="D1" s="17" t="s">
        <v>1</v>
      </c>
      <c r="E1" s="18" t="s">
        <v>2</v>
      </c>
      <c r="F1" s="28" t="s">
        <v>47</v>
      </c>
      <c r="G1" s="18" t="s">
        <v>42</v>
      </c>
      <c r="H1" s="17" t="s">
        <v>3</v>
      </c>
      <c r="I1" s="17" t="s">
        <v>24</v>
      </c>
      <c r="J1" s="17" t="s">
        <v>23</v>
      </c>
      <c r="K1" s="17" t="s">
        <v>34</v>
      </c>
      <c r="L1" s="17" t="s">
        <v>4</v>
      </c>
      <c r="M1" s="19" t="s">
        <v>37</v>
      </c>
      <c r="N1" s="20" t="s">
        <v>38</v>
      </c>
      <c r="O1" s="20" t="s">
        <v>39</v>
      </c>
      <c r="P1" s="20" t="s">
        <v>40</v>
      </c>
      <c r="Q1" s="20" t="s">
        <v>41</v>
      </c>
      <c r="R1" s="20" t="s">
        <v>46</v>
      </c>
      <c r="S1" s="20" t="s">
        <v>45</v>
      </c>
      <c r="T1" s="18" t="s">
        <v>219</v>
      </c>
      <c r="U1" s="18" t="s">
        <v>220</v>
      </c>
      <c r="V1" s="18" t="s">
        <v>221</v>
      </c>
      <c r="AI1" s="57" t="s">
        <v>183</v>
      </c>
      <c r="AJ1" s="20" t="s">
        <v>184</v>
      </c>
    </row>
    <row r="2" spans="1:36" ht="15" customHeight="1" thickBot="1">
      <c r="A2" s="66" t="s">
        <v>48</v>
      </c>
      <c r="B2" s="66">
        <v>0</v>
      </c>
      <c r="C2" s="31" t="s">
        <v>43</v>
      </c>
      <c r="D2" s="74" t="str">
        <f>bitConcat(F3:F14)</f>
        <v>32'b00000001001101111101111000000000</v>
      </c>
      <c r="E2" s="75"/>
      <c r="F2" s="76"/>
      <c r="G2" s="76"/>
      <c r="H2" s="71" t="s">
        <v>44</v>
      </c>
      <c r="I2" s="72" t="str">
        <f>bitConcat(G3:G11)</f>
        <v>Less Than 32 bit Were defined (20)</v>
      </c>
      <c r="J2" s="73" t="str">
        <f>bitConcat(G3:G14)</f>
        <v>32'b00000001101101111101111000000000</v>
      </c>
      <c r="K2" s="71"/>
      <c r="L2" s="72"/>
      <c r="M2" s="77" t="str">
        <f>DEC2HEX(_xlfn.BITLSHIFT(O2,7)+4*P2)</f>
        <v>500</v>
      </c>
      <c r="N2" s="77"/>
      <c r="O2" s="77">
        <v>10</v>
      </c>
      <c r="P2" s="77">
        <v>0</v>
      </c>
      <c r="Q2" s="77" t="str">
        <f>DEC2HEX(_xlfn.BITLSHIFT(O2,5)+P2)</f>
        <v>140</v>
      </c>
      <c r="R2" s="77" t="str">
        <f>BIN2HEX(LEFT(RIGHT(D2,32),4))&amp;BIN2HEX(LEFT(RIGHT(D2,28),4))&amp;BIN2HEX(LEFT(RIGHT(D2,24),4))&amp;BIN2HEX(LEFT(RIGHT(D2,20),4))&amp;BIN2HEX(LEFT(RIGHT(D2,16),4))&amp;BIN2HEX(LEFT(RIGHT(D2,12),4))&amp;BIN2HEX(LEFT(RIGHT(D2,8),4))&amp;BIN2HEX(LEFT(RIGHT(D2,4),4))</f>
        <v>0137DE00</v>
      </c>
      <c r="S2" s="77" t="str">
        <f>BIN2HEX(LEFT(RIGHT(J2,32),4))&amp;BIN2HEX(LEFT(RIGHT(J2,28),4))&amp;BIN2HEX(LEFT(RIGHT(J2,24),4))&amp;BIN2HEX(LEFT(RIGHT(J2,20),4))&amp;BIN2HEX(LEFT(RIGHT(J2,16),4))&amp;BIN2HEX(LEFT(RIGHT(J2,12),4))&amp;BIN2HEX(LEFT(RIGHT(J2,8),4))&amp;BIN2HEX(LEFT(RIGHT(J2,4),4))</f>
        <v>01B7DE00</v>
      </c>
      <c r="T2"/>
      <c r="U2"/>
      <c r="V2"/>
      <c r="AI2" s="58"/>
      <c r="AJ2" s="55" t="s">
        <v>185</v>
      </c>
    </row>
    <row r="3" spans="1:36">
      <c r="A3" s="66"/>
      <c r="B3" s="66"/>
      <c r="C3" s="33" t="s">
        <v>60</v>
      </c>
      <c r="D3" s="42">
        <v>2</v>
      </c>
      <c r="E3" s="42" t="str">
        <f>IF(D3&gt;1,(31)&amp;":"&amp;(31-D3+1),(31-D3+1)&amp;":"&amp;(31-D3+1))</f>
        <v>31:30</v>
      </c>
      <c r="F3" s="26" t="s">
        <v>175</v>
      </c>
      <c r="G3" s="44" t="s">
        <v>175</v>
      </c>
      <c r="H3" s="41" t="s">
        <v>138</v>
      </c>
      <c r="I3" s="21" t="s">
        <v>36</v>
      </c>
      <c r="J3" s="22" t="s">
        <v>35</v>
      </c>
      <c r="K3" s="23" t="s">
        <v>6</v>
      </c>
      <c r="L3" s="16"/>
      <c r="M3" s="78"/>
      <c r="N3" s="78"/>
      <c r="O3" s="78"/>
      <c r="P3" s="78"/>
      <c r="Q3" s="78"/>
      <c r="R3" s="78"/>
      <c r="S3" s="78"/>
      <c r="T3" s="44" t="s">
        <v>222</v>
      </c>
      <c r="U3" s="44" t="s">
        <v>222</v>
      </c>
      <c r="V3" s="44" t="s">
        <v>222</v>
      </c>
    </row>
    <row r="4" spans="1:36">
      <c r="A4" s="66"/>
      <c r="B4" s="66"/>
      <c r="C4" s="33" t="s">
        <v>49</v>
      </c>
      <c r="D4" s="42">
        <v>3</v>
      </c>
      <c r="E4" s="42" t="str">
        <f t="shared" ref="E4:E14" si="0">(MID(str_cnvt(E3),SEARCH(":",str_cnvt(E3))+1,2)-1) &amp; ":" &amp; (MID(str_cnvt(E3),SEARCH(":",str_cnvt(E3))+1,2)-D4)</f>
        <v>29:27</v>
      </c>
      <c r="F4" s="44" t="s">
        <v>176</v>
      </c>
      <c r="G4" s="44" t="s">
        <v>176</v>
      </c>
      <c r="H4" s="24" t="s">
        <v>139</v>
      </c>
      <c r="I4" s="21" t="s">
        <v>36</v>
      </c>
      <c r="J4" s="22" t="s">
        <v>35</v>
      </c>
      <c r="K4" s="23" t="s">
        <v>6</v>
      </c>
      <c r="L4" s="16"/>
      <c r="M4" s="78"/>
      <c r="N4" s="78"/>
      <c r="O4" s="78"/>
      <c r="P4" s="78"/>
      <c r="Q4" s="78"/>
      <c r="R4" s="78"/>
      <c r="S4" s="78"/>
      <c r="T4" s="44" t="s">
        <v>223</v>
      </c>
      <c r="U4" s="44" t="s">
        <v>223</v>
      </c>
      <c r="V4" s="44" t="s">
        <v>222</v>
      </c>
      <c r="AJ4" s="34"/>
    </row>
    <row r="5" spans="1:36">
      <c r="A5" s="66"/>
      <c r="B5" s="66"/>
      <c r="C5" s="33" t="s">
        <v>61</v>
      </c>
      <c r="D5" s="42">
        <v>1</v>
      </c>
      <c r="E5" s="42" t="str">
        <f t="shared" si="0"/>
        <v>26:26</v>
      </c>
      <c r="F5" s="44" t="s">
        <v>7</v>
      </c>
      <c r="G5" s="44" t="s">
        <v>7</v>
      </c>
      <c r="H5" s="24" t="s">
        <v>140</v>
      </c>
      <c r="I5" s="21" t="s">
        <v>36</v>
      </c>
      <c r="J5" s="22" t="s">
        <v>35</v>
      </c>
      <c r="K5" s="23" t="s">
        <v>6</v>
      </c>
      <c r="L5" s="16"/>
      <c r="M5" s="78"/>
      <c r="N5" s="78"/>
      <c r="O5" s="78"/>
      <c r="P5" s="78"/>
      <c r="Q5" s="78"/>
      <c r="R5" s="78"/>
      <c r="S5" s="78"/>
      <c r="T5" s="44" t="s">
        <v>223</v>
      </c>
      <c r="U5" s="44" t="s">
        <v>223</v>
      </c>
      <c r="V5" s="44" t="s">
        <v>222</v>
      </c>
    </row>
    <row r="6" spans="1:36">
      <c r="A6" s="66"/>
      <c r="B6" s="66"/>
      <c r="C6" s="33" t="s">
        <v>62</v>
      </c>
      <c r="D6" s="42">
        <v>3</v>
      </c>
      <c r="E6" s="42" t="str">
        <f t="shared" si="0"/>
        <v>25:23</v>
      </c>
      <c r="F6" s="44" t="s">
        <v>189</v>
      </c>
      <c r="G6" s="44" t="s">
        <v>186</v>
      </c>
      <c r="H6" s="24" t="s">
        <v>141</v>
      </c>
      <c r="I6" s="21" t="s">
        <v>36</v>
      </c>
      <c r="J6" s="22" t="s">
        <v>35</v>
      </c>
      <c r="K6" s="23" t="s">
        <v>6</v>
      </c>
      <c r="L6" s="16"/>
      <c r="M6" s="78"/>
      <c r="N6" s="78"/>
      <c r="O6" s="78"/>
      <c r="P6" s="78"/>
      <c r="Q6" s="78"/>
      <c r="R6" s="78"/>
      <c r="S6" s="78"/>
      <c r="T6" s="44" t="s">
        <v>222</v>
      </c>
      <c r="U6" s="44" t="s">
        <v>222</v>
      </c>
      <c r="V6" s="44" t="s">
        <v>222</v>
      </c>
    </row>
    <row r="7" spans="1:36">
      <c r="A7" s="66"/>
      <c r="B7" s="66"/>
      <c r="C7" s="33" t="s">
        <v>63</v>
      </c>
      <c r="D7" s="42">
        <v>1</v>
      </c>
      <c r="E7" s="42" t="str">
        <f t="shared" si="0"/>
        <v>22:22</v>
      </c>
      <c r="F7" s="44" t="s">
        <v>7</v>
      </c>
      <c r="G7" s="44" t="s">
        <v>7</v>
      </c>
      <c r="H7" s="24" t="s">
        <v>142</v>
      </c>
      <c r="I7" s="21" t="s">
        <v>36</v>
      </c>
      <c r="J7" s="22" t="s">
        <v>35</v>
      </c>
      <c r="K7" s="23" t="s">
        <v>6</v>
      </c>
      <c r="L7" s="16"/>
      <c r="M7" s="78"/>
      <c r="N7" s="78"/>
      <c r="O7" s="78"/>
      <c r="P7" s="78"/>
      <c r="Q7" s="78"/>
      <c r="R7" s="78"/>
      <c r="S7" s="78"/>
      <c r="T7" s="44" t="s">
        <v>222</v>
      </c>
      <c r="U7" s="44" t="s">
        <v>222</v>
      </c>
      <c r="V7" s="44" t="s">
        <v>222</v>
      </c>
    </row>
    <row r="8" spans="1:36">
      <c r="A8" s="66"/>
      <c r="B8" s="66"/>
      <c r="C8" s="33" t="s">
        <v>64</v>
      </c>
      <c r="D8" s="42">
        <v>1</v>
      </c>
      <c r="E8" s="42" t="str">
        <f t="shared" si="0"/>
        <v>21:21</v>
      </c>
      <c r="F8" s="61" t="s">
        <v>58</v>
      </c>
      <c r="G8" s="61" t="s">
        <v>58</v>
      </c>
      <c r="H8" s="24" t="s">
        <v>143</v>
      </c>
      <c r="I8" s="21" t="s">
        <v>36</v>
      </c>
      <c r="J8" s="22" t="s">
        <v>35</v>
      </c>
      <c r="K8" s="23" t="s">
        <v>6</v>
      </c>
      <c r="L8" s="16"/>
      <c r="M8" s="78"/>
      <c r="N8" s="78"/>
      <c r="O8" s="78"/>
      <c r="P8" s="78"/>
      <c r="Q8" s="78"/>
      <c r="R8" s="78"/>
      <c r="S8" s="78"/>
      <c r="T8" s="61" t="s">
        <v>223</v>
      </c>
      <c r="U8" s="61" t="s">
        <v>224</v>
      </c>
      <c r="V8" s="61" t="s">
        <v>222</v>
      </c>
    </row>
    <row r="9" spans="1:36">
      <c r="A9" s="66"/>
      <c r="B9" s="66"/>
      <c r="C9" s="33" t="s">
        <v>65</v>
      </c>
      <c r="D9" s="42">
        <v>3</v>
      </c>
      <c r="E9" s="42" t="str">
        <f t="shared" si="0"/>
        <v>20:18</v>
      </c>
      <c r="F9" s="44" t="s">
        <v>187</v>
      </c>
      <c r="G9" s="44" t="s">
        <v>187</v>
      </c>
      <c r="H9" s="24" t="s">
        <v>144</v>
      </c>
      <c r="I9" s="21" t="s">
        <v>36</v>
      </c>
      <c r="J9" s="22" t="s">
        <v>35</v>
      </c>
      <c r="K9" s="23" t="s">
        <v>6</v>
      </c>
      <c r="L9" s="16"/>
      <c r="M9" s="78"/>
      <c r="N9" s="78"/>
      <c r="O9" s="78"/>
      <c r="P9" s="78"/>
      <c r="Q9" s="78"/>
      <c r="R9" s="78"/>
      <c r="S9" s="78"/>
      <c r="T9" s="44" t="s">
        <v>222</v>
      </c>
      <c r="U9" s="44" t="s">
        <v>222</v>
      </c>
      <c r="V9" s="44" t="s">
        <v>222</v>
      </c>
    </row>
    <row r="10" spans="1:36">
      <c r="A10" s="66"/>
      <c r="B10" s="66"/>
      <c r="C10" s="33" t="s">
        <v>66</v>
      </c>
      <c r="D10" s="42">
        <v>3</v>
      </c>
      <c r="E10" s="42" t="str">
        <f t="shared" si="0"/>
        <v>17:15</v>
      </c>
      <c r="F10" s="44" t="s">
        <v>188</v>
      </c>
      <c r="G10" s="44" t="s">
        <v>188</v>
      </c>
      <c r="H10" s="24" t="s">
        <v>145</v>
      </c>
      <c r="I10" s="38" t="s">
        <v>36</v>
      </c>
      <c r="J10" s="39" t="s">
        <v>35</v>
      </c>
      <c r="K10" s="40" t="s">
        <v>6</v>
      </c>
      <c r="L10" s="16"/>
      <c r="M10" s="78"/>
      <c r="N10" s="78"/>
      <c r="O10" s="78"/>
      <c r="P10" s="78"/>
      <c r="Q10" s="78"/>
      <c r="R10" s="78"/>
      <c r="S10" s="78"/>
      <c r="T10" s="44" t="s">
        <v>222</v>
      </c>
      <c r="U10" s="44" t="s">
        <v>222</v>
      </c>
      <c r="V10" s="44" t="s">
        <v>222</v>
      </c>
    </row>
    <row r="11" spans="1:36" ht="15.75" customHeight="1">
      <c r="A11" s="66"/>
      <c r="B11" s="66"/>
      <c r="C11" s="33" t="s">
        <v>67</v>
      </c>
      <c r="D11" s="42">
        <v>3</v>
      </c>
      <c r="E11" s="42" t="str">
        <f t="shared" si="0"/>
        <v>14:12</v>
      </c>
      <c r="F11" s="44" t="s">
        <v>187</v>
      </c>
      <c r="G11" s="44" t="s">
        <v>187</v>
      </c>
      <c r="H11" s="24" t="s">
        <v>146</v>
      </c>
      <c r="I11" s="38" t="s">
        <v>36</v>
      </c>
      <c r="J11" s="39" t="s">
        <v>35</v>
      </c>
      <c r="K11" s="40" t="s">
        <v>6</v>
      </c>
      <c r="L11" s="16"/>
      <c r="M11" s="78"/>
      <c r="N11" s="78"/>
      <c r="O11" s="78"/>
      <c r="P11" s="78"/>
      <c r="Q11" s="78"/>
      <c r="R11" s="78"/>
      <c r="S11" s="78"/>
      <c r="T11" s="44" t="s">
        <v>222</v>
      </c>
      <c r="U11" s="44" t="s">
        <v>222</v>
      </c>
      <c r="V11" s="44" t="s">
        <v>222</v>
      </c>
    </row>
    <row r="12" spans="1:36">
      <c r="A12" s="66"/>
      <c r="B12" s="66"/>
      <c r="C12" s="33" t="s">
        <v>68</v>
      </c>
      <c r="D12" s="42">
        <v>3</v>
      </c>
      <c r="E12" s="42" t="str">
        <f t="shared" si="0"/>
        <v>11:9</v>
      </c>
      <c r="F12" s="44" t="s">
        <v>188</v>
      </c>
      <c r="G12" s="44" t="s">
        <v>188</v>
      </c>
      <c r="H12" s="24" t="s">
        <v>147</v>
      </c>
      <c r="I12" s="38" t="s">
        <v>36</v>
      </c>
      <c r="J12" s="39" t="s">
        <v>35</v>
      </c>
      <c r="K12" s="40" t="s">
        <v>6</v>
      </c>
      <c r="L12" s="37"/>
      <c r="M12" s="78"/>
      <c r="N12" s="78"/>
      <c r="O12" s="78"/>
      <c r="P12" s="78"/>
      <c r="Q12" s="78"/>
      <c r="R12" s="78"/>
      <c r="S12" s="78"/>
      <c r="T12" s="44" t="s">
        <v>222</v>
      </c>
      <c r="U12" s="44" t="s">
        <v>222</v>
      </c>
      <c r="V12" s="44" t="s">
        <v>222</v>
      </c>
      <c r="AJ12" s="35"/>
    </row>
    <row r="13" spans="1:36">
      <c r="A13" s="66"/>
      <c r="B13" s="66"/>
      <c r="C13" s="33" t="s">
        <v>69</v>
      </c>
      <c r="D13" s="42">
        <v>3</v>
      </c>
      <c r="E13" s="42" t="str">
        <f t="shared" si="0"/>
        <v>8:6</v>
      </c>
      <c r="F13" s="44" t="s">
        <v>176</v>
      </c>
      <c r="G13" s="44" t="s">
        <v>176</v>
      </c>
      <c r="H13" s="24" t="s">
        <v>148</v>
      </c>
      <c r="I13" s="38" t="s">
        <v>36</v>
      </c>
      <c r="J13" s="39" t="s">
        <v>35</v>
      </c>
      <c r="K13" s="40" t="s">
        <v>6</v>
      </c>
      <c r="L13" s="37"/>
      <c r="M13" s="78"/>
      <c r="N13" s="78"/>
      <c r="O13" s="78"/>
      <c r="P13" s="78"/>
      <c r="Q13" s="78"/>
      <c r="R13" s="78"/>
      <c r="S13" s="78"/>
      <c r="T13" s="44" t="s">
        <v>222</v>
      </c>
      <c r="U13" s="44" t="s">
        <v>223</v>
      </c>
      <c r="V13" s="44" t="s">
        <v>222</v>
      </c>
      <c r="AJ13" s="35"/>
    </row>
    <row r="14" spans="1:36" ht="15" thickBot="1">
      <c r="A14" s="66"/>
      <c r="B14" s="66"/>
      <c r="C14" s="33" t="s">
        <v>70</v>
      </c>
      <c r="D14" s="42">
        <v>6</v>
      </c>
      <c r="E14" s="42" t="str">
        <f t="shared" si="0"/>
        <v>5:0</v>
      </c>
      <c r="F14" s="44" t="s">
        <v>177</v>
      </c>
      <c r="G14" s="44" t="s">
        <v>177</v>
      </c>
      <c r="H14" s="24" t="s">
        <v>149</v>
      </c>
      <c r="I14" s="38" t="s">
        <v>36</v>
      </c>
      <c r="J14" s="39" t="s">
        <v>35</v>
      </c>
      <c r="K14" s="40" t="s">
        <v>6</v>
      </c>
      <c r="L14" s="37"/>
      <c r="M14" s="78"/>
      <c r="N14" s="78"/>
      <c r="O14" s="78"/>
      <c r="P14" s="78"/>
      <c r="Q14" s="78"/>
      <c r="R14" s="78"/>
      <c r="S14" s="78"/>
      <c r="T14" s="44" t="s">
        <v>222</v>
      </c>
      <c r="U14" s="44" t="s">
        <v>223</v>
      </c>
      <c r="V14" s="44" t="s">
        <v>222</v>
      </c>
      <c r="AJ14" s="35"/>
    </row>
    <row r="15" spans="1:36" ht="15" thickBot="1">
      <c r="A15" s="66" t="s">
        <v>53</v>
      </c>
      <c r="B15" s="66">
        <v>4</v>
      </c>
      <c r="C15" s="43" t="s">
        <v>43</v>
      </c>
      <c r="D15" s="74" t="str">
        <f>bitConcat(F16:F25)</f>
        <v>32'b01000110000110001100110011001100</v>
      </c>
      <c r="E15" s="75"/>
      <c r="F15" s="76"/>
      <c r="G15" s="76"/>
      <c r="H15" s="71" t="s">
        <v>44</v>
      </c>
      <c r="I15" s="72" t="str">
        <f>bitConcat(G16:G24)</f>
        <v>Less Than 32 bit Were defined (28)</v>
      </c>
      <c r="J15" s="73" t="str">
        <f>bitConcat(G16:G25)</f>
        <v>32'b01000100000100000000000000000000</v>
      </c>
      <c r="K15" s="71"/>
      <c r="L15" s="72"/>
      <c r="M15" s="77" t="str">
        <f>DEC2HEX(_xlfn.BITLSHIFT(O15,7)+4*P15)</f>
        <v>504</v>
      </c>
      <c r="N15" s="77"/>
      <c r="O15" s="77">
        <v>10</v>
      </c>
      <c r="P15" s="77">
        <v>1</v>
      </c>
      <c r="Q15" s="77" t="str">
        <f>DEC2HEX(_xlfn.BITLSHIFT(O15,5)+P15)</f>
        <v>141</v>
      </c>
      <c r="R15" s="77" t="str">
        <f>BIN2HEX(LEFT(RIGHT(D15,32),4))&amp;BIN2HEX(LEFT(RIGHT(D15,28),4))&amp;BIN2HEX(LEFT(RIGHT(D15,24),4))&amp;BIN2HEX(LEFT(RIGHT(D15,20),4))&amp;BIN2HEX(LEFT(RIGHT(D15,16),4))&amp;BIN2HEX(LEFT(RIGHT(D15,12),4))&amp;BIN2HEX(LEFT(RIGHT(D15,8),4))&amp;BIN2HEX(LEFT(RIGHT(D15,4),4))</f>
        <v>4618CCCC</v>
      </c>
      <c r="S15" s="77" t="str">
        <f>BIN2HEX(LEFT(RIGHT(J15,32),4))&amp;BIN2HEX(LEFT(RIGHT(J15,28),4))&amp;BIN2HEX(LEFT(RIGHT(J15,24),4))&amp;BIN2HEX(LEFT(RIGHT(J15,20),4))&amp;BIN2HEX(LEFT(RIGHT(J15,16),4))&amp;BIN2HEX(LEFT(RIGHT(J15,12),4))&amp;BIN2HEX(LEFT(RIGHT(J15,8),4))&amp;BIN2HEX(LEFT(RIGHT(J15,4),4))</f>
        <v>44100000</v>
      </c>
      <c r="T15"/>
      <c r="U15"/>
      <c r="V15"/>
      <c r="AI15" s="59"/>
      <c r="AJ15" s="35"/>
    </row>
    <row r="16" spans="1:36">
      <c r="A16" s="66"/>
      <c r="B16" s="66"/>
      <c r="C16" s="44" t="s">
        <v>71</v>
      </c>
      <c r="D16" s="42">
        <v>2</v>
      </c>
      <c r="E16" s="42" t="str">
        <f>IF(D16&gt;1,(31)&amp;":"&amp;(31-D16+1),(31-D16+1)&amp;":"&amp;(31-D16+1))</f>
        <v>31:30</v>
      </c>
      <c r="F16" s="44" t="s">
        <v>127</v>
      </c>
      <c r="G16" s="44" t="s">
        <v>127</v>
      </c>
      <c r="H16" s="41" t="s">
        <v>150</v>
      </c>
      <c r="I16" s="38" t="s">
        <v>36</v>
      </c>
      <c r="J16" s="39" t="s">
        <v>35</v>
      </c>
      <c r="K16" s="40" t="s">
        <v>6</v>
      </c>
      <c r="L16" s="37"/>
      <c r="M16" s="78"/>
      <c r="N16" s="78"/>
      <c r="O16" s="78"/>
      <c r="P16" s="78"/>
      <c r="Q16" s="78"/>
      <c r="R16" s="78"/>
      <c r="S16" s="78"/>
      <c r="T16" s="44" t="s">
        <v>222</v>
      </c>
      <c r="U16" s="44" t="s">
        <v>222</v>
      </c>
      <c r="V16" s="44" t="s">
        <v>222</v>
      </c>
      <c r="AJ16" s="35"/>
    </row>
    <row r="17" spans="1:36">
      <c r="A17" s="66"/>
      <c r="B17" s="66"/>
      <c r="C17" s="44" t="s">
        <v>72</v>
      </c>
      <c r="D17" s="42">
        <v>2</v>
      </c>
      <c r="E17" s="42" t="str">
        <f t="shared" ref="E17:E25" si="1">(MID(str_cnvt(E16),SEARCH(":",str_cnvt(E16))+1,2)-1) &amp; ":" &amp; (MID(str_cnvt(E16),SEARCH(":",str_cnvt(E16))+1,2)-D17)</f>
        <v>29:28</v>
      </c>
      <c r="F17" s="44" t="s">
        <v>190</v>
      </c>
      <c r="G17" s="44" t="s">
        <v>190</v>
      </c>
      <c r="H17" s="41" t="s">
        <v>151</v>
      </c>
      <c r="I17" s="38" t="s">
        <v>36</v>
      </c>
      <c r="J17" s="39" t="s">
        <v>35</v>
      </c>
      <c r="K17" s="40" t="s">
        <v>6</v>
      </c>
      <c r="L17" s="37"/>
      <c r="M17" s="78"/>
      <c r="N17" s="78"/>
      <c r="O17" s="78"/>
      <c r="P17" s="78"/>
      <c r="Q17" s="78"/>
      <c r="R17" s="78"/>
      <c r="S17" s="78"/>
      <c r="T17" s="44" t="s">
        <v>222</v>
      </c>
      <c r="U17" s="44" t="s">
        <v>222</v>
      </c>
      <c r="V17" s="44" t="s">
        <v>222</v>
      </c>
      <c r="AJ17" s="35"/>
    </row>
    <row r="18" spans="1:36">
      <c r="A18" s="66"/>
      <c r="B18" s="66"/>
      <c r="C18" s="44" t="s">
        <v>73</v>
      </c>
      <c r="D18" s="42">
        <v>2</v>
      </c>
      <c r="E18" s="42" t="str">
        <f t="shared" si="1"/>
        <v>27:26</v>
      </c>
      <c r="F18" s="44" t="s">
        <v>127</v>
      </c>
      <c r="G18" s="44" t="s">
        <v>127</v>
      </c>
      <c r="H18" s="24" t="s">
        <v>152</v>
      </c>
      <c r="I18" s="38" t="s">
        <v>36</v>
      </c>
      <c r="J18" s="39" t="s">
        <v>35</v>
      </c>
      <c r="K18" s="40" t="s">
        <v>6</v>
      </c>
      <c r="L18" s="37"/>
      <c r="M18" s="78"/>
      <c r="N18" s="78"/>
      <c r="O18" s="78"/>
      <c r="P18" s="78"/>
      <c r="Q18" s="78"/>
      <c r="R18" s="78"/>
      <c r="S18" s="78"/>
      <c r="T18" s="44" t="s">
        <v>222</v>
      </c>
      <c r="U18" s="44" t="s">
        <v>222</v>
      </c>
      <c r="V18" s="44" t="s">
        <v>222</v>
      </c>
    </row>
    <row r="19" spans="1:36">
      <c r="A19" s="66"/>
      <c r="B19" s="66"/>
      <c r="C19" s="33" t="s">
        <v>74</v>
      </c>
      <c r="D19" s="42">
        <v>1</v>
      </c>
      <c r="E19" s="42" t="str">
        <f t="shared" si="1"/>
        <v>25:25</v>
      </c>
      <c r="F19" s="44" t="s">
        <v>58</v>
      </c>
      <c r="G19" s="44" t="s">
        <v>7</v>
      </c>
      <c r="H19" s="24" t="s">
        <v>153</v>
      </c>
      <c r="I19" s="38" t="s">
        <v>36</v>
      </c>
      <c r="J19" s="39" t="s">
        <v>35</v>
      </c>
      <c r="K19" s="40" t="s">
        <v>6</v>
      </c>
      <c r="L19" s="37"/>
      <c r="M19" s="78"/>
      <c r="N19" s="78"/>
      <c r="O19" s="78"/>
      <c r="P19" s="78"/>
      <c r="Q19" s="78"/>
      <c r="R19" s="78"/>
      <c r="S19" s="78"/>
      <c r="T19" s="44" t="s">
        <v>223</v>
      </c>
      <c r="U19" s="44" t="s">
        <v>222</v>
      </c>
      <c r="V19" s="44" t="s">
        <v>223</v>
      </c>
    </row>
    <row r="20" spans="1:36">
      <c r="A20" s="66"/>
      <c r="B20" s="66"/>
      <c r="C20" s="33" t="s">
        <v>75</v>
      </c>
      <c r="D20" s="42">
        <v>4</v>
      </c>
      <c r="E20" s="42" t="str">
        <f t="shared" si="1"/>
        <v>24:21</v>
      </c>
      <c r="F20" s="44" t="s">
        <v>128</v>
      </c>
      <c r="G20" s="44" t="s">
        <v>128</v>
      </c>
      <c r="H20" s="24" t="s">
        <v>139</v>
      </c>
      <c r="I20" s="38" t="s">
        <v>36</v>
      </c>
      <c r="J20" s="39" t="s">
        <v>35</v>
      </c>
      <c r="K20" s="40" t="s">
        <v>6</v>
      </c>
      <c r="L20" s="37"/>
      <c r="M20" s="78"/>
      <c r="N20" s="78"/>
      <c r="O20" s="78"/>
      <c r="P20" s="78"/>
      <c r="Q20" s="78"/>
      <c r="R20" s="78"/>
      <c r="S20" s="78"/>
      <c r="T20" s="44" t="s">
        <v>223</v>
      </c>
      <c r="U20" s="44" t="s">
        <v>223</v>
      </c>
      <c r="V20" s="44" t="s">
        <v>222</v>
      </c>
    </row>
    <row r="21" spans="1:36">
      <c r="A21" s="66"/>
      <c r="B21" s="66"/>
      <c r="C21" s="33" t="s">
        <v>76</v>
      </c>
      <c r="D21" s="42">
        <v>5</v>
      </c>
      <c r="E21" s="42" t="str">
        <f t="shared" si="1"/>
        <v>20:16</v>
      </c>
      <c r="F21" s="44" t="s">
        <v>213</v>
      </c>
      <c r="G21" s="44" t="s">
        <v>191</v>
      </c>
      <c r="H21" s="24" t="s">
        <v>154</v>
      </c>
      <c r="I21" s="38" t="s">
        <v>36</v>
      </c>
      <c r="J21" s="39" t="s">
        <v>35</v>
      </c>
      <c r="K21" s="40" t="s">
        <v>6</v>
      </c>
      <c r="L21" s="37"/>
      <c r="M21" s="78"/>
      <c r="N21" s="78"/>
      <c r="O21" s="78"/>
      <c r="P21" s="78"/>
      <c r="Q21" s="78"/>
      <c r="R21" s="78"/>
      <c r="S21" s="78"/>
      <c r="T21" s="44" t="s">
        <v>222</v>
      </c>
      <c r="U21" s="44" t="s">
        <v>222</v>
      </c>
      <c r="V21" s="44" t="s">
        <v>222</v>
      </c>
    </row>
    <row r="22" spans="1:36">
      <c r="A22" s="66"/>
      <c r="B22" s="66"/>
      <c r="C22" s="33" t="s">
        <v>77</v>
      </c>
      <c r="D22" s="42">
        <v>4</v>
      </c>
      <c r="E22" s="42" t="str">
        <f t="shared" si="1"/>
        <v>15:12</v>
      </c>
      <c r="F22" s="44" t="s">
        <v>214</v>
      </c>
      <c r="G22" s="44" t="s">
        <v>128</v>
      </c>
      <c r="H22" s="24" t="s">
        <v>155</v>
      </c>
      <c r="I22" s="38" t="s">
        <v>36</v>
      </c>
      <c r="J22" s="39" t="s">
        <v>35</v>
      </c>
      <c r="K22" s="40" t="s">
        <v>6</v>
      </c>
      <c r="L22" s="37"/>
      <c r="M22" s="78"/>
      <c r="N22" s="78"/>
      <c r="O22" s="78"/>
      <c r="P22" s="78"/>
      <c r="Q22" s="78"/>
      <c r="R22" s="78"/>
      <c r="S22" s="78"/>
      <c r="T22" s="44" t="s">
        <v>222</v>
      </c>
      <c r="U22" s="44" t="s">
        <v>222</v>
      </c>
      <c r="V22" s="44" t="s">
        <v>222</v>
      </c>
    </row>
    <row r="23" spans="1:36">
      <c r="A23" s="66"/>
      <c r="B23" s="66"/>
      <c r="C23" s="33" t="s">
        <v>78</v>
      </c>
      <c r="D23" s="42">
        <v>4</v>
      </c>
      <c r="E23" s="42" t="str">
        <f t="shared" si="1"/>
        <v>11:8</v>
      </c>
      <c r="F23" s="44" t="s">
        <v>214</v>
      </c>
      <c r="G23" s="44" t="s">
        <v>128</v>
      </c>
      <c r="H23" s="24" t="s">
        <v>156</v>
      </c>
      <c r="I23" s="38" t="s">
        <v>36</v>
      </c>
      <c r="J23" s="39" t="s">
        <v>35</v>
      </c>
      <c r="K23" s="40" t="s">
        <v>6</v>
      </c>
      <c r="L23" s="37"/>
      <c r="M23" s="78"/>
      <c r="N23" s="78"/>
      <c r="O23" s="78"/>
      <c r="P23" s="78"/>
      <c r="Q23" s="78"/>
      <c r="R23" s="78"/>
      <c r="S23" s="78"/>
      <c r="T23" s="44" t="s">
        <v>222</v>
      </c>
      <c r="U23" s="44" t="s">
        <v>222</v>
      </c>
      <c r="V23" s="44" t="s">
        <v>222</v>
      </c>
    </row>
    <row r="24" spans="1:36">
      <c r="A24" s="66"/>
      <c r="B24" s="66"/>
      <c r="C24" s="33" t="s">
        <v>79</v>
      </c>
      <c r="D24" s="42">
        <v>4</v>
      </c>
      <c r="E24" s="42" t="str">
        <f t="shared" si="1"/>
        <v>7:4</v>
      </c>
      <c r="F24" s="44" t="s">
        <v>214</v>
      </c>
      <c r="G24" s="44" t="s">
        <v>128</v>
      </c>
      <c r="H24" s="24" t="s">
        <v>157</v>
      </c>
      <c r="I24" s="38" t="s">
        <v>36</v>
      </c>
      <c r="J24" s="39" t="s">
        <v>35</v>
      </c>
      <c r="K24" s="40" t="s">
        <v>6</v>
      </c>
      <c r="L24" s="37"/>
      <c r="M24" s="78"/>
      <c r="N24" s="78"/>
      <c r="O24" s="78"/>
      <c r="P24" s="78"/>
      <c r="Q24" s="78"/>
      <c r="R24" s="78"/>
      <c r="S24" s="78"/>
      <c r="T24" s="44" t="s">
        <v>222</v>
      </c>
      <c r="U24" s="44" t="s">
        <v>222</v>
      </c>
      <c r="V24" s="44" t="s">
        <v>222</v>
      </c>
    </row>
    <row r="25" spans="1:36" ht="15.75" customHeight="1" thickBot="1">
      <c r="A25" s="66"/>
      <c r="B25" s="66"/>
      <c r="C25" s="33" t="s">
        <v>80</v>
      </c>
      <c r="D25" s="42">
        <v>4</v>
      </c>
      <c r="E25" s="42" t="str">
        <f t="shared" si="1"/>
        <v>3:0</v>
      </c>
      <c r="F25" s="44" t="s">
        <v>214</v>
      </c>
      <c r="G25" s="44" t="s">
        <v>128</v>
      </c>
      <c r="H25" s="24" t="s">
        <v>158</v>
      </c>
      <c r="I25" s="38" t="s">
        <v>36</v>
      </c>
      <c r="J25" s="39" t="s">
        <v>35</v>
      </c>
      <c r="K25" s="40" t="s">
        <v>6</v>
      </c>
      <c r="L25" s="37"/>
      <c r="M25" s="78"/>
      <c r="N25" s="78"/>
      <c r="O25" s="78"/>
      <c r="P25" s="78"/>
      <c r="Q25" s="78"/>
      <c r="R25" s="78"/>
      <c r="S25" s="78"/>
      <c r="T25" s="44" t="s">
        <v>222</v>
      </c>
      <c r="U25" s="44" t="s">
        <v>222</v>
      </c>
      <c r="V25" s="44" t="s">
        <v>222</v>
      </c>
    </row>
    <row r="26" spans="1:36" ht="15" thickBot="1">
      <c r="A26" s="66" t="s">
        <v>54</v>
      </c>
      <c r="B26" s="66">
        <v>8</v>
      </c>
      <c r="C26" s="43" t="s">
        <v>43</v>
      </c>
      <c r="D26" s="74" t="str">
        <f>bitConcat(F27:F36)</f>
        <v>32'b00010010000000110000110000110000</v>
      </c>
      <c r="E26" s="75"/>
      <c r="F26" s="76"/>
      <c r="G26" s="76"/>
      <c r="H26" s="71" t="s">
        <v>44</v>
      </c>
      <c r="I26" s="72" t="str">
        <f>bitConcat(G27:G36)</f>
        <v>32'b00010010000000100000000000000000</v>
      </c>
      <c r="J26" s="73" t="str">
        <f>bitConcat(G27:G36)</f>
        <v>32'b00010010000000100000000000000000</v>
      </c>
      <c r="K26" s="71"/>
      <c r="L26" s="72"/>
      <c r="M26" s="77" t="str">
        <f>DEC2HEX(_xlfn.BITLSHIFT(O26,7)+4*P26)</f>
        <v>508</v>
      </c>
      <c r="N26" s="77"/>
      <c r="O26" s="77">
        <v>10</v>
      </c>
      <c r="P26" s="77">
        <v>2</v>
      </c>
      <c r="Q26" s="77" t="str">
        <f>DEC2HEX(_xlfn.BITLSHIFT(O26,5)+P26)</f>
        <v>142</v>
      </c>
      <c r="R26" s="77" t="str">
        <f>BIN2HEX(LEFT(RIGHT(D26,32),4))&amp;BIN2HEX(LEFT(RIGHT(D26,28),4))&amp;BIN2HEX(LEFT(RIGHT(D26,24),4))&amp;BIN2HEX(LEFT(RIGHT(D26,20),4))&amp;BIN2HEX(LEFT(RIGHT(D26,16),4))&amp;BIN2HEX(LEFT(RIGHT(D26,12),4))&amp;BIN2HEX(LEFT(RIGHT(D26,8),4))&amp;BIN2HEX(LEFT(RIGHT(D26,4),4))</f>
        <v>12030C30</v>
      </c>
      <c r="S26" s="77" t="str">
        <f>BIN2HEX(LEFT(RIGHT(J26,32),4))&amp;BIN2HEX(LEFT(RIGHT(J26,28),4))&amp;BIN2HEX(LEFT(RIGHT(J26,24),4))&amp;BIN2HEX(LEFT(RIGHT(J26,20),4))&amp;BIN2HEX(LEFT(RIGHT(J26,16),4))&amp;BIN2HEX(LEFT(RIGHT(J26,12),4))&amp;BIN2HEX(LEFT(RIGHT(J26,8),4))&amp;BIN2HEX(LEFT(RIGHT(J26,4),4))</f>
        <v>12020000</v>
      </c>
      <c r="T26"/>
      <c r="U26"/>
      <c r="V26"/>
    </row>
    <row r="27" spans="1:36">
      <c r="A27" s="66"/>
      <c r="B27" s="66"/>
      <c r="C27" s="44" t="s">
        <v>81</v>
      </c>
      <c r="D27" s="62">
        <v>2</v>
      </c>
      <c r="E27" s="42" t="str">
        <f>IF(D27&gt;1,(31)&amp;":"&amp;(31-D27+1),(31-D27+1)&amp;":"&amp;(31-D27+1))</f>
        <v>31:30</v>
      </c>
      <c r="F27" s="44" t="s">
        <v>190</v>
      </c>
      <c r="G27" s="44" t="s">
        <v>190</v>
      </c>
      <c r="H27" s="41" t="s">
        <v>138</v>
      </c>
      <c r="I27" s="38" t="s">
        <v>36</v>
      </c>
      <c r="J27" s="39" t="s">
        <v>35</v>
      </c>
      <c r="K27" s="40" t="s">
        <v>6</v>
      </c>
      <c r="L27" s="37"/>
      <c r="M27" s="78"/>
      <c r="N27" s="78"/>
      <c r="O27" s="78"/>
      <c r="P27" s="78"/>
      <c r="Q27" s="78"/>
      <c r="R27" s="78"/>
      <c r="S27" s="78"/>
      <c r="T27" s="44" t="s">
        <v>222</v>
      </c>
      <c r="U27" s="44" t="s">
        <v>222</v>
      </c>
      <c r="V27" s="44" t="s">
        <v>222</v>
      </c>
      <c r="AJ27" s="34"/>
    </row>
    <row r="28" spans="1:36">
      <c r="A28" s="66"/>
      <c r="B28" s="66"/>
      <c r="C28" s="44" t="s">
        <v>82</v>
      </c>
      <c r="D28" s="42">
        <v>2</v>
      </c>
      <c r="E28" s="42" t="str">
        <f t="shared" ref="E28:E36" si="2">(MID(str_cnvt(E27),SEARCH(":",str_cnvt(E27))+1,2)-1) &amp; ":" &amp; (MID(str_cnvt(E27),SEARCH(":",str_cnvt(E27))+1,2)-D28)</f>
        <v>29:28</v>
      </c>
      <c r="F28" s="44" t="s">
        <v>127</v>
      </c>
      <c r="G28" s="44" t="s">
        <v>127</v>
      </c>
      <c r="H28" s="41" t="s">
        <v>150</v>
      </c>
      <c r="I28" s="38" t="s">
        <v>36</v>
      </c>
      <c r="J28" s="39" t="s">
        <v>35</v>
      </c>
      <c r="K28" s="40" t="s">
        <v>6</v>
      </c>
      <c r="L28" s="37"/>
      <c r="M28" s="78"/>
      <c r="N28" s="78"/>
      <c r="O28" s="78"/>
      <c r="P28" s="78"/>
      <c r="Q28" s="78"/>
      <c r="R28" s="78"/>
      <c r="S28" s="78"/>
      <c r="T28" s="44" t="s">
        <v>222</v>
      </c>
      <c r="U28" s="44" t="s">
        <v>222</v>
      </c>
      <c r="V28" s="44" t="s">
        <v>222</v>
      </c>
    </row>
    <row r="29" spans="1:36">
      <c r="A29" s="66"/>
      <c r="B29" s="66"/>
      <c r="C29" s="44" t="s">
        <v>83</v>
      </c>
      <c r="D29" s="42">
        <v>2</v>
      </c>
      <c r="E29" s="42" t="str">
        <f t="shared" si="2"/>
        <v>27:26</v>
      </c>
      <c r="F29" s="44" t="s">
        <v>190</v>
      </c>
      <c r="G29" s="44" t="s">
        <v>190</v>
      </c>
      <c r="H29" s="41" t="s">
        <v>151</v>
      </c>
      <c r="I29" s="38" t="s">
        <v>36</v>
      </c>
      <c r="J29" s="39" t="s">
        <v>35</v>
      </c>
      <c r="K29" s="40" t="s">
        <v>6</v>
      </c>
      <c r="L29" s="37"/>
      <c r="M29" s="78"/>
      <c r="N29" s="78"/>
      <c r="O29" s="78"/>
      <c r="P29" s="78"/>
      <c r="Q29" s="78"/>
      <c r="R29" s="78"/>
      <c r="S29" s="78"/>
      <c r="T29" s="44" t="s">
        <v>222</v>
      </c>
      <c r="U29" s="44" t="s">
        <v>222</v>
      </c>
      <c r="V29" s="44" t="s">
        <v>222</v>
      </c>
    </row>
    <row r="30" spans="1:36" s="34" customFormat="1">
      <c r="A30" s="66"/>
      <c r="B30" s="66"/>
      <c r="C30" s="63" t="s">
        <v>216</v>
      </c>
      <c r="D30" s="62">
        <v>1</v>
      </c>
      <c r="E30" s="42" t="str">
        <f t="shared" si="2"/>
        <v>25:25</v>
      </c>
      <c r="F30" s="44" t="s">
        <v>58</v>
      </c>
      <c r="G30" s="44" t="s">
        <v>58</v>
      </c>
      <c r="H30" s="24"/>
      <c r="I30" s="38" t="s">
        <v>36</v>
      </c>
      <c r="J30" s="39" t="s">
        <v>35</v>
      </c>
      <c r="K30" s="40" t="s">
        <v>6</v>
      </c>
      <c r="L30" s="37"/>
      <c r="M30" s="78"/>
      <c r="N30" s="78"/>
      <c r="O30" s="78"/>
      <c r="P30" s="78"/>
      <c r="Q30" s="78"/>
      <c r="R30" s="78"/>
      <c r="S30" s="78"/>
      <c r="T30" s="44" t="s">
        <v>222</v>
      </c>
      <c r="U30" s="44" t="s">
        <v>223</v>
      </c>
      <c r="V30" s="44" t="s">
        <v>222</v>
      </c>
      <c r="W30"/>
      <c r="X30"/>
      <c r="Y30"/>
      <c r="Z30"/>
      <c r="AA30"/>
      <c r="AB30"/>
      <c r="AC30"/>
      <c r="AD30"/>
      <c r="AE30"/>
      <c r="AF30"/>
      <c r="AG30"/>
      <c r="AH30"/>
      <c r="AI30" s="56"/>
    </row>
    <row r="31" spans="1:36">
      <c r="A31" s="66"/>
      <c r="B31" s="66"/>
      <c r="C31" s="33" t="s">
        <v>84</v>
      </c>
      <c r="D31" s="62">
        <v>6</v>
      </c>
      <c r="E31" s="42" t="str">
        <f t="shared" si="2"/>
        <v>24:19</v>
      </c>
      <c r="F31" s="44" t="s">
        <v>217</v>
      </c>
      <c r="G31" s="44" t="s">
        <v>217</v>
      </c>
      <c r="H31" s="24" t="s">
        <v>154</v>
      </c>
      <c r="I31" s="38" t="s">
        <v>36</v>
      </c>
      <c r="J31" s="39" t="s">
        <v>35</v>
      </c>
      <c r="K31" s="40" t="s">
        <v>6</v>
      </c>
      <c r="L31" s="37"/>
      <c r="M31" s="78"/>
      <c r="N31" s="78"/>
      <c r="O31" s="78"/>
      <c r="P31" s="78"/>
      <c r="Q31" s="78"/>
      <c r="R31" s="78"/>
      <c r="S31" s="78"/>
      <c r="T31" s="44" t="s">
        <v>222</v>
      </c>
      <c r="U31" s="44" t="s">
        <v>223</v>
      </c>
      <c r="V31" s="44" t="s">
        <v>222</v>
      </c>
    </row>
    <row r="32" spans="1:36">
      <c r="A32" s="66"/>
      <c r="B32" s="66"/>
      <c r="C32" s="33" t="s">
        <v>85</v>
      </c>
      <c r="D32" s="42">
        <v>2</v>
      </c>
      <c r="E32" s="42" t="str">
        <f t="shared" si="2"/>
        <v>18:17</v>
      </c>
      <c r="F32" s="44" t="s">
        <v>127</v>
      </c>
      <c r="G32" s="44" t="s">
        <v>127</v>
      </c>
      <c r="H32" s="24" t="s">
        <v>152</v>
      </c>
      <c r="I32" s="38" t="s">
        <v>36</v>
      </c>
      <c r="J32" s="39" t="s">
        <v>35</v>
      </c>
      <c r="K32" s="40" t="s">
        <v>6</v>
      </c>
      <c r="L32" s="37"/>
      <c r="M32" s="78"/>
      <c r="N32" s="78"/>
      <c r="O32" s="78"/>
      <c r="P32" s="78"/>
      <c r="Q32" s="78"/>
      <c r="R32" s="78"/>
      <c r="S32" s="78"/>
      <c r="T32" s="44" t="s">
        <v>222</v>
      </c>
      <c r="U32" s="44" t="s">
        <v>222</v>
      </c>
      <c r="V32" s="44" t="s">
        <v>222</v>
      </c>
    </row>
    <row r="33" spans="1:36">
      <c r="A33" s="66"/>
      <c r="B33" s="66"/>
      <c r="C33" s="33" t="s">
        <v>86</v>
      </c>
      <c r="D33" s="42">
        <v>1</v>
      </c>
      <c r="E33" s="42" t="str">
        <f t="shared" si="2"/>
        <v>16:16</v>
      </c>
      <c r="F33" s="44" t="s">
        <v>58</v>
      </c>
      <c r="G33" s="44" t="s">
        <v>7</v>
      </c>
      <c r="H33" s="24" t="s">
        <v>153</v>
      </c>
      <c r="I33" s="38" t="s">
        <v>36</v>
      </c>
      <c r="J33" s="39" t="s">
        <v>35</v>
      </c>
      <c r="K33" s="40" t="s">
        <v>6</v>
      </c>
      <c r="L33" s="37"/>
      <c r="M33" s="78"/>
      <c r="N33" s="78"/>
      <c r="O33" s="78"/>
      <c r="P33" s="78"/>
      <c r="Q33" s="78"/>
      <c r="R33" s="78"/>
      <c r="S33" s="78"/>
      <c r="T33" s="44" t="s">
        <v>223</v>
      </c>
      <c r="U33" s="44" t="s">
        <v>222</v>
      </c>
      <c r="V33" s="44" t="s">
        <v>223</v>
      </c>
    </row>
    <row r="34" spans="1:36">
      <c r="A34" s="66"/>
      <c r="B34" s="66"/>
      <c r="C34" s="33" t="s">
        <v>87</v>
      </c>
      <c r="D34" s="42">
        <v>4</v>
      </c>
      <c r="E34" s="42" t="str">
        <f t="shared" si="2"/>
        <v>15:12</v>
      </c>
      <c r="F34" s="44" t="s">
        <v>128</v>
      </c>
      <c r="G34" s="44" t="s">
        <v>128</v>
      </c>
      <c r="H34" s="24" t="s">
        <v>139</v>
      </c>
      <c r="I34" s="38" t="s">
        <v>36</v>
      </c>
      <c r="J34" s="39" t="s">
        <v>35</v>
      </c>
      <c r="K34" s="40" t="s">
        <v>6</v>
      </c>
      <c r="L34" s="37"/>
      <c r="M34" s="78"/>
      <c r="N34" s="78"/>
      <c r="O34" s="78"/>
      <c r="P34" s="78"/>
      <c r="Q34" s="78"/>
      <c r="R34" s="78"/>
      <c r="S34" s="78"/>
      <c r="T34" s="44" t="s">
        <v>223</v>
      </c>
      <c r="U34" s="44" t="s">
        <v>223</v>
      </c>
      <c r="V34" s="44" t="s">
        <v>222</v>
      </c>
    </row>
    <row r="35" spans="1:36">
      <c r="A35" s="66"/>
      <c r="B35" s="66"/>
      <c r="C35" s="33" t="s">
        <v>88</v>
      </c>
      <c r="D35" s="42">
        <v>6</v>
      </c>
      <c r="E35" s="42" t="str">
        <f t="shared" si="2"/>
        <v>11:6</v>
      </c>
      <c r="F35" s="44" t="s">
        <v>215</v>
      </c>
      <c r="G35" s="44" t="s">
        <v>192</v>
      </c>
      <c r="H35" s="24" t="s">
        <v>159</v>
      </c>
      <c r="I35" s="38" t="s">
        <v>36</v>
      </c>
      <c r="J35" s="39" t="s">
        <v>35</v>
      </c>
      <c r="K35" s="40" t="s">
        <v>6</v>
      </c>
      <c r="L35" s="37"/>
      <c r="M35" s="78"/>
      <c r="N35" s="78"/>
      <c r="O35" s="78"/>
      <c r="P35" s="78"/>
      <c r="Q35" s="78"/>
      <c r="R35" s="78"/>
      <c r="S35" s="78"/>
      <c r="T35" s="44" t="s">
        <v>222</v>
      </c>
      <c r="U35" s="44" t="s">
        <v>223</v>
      </c>
      <c r="V35" s="44" t="s">
        <v>223</v>
      </c>
    </row>
    <row r="36" spans="1:36" ht="15" thickBot="1">
      <c r="A36" s="66"/>
      <c r="B36" s="66"/>
      <c r="C36" s="33" t="s">
        <v>89</v>
      </c>
      <c r="D36" s="42">
        <v>6</v>
      </c>
      <c r="E36" s="42" t="str">
        <f t="shared" si="2"/>
        <v>5:0</v>
      </c>
      <c r="F36" s="44" t="s">
        <v>215</v>
      </c>
      <c r="G36" s="44" t="s">
        <v>192</v>
      </c>
      <c r="H36" s="24" t="s">
        <v>160</v>
      </c>
      <c r="I36" s="38" t="s">
        <v>36</v>
      </c>
      <c r="J36" s="39" t="s">
        <v>35</v>
      </c>
      <c r="K36" s="40" t="s">
        <v>6</v>
      </c>
      <c r="L36" s="37"/>
      <c r="M36" s="78"/>
      <c r="N36" s="78"/>
      <c r="O36" s="78"/>
      <c r="P36" s="78"/>
      <c r="Q36" s="78"/>
      <c r="R36" s="78"/>
      <c r="S36" s="78"/>
      <c r="T36" s="44" t="s">
        <v>222</v>
      </c>
      <c r="U36" s="44" t="s">
        <v>223</v>
      </c>
      <c r="V36" s="44" t="s">
        <v>223</v>
      </c>
    </row>
    <row r="37" spans="1:36" ht="15" customHeight="1" thickBot="1">
      <c r="A37" s="66" t="s">
        <v>55</v>
      </c>
      <c r="B37" s="66" t="s">
        <v>134</v>
      </c>
      <c r="C37" s="43" t="s">
        <v>43</v>
      </c>
      <c r="D37" s="79" t="str">
        <f>bitConcat(F38:F47)</f>
        <v>32'b00010010000000110000110000110000</v>
      </c>
      <c r="E37" s="75"/>
      <c r="F37" s="75"/>
      <c r="G37" s="75"/>
      <c r="H37" s="71" t="s">
        <v>44</v>
      </c>
      <c r="I37" s="72" t="str">
        <f>bitConcat(G38:G47)</f>
        <v>32'b00010010000000100000000000000000</v>
      </c>
      <c r="J37" s="73" t="str">
        <f>bitConcat(G38:G47)</f>
        <v>32'b00010010000000100000000000000000</v>
      </c>
      <c r="K37" s="71"/>
      <c r="L37" s="72"/>
      <c r="M37" s="77" t="str">
        <f>DEC2HEX(_xlfn.BITLSHIFT(O37,7)+4*P37)</f>
        <v>50C</v>
      </c>
      <c r="N37" s="77"/>
      <c r="O37" s="77">
        <v>10</v>
      </c>
      <c r="P37" s="77">
        <v>3</v>
      </c>
      <c r="Q37" s="77" t="str">
        <f>DEC2HEX(_xlfn.BITLSHIFT(O37,5)+P37)</f>
        <v>143</v>
      </c>
      <c r="R37" s="77" t="str">
        <f>BIN2HEX(LEFT(RIGHT(D37,32),4))&amp;BIN2HEX(LEFT(RIGHT(D37,28),4))&amp;BIN2HEX(LEFT(RIGHT(D37,24),4))&amp;BIN2HEX(LEFT(RIGHT(D37,20),4))&amp;BIN2HEX(LEFT(RIGHT(D37,16),4))&amp;BIN2HEX(LEFT(RIGHT(D37,12),4))&amp;BIN2HEX(LEFT(RIGHT(D37,8),4))&amp;BIN2HEX(LEFT(RIGHT(D37,4),4))</f>
        <v>12030C30</v>
      </c>
      <c r="S37" s="77" t="str">
        <f>BIN2HEX(LEFT(RIGHT(J37,32),4))&amp;BIN2HEX(LEFT(RIGHT(J37,28),4))&amp;BIN2HEX(LEFT(RIGHT(J37,24),4))&amp;BIN2HEX(LEFT(RIGHT(J37,20),4))&amp;BIN2HEX(LEFT(RIGHT(J37,16),4))&amp;BIN2HEX(LEFT(RIGHT(J37,12),4))&amp;BIN2HEX(LEFT(RIGHT(J37,8),4))&amp;BIN2HEX(LEFT(RIGHT(J37,4),4))</f>
        <v>12020000</v>
      </c>
      <c r="T37"/>
      <c r="U37"/>
      <c r="V37"/>
    </row>
    <row r="38" spans="1:36">
      <c r="A38" s="66"/>
      <c r="B38" s="66"/>
      <c r="C38" s="44" t="s">
        <v>90</v>
      </c>
      <c r="D38" s="62">
        <v>2</v>
      </c>
      <c r="E38" s="42" t="str">
        <f>IF(D38&gt;1,(31)&amp;":"&amp;(31-D38+1),(31-D38+1)&amp;":"&amp;(31-D38+1))</f>
        <v>31:30</v>
      </c>
      <c r="F38" s="44" t="s">
        <v>190</v>
      </c>
      <c r="G38" s="44" t="s">
        <v>190</v>
      </c>
      <c r="H38" s="41" t="s">
        <v>138</v>
      </c>
      <c r="I38" s="38" t="s">
        <v>36</v>
      </c>
      <c r="J38" s="39" t="s">
        <v>35</v>
      </c>
      <c r="K38" s="40" t="s">
        <v>6</v>
      </c>
      <c r="L38" s="37"/>
      <c r="M38" s="78"/>
      <c r="N38" s="78"/>
      <c r="O38" s="78"/>
      <c r="P38" s="78"/>
      <c r="Q38" s="78"/>
      <c r="R38" s="78"/>
      <c r="S38" s="78"/>
      <c r="T38" s="44" t="s">
        <v>222</v>
      </c>
      <c r="U38" s="44" t="s">
        <v>222</v>
      </c>
      <c r="V38" s="44" t="s">
        <v>222</v>
      </c>
      <c r="AJ38" s="34"/>
    </row>
    <row r="39" spans="1:36">
      <c r="A39" s="66"/>
      <c r="B39" s="66"/>
      <c r="C39" s="44" t="s">
        <v>91</v>
      </c>
      <c r="D39" s="42">
        <v>2</v>
      </c>
      <c r="E39" s="42" t="str">
        <f t="shared" ref="E39:E47" si="3">(MID(str_cnvt(E38),SEARCH(":",str_cnvt(E38))+1,2)-1) &amp; ":" &amp; (MID(str_cnvt(E38),SEARCH(":",str_cnvt(E38))+1,2)-D39)</f>
        <v>29:28</v>
      </c>
      <c r="F39" s="44" t="s">
        <v>127</v>
      </c>
      <c r="G39" s="44" t="s">
        <v>127</v>
      </c>
      <c r="H39" s="41" t="s">
        <v>150</v>
      </c>
      <c r="I39" s="38" t="s">
        <v>36</v>
      </c>
      <c r="J39" s="39" t="s">
        <v>35</v>
      </c>
      <c r="K39" s="40" t="s">
        <v>6</v>
      </c>
      <c r="L39" s="37"/>
      <c r="M39" s="78"/>
      <c r="N39" s="78"/>
      <c r="O39" s="78"/>
      <c r="P39" s="78"/>
      <c r="Q39" s="78"/>
      <c r="R39" s="78"/>
      <c r="S39" s="78"/>
      <c r="T39" s="44" t="s">
        <v>222</v>
      </c>
      <c r="U39" s="44" t="s">
        <v>222</v>
      </c>
      <c r="V39" s="44" t="s">
        <v>222</v>
      </c>
    </row>
    <row r="40" spans="1:36" ht="15.75" customHeight="1">
      <c r="A40" s="66"/>
      <c r="B40" s="66"/>
      <c r="C40" s="44" t="s">
        <v>92</v>
      </c>
      <c r="D40" s="42">
        <v>2</v>
      </c>
      <c r="E40" s="42" t="str">
        <f t="shared" si="3"/>
        <v>27:26</v>
      </c>
      <c r="F40" s="44" t="s">
        <v>190</v>
      </c>
      <c r="G40" s="44" t="s">
        <v>190</v>
      </c>
      <c r="H40" s="41" t="s">
        <v>151</v>
      </c>
      <c r="I40" s="38" t="s">
        <v>36</v>
      </c>
      <c r="J40" s="39" t="s">
        <v>35</v>
      </c>
      <c r="K40" s="40" t="s">
        <v>6</v>
      </c>
      <c r="L40" s="37"/>
      <c r="M40" s="78"/>
      <c r="N40" s="78"/>
      <c r="O40" s="78"/>
      <c r="P40" s="78"/>
      <c r="Q40" s="78"/>
      <c r="R40" s="78"/>
      <c r="S40" s="78"/>
      <c r="T40" s="44" t="s">
        <v>222</v>
      </c>
      <c r="U40" s="44" t="s">
        <v>222</v>
      </c>
      <c r="V40" s="44" t="s">
        <v>222</v>
      </c>
    </row>
    <row r="41" spans="1:36" s="34" customFormat="1" ht="15.75" customHeight="1">
      <c r="A41" s="66"/>
      <c r="B41" s="66"/>
      <c r="C41" s="63" t="s">
        <v>218</v>
      </c>
      <c r="D41" s="62">
        <v>1</v>
      </c>
      <c r="E41" s="42" t="str">
        <f t="shared" si="3"/>
        <v>25:25</v>
      </c>
      <c r="F41" s="44" t="s">
        <v>58</v>
      </c>
      <c r="G41" s="44" t="s">
        <v>58</v>
      </c>
      <c r="H41" s="24"/>
      <c r="I41" s="38" t="s">
        <v>36</v>
      </c>
      <c r="J41" s="39" t="s">
        <v>35</v>
      </c>
      <c r="K41" s="40" t="s">
        <v>6</v>
      </c>
      <c r="L41" s="37"/>
      <c r="M41" s="78"/>
      <c r="N41" s="78"/>
      <c r="O41" s="78"/>
      <c r="P41" s="78"/>
      <c r="Q41" s="78"/>
      <c r="R41" s="78"/>
      <c r="S41" s="78"/>
      <c r="T41" s="44" t="s">
        <v>222</v>
      </c>
      <c r="U41" s="44" t="s">
        <v>223</v>
      </c>
      <c r="V41" s="44" t="s">
        <v>222</v>
      </c>
      <c r="W41"/>
      <c r="X41"/>
      <c r="Y41"/>
      <c r="Z41"/>
      <c r="AA41"/>
      <c r="AB41"/>
      <c r="AC41"/>
      <c r="AD41"/>
      <c r="AE41"/>
      <c r="AF41"/>
      <c r="AG41"/>
      <c r="AH41"/>
      <c r="AI41" s="56"/>
    </row>
    <row r="42" spans="1:36">
      <c r="A42" s="66"/>
      <c r="B42" s="66"/>
      <c r="C42" s="33" t="s">
        <v>93</v>
      </c>
      <c r="D42" s="62">
        <v>6</v>
      </c>
      <c r="E42" s="42" t="str">
        <f t="shared" si="3"/>
        <v>24:19</v>
      </c>
      <c r="F42" s="44" t="s">
        <v>217</v>
      </c>
      <c r="G42" s="44" t="s">
        <v>217</v>
      </c>
      <c r="H42" s="24" t="s">
        <v>154</v>
      </c>
      <c r="I42" s="38" t="s">
        <v>36</v>
      </c>
      <c r="J42" s="39" t="s">
        <v>35</v>
      </c>
      <c r="K42" s="40" t="s">
        <v>6</v>
      </c>
      <c r="L42" s="37"/>
      <c r="M42" s="78"/>
      <c r="N42" s="78"/>
      <c r="O42" s="78"/>
      <c r="P42" s="78"/>
      <c r="Q42" s="78"/>
      <c r="R42" s="78"/>
      <c r="S42" s="78"/>
      <c r="T42" s="44" t="s">
        <v>222</v>
      </c>
      <c r="U42" s="44" t="s">
        <v>223</v>
      </c>
      <c r="V42" s="44" t="s">
        <v>222</v>
      </c>
    </row>
    <row r="43" spans="1:36">
      <c r="A43" s="66"/>
      <c r="B43" s="66"/>
      <c r="C43" s="33" t="s">
        <v>94</v>
      </c>
      <c r="D43" s="42">
        <v>2</v>
      </c>
      <c r="E43" s="42" t="str">
        <f t="shared" si="3"/>
        <v>18:17</v>
      </c>
      <c r="F43" s="44" t="s">
        <v>127</v>
      </c>
      <c r="G43" s="44" t="s">
        <v>127</v>
      </c>
      <c r="H43" s="24" t="s">
        <v>152</v>
      </c>
      <c r="I43" s="38" t="s">
        <v>36</v>
      </c>
      <c r="J43" s="39" t="s">
        <v>35</v>
      </c>
      <c r="K43" s="40" t="s">
        <v>6</v>
      </c>
      <c r="L43" s="37"/>
      <c r="M43" s="78"/>
      <c r="N43" s="78"/>
      <c r="O43" s="78"/>
      <c r="P43" s="78"/>
      <c r="Q43" s="78"/>
      <c r="R43" s="78"/>
      <c r="S43" s="78"/>
      <c r="T43" s="44" t="s">
        <v>222</v>
      </c>
      <c r="U43" s="44" t="s">
        <v>222</v>
      </c>
      <c r="V43" s="44" t="s">
        <v>222</v>
      </c>
    </row>
    <row r="44" spans="1:36">
      <c r="A44" s="66"/>
      <c r="B44" s="66"/>
      <c r="C44" s="33" t="s">
        <v>95</v>
      </c>
      <c r="D44" s="42">
        <v>1</v>
      </c>
      <c r="E44" s="42" t="str">
        <f t="shared" si="3"/>
        <v>16:16</v>
      </c>
      <c r="F44" s="44" t="s">
        <v>58</v>
      </c>
      <c r="G44" s="44" t="s">
        <v>7</v>
      </c>
      <c r="H44" s="24" t="s">
        <v>153</v>
      </c>
      <c r="I44" s="38" t="s">
        <v>36</v>
      </c>
      <c r="J44" s="39" t="s">
        <v>35</v>
      </c>
      <c r="K44" s="40" t="s">
        <v>6</v>
      </c>
      <c r="L44" s="37"/>
      <c r="M44" s="78"/>
      <c r="N44" s="78"/>
      <c r="O44" s="78"/>
      <c r="P44" s="78"/>
      <c r="Q44" s="78"/>
      <c r="R44" s="78"/>
      <c r="S44" s="78"/>
      <c r="T44" s="44" t="s">
        <v>223</v>
      </c>
      <c r="U44" s="44" t="s">
        <v>222</v>
      </c>
      <c r="V44" s="44" t="s">
        <v>223</v>
      </c>
    </row>
    <row r="45" spans="1:36">
      <c r="A45" s="66"/>
      <c r="B45" s="66"/>
      <c r="C45" s="33" t="s">
        <v>96</v>
      </c>
      <c r="D45" s="42">
        <v>4</v>
      </c>
      <c r="E45" s="42" t="str">
        <f t="shared" si="3"/>
        <v>15:12</v>
      </c>
      <c r="F45" s="44" t="s">
        <v>128</v>
      </c>
      <c r="G45" s="44" t="s">
        <v>128</v>
      </c>
      <c r="H45" s="24" t="s">
        <v>139</v>
      </c>
      <c r="I45" s="38" t="s">
        <v>36</v>
      </c>
      <c r="J45" s="39" t="s">
        <v>35</v>
      </c>
      <c r="K45" s="40" t="s">
        <v>6</v>
      </c>
      <c r="L45" s="37"/>
      <c r="M45" s="78"/>
      <c r="N45" s="78"/>
      <c r="O45" s="78"/>
      <c r="P45" s="78"/>
      <c r="Q45" s="78"/>
      <c r="R45" s="78"/>
      <c r="S45" s="78"/>
      <c r="T45" s="44" t="s">
        <v>223</v>
      </c>
      <c r="U45" s="44" t="s">
        <v>223</v>
      </c>
      <c r="V45" s="44" t="s">
        <v>222</v>
      </c>
    </row>
    <row r="46" spans="1:36">
      <c r="A46" s="66"/>
      <c r="B46" s="66"/>
      <c r="C46" s="33" t="s">
        <v>97</v>
      </c>
      <c r="D46" s="42">
        <v>6</v>
      </c>
      <c r="E46" s="42" t="str">
        <f t="shared" si="3"/>
        <v>11:6</v>
      </c>
      <c r="F46" s="44" t="s">
        <v>215</v>
      </c>
      <c r="G46" s="44" t="s">
        <v>192</v>
      </c>
      <c r="H46" s="24" t="s">
        <v>159</v>
      </c>
      <c r="I46" s="38" t="s">
        <v>36</v>
      </c>
      <c r="J46" s="39" t="s">
        <v>35</v>
      </c>
      <c r="K46" s="40" t="s">
        <v>6</v>
      </c>
      <c r="L46" s="37"/>
      <c r="M46" s="78"/>
      <c r="N46" s="78"/>
      <c r="O46" s="78"/>
      <c r="P46" s="78"/>
      <c r="Q46" s="78"/>
      <c r="R46" s="78"/>
      <c r="S46" s="78"/>
      <c r="T46" s="44" t="s">
        <v>222</v>
      </c>
      <c r="U46" s="44" t="s">
        <v>223</v>
      </c>
      <c r="V46" s="44" t="s">
        <v>223</v>
      </c>
    </row>
    <row r="47" spans="1:36" ht="15" thickBot="1">
      <c r="A47" s="66"/>
      <c r="B47" s="66"/>
      <c r="C47" s="33" t="s">
        <v>98</v>
      </c>
      <c r="D47" s="42">
        <v>6</v>
      </c>
      <c r="E47" s="42" t="str">
        <f t="shared" si="3"/>
        <v>5:0</v>
      </c>
      <c r="F47" s="44" t="s">
        <v>215</v>
      </c>
      <c r="G47" s="44" t="s">
        <v>192</v>
      </c>
      <c r="H47" s="24" t="s">
        <v>160</v>
      </c>
      <c r="I47" s="38" t="s">
        <v>36</v>
      </c>
      <c r="J47" s="39" t="s">
        <v>35</v>
      </c>
      <c r="K47" s="40" t="s">
        <v>6</v>
      </c>
      <c r="L47" s="37"/>
      <c r="M47" s="78"/>
      <c r="N47" s="78"/>
      <c r="O47" s="78"/>
      <c r="P47" s="78"/>
      <c r="Q47" s="78"/>
      <c r="R47" s="78"/>
      <c r="S47" s="78"/>
      <c r="T47" s="44" t="s">
        <v>222</v>
      </c>
      <c r="U47" s="44" t="s">
        <v>223</v>
      </c>
      <c r="V47" s="44" t="s">
        <v>223</v>
      </c>
    </row>
    <row r="48" spans="1:36" ht="15" thickBot="1">
      <c r="A48" s="66" t="s">
        <v>99</v>
      </c>
      <c r="B48" s="66">
        <v>10</v>
      </c>
      <c r="C48" s="43" t="s">
        <v>43</v>
      </c>
      <c r="D48" s="74" t="str">
        <f>bitConcat(F49:F51)</f>
        <v>32'b00000000000000000000111000000000</v>
      </c>
      <c r="E48" s="75"/>
      <c r="F48" s="76"/>
      <c r="G48" s="76"/>
      <c r="H48" s="71" t="s">
        <v>44</v>
      </c>
      <c r="I48" s="72" t="str">
        <f>bitConcat(G49:G57)</f>
        <v>More Than 32 bit Were defined (84)</v>
      </c>
      <c r="J48" s="73" t="str">
        <f>bitConcat(G49:G51)</f>
        <v>32'b00000000000000000000011000000000</v>
      </c>
      <c r="K48" s="71"/>
      <c r="L48" s="72"/>
      <c r="M48" s="77" t="str">
        <f>DEC2HEX(_xlfn.BITLSHIFT(O48,7)+4*P48)</f>
        <v>510</v>
      </c>
      <c r="N48" s="77"/>
      <c r="O48" s="77">
        <v>10</v>
      </c>
      <c r="P48" s="77">
        <v>4</v>
      </c>
      <c r="Q48" s="77" t="str">
        <f>DEC2HEX(_xlfn.BITLSHIFT(O48,5)+P48)</f>
        <v>144</v>
      </c>
      <c r="R48" s="77" t="str">
        <f>BIN2HEX(LEFT(RIGHT(D48,32),4))&amp;BIN2HEX(LEFT(RIGHT(D48,28),4))&amp;BIN2HEX(LEFT(RIGHT(D48,24),4))&amp;BIN2HEX(LEFT(RIGHT(D48,20),4))&amp;BIN2HEX(LEFT(RIGHT(D48,16),4))&amp;BIN2HEX(LEFT(RIGHT(D48,12),4))&amp;BIN2HEX(LEFT(RIGHT(D48,8),4))&amp;BIN2HEX(LEFT(RIGHT(D48,4),4))</f>
        <v>00000E00</v>
      </c>
      <c r="S48" s="77" t="str">
        <f>BIN2HEX(LEFT(RIGHT(J48,32),4))&amp;BIN2HEX(LEFT(RIGHT(J48,28),4))&amp;BIN2HEX(LEFT(RIGHT(J48,24),4))&amp;BIN2HEX(LEFT(RIGHT(J48,20),4))&amp;BIN2HEX(LEFT(RIGHT(J48,16),4))&amp;BIN2HEX(LEFT(RIGHT(J48,12),4))&amp;BIN2HEX(LEFT(RIGHT(J48,8),4))&amp;BIN2HEX(LEFT(RIGHT(J48,4),4))</f>
        <v>00000600</v>
      </c>
      <c r="T48"/>
      <c r="U48"/>
      <c r="V48"/>
    </row>
    <row r="49" spans="1:36">
      <c r="A49" s="66"/>
      <c r="B49" s="66"/>
      <c r="C49" s="44" t="s">
        <v>100</v>
      </c>
      <c r="D49" s="42">
        <v>20</v>
      </c>
      <c r="E49" s="42" t="str">
        <f>IF(D49&gt;1,(31)&amp;":"&amp;(31-D49+1),(31-D49+1)&amp;":"&amp;(31-D49+1))</f>
        <v>31:12</v>
      </c>
      <c r="F49" s="44" t="s">
        <v>50</v>
      </c>
      <c r="G49" s="44" t="s">
        <v>50</v>
      </c>
      <c r="H49" s="41" t="s">
        <v>138</v>
      </c>
      <c r="I49" s="38" t="s">
        <v>36</v>
      </c>
      <c r="J49" s="39" t="s">
        <v>35</v>
      </c>
      <c r="K49" s="40" t="s">
        <v>6</v>
      </c>
      <c r="L49" s="37"/>
      <c r="M49" s="78"/>
      <c r="N49" s="78"/>
      <c r="O49" s="78"/>
      <c r="P49" s="78"/>
      <c r="Q49" s="78"/>
      <c r="R49" s="78"/>
      <c r="S49" s="78"/>
      <c r="T49" s="44" t="s">
        <v>222</v>
      </c>
      <c r="U49" s="44" t="s">
        <v>222</v>
      </c>
      <c r="V49" s="44" t="s">
        <v>222</v>
      </c>
      <c r="AJ49" s="34"/>
    </row>
    <row r="50" spans="1:36">
      <c r="A50" s="66"/>
      <c r="B50" s="66"/>
      <c r="C50" s="44" t="s">
        <v>51</v>
      </c>
      <c r="D50" s="42">
        <v>1</v>
      </c>
      <c r="E50" s="42" t="str">
        <f>(MID(str_cnvt(E49),SEARCH(":",str_cnvt(E49))+1,2)-1) &amp; ":" &amp; (MID(str_cnvt(E49),SEARCH(":",str_cnvt(E49))+1,2)-D50)</f>
        <v>11:11</v>
      </c>
      <c r="F50" s="44" t="s">
        <v>58</v>
      </c>
      <c r="G50" s="61" t="s">
        <v>7</v>
      </c>
      <c r="H50" s="24" t="s">
        <v>161</v>
      </c>
      <c r="I50" s="38" t="s">
        <v>36</v>
      </c>
      <c r="J50" s="39" t="s">
        <v>35</v>
      </c>
      <c r="K50" s="40" t="s">
        <v>6</v>
      </c>
      <c r="L50" s="37"/>
      <c r="M50" s="78"/>
      <c r="N50" s="78"/>
      <c r="O50" s="78"/>
      <c r="P50" s="78"/>
      <c r="Q50" s="78"/>
      <c r="R50" s="78"/>
      <c r="S50" s="78"/>
      <c r="T50" s="61" t="s">
        <v>223</v>
      </c>
      <c r="U50" s="61" t="s">
        <v>223</v>
      </c>
      <c r="V50" s="61" t="s">
        <v>222</v>
      </c>
    </row>
    <row r="51" spans="1:36" ht="15" thickBot="1">
      <c r="A51" s="66"/>
      <c r="B51" s="66"/>
      <c r="C51" s="44" t="s">
        <v>101</v>
      </c>
      <c r="D51" s="42">
        <v>11</v>
      </c>
      <c r="E51" s="42" t="str">
        <f>(MID(str_cnvt(E50),SEARCH(":",str_cnvt(E50))+1,2)-1) &amp; ":" &amp; (MID(str_cnvt(E50),SEARCH(":",str_cnvt(E50))+1,2)-D51)</f>
        <v>10:0</v>
      </c>
      <c r="F51" s="44" t="s">
        <v>193</v>
      </c>
      <c r="G51" s="44" t="s">
        <v>193</v>
      </c>
      <c r="H51" s="24" t="s">
        <v>162</v>
      </c>
      <c r="I51" s="38" t="s">
        <v>36</v>
      </c>
      <c r="J51" s="39" t="s">
        <v>35</v>
      </c>
      <c r="K51" s="40" t="s">
        <v>6</v>
      </c>
      <c r="L51" s="37"/>
      <c r="M51" s="78"/>
      <c r="N51" s="78"/>
      <c r="O51" s="78"/>
      <c r="P51" s="78"/>
      <c r="Q51" s="78"/>
      <c r="R51" s="78"/>
      <c r="S51" s="78"/>
      <c r="T51" s="44" t="s">
        <v>222</v>
      </c>
      <c r="U51" s="44" t="s">
        <v>223</v>
      </c>
      <c r="V51" s="44" t="s">
        <v>222</v>
      </c>
    </row>
    <row r="52" spans="1:36" ht="15" customHeight="1" thickBot="1">
      <c r="A52" s="66" t="s">
        <v>104</v>
      </c>
      <c r="B52" s="66">
        <v>14</v>
      </c>
      <c r="C52" s="43" t="s">
        <v>43</v>
      </c>
      <c r="D52" s="74" t="str">
        <f>bitConcat(F53:F55)</f>
        <v>32'b00000000000000000000111000000000</v>
      </c>
      <c r="E52" s="75"/>
      <c r="F52" s="76"/>
      <c r="G52" s="76"/>
      <c r="H52" s="71" t="s">
        <v>44</v>
      </c>
      <c r="I52" s="72" t="str">
        <f>bitConcat(G53:G61)</f>
        <v>More Than 32 bit Were defined (72)</v>
      </c>
      <c r="J52" s="73" t="str">
        <f>bitConcat(G53:G55)</f>
        <v>32'b00000000000000000000011000000000</v>
      </c>
      <c r="K52" s="71"/>
      <c r="L52" s="72"/>
      <c r="M52" s="77" t="str">
        <f>DEC2HEX(_xlfn.BITLSHIFT(O52,7)+4*P52)</f>
        <v>514</v>
      </c>
      <c r="N52" s="77"/>
      <c r="O52" s="77">
        <v>10</v>
      </c>
      <c r="P52" s="77">
        <v>5</v>
      </c>
      <c r="Q52" s="77" t="str">
        <f>DEC2HEX(_xlfn.BITLSHIFT(O52,5)+P52)</f>
        <v>145</v>
      </c>
      <c r="R52" s="77" t="str">
        <f>BIN2HEX(LEFT(RIGHT(D52,32),4))&amp;BIN2HEX(LEFT(RIGHT(D52,28),4))&amp;BIN2HEX(LEFT(RIGHT(D52,24),4))&amp;BIN2HEX(LEFT(RIGHT(D52,20),4))&amp;BIN2HEX(LEFT(RIGHT(D52,16),4))&amp;BIN2HEX(LEFT(RIGHT(D52,12),4))&amp;BIN2HEX(LEFT(RIGHT(D52,8),4))&amp;BIN2HEX(LEFT(RIGHT(D52,4),4))</f>
        <v>00000E00</v>
      </c>
      <c r="S52" s="77" t="str">
        <f>BIN2HEX(LEFT(RIGHT(J52,32),4))&amp;BIN2HEX(LEFT(RIGHT(J52,28),4))&amp;BIN2HEX(LEFT(RIGHT(J52,24),4))&amp;BIN2HEX(LEFT(RIGHT(J52,20),4))&amp;BIN2HEX(LEFT(RIGHT(J52,16),4))&amp;BIN2HEX(LEFT(RIGHT(J52,12),4))&amp;BIN2HEX(LEFT(RIGHT(J52,8),4))&amp;BIN2HEX(LEFT(RIGHT(J52,4),4))</f>
        <v>00000600</v>
      </c>
      <c r="T52"/>
      <c r="U52"/>
      <c r="V52"/>
    </row>
    <row r="53" spans="1:36">
      <c r="A53" s="66"/>
      <c r="B53" s="66"/>
      <c r="C53" s="44" t="s">
        <v>102</v>
      </c>
      <c r="D53" s="42">
        <v>20</v>
      </c>
      <c r="E53" s="42" t="str">
        <f>IF(D53&gt;1,(31)&amp;":"&amp;(31-D53+1),(31-D53+1)&amp;":"&amp;(31-D53+1))</f>
        <v>31:12</v>
      </c>
      <c r="F53" s="44" t="s">
        <v>50</v>
      </c>
      <c r="G53" s="44" t="s">
        <v>50</v>
      </c>
      <c r="H53" s="41" t="s">
        <v>138</v>
      </c>
      <c r="I53" s="38" t="s">
        <v>36</v>
      </c>
      <c r="J53" s="39" t="s">
        <v>35</v>
      </c>
      <c r="K53" s="40" t="s">
        <v>6</v>
      </c>
      <c r="L53" s="37"/>
      <c r="M53" s="78"/>
      <c r="N53" s="78"/>
      <c r="O53" s="78"/>
      <c r="P53" s="78"/>
      <c r="Q53" s="78"/>
      <c r="R53" s="78"/>
      <c r="S53" s="78"/>
      <c r="T53" s="44" t="s">
        <v>222</v>
      </c>
      <c r="U53" s="44" t="s">
        <v>222</v>
      </c>
      <c r="V53" s="44" t="s">
        <v>222</v>
      </c>
    </row>
    <row r="54" spans="1:36">
      <c r="A54" s="66"/>
      <c r="B54" s="66"/>
      <c r="C54" s="44" t="s">
        <v>51</v>
      </c>
      <c r="D54" s="42">
        <v>1</v>
      </c>
      <c r="E54" s="42" t="str">
        <f>(MID(str_cnvt(E53),SEARCH(":",str_cnvt(E53))+1,2)-1) &amp; ":" &amp; (MID(str_cnvt(E53),SEARCH(":",str_cnvt(E53))+1,2)-D54)</f>
        <v>11:11</v>
      </c>
      <c r="F54" s="44" t="s">
        <v>58</v>
      </c>
      <c r="G54" s="61" t="s">
        <v>7</v>
      </c>
      <c r="H54" s="24" t="s">
        <v>161</v>
      </c>
      <c r="I54" s="38" t="s">
        <v>36</v>
      </c>
      <c r="J54" s="39" t="s">
        <v>35</v>
      </c>
      <c r="K54" s="40" t="s">
        <v>6</v>
      </c>
      <c r="L54" s="37"/>
      <c r="M54" s="78"/>
      <c r="N54" s="78"/>
      <c r="O54" s="78"/>
      <c r="P54" s="78"/>
      <c r="Q54" s="78"/>
      <c r="R54" s="78"/>
      <c r="S54" s="78"/>
      <c r="T54" s="61" t="s">
        <v>223</v>
      </c>
      <c r="U54" s="61" t="s">
        <v>223</v>
      </c>
      <c r="V54" s="61" t="s">
        <v>222</v>
      </c>
    </row>
    <row r="55" spans="1:36" ht="15.75" customHeight="1" thickBot="1">
      <c r="A55" s="66"/>
      <c r="B55" s="66"/>
      <c r="C55" s="44" t="s">
        <v>103</v>
      </c>
      <c r="D55" s="42">
        <v>11</v>
      </c>
      <c r="E55" s="42" t="str">
        <f>(MID(str_cnvt(E54),SEARCH(":",str_cnvt(E54))+1,2)-1) &amp; ":" &amp; (MID(str_cnvt(E54),SEARCH(":",str_cnvt(E54))+1,2)-D55)</f>
        <v>10:0</v>
      </c>
      <c r="F55" s="44" t="s">
        <v>193</v>
      </c>
      <c r="G55" s="44" t="s">
        <v>193</v>
      </c>
      <c r="H55" s="24" t="s">
        <v>162</v>
      </c>
      <c r="I55" s="38" t="s">
        <v>36</v>
      </c>
      <c r="J55" s="39" t="s">
        <v>35</v>
      </c>
      <c r="K55" s="40" t="s">
        <v>6</v>
      </c>
      <c r="L55" s="37"/>
      <c r="M55" s="78"/>
      <c r="N55" s="78"/>
      <c r="O55" s="78"/>
      <c r="P55" s="78"/>
      <c r="Q55" s="78"/>
      <c r="R55" s="78"/>
      <c r="S55" s="78"/>
      <c r="T55" s="44" t="s">
        <v>222</v>
      </c>
      <c r="U55" s="44" t="s">
        <v>223</v>
      </c>
      <c r="V55" s="44" t="s">
        <v>222</v>
      </c>
    </row>
    <row r="56" spans="1:36" ht="15" customHeight="1" thickBot="1">
      <c r="A56" s="66" t="s">
        <v>107</v>
      </c>
      <c r="B56" s="66">
        <v>18</v>
      </c>
      <c r="C56" s="43" t="s">
        <v>43</v>
      </c>
      <c r="D56" s="74" t="str">
        <f>bitConcat(F57:F59)</f>
        <v>32'b00000000000000000000111000000000</v>
      </c>
      <c r="E56" s="75"/>
      <c r="F56" s="76"/>
      <c r="G56" s="76"/>
      <c r="H56" s="71" t="s">
        <v>44</v>
      </c>
      <c r="I56" s="72" t="str">
        <f>bitConcat(G57:G65)</f>
        <v>More Than 32 bit Were defined (52)</v>
      </c>
      <c r="J56" s="73" t="str">
        <f>bitConcat(G57:G59)</f>
        <v>32'b00000000000000000000011000000000</v>
      </c>
      <c r="K56" s="71"/>
      <c r="L56" s="72"/>
      <c r="M56" s="77" t="str">
        <f>DEC2HEX(_xlfn.BITLSHIFT(O56,7)+4*P56)</f>
        <v>518</v>
      </c>
      <c r="N56" s="77"/>
      <c r="O56" s="77">
        <v>10</v>
      </c>
      <c r="P56" s="77">
        <v>6</v>
      </c>
      <c r="Q56" s="77" t="str">
        <f>DEC2HEX(_xlfn.BITLSHIFT(O56,5)+P56)</f>
        <v>146</v>
      </c>
      <c r="R56" s="77" t="str">
        <f>BIN2HEX(LEFT(RIGHT(D56,32),4))&amp;BIN2HEX(LEFT(RIGHT(D56,28),4))&amp;BIN2HEX(LEFT(RIGHT(D56,24),4))&amp;BIN2HEX(LEFT(RIGHT(D56,20),4))&amp;BIN2HEX(LEFT(RIGHT(D56,16),4))&amp;BIN2HEX(LEFT(RIGHT(D56,12),4))&amp;BIN2HEX(LEFT(RIGHT(D56,8),4))&amp;BIN2HEX(LEFT(RIGHT(D56,4),4))</f>
        <v>00000E00</v>
      </c>
      <c r="S56" s="77" t="str">
        <f>BIN2HEX(LEFT(RIGHT(J56,32),4))&amp;BIN2HEX(LEFT(RIGHT(J56,28),4))&amp;BIN2HEX(LEFT(RIGHT(J56,24),4))&amp;BIN2HEX(LEFT(RIGHT(J56,20),4))&amp;BIN2HEX(LEFT(RIGHT(J56,16),4))&amp;BIN2HEX(LEFT(RIGHT(J56,12),4))&amp;BIN2HEX(LEFT(RIGHT(J56,8),4))&amp;BIN2HEX(LEFT(RIGHT(J56,4),4))</f>
        <v>00000600</v>
      </c>
      <c r="T56"/>
      <c r="U56"/>
      <c r="V56"/>
    </row>
    <row r="57" spans="1:36">
      <c r="A57" s="66"/>
      <c r="B57" s="66"/>
      <c r="C57" s="44" t="s">
        <v>105</v>
      </c>
      <c r="D57" s="42">
        <v>20</v>
      </c>
      <c r="E57" s="42" t="str">
        <f>IF(D57&gt;1,(31)&amp;":"&amp;(31-D57+1),(31-D57+1)&amp;":"&amp;(31-D57+1))</f>
        <v>31:12</v>
      </c>
      <c r="F57" s="44" t="s">
        <v>50</v>
      </c>
      <c r="G57" s="44" t="s">
        <v>50</v>
      </c>
      <c r="H57" s="41" t="s">
        <v>138</v>
      </c>
      <c r="I57" s="38" t="s">
        <v>36</v>
      </c>
      <c r="J57" s="39" t="s">
        <v>35</v>
      </c>
      <c r="K57" s="40" t="s">
        <v>6</v>
      </c>
      <c r="L57" s="37"/>
      <c r="M57" s="78"/>
      <c r="N57" s="78"/>
      <c r="O57" s="78"/>
      <c r="P57" s="78"/>
      <c r="Q57" s="78"/>
      <c r="R57" s="78"/>
      <c r="S57" s="78"/>
      <c r="T57" s="44" t="s">
        <v>222</v>
      </c>
      <c r="U57" s="44" t="s">
        <v>222</v>
      </c>
      <c r="V57" s="44" t="s">
        <v>222</v>
      </c>
    </row>
    <row r="58" spans="1:36">
      <c r="A58" s="66"/>
      <c r="B58" s="66"/>
      <c r="C58" s="44" t="s">
        <v>51</v>
      </c>
      <c r="D58" s="42">
        <v>1</v>
      </c>
      <c r="E58" s="42" t="str">
        <f>(MID(str_cnvt(E57),SEARCH(":",str_cnvt(E57))+1,2)-1) &amp; ":" &amp; (MID(str_cnvt(E57),SEARCH(":",str_cnvt(E57))+1,2)-D58)</f>
        <v>11:11</v>
      </c>
      <c r="F58" s="44" t="s">
        <v>58</v>
      </c>
      <c r="G58" s="61" t="s">
        <v>7</v>
      </c>
      <c r="H58" s="24" t="s">
        <v>161</v>
      </c>
      <c r="I58" s="38" t="s">
        <v>36</v>
      </c>
      <c r="J58" s="39" t="s">
        <v>35</v>
      </c>
      <c r="K58" s="40" t="s">
        <v>6</v>
      </c>
      <c r="L58" s="37"/>
      <c r="M58" s="78"/>
      <c r="N58" s="78"/>
      <c r="O58" s="78"/>
      <c r="P58" s="78"/>
      <c r="Q58" s="78"/>
      <c r="R58" s="78"/>
      <c r="S58" s="78"/>
      <c r="T58" s="61" t="s">
        <v>223</v>
      </c>
      <c r="U58" s="61" t="s">
        <v>223</v>
      </c>
      <c r="V58" s="61" t="s">
        <v>222</v>
      </c>
    </row>
    <row r="59" spans="1:36" ht="15" thickBot="1">
      <c r="A59" s="66"/>
      <c r="B59" s="66"/>
      <c r="C59" s="44" t="s">
        <v>106</v>
      </c>
      <c r="D59" s="12">
        <v>11</v>
      </c>
      <c r="E59" s="42" t="str">
        <f>(MID(str_cnvt(E58),SEARCH(":",str_cnvt(E58))+1,2)-1) &amp; ":" &amp; (MID(str_cnvt(E58),SEARCH(":",str_cnvt(E58))+1,2)-D59)</f>
        <v>10:0</v>
      </c>
      <c r="F59" s="44" t="s">
        <v>193</v>
      </c>
      <c r="G59" s="44" t="s">
        <v>193</v>
      </c>
      <c r="H59" s="24" t="s">
        <v>162</v>
      </c>
      <c r="I59" s="38" t="s">
        <v>36</v>
      </c>
      <c r="J59" s="39" t="s">
        <v>35</v>
      </c>
      <c r="K59" s="40" t="s">
        <v>6</v>
      </c>
      <c r="M59" s="78"/>
      <c r="N59" s="78"/>
      <c r="O59" s="78"/>
      <c r="P59" s="78"/>
      <c r="Q59" s="78"/>
      <c r="R59" s="78"/>
      <c r="S59" s="78"/>
      <c r="T59" s="44" t="s">
        <v>222</v>
      </c>
      <c r="U59" s="44" t="s">
        <v>223</v>
      </c>
      <c r="V59" s="44" t="s">
        <v>222</v>
      </c>
    </row>
    <row r="60" spans="1:36" ht="15" thickBot="1">
      <c r="A60" s="66" t="s">
        <v>108</v>
      </c>
      <c r="B60" s="66" t="s">
        <v>135</v>
      </c>
      <c r="C60" s="43" t="s">
        <v>43</v>
      </c>
      <c r="D60" s="74" t="str">
        <f>bitConcat(F61:F68)</f>
        <v>32'b00000000000010010111011101110111</v>
      </c>
      <c r="E60" s="75"/>
      <c r="F60" s="76"/>
      <c r="G60" s="76"/>
      <c r="H60" s="71" t="s">
        <v>44</v>
      </c>
      <c r="I60" s="72" t="str">
        <f>bitConcat(G61:G69)</f>
        <v>32'b00000000000010010111011101110111</v>
      </c>
      <c r="J60" s="73" t="str">
        <f>bitConcat(G61:G68)</f>
        <v>32'b00000000000010010111011101110111</v>
      </c>
      <c r="K60" s="71"/>
      <c r="L60" s="72"/>
      <c r="M60" s="77" t="str">
        <f>DEC2HEX(_xlfn.BITLSHIFT(O60,7)+4*P60)</f>
        <v>51C</v>
      </c>
      <c r="N60" s="77"/>
      <c r="O60" s="77">
        <v>10</v>
      </c>
      <c r="P60" s="77">
        <v>7</v>
      </c>
      <c r="Q60" s="77" t="str">
        <f>DEC2HEX(_xlfn.BITLSHIFT(O60,5)+P60)</f>
        <v>147</v>
      </c>
      <c r="R60" s="77" t="str">
        <f>BIN2HEX(LEFT(RIGHT(D60,32),4))&amp;BIN2HEX(LEFT(RIGHT(D60,28),4))&amp;BIN2HEX(LEFT(RIGHT(D60,24),4))&amp;BIN2HEX(LEFT(RIGHT(D60,20),4))&amp;BIN2HEX(LEFT(RIGHT(D60,16),4))&amp;BIN2HEX(LEFT(RIGHT(D60,12),4))&amp;BIN2HEX(LEFT(RIGHT(D60,8),4))&amp;BIN2HEX(LEFT(RIGHT(D60,4),4))</f>
        <v>00097777</v>
      </c>
      <c r="S60" s="77" t="str">
        <f>BIN2HEX(LEFT(RIGHT(J60,32),4))&amp;BIN2HEX(LEFT(RIGHT(J60,28),4))&amp;BIN2HEX(LEFT(RIGHT(J60,24),4))&amp;BIN2HEX(LEFT(RIGHT(J60,20),4))&amp;BIN2HEX(LEFT(RIGHT(J60,16),4))&amp;BIN2HEX(LEFT(RIGHT(J60,12),4))&amp;BIN2HEX(LEFT(RIGHT(J60,8),4))&amp;BIN2HEX(LEFT(RIGHT(J60,4),4))</f>
        <v>00097777</v>
      </c>
      <c r="T60"/>
      <c r="U60"/>
      <c r="V60"/>
    </row>
    <row r="61" spans="1:36">
      <c r="A61" s="66"/>
      <c r="B61" s="66"/>
      <c r="C61" s="44" t="s">
        <v>109</v>
      </c>
      <c r="D61" s="42">
        <v>8</v>
      </c>
      <c r="E61" s="42" t="str">
        <f>IF(D61&gt;1,(31)&amp;":"&amp;(31-D61+1),(31-D61+1)&amp;":"&amp;(31-D61+1))</f>
        <v>31:24</v>
      </c>
      <c r="F61" s="44" t="s">
        <v>173</v>
      </c>
      <c r="G61" s="44" t="s">
        <v>173</v>
      </c>
      <c r="H61" s="41" t="s">
        <v>138</v>
      </c>
      <c r="I61" s="38" t="s">
        <v>36</v>
      </c>
      <c r="J61" s="39" t="s">
        <v>35</v>
      </c>
      <c r="K61" s="40" t="s">
        <v>6</v>
      </c>
      <c r="L61" s="37"/>
      <c r="M61" s="78"/>
      <c r="N61" s="78"/>
      <c r="O61" s="78"/>
      <c r="P61" s="78"/>
      <c r="Q61" s="78"/>
      <c r="R61" s="78"/>
      <c r="S61" s="78"/>
      <c r="T61" s="44" t="s">
        <v>222</v>
      </c>
      <c r="U61" s="44" t="s">
        <v>222</v>
      </c>
      <c r="V61" s="44" t="s">
        <v>222</v>
      </c>
      <c r="AJ61" s="34"/>
    </row>
    <row r="62" spans="1:36">
      <c r="A62" s="66"/>
      <c r="B62" s="66"/>
      <c r="C62" s="44" t="s">
        <v>110</v>
      </c>
      <c r="D62" s="42">
        <v>4</v>
      </c>
      <c r="E62" s="42" t="str">
        <f t="shared" ref="E62:E68" si="4">(MID(str_cnvt(E61),SEARCH(":",str_cnvt(E61))+1,2)-1) &amp; ":" &amp; (MID(str_cnvt(E61),SEARCH(":",str_cnvt(E61))+1,2)-D62)</f>
        <v>23:20</v>
      </c>
      <c r="F62" s="44" t="s">
        <v>174</v>
      </c>
      <c r="G62" s="44" t="s">
        <v>174</v>
      </c>
      <c r="H62" s="24" t="s">
        <v>139</v>
      </c>
      <c r="I62" s="38" t="s">
        <v>36</v>
      </c>
      <c r="J62" s="39" t="s">
        <v>35</v>
      </c>
      <c r="K62" s="40" t="s">
        <v>6</v>
      </c>
      <c r="L62" s="37"/>
      <c r="M62" s="78"/>
      <c r="N62" s="78"/>
      <c r="O62" s="78"/>
      <c r="P62" s="78"/>
      <c r="Q62" s="78"/>
      <c r="R62" s="78"/>
      <c r="S62" s="78"/>
      <c r="T62" s="44" t="s">
        <v>223</v>
      </c>
      <c r="U62" s="44" t="s">
        <v>222</v>
      </c>
      <c r="V62" s="44" t="s">
        <v>222</v>
      </c>
    </row>
    <row r="63" spans="1:36">
      <c r="A63" s="66"/>
      <c r="B63" s="66"/>
      <c r="C63" s="33" t="s">
        <v>111</v>
      </c>
      <c r="D63" s="42">
        <v>2</v>
      </c>
      <c r="E63" s="42" t="str">
        <f t="shared" si="4"/>
        <v>19:18</v>
      </c>
      <c r="F63" s="44" t="s">
        <v>194</v>
      </c>
      <c r="G63" s="44" t="s">
        <v>194</v>
      </c>
      <c r="H63" s="24" t="s">
        <v>163</v>
      </c>
      <c r="I63" s="38" t="s">
        <v>36</v>
      </c>
      <c r="J63" s="39" t="s">
        <v>35</v>
      </c>
      <c r="K63" s="40" t="s">
        <v>6</v>
      </c>
      <c r="L63" s="37"/>
      <c r="M63" s="78"/>
      <c r="N63" s="78"/>
      <c r="O63" s="78"/>
      <c r="P63" s="78"/>
      <c r="Q63" s="78"/>
      <c r="R63" s="78"/>
      <c r="S63" s="78"/>
      <c r="T63" s="44" t="s">
        <v>222</v>
      </c>
      <c r="U63" s="44" t="s">
        <v>222</v>
      </c>
      <c r="V63" s="44" t="s">
        <v>222</v>
      </c>
    </row>
    <row r="64" spans="1:36">
      <c r="A64" s="66"/>
      <c r="B64" s="66"/>
      <c r="C64" s="33" t="s">
        <v>112</v>
      </c>
      <c r="D64" s="42">
        <v>2</v>
      </c>
      <c r="E64" s="42" t="str">
        <f t="shared" si="4"/>
        <v>17:16</v>
      </c>
      <c r="F64" s="44" t="s">
        <v>127</v>
      </c>
      <c r="G64" s="44" t="s">
        <v>127</v>
      </c>
      <c r="H64" s="24" t="s">
        <v>164</v>
      </c>
      <c r="I64" s="38" t="s">
        <v>36</v>
      </c>
      <c r="J64" s="39" t="s">
        <v>35</v>
      </c>
      <c r="K64" s="40" t="s">
        <v>6</v>
      </c>
      <c r="L64" s="37"/>
      <c r="M64" s="78"/>
      <c r="N64" s="78"/>
      <c r="O64" s="78"/>
      <c r="P64" s="78"/>
      <c r="Q64" s="78"/>
      <c r="R64" s="78"/>
      <c r="S64" s="78"/>
      <c r="T64" s="44" t="s">
        <v>222</v>
      </c>
      <c r="U64" s="44" t="s">
        <v>222</v>
      </c>
      <c r="V64" s="44" t="s">
        <v>222</v>
      </c>
    </row>
    <row r="65" spans="1:36">
      <c r="A65" s="66"/>
      <c r="B65" s="66"/>
      <c r="C65" s="33" t="s">
        <v>113</v>
      </c>
      <c r="D65" s="42">
        <v>4</v>
      </c>
      <c r="E65" s="42" t="str">
        <f t="shared" si="4"/>
        <v>15:12</v>
      </c>
      <c r="F65" s="44" t="s">
        <v>57</v>
      </c>
      <c r="G65" s="44" t="s">
        <v>57</v>
      </c>
      <c r="H65" s="24" t="s">
        <v>165</v>
      </c>
      <c r="I65" s="38" t="s">
        <v>36</v>
      </c>
      <c r="J65" s="39" t="s">
        <v>35</v>
      </c>
      <c r="K65" s="40" t="s">
        <v>6</v>
      </c>
      <c r="L65" s="37"/>
      <c r="M65" s="78"/>
      <c r="N65" s="78"/>
      <c r="O65" s="78"/>
      <c r="P65" s="78"/>
      <c r="Q65" s="78"/>
      <c r="R65" s="78"/>
      <c r="S65" s="78"/>
      <c r="T65" s="44" t="s">
        <v>222</v>
      </c>
      <c r="U65" s="44" t="s">
        <v>222</v>
      </c>
      <c r="V65" s="44" t="s">
        <v>222</v>
      </c>
    </row>
    <row r="66" spans="1:36">
      <c r="A66" s="66"/>
      <c r="B66" s="66"/>
      <c r="C66" s="33" t="s">
        <v>114</v>
      </c>
      <c r="D66" s="42">
        <v>4</v>
      </c>
      <c r="E66" s="42" t="str">
        <f t="shared" si="4"/>
        <v>11:8</v>
      </c>
      <c r="F66" s="44" t="s">
        <v>57</v>
      </c>
      <c r="G66" s="44" t="s">
        <v>57</v>
      </c>
      <c r="H66" s="24" t="s">
        <v>166</v>
      </c>
      <c r="I66" s="38" t="s">
        <v>36</v>
      </c>
      <c r="J66" s="39" t="s">
        <v>35</v>
      </c>
      <c r="K66" s="40" t="s">
        <v>6</v>
      </c>
      <c r="L66" s="37"/>
      <c r="M66" s="78"/>
      <c r="N66" s="78"/>
      <c r="O66" s="78"/>
      <c r="P66" s="78"/>
      <c r="Q66" s="78"/>
      <c r="R66" s="78"/>
      <c r="S66" s="78"/>
      <c r="T66" s="44" t="s">
        <v>222</v>
      </c>
      <c r="U66" s="44" t="s">
        <v>222</v>
      </c>
      <c r="V66" s="44" t="s">
        <v>222</v>
      </c>
    </row>
    <row r="67" spans="1:36">
      <c r="A67" s="66"/>
      <c r="B67" s="66"/>
      <c r="C67" s="33" t="s">
        <v>115</v>
      </c>
      <c r="D67" s="42">
        <v>4</v>
      </c>
      <c r="E67" s="42" t="str">
        <f t="shared" si="4"/>
        <v>7:4</v>
      </c>
      <c r="F67" s="44" t="s">
        <v>57</v>
      </c>
      <c r="G67" s="44" t="s">
        <v>57</v>
      </c>
      <c r="H67" s="24" t="s">
        <v>167</v>
      </c>
      <c r="I67" s="38" t="s">
        <v>36</v>
      </c>
      <c r="J67" s="39" t="s">
        <v>35</v>
      </c>
      <c r="K67" s="40" t="s">
        <v>6</v>
      </c>
      <c r="L67" s="37"/>
      <c r="M67" s="78"/>
      <c r="N67" s="78"/>
      <c r="O67" s="78"/>
      <c r="P67" s="78"/>
      <c r="Q67" s="78"/>
      <c r="R67" s="78"/>
      <c r="S67" s="78"/>
      <c r="T67" s="44" t="s">
        <v>222</v>
      </c>
      <c r="U67" s="44" t="s">
        <v>222</v>
      </c>
      <c r="V67" s="44" t="s">
        <v>222</v>
      </c>
    </row>
    <row r="68" spans="1:36" ht="15" thickBot="1">
      <c r="A68" s="66"/>
      <c r="B68" s="66"/>
      <c r="C68" s="33" t="s">
        <v>116</v>
      </c>
      <c r="D68" s="42">
        <v>4</v>
      </c>
      <c r="E68" s="42" t="str">
        <f t="shared" si="4"/>
        <v>3:0</v>
      </c>
      <c r="F68" s="44" t="s">
        <v>57</v>
      </c>
      <c r="G68" s="44" t="s">
        <v>57</v>
      </c>
      <c r="H68" s="24" t="s">
        <v>168</v>
      </c>
      <c r="I68" s="38" t="s">
        <v>36</v>
      </c>
      <c r="J68" s="39" t="s">
        <v>35</v>
      </c>
      <c r="K68" s="40" t="s">
        <v>6</v>
      </c>
      <c r="L68" s="37"/>
      <c r="M68" s="78"/>
      <c r="N68" s="78"/>
      <c r="O68" s="78"/>
      <c r="P68" s="78"/>
      <c r="Q68" s="78"/>
      <c r="R68" s="78"/>
      <c r="S68" s="78"/>
      <c r="T68" s="44" t="s">
        <v>222</v>
      </c>
      <c r="U68" s="44" t="s">
        <v>222</v>
      </c>
      <c r="V68" s="44" t="s">
        <v>222</v>
      </c>
    </row>
    <row r="69" spans="1:36" ht="15.75" customHeight="1" thickBot="1">
      <c r="A69" s="66" t="s">
        <v>59</v>
      </c>
      <c r="B69" s="66">
        <v>20</v>
      </c>
      <c r="C69" s="43" t="s">
        <v>43</v>
      </c>
      <c r="D69" s="74" t="str">
        <f>bitConcat(F70:F74)</f>
        <v>32'b00000000000000000000000000000111</v>
      </c>
      <c r="E69" s="75"/>
      <c r="F69" s="76"/>
      <c r="G69" s="76"/>
      <c r="H69" s="71" t="s">
        <v>44</v>
      </c>
      <c r="I69" s="72" t="str">
        <f>bitConcat(G70:G78)</f>
        <v>More Than 32 bit Were defined (96)</v>
      </c>
      <c r="J69" s="73" t="str">
        <f>bitConcat(G70:G74)</f>
        <v>32'b00000000000000000000000000000000</v>
      </c>
      <c r="K69" s="71"/>
      <c r="L69" s="72"/>
      <c r="M69" s="77" t="str">
        <f>DEC2HEX(_xlfn.BITLSHIFT(O69,7)+4*P69)</f>
        <v>520</v>
      </c>
      <c r="N69" s="77"/>
      <c r="O69" s="77">
        <v>10</v>
      </c>
      <c r="P69" s="77">
        <v>8</v>
      </c>
      <c r="Q69" s="77" t="str">
        <f>DEC2HEX(_xlfn.BITLSHIFT(O69,5)+P69)</f>
        <v>148</v>
      </c>
      <c r="R69" s="77" t="str">
        <f>BIN2HEX(LEFT(RIGHT(D69,32),4))&amp;BIN2HEX(LEFT(RIGHT(D69,28),4))&amp;BIN2HEX(LEFT(RIGHT(D69,24),4))&amp;BIN2HEX(LEFT(RIGHT(D69,20),4))&amp;BIN2HEX(LEFT(RIGHT(D69,16),4))&amp;BIN2HEX(LEFT(RIGHT(D69,12),4))&amp;BIN2HEX(LEFT(RIGHT(D69,8),4))&amp;BIN2HEX(LEFT(RIGHT(D69,4),4))</f>
        <v>00000007</v>
      </c>
      <c r="S69" s="77" t="str">
        <f>BIN2HEX(LEFT(RIGHT(J69,32),4))&amp;BIN2HEX(LEFT(RIGHT(J69,28),4))&amp;BIN2HEX(LEFT(RIGHT(J69,24),4))&amp;BIN2HEX(LEFT(RIGHT(J69,20),4))&amp;BIN2HEX(LEFT(RIGHT(J69,16),4))&amp;BIN2HEX(LEFT(RIGHT(J69,12),4))&amp;BIN2HEX(LEFT(RIGHT(J69,8),4))&amp;BIN2HEX(LEFT(RIGHT(J69,4),4))</f>
        <v>00000000</v>
      </c>
      <c r="T69"/>
      <c r="U69"/>
      <c r="V69"/>
    </row>
    <row r="70" spans="1:36">
      <c r="A70" s="66"/>
      <c r="B70" s="66"/>
      <c r="C70" s="44" t="s">
        <v>117</v>
      </c>
      <c r="D70" s="42">
        <v>26</v>
      </c>
      <c r="E70" s="42" t="str">
        <f>IF(D70&gt;1,(31)&amp;":"&amp;(31-D70+1),(31-D70+1)&amp;":"&amp;(31-D70+1))</f>
        <v>31:6</v>
      </c>
      <c r="F70" s="44" t="s">
        <v>129</v>
      </c>
      <c r="G70" s="44" t="s">
        <v>129</v>
      </c>
      <c r="H70" s="41" t="s">
        <v>138</v>
      </c>
      <c r="I70" s="38" t="s">
        <v>36</v>
      </c>
      <c r="J70" s="39" t="s">
        <v>35</v>
      </c>
      <c r="K70" s="40" t="s">
        <v>6</v>
      </c>
      <c r="L70" s="37"/>
      <c r="M70" s="78"/>
      <c r="N70" s="78"/>
      <c r="O70" s="78"/>
      <c r="P70" s="78"/>
      <c r="Q70" s="78"/>
      <c r="R70" s="78"/>
      <c r="S70" s="78"/>
      <c r="T70" s="44" t="s">
        <v>222</v>
      </c>
      <c r="U70" s="44" t="s">
        <v>222</v>
      </c>
      <c r="V70" s="44" t="s">
        <v>222</v>
      </c>
      <c r="AJ70" s="34"/>
    </row>
    <row r="71" spans="1:36">
      <c r="A71" s="66"/>
      <c r="B71" s="66"/>
      <c r="C71" s="44" t="s">
        <v>118</v>
      </c>
      <c r="D71" s="42">
        <v>1</v>
      </c>
      <c r="E71" s="42" t="str">
        <f>(MID(str_cnvt(E70),SEARCH(":",str_cnvt(E70))+1,2)-1) &amp; ":" &amp; (MID(str_cnvt(E70),SEARCH(":",str_cnvt(E70))+1,2)-D71)</f>
        <v>5:5</v>
      </c>
      <c r="F71" s="44" t="s">
        <v>7</v>
      </c>
      <c r="G71" s="44" t="s">
        <v>7</v>
      </c>
      <c r="H71" s="24" t="s">
        <v>169</v>
      </c>
      <c r="I71" s="38" t="s">
        <v>36</v>
      </c>
      <c r="J71" s="39" t="s">
        <v>35</v>
      </c>
      <c r="K71" s="40" t="s">
        <v>6</v>
      </c>
      <c r="L71" s="37"/>
      <c r="M71" s="78"/>
      <c r="N71" s="78"/>
      <c r="O71" s="78"/>
      <c r="P71" s="78"/>
      <c r="Q71" s="78"/>
      <c r="R71" s="78"/>
      <c r="S71" s="78"/>
      <c r="T71" s="44" t="s">
        <v>223</v>
      </c>
      <c r="U71" s="44" t="s">
        <v>222</v>
      </c>
      <c r="V71" s="44" t="s">
        <v>222</v>
      </c>
    </row>
    <row r="72" spans="1:36">
      <c r="A72" s="66"/>
      <c r="B72" s="66"/>
      <c r="C72" s="33" t="s">
        <v>119</v>
      </c>
      <c r="D72" s="42">
        <v>1</v>
      </c>
      <c r="E72" s="42" t="str">
        <f>(MID(str_cnvt(E71),SEARCH(":",str_cnvt(E71))+1,2)-1) &amp; ":" &amp; (MID(str_cnvt(E71),SEARCH(":",str_cnvt(E71))+1,2)-D72)</f>
        <v>4:4</v>
      </c>
      <c r="F72" s="44" t="s">
        <v>7</v>
      </c>
      <c r="G72" s="44" t="s">
        <v>7</v>
      </c>
      <c r="H72" s="24" t="s">
        <v>170</v>
      </c>
      <c r="I72" s="38" t="s">
        <v>36</v>
      </c>
      <c r="J72" s="39" t="s">
        <v>35</v>
      </c>
      <c r="K72" s="40" t="s">
        <v>6</v>
      </c>
      <c r="L72" s="37"/>
      <c r="M72" s="78"/>
      <c r="N72" s="78"/>
      <c r="O72" s="78"/>
      <c r="P72" s="78"/>
      <c r="Q72" s="78"/>
      <c r="R72" s="78"/>
      <c r="S72" s="78"/>
      <c r="T72" s="44" t="s">
        <v>223</v>
      </c>
      <c r="U72" s="44" t="s">
        <v>223</v>
      </c>
      <c r="V72" s="44" t="s">
        <v>222</v>
      </c>
    </row>
    <row r="73" spans="1:36">
      <c r="A73" s="66"/>
      <c r="B73" s="66"/>
      <c r="C73" s="33" t="s">
        <v>52</v>
      </c>
      <c r="D73" s="42">
        <v>1</v>
      </c>
      <c r="E73" s="42" t="str">
        <f>(MID(str_cnvt(E72),SEARCH(":",str_cnvt(E72))+1,2)-1) &amp; ":" &amp; (MID(str_cnvt(E72),SEARCH(":",str_cnvt(E72))+1,2)-D73)</f>
        <v>3:3</v>
      </c>
      <c r="F73" s="44" t="s">
        <v>7</v>
      </c>
      <c r="G73" s="44" t="s">
        <v>7</v>
      </c>
      <c r="H73" s="24" t="s">
        <v>171</v>
      </c>
      <c r="I73" s="38" t="s">
        <v>36</v>
      </c>
      <c r="J73" s="39" t="s">
        <v>35</v>
      </c>
      <c r="K73" s="40" t="s">
        <v>6</v>
      </c>
      <c r="L73" s="37"/>
      <c r="M73" s="78"/>
      <c r="N73" s="78"/>
      <c r="O73" s="78"/>
      <c r="P73" s="78"/>
      <c r="Q73" s="78"/>
      <c r="R73" s="78"/>
      <c r="S73" s="78"/>
      <c r="T73" s="44" t="s">
        <v>222</v>
      </c>
      <c r="U73" s="44" t="s">
        <v>223</v>
      </c>
      <c r="V73" s="44" t="s">
        <v>222</v>
      </c>
    </row>
    <row r="74" spans="1:36" ht="15" thickBot="1">
      <c r="A74" s="66"/>
      <c r="B74" s="66"/>
      <c r="C74" s="33" t="s">
        <v>120</v>
      </c>
      <c r="D74" s="42">
        <v>3</v>
      </c>
      <c r="E74" s="42" t="str">
        <f>(MID(str_cnvt(E73),SEARCH(":",str_cnvt(E73))+1,2)-1) &amp; ":" &amp; (MID(str_cnvt(E73),SEARCH(":",str_cnvt(E73))+1,2)-D74)</f>
        <v>2:0</v>
      </c>
      <c r="F74" s="44" t="s">
        <v>188</v>
      </c>
      <c r="G74" s="44" t="s">
        <v>176</v>
      </c>
      <c r="H74" s="24" t="s">
        <v>172</v>
      </c>
      <c r="I74" s="38" t="s">
        <v>36</v>
      </c>
      <c r="J74" s="39" t="s">
        <v>35</v>
      </c>
      <c r="K74" s="40" t="s">
        <v>6</v>
      </c>
      <c r="L74" s="37"/>
      <c r="M74" s="78"/>
      <c r="N74" s="78"/>
      <c r="O74" s="78"/>
      <c r="P74" s="78"/>
      <c r="Q74" s="78"/>
      <c r="R74" s="78"/>
      <c r="S74" s="78"/>
      <c r="T74" s="44" t="s">
        <v>223</v>
      </c>
      <c r="U74" s="44" t="s">
        <v>223</v>
      </c>
      <c r="V74" s="44" t="s">
        <v>223</v>
      </c>
    </row>
    <row r="75" spans="1:36" ht="15" customHeight="1" thickBot="1">
      <c r="A75" s="66" t="s">
        <v>122</v>
      </c>
      <c r="B75" s="66">
        <v>24</v>
      </c>
      <c r="C75" s="43" t="s">
        <v>43</v>
      </c>
      <c r="D75" s="74" t="str">
        <f>bitConcat(F76:F76)</f>
        <v>32'b00000000000000000000000000000000</v>
      </c>
      <c r="E75" s="75"/>
      <c r="F75" s="76"/>
      <c r="G75" s="76"/>
      <c r="H75" s="71" t="s">
        <v>44</v>
      </c>
      <c r="I75" s="72" t="str">
        <f>bitConcat(G76:G84)</f>
        <v>More Than 32 bit Were defined (160)</v>
      </c>
      <c r="J75" s="73" t="str">
        <f>bitConcat(G76:G76)</f>
        <v>32'b00000000000000000000000000000000</v>
      </c>
      <c r="K75" s="71"/>
      <c r="L75" s="72"/>
      <c r="M75" s="77" t="str">
        <f>DEC2HEX(_xlfn.BITLSHIFT(O75,7)+4*P75)</f>
        <v>524</v>
      </c>
      <c r="N75" s="77"/>
      <c r="O75" s="77">
        <v>10</v>
      </c>
      <c r="P75" s="77">
        <v>9</v>
      </c>
      <c r="Q75" s="77" t="str">
        <f>DEC2HEX(_xlfn.BITLSHIFT(O75,5)+P75)</f>
        <v>149</v>
      </c>
      <c r="R75" s="77" t="str">
        <f>BIN2HEX(LEFT(RIGHT(D75,32),4))&amp;BIN2HEX(LEFT(RIGHT(D75,28),4))&amp;BIN2HEX(LEFT(RIGHT(D75,24),4))&amp;BIN2HEX(LEFT(RIGHT(D75,20),4))&amp;BIN2HEX(LEFT(RIGHT(D75,16),4))&amp;BIN2HEX(LEFT(RIGHT(D75,12),4))&amp;BIN2HEX(LEFT(RIGHT(D75,8),4))&amp;BIN2HEX(LEFT(RIGHT(D75,4),4))</f>
        <v>00000000</v>
      </c>
      <c r="S75" s="77" t="str">
        <f>BIN2HEX(LEFT(RIGHT(J75,32),4))&amp;BIN2HEX(LEFT(RIGHT(J75,28),4))&amp;BIN2HEX(LEFT(RIGHT(J75,24),4))&amp;BIN2HEX(LEFT(RIGHT(J75,20),4))&amp;BIN2HEX(LEFT(RIGHT(J75,16),4))&amp;BIN2HEX(LEFT(RIGHT(J75,12),4))&amp;BIN2HEX(LEFT(RIGHT(J75,8),4))&amp;BIN2HEX(LEFT(RIGHT(J75,4),4))</f>
        <v>00000000</v>
      </c>
      <c r="T75"/>
      <c r="U75"/>
      <c r="V75"/>
    </row>
    <row r="76" spans="1:36" ht="15" thickBot="1">
      <c r="A76" s="66"/>
      <c r="B76" s="66"/>
      <c r="C76" s="44" t="s">
        <v>121</v>
      </c>
      <c r="D76" s="42">
        <v>32</v>
      </c>
      <c r="E76" s="42" t="str">
        <f>IF(D76&gt;1,(31)&amp;":"&amp;(31-D76+1),(31-D76+1)&amp;":"&amp;(31-D76+1))</f>
        <v>31:0</v>
      </c>
      <c r="F76" s="44" t="s">
        <v>56</v>
      </c>
      <c r="G76" s="44" t="s">
        <v>56</v>
      </c>
      <c r="H76" s="49" t="s">
        <v>178</v>
      </c>
      <c r="I76" s="38" t="s">
        <v>36</v>
      </c>
      <c r="J76" s="39" t="s">
        <v>35</v>
      </c>
      <c r="K76" s="40" t="s">
        <v>6</v>
      </c>
      <c r="L76" s="37"/>
      <c r="M76" s="78"/>
      <c r="N76" s="78"/>
      <c r="O76" s="78"/>
      <c r="P76" s="78"/>
      <c r="Q76" s="78"/>
      <c r="R76" s="78"/>
      <c r="S76" s="78"/>
      <c r="T76" s="44"/>
      <c r="U76" s="44"/>
      <c r="V76" s="44"/>
    </row>
    <row r="77" spans="1:36" ht="15" customHeight="1" thickBot="1">
      <c r="A77" s="66" t="s">
        <v>123</v>
      </c>
      <c r="B77" s="66">
        <v>28</v>
      </c>
      <c r="C77" s="43" t="s">
        <v>43</v>
      </c>
      <c r="D77" s="74" t="str">
        <f>bitConcat(F78:F78)</f>
        <v>32'b00000000000000000000000000000000</v>
      </c>
      <c r="E77" s="75"/>
      <c r="F77" s="76"/>
      <c r="G77" s="76"/>
      <c r="H77" s="71" t="s">
        <v>44</v>
      </c>
      <c r="I77" s="72" t="str">
        <f>bitConcat(G78:G86)</f>
        <v>More Than 32 bit Were defined (160)</v>
      </c>
      <c r="J77" s="73" t="str">
        <f>bitConcat(G78:G78)</f>
        <v>32'b00000000000000000000000000000000</v>
      </c>
      <c r="K77" s="71"/>
      <c r="L77" s="72"/>
      <c r="M77" s="77" t="str">
        <f>DEC2HEX(_xlfn.BITLSHIFT(O77,7)+4*P77)</f>
        <v>528</v>
      </c>
      <c r="N77" s="77"/>
      <c r="O77" s="77">
        <v>10</v>
      </c>
      <c r="P77" s="77">
        <v>10</v>
      </c>
      <c r="Q77" s="77" t="str">
        <f>DEC2HEX(_xlfn.BITLSHIFT(O77,5)+P77)</f>
        <v>14A</v>
      </c>
      <c r="R77" s="77" t="str">
        <f>BIN2HEX(LEFT(RIGHT(D77,32),4))&amp;BIN2HEX(LEFT(RIGHT(D77,28),4))&amp;BIN2HEX(LEFT(RIGHT(D77,24),4))&amp;BIN2HEX(LEFT(RIGHT(D77,20),4))&amp;BIN2HEX(LEFT(RIGHT(D77,16),4))&amp;BIN2HEX(LEFT(RIGHT(D77,12),4))&amp;BIN2HEX(LEFT(RIGHT(D77,8),4))&amp;BIN2HEX(LEFT(RIGHT(D77,4),4))</f>
        <v>00000000</v>
      </c>
      <c r="S77" s="77" t="str">
        <f>BIN2HEX(LEFT(RIGHT(J77,32),4))&amp;BIN2HEX(LEFT(RIGHT(J77,28),4))&amp;BIN2HEX(LEFT(RIGHT(J77,24),4))&amp;BIN2HEX(LEFT(RIGHT(J77,20),4))&amp;BIN2HEX(LEFT(RIGHT(J77,16),4))&amp;BIN2HEX(LEFT(RIGHT(J77,12),4))&amp;BIN2HEX(LEFT(RIGHT(J77,8),4))&amp;BIN2HEX(LEFT(RIGHT(J77,4),4))</f>
        <v>00000000</v>
      </c>
      <c r="T77"/>
      <c r="U77"/>
      <c r="V77"/>
    </row>
    <row r="78" spans="1:36" ht="15" thickBot="1">
      <c r="A78" s="66"/>
      <c r="B78" s="66"/>
      <c r="C78" s="44" t="s">
        <v>124</v>
      </c>
      <c r="D78" s="42">
        <v>32</v>
      </c>
      <c r="E78" s="42" t="str">
        <f>IF(D78&gt;1,(31)&amp;":"&amp;(31-D78+1),(31-D78+1)&amp;":"&amp;(31-D78+1))</f>
        <v>31:0</v>
      </c>
      <c r="F78" s="44" t="s">
        <v>56</v>
      </c>
      <c r="G78" s="44" t="s">
        <v>56</v>
      </c>
      <c r="H78" s="49" t="s">
        <v>178</v>
      </c>
      <c r="I78" s="38" t="s">
        <v>36</v>
      </c>
      <c r="J78" s="39" t="s">
        <v>35</v>
      </c>
      <c r="K78" s="40" t="s">
        <v>6</v>
      </c>
      <c r="L78" s="37"/>
      <c r="M78" s="78"/>
      <c r="N78" s="78"/>
      <c r="O78" s="78"/>
      <c r="P78" s="78"/>
      <c r="Q78" s="78"/>
      <c r="R78" s="78"/>
      <c r="S78" s="78"/>
      <c r="T78" s="44"/>
      <c r="U78" s="44"/>
      <c r="V78" s="44"/>
    </row>
    <row r="79" spans="1:36" ht="15" customHeight="1" thickBot="1">
      <c r="A79" s="66" t="s">
        <v>125</v>
      </c>
      <c r="B79" s="66" t="s">
        <v>136</v>
      </c>
      <c r="C79" s="43" t="s">
        <v>43</v>
      </c>
      <c r="D79" s="74" t="str">
        <f>bitConcat(F80:F80)</f>
        <v>32'b00000000000000000000000000000000</v>
      </c>
      <c r="E79" s="75"/>
      <c r="F79" s="76"/>
      <c r="G79" s="76"/>
      <c r="H79" s="71" t="s">
        <v>44</v>
      </c>
      <c r="I79" s="72" t="str">
        <f>bitConcat(G80:G88)</f>
        <v>More Than 32 bit Were defined (160)</v>
      </c>
      <c r="J79" s="73" t="str">
        <f>bitConcat(G78:G78)</f>
        <v>32'b00000000000000000000000000000000</v>
      </c>
      <c r="K79" s="71"/>
      <c r="L79" s="72"/>
      <c r="M79" s="77" t="str">
        <f>DEC2HEX(_xlfn.BITLSHIFT(O79,7)+4*P79)</f>
        <v>52C</v>
      </c>
      <c r="N79" s="77"/>
      <c r="O79" s="77">
        <v>10</v>
      </c>
      <c r="P79" s="77">
        <v>11</v>
      </c>
      <c r="Q79" s="77" t="str">
        <f>DEC2HEX(_xlfn.BITLSHIFT(O79,5)+P79)</f>
        <v>14B</v>
      </c>
      <c r="R79" s="77" t="str">
        <f>BIN2HEX(LEFT(RIGHT(D79,32),4))&amp;BIN2HEX(LEFT(RIGHT(D79,28),4))&amp;BIN2HEX(LEFT(RIGHT(D79,24),4))&amp;BIN2HEX(LEFT(RIGHT(D79,20),4))&amp;BIN2HEX(LEFT(RIGHT(D79,16),4))&amp;BIN2HEX(LEFT(RIGHT(D79,12),4))&amp;BIN2HEX(LEFT(RIGHT(D79,8),4))&amp;BIN2HEX(LEFT(RIGHT(D79,4),4))</f>
        <v>00000000</v>
      </c>
      <c r="S79" s="77" t="str">
        <f>BIN2HEX(LEFT(RIGHT(J79,32),4))&amp;BIN2HEX(LEFT(RIGHT(J79,28),4))&amp;BIN2HEX(LEFT(RIGHT(J79,24),4))&amp;BIN2HEX(LEFT(RIGHT(J79,20),4))&amp;BIN2HEX(LEFT(RIGHT(J79,16),4))&amp;BIN2HEX(LEFT(RIGHT(J79,12),4))&amp;BIN2HEX(LEFT(RIGHT(J79,8),4))&amp;BIN2HEX(LEFT(RIGHT(J79,4),4))</f>
        <v>00000000</v>
      </c>
      <c r="T79"/>
      <c r="U79"/>
      <c r="V79"/>
    </row>
    <row r="80" spans="1:36" ht="15" thickBot="1">
      <c r="A80" s="66"/>
      <c r="B80" s="66"/>
      <c r="C80" s="44" t="s">
        <v>126</v>
      </c>
      <c r="D80" s="42">
        <v>32</v>
      </c>
      <c r="E80" s="42" t="str">
        <f>IF(D80&gt;1,(31)&amp;":"&amp;(31-D80+1),(31-D80+1)&amp;":"&amp;(31-D80+1))</f>
        <v>31:0</v>
      </c>
      <c r="F80" s="44" t="s">
        <v>56</v>
      </c>
      <c r="G80" s="44" t="s">
        <v>56</v>
      </c>
      <c r="H80" s="49" t="s">
        <v>178</v>
      </c>
      <c r="I80" s="38" t="s">
        <v>36</v>
      </c>
      <c r="J80" s="39" t="s">
        <v>35</v>
      </c>
      <c r="K80" s="40" t="s">
        <v>6</v>
      </c>
      <c r="L80" s="37"/>
      <c r="M80" s="78"/>
      <c r="N80" s="78"/>
      <c r="O80" s="78"/>
      <c r="P80" s="78"/>
      <c r="Q80" s="78"/>
      <c r="R80" s="78"/>
      <c r="S80" s="78"/>
      <c r="T80" s="44"/>
      <c r="U80" s="44"/>
      <c r="V80" s="44"/>
    </row>
    <row r="81" spans="1:36">
      <c r="A81" s="66" t="s">
        <v>132</v>
      </c>
      <c r="B81" s="66">
        <v>30</v>
      </c>
      <c r="C81" s="45" t="s">
        <v>47</v>
      </c>
      <c r="D81" s="67" t="str">
        <f>bitConcat(F82:F82)</f>
        <v>32'b00000000000000000000000000000000</v>
      </c>
      <c r="E81" s="68"/>
      <c r="F81" s="68"/>
      <c r="G81" s="68"/>
      <c r="H81" s="69" t="s">
        <v>42</v>
      </c>
      <c r="I81" s="69"/>
      <c r="J81" s="69" t="str">
        <f>bitConcat(G82:G82)</f>
        <v>32'b00000000000000000000000000000000</v>
      </c>
      <c r="K81" s="69"/>
      <c r="L81" s="70"/>
      <c r="M81" s="64" t="str">
        <f>DEC2HEX(_xlfn.BITLSHIFT(O81,7)+4*P81)</f>
        <v>530</v>
      </c>
      <c r="N81" s="64"/>
      <c r="O81" s="64">
        <v>10</v>
      </c>
      <c r="P81" s="64">
        <v>12</v>
      </c>
      <c r="Q81" s="64" t="str">
        <f>DEC2HEX(_xlfn.BITLSHIFT(O81,5)+P81)</f>
        <v>14C</v>
      </c>
      <c r="R81" s="64" t="str">
        <f>BIN2HEX(LEFT(RIGHT(D81,32),4))&amp;BIN2HEX(LEFT(RIGHT(D81,28),4))&amp;BIN2HEX(LEFT(RIGHT(D81,24),4))&amp;BIN2HEX(LEFT(RIGHT(D81,20),4))&amp;BIN2HEX(LEFT(RIGHT(D81,16),4))&amp;BIN2HEX(LEFT(RIGHT(D81,12),4))&amp;BIN2HEX(LEFT(RIGHT(D81,8),4))&amp;BIN2HEX(LEFT(RIGHT(D81,4),4))</f>
        <v>00000000</v>
      </c>
      <c r="S81" s="64" t="str">
        <f>BIN2HEX(LEFT(RIGHT(J81,32),4))&amp;BIN2HEX(LEFT(RIGHT(J81,28),4))&amp;BIN2HEX(LEFT(RIGHT(J81,24),4))&amp;BIN2HEX(LEFT(RIGHT(J81,20),4))&amp;BIN2HEX(LEFT(RIGHT(J81,16),4))&amp;BIN2HEX(LEFT(RIGHT(J81,12),4))&amp;BIN2HEX(LEFT(RIGHT(J81,8),4))&amp;BIN2HEX(LEFT(RIGHT(J81,4),4))</f>
        <v>00000000</v>
      </c>
      <c r="T81"/>
      <c r="U81"/>
      <c r="V81"/>
    </row>
    <row r="82" spans="1:36" ht="15" thickBot="1">
      <c r="A82" s="66"/>
      <c r="B82" s="66"/>
      <c r="C82" s="30" t="s">
        <v>130</v>
      </c>
      <c r="D82" s="48">
        <v>32</v>
      </c>
      <c r="E82" s="48" t="str">
        <f>IF(D82&gt;1,(31)&amp;":"&amp;(31-D82+1),(31-D82+1)&amp;":"&amp;(31-D82+1))</f>
        <v>31:0</v>
      </c>
      <c r="F82" s="30" t="s">
        <v>56</v>
      </c>
      <c r="G82" s="30" t="s">
        <v>56</v>
      </c>
      <c r="H82" s="30" t="s">
        <v>131</v>
      </c>
      <c r="I82" s="46" t="s">
        <v>36</v>
      </c>
      <c r="J82" s="32" t="s">
        <v>35</v>
      </c>
      <c r="K82" s="47" t="s">
        <v>6</v>
      </c>
      <c r="L82" s="30"/>
      <c r="M82" s="65"/>
      <c r="N82" s="65"/>
      <c r="O82" s="65"/>
      <c r="P82" s="65"/>
      <c r="Q82" s="65"/>
      <c r="R82" s="65"/>
      <c r="S82" s="65"/>
      <c r="T82" s="49"/>
      <c r="U82" s="49"/>
      <c r="V82" s="49"/>
    </row>
    <row r="83" spans="1:36">
      <c r="A83" s="66" t="s">
        <v>133</v>
      </c>
      <c r="B83" s="66">
        <v>34</v>
      </c>
      <c r="C83" s="45" t="s">
        <v>47</v>
      </c>
      <c r="D83" s="67" t="str">
        <f>bitConcat(F84:F84)</f>
        <v>32'b00000000000000000000000000000000</v>
      </c>
      <c r="E83" s="68"/>
      <c r="F83" s="68"/>
      <c r="G83" s="68"/>
      <c r="H83" s="69" t="s">
        <v>42</v>
      </c>
      <c r="I83" s="69"/>
      <c r="J83" s="69" t="str">
        <f>bitConcat(G84:G84)</f>
        <v>32'b00000000000000000000000000000000</v>
      </c>
      <c r="K83" s="69"/>
      <c r="L83" s="70"/>
      <c r="M83" s="64" t="str">
        <f>DEC2HEX(_xlfn.BITLSHIFT(O83,7)+4*P83)</f>
        <v>534</v>
      </c>
      <c r="N83" s="64"/>
      <c r="O83" s="64">
        <v>10</v>
      </c>
      <c r="P83" s="64">
        <v>13</v>
      </c>
      <c r="Q83" s="64" t="str">
        <f>DEC2HEX(_xlfn.BITLSHIFT(O83,5)+P83)</f>
        <v>14D</v>
      </c>
      <c r="R83" s="64" t="str">
        <f>BIN2HEX(LEFT(RIGHT(D83,32),4))&amp;BIN2HEX(LEFT(RIGHT(D83,28),4))&amp;BIN2HEX(LEFT(RIGHT(D83,24),4))&amp;BIN2HEX(LEFT(RIGHT(D83,20),4))&amp;BIN2HEX(LEFT(RIGHT(D83,16),4))&amp;BIN2HEX(LEFT(RIGHT(D83,12),4))&amp;BIN2HEX(LEFT(RIGHT(D83,8),4))&amp;BIN2HEX(LEFT(RIGHT(D83,4),4))</f>
        <v>00000000</v>
      </c>
      <c r="S83" s="64" t="str">
        <f>BIN2HEX(LEFT(RIGHT(J83,32),4))&amp;BIN2HEX(LEFT(RIGHT(J83,28),4))&amp;BIN2HEX(LEFT(RIGHT(J83,24),4))&amp;BIN2HEX(LEFT(RIGHT(J83,20),4))&amp;BIN2HEX(LEFT(RIGHT(J83,16),4))&amp;BIN2HEX(LEFT(RIGHT(J83,12),4))&amp;BIN2HEX(LEFT(RIGHT(J83,8),4))&amp;BIN2HEX(LEFT(RIGHT(J83,4),4))</f>
        <v>00000000</v>
      </c>
      <c r="T83"/>
      <c r="U83"/>
      <c r="V83"/>
    </row>
    <row r="84" spans="1:36" ht="15" thickBot="1">
      <c r="A84" s="66"/>
      <c r="B84" s="66"/>
      <c r="C84" s="30" t="s">
        <v>130</v>
      </c>
      <c r="D84" s="48">
        <v>32</v>
      </c>
      <c r="E84" s="48" t="str">
        <f>IF(D84&gt;1,(31)&amp;":"&amp;(31-D84+1),(31-D84+1)&amp;":"&amp;(31-D84+1))</f>
        <v>31:0</v>
      </c>
      <c r="F84" s="30" t="s">
        <v>56</v>
      </c>
      <c r="G84" s="30" t="s">
        <v>56</v>
      </c>
      <c r="H84" s="30" t="s">
        <v>131</v>
      </c>
      <c r="I84" s="46" t="s">
        <v>36</v>
      </c>
      <c r="J84" s="32" t="s">
        <v>35</v>
      </c>
      <c r="K84" s="47" t="s">
        <v>6</v>
      </c>
      <c r="L84" s="30"/>
      <c r="M84" s="65"/>
      <c r="N84" s="65"/>
      <c r="O84" s="65"/>
      <c r="P84" s="65"/>
      <c r="Q84" s="65"/>
      <c r="R84" s="65"/>
      <c r="S84" s="65"/>
      <c r="T84" s="49"/>
      <c r="U84" s="49"/>
      <c r="V84" s="49"/>
    </row>
    <row r="85" spans="1:36">
      <c r="A85" s="66" t="s">
        <v>179</v>
      </c>
      <c r="B85" s="66">
        <v>38</v>
      </c>
      <c r="C85" s="45" t="s">
        <v>47</v>
      </c>
      <c r="D85" s="67" t="str">
        <f>bitConcat(F86:F86)</f>
        <v>32'b00000000000000000000000000000000</v>
      </c>
      <c r="E85" s="68"/>
      <c r="F85" s="68"/>
      <c r="G85" s="68"/>
      <c r="H85" s="69" t="s">
        <v>42</v>
      </c>
      <c r="I85" s="69"/>
      <c r="J85" s="69" t="str">
        <f>bitConcat(G86:G86)</f>
        <v>32'b00000000000000000000000000000000</v>
      </c>
      <c r="K85" s="69"/>
      <c r="L85" s="70"/>
      <c r="M85" s="64" t="str">
        <f>DEC2HEX(_xlfn.BITLSHIFT(O85,7)+4*P85)</f>
        <v>538</v>
      </c>
      <c r="N85" s="64"/>
      <c r="O85" s="64">
        <v>10</v>
      </c>
      <c r="P85" s="64">
        <v>14</v>
      </c>
      <c r="Q85" s="64" t="str">
        <f>DEC2HEX(_xlfn.BITLSHIFT(O85,5)+P85)</f>
        <v>14E</v>
      </c>
      <c r="R85" s="64" t="str">
        <f>BIN2HEX(LEFT(RIGHT(D85,32),4))&amp;BIN2HEX(LEFT(RIGHT(D85,28),4))&amp;BIN2HEX(LEFT(RIGHT(D85,24),4))&amp;BIN2HEX(LEFT(RIGHT(D85,20),4))&amp;BIN2HEX(LEFT(RIGHT(D85,16),4))&amp;BIN2HEX(LEFT(RIGHT(D85,12),4))&amp;BIN2HEX(LEFT(RIGHT(D85,8),4))&amp;BIN2HEX(LEFT(RIGHT(D85,4),4))</f>
        <v>00000000</v>
      </c>
      <c r="S85" s="64" t="str">
        <f>BIN2HEX(LEFT(RIGHT(J85,32),4))&amp;BIN2HEX(LEFT(RIGHT(J85,28),4))&amp;BIN2HEX(LEFT(RIGHT(J85,24),4))&amp;BIN2HEX(LEFT(RIGHT(J85,20),4))&amp;BIN2HEX(LEFT(RIGHT(J85,16),4))&amp;BIN2HEX(LEFT(RIGHT(J85,12),4))&amp;BIN2HEX(LEFT(RIGHT(J85,8),4))&amp;BIN2HEX(LEFT(RIGHT(J85,4),4))</f>
        <v>00000000</v>
      </c>
      <c r="T85"/>
      <c r="U85"/>
      <c r="V85"/>
    </row>
    <row r="86" spans="1:36" ht="15.75" customHeight="1" thickBot="1">
      <c r="A86" s="66"/>
      <c r="B86" s="66"/>
      <c r="C86" s="30" t="s">
        <v>130</v>
      </c>
      <c r="D86" s="48">
        <v>32</v>
      </c>
      <c r="E86" s="48" t="str">
        <f>IF(D86&gt;1,(31)&amp;":"&amp;(31-D86+1),(31-D86+1)&amp;":"&amp;(31-D86+1))</f>
        <v>31:0</v>
      </c>
      <c r="F86" s="30" t="s">
        <v>56</v>
      </c>
      <c r="G86" s="30" t="s">
        <v>56</v>
      </c>
      <c r="H86" s="30" t="s">
        <v>131</v>
      </c>
      <c r="I86" s="46" t="s">
        <v>36</v>
      </c>
      <c r="J86" s="32" t="s">
        <v>35</v>
      </c>
      <c r="K86" s="47" t="s">
        <v>6</v>
      </c>
      <c r="L86" s="30"/>
      <c r="M86" s="65"/>
      <c r="N86" s="65"/>
      <c r="O86" s="65"/>
      <c r="P86" s="65"/>
      <c r="Q86" s="65"/>
      <c r="R86" s="65"/>
      <c r="S86" s="65"/>
      <c r="T86" s="49"/>
      <c r="U86" s="49"/>
      <c r="V86" s="49"/>
    </row>
    <row r="87" spans="1:36">
      <c r="A87" s="66" t="s">
        <v>180</v>
      </c>
      <c r="B87" s="66" t="s">
        <v>137</v>
      </c>
      <c r="C87" s="45" t="s">
        <v>47</v>
      </c>
      <c r="D87" s="67" t="str">
        <f>bitConcat(F88:F88)</f>
        <v>32'b00000000000000000000000000000000</v>
      </c>
      <c r="E87" s="68"/>
      <c r="F87" s="68"/>
      <c r="G87" s="68"/>
      <c r="H87" s="69" t="s">
        <v>42</v>
      </c>
      <c r="I87" s="69"/>
      <c r="J87" s="69" t="str">
        <f>bitConcat(G88:G88)</f>
        <v>32'b00000000000000000000000000000000</v>
      </c>
      <c r="K87" s="69"/>
      <c r="L87" s="70"/>
      <c r="M87" s="64" t="str">
        <f>DEC2HEX(_xlfn.BITLSHIFT(O87,7)+4*P87)</f>
        <v>53C</v>
      </c>
      <c r="N87" s="64"/>
      <c r="O87" s="64">
        <v>10</v>
      </c>
      <c r="P87" s="64">
        <v>15</v>
      </c>
      <c r="Q87" s="64" t="str">
        <f>DEC2HEX(_xlfn.BITLSHIFT(O87,5)+P87)</f>
        <v>14F</v>
      </c>
      <c r="R87" s="64" t="str">
        <f>BIN2HEX(LEFT(RIGHT(D87,32),4))&amp;BIN2HEX(LEFT(RIGHT(D87,28),4))&amp;BIN2HEX(LEFT(RIGHT(D87,24),4))&amp;BIN2HEX(LEFT(RIGHT(D87,20),4))&amp;BIN2HEX(LEFT(RIGHT(D87,16),4))&amp;BIN2HEX(LEFT(RIGHT(D87,12),4))&amp;BIN2HEX(LEFT(RIGHT(D87,8),4))&amp;BIN2HEX(LEFT(RIGHT(D87,4),4))</f>
        <v>00000000</v>
      </c>
      <c r="S87" s="64" t="str">
        <f>BIN2HEX(LEFT(RIGHT(J87,32),4))&amp;BIN2HEX(LEFT(RIGHT(J87,28),4))&amp;BIN2HEX(LEFT(RIGHT(J87,24),4))&amp;BIN2HEX(LEFT(RIGHT(J87,20),4))&amp;BIN2HEX(LEFT(RIGHT(J87,16),4))&amp;BIN2HEX(LEFT(RIGHT(J87,12),4))&amp;BIN2HEX(LEFT(RIGHT(J87,8),4))&amp;BIN2HEX(LEFT(RIGHT(J87,4),4))</f>
        <v>00000000</v>
      </c>
      <c r="T87"/>
      <c r="U87"/>
      <c r="V87"/>
    </row>
    <row r="88" spans="1:36" ht="15" customHeight="1" thickBot="1">
      <c r="A88" s="66"/>
      <c r="B88" s="66"/>
      <c r="C88" s="30" t="s">
        <v>130</v>
      </c>
      <c r="D88" s="48">
        <v>32</v>
      </c>
      <c r="E88" s="48" t="str">
        <f>IF(D88&gt;1,(31)&amp;":"&amp;(31-D88+1),(31-D88+1)&amp;":"&amp;(31-D88+1))</f>
        <v>31:0</v>
      </c>
      <c r="F88" s="30" t="s">
        <v>56</v>
      </c>
      <c r="G88" s="30" t="s">
        <v>56</v>
      </c>
      <c r="H88" s="30" t="s">
        <v>131</v>
      </c>
      <c r="I88" s="46" t="s">
        <v>36</v>
      </c>
      <c r="J88" s="32" t="s">
        <v>35</v>
      </c>
      <c r="K88" s="47" t="s">
        <v>6</v>
      </c>
      <c r="L88" s="30"/>
      <c r="M88" s="65"/>
      <c r="N88" s="65"/>
      <c r="O88" s="65"/>
      <c r="P88" s="65"/>
      <c r="Q88" s="65"/>
      <c r="R88" s="65"/>
      <c r="S88" s="65"/>
      <c r="T88" s="49"/>
      <c r="U88" s="49"/>
      <c r="V88" s="49"/>
    </row>
    <row r="89" spans="1:36">
      <c r="A89" s="66" t="s">
        <v>181</v>
      </c>
      <c r="B89" s="66">
        <v>40</v>
      </c>
      <c r="C89" s="45" t="s">
        <v>47</v>
      </c>
      <c r="D89" s="67" t="str">
        <f>bitConcat(F90:F90)</f>
        <v>32'b00000000000000000000000000000000</v>
      </c>
      <c r="E89" s="68"/>
      <c r="F89" s="68"/>
      <c r="G89" s="68"/>
      <c r="H89" s="69" t="s">
        <v>42</v>
      </c>
      <c r="I89" s="69"/>
      <c r="J89" s="69" t="str">
        <f>bitConcat(G90:G90)</f>
        <v>32'b00000000000000000000000000000000</v>
      </c>
      <c r="K89" s="69"/>
      <c r="L89" s="70"/>
      <c r="M89" s="64" t="str">
        <f>DEC2HEX(_xlfn.BITLSHIFT(O89,7)+4*P89)</f>
        <v>540</v>
      </c>
      <c r="N89" s="64"/>
      <c r="O89" s="64">
        <v>10</v>
      </c>
      <c r="P89" s="64">
        <v>16</v>
      </c>
      <c r="Q89" s="64" t="str">
        <f>DEC2HEX(_xlfn.BITLSHIFT(O89,5)+P89)</f>
        <v>150</v>
      </c>
      <c r="R89" s="64" t="str">
        <f>BIN2HEX(LEFT(RIGHT(D89,32),4))&amp;BIN2HEX(LEFT(RIGHT(D89,28),4))&amp;BIN2HEX(LEFT(RIGHT(D89,24),4))&amp;BIN2HEX(LEFT(RIGHT(D89,20),4))&amp;BIN2HEX(LEFT(RIGHT(D89,16),4))&amp;BIN2HEX(LEFT(RIGHT(D89,12),4))&amp;BIN2HEX(LEFT(RIGHT(D89,8),4))&amp;BIN2HEX(LEFT(RIGHT(D89,4),4))</f>
        <v>00000000</v>
      </c>
      <c r="S89" s="64" t="str">
        <f>BIN2HEX(LEFT(RIGHT(J89,32),4))&amp;BIN2HEX(LEFT(RIGHT(J89,28),4))&amp;BIN2HEX(LEFT(RIGHT(J89,24),4))&amp;BIN2HEX(LEFT(RIGHT(J89,20),4))&amp;BIN2HEX(LEFT(RIGHT(J89,16),4))&amp;BIN2HEX(LEFT(RIGHT(J89,12),4))&amp;BIN2HEX(LEFT(RIGHT(J89,8),4))&amp;BIN2HEX(LEFT(RIGHT(J89,4),4))</f>
        <v>00000000</v>
      </c>
      <c r="T89"/>
      <c r="U89"/>
      <c r="V89"/>
      <c r="AI89" s="60"/>
      <c r="AJ89" s="36"/>
    </row>
    <row r="90" spans="1:36" ht="15" thickBot="1">
      <c r="A90" s="66"/>
      <c r="B90" s="66"/>
      <c r="C90" s="30" t="s">
        <v>130</v>
      </c>
      <c r="D90" s="48">
        <v>32</v>
      </c>
      <c r="E90" s="48" t="str">
        <f>IF(D90&gt;1,(31)&amp;":"&amp;(31-D90+1),(31-D90+1)&amp;":"&amp;(31-D90+1))</f>
        <v>31:0</v>
      </c>
      <c r="F90" s="30" t="s">
        <v>56</v>
      </c>
      <c r="G90" s="30" t="s">
        <v>56</v>
      </c>
      <c r="H90" s="30" t="s">
        <v>131</v>
      </c>
      <c r="I90" s="46" t="s">
        <v>36</v>
      </c>
      <c r="J90" s="32" t="s">
        <v>35</v>
      </c>
      <c r="K90" s="47" t="s">
        <v>6</v>
      </c>
      <c r="L90" s="30"/>
      <c r="M90" s="65"/>
      <c r="N90" s="65"/>
      <c r="O90" s="65"/>
      <c r="P90" s="65"/>
      <c r="Q90" s="65"/>
      <c r="R90" s="65"/>
      <c r="S90" s="65"/>
      <c r="T90" s="49"/>
      <c r="U90" s="49"/>
      <c r="V90" s="49"/>
      <c r="AI90" s="60"/>
      <c r="AJ90" s="36"/>
    </row>
    <row r="91" spans="1:36">
      <c r="A91" s="66" t="s">
        <v>182</v>
      </c>
      <c r="B91" s="66">
        <v>44</v>
      </c>
      <c r="C91" s="45" t="s">
        <v>47</v>
      </c>
      <c r="D91" s="67" t="str">
        <f>bitConcat(F92:F92)</f>
        <v>32'b00000000000000000000000000000000</v>
      </c>
      <c r="E91" s="68"/>
      <c r="F91" s="68"/>
      <c r="G91" s="68"/>
      <c r="H91" s="69" t="s">
        <v>42</v>
      </c>
      <c r="I91" s="69"/>
      <c r="J91" s="69" t="str">
        <f>bitConcat(G92:G92)</f>
        <v>32'b00000000000000000000000000000000</v>
      </c>
      <c r="K91" s="69"/>
      <c r="L91" s="70"/>
      <c r="M91" s="64" t="str">
        <f>DEC2HEX(_xlfn.BITLSHIFT(O91,7)+4*P91)</f>
        <v>544</v>
      </c>
      <c r="N91" s="64"/>
      <c r="O91" s="64">
        <v>10</v>
      </c>
      <c r="P91" s="64">
        <v>17</v>
      </c>
      <c r="Q91" s="64" t="str">
        <f>DEC2HEX(_xlfn.BITLSHIFT(O91,5)+P91)</f>
        <v>151</v>
      </c>
      <c r="R91" s="64" t="str">
        <f>BIN2HEX(LEFT(RIGHT(D91,32),4))&amp;BIN2HEX(LEFT(RIGHT(D91,28),4))&amp;BIN2HEX(LEFT(RIGHT(D91,24),4))&amp;BIN2HEX(LEFT(RIGHT(D91,20),4))&amp;BIN2HEX(LEFT(RIGHT(D91,16),4))&amp;BIN2HEX(LEFT(RIGHT(D91,12),4))&amp;BIN2HEX(LEFT(RIGHT(D91,8),4))&amp;BIN2HEX(LEFT(RIGHT(D91,4),4))</f>
        <v>00000000</v>
      </c>
      <c r="S91" s="64" t="str">
        <f>BIN2HEX(LEFT(RIGHT(J91,32),4))&amp;BIN2HEX(LEFT(RIGHT(J91,28),4))&amp;BIN2HEX(LEFT(RIGHT(J91,24),4))&amp;BIN2HEX(LEFT(RIGHT(J91,20),4))&amp;BIN2HEX(LEFT(RIGHT(J91,16),4))&amp;BIN2HEX(LEFT(RIGHT(J91,12),4))&amp;BIN2HEX(LEFT(RIGHT(J91,8),4))&amp;BIN2HEX(LEFT(RIGHT(J91,4),4))</f>
        <v>00000000</v>
      </c>
      <c r="T91"/>
      <c r="U91"/>
      <c r="V91"/>
      <c r="AI91" s="60"/>
      <c r="AJ91" s="36"/>
    </row>
    <row r="92" spans="1:36" ht="15" thickBot="1">
      <c r="A92" s="66"/>
      <c r="B92" s="66"/>
      <c r="C92" s="30" t="s">
        <v>130</v>
      </c>
      <c r="D92" s="48">
        <v>32</v>
      </c>
      <c r="E92" s="48" t="str">
        <f>IF(D92&gt;1,(31)&amp;":"&amp;(31-D92+1),(31-D92+1)&amp;":"&amp;(31-D92+1))</f>
        <v>31:0</v>
      </c>
      <c r="F92" s="30" t="s">
        <v>56</v>
      </c>
      <c r="G92" s="30" t="s">
        <v>56</v>
      </c>
      <c r="H92" s="30" t="s">
        <v>131</v>
      </c>
      <c r="I92" s="46" t="s">
        <v>36</v>
      </c>
      <c r="J92" s="32" t="s">
        <v>35</v>
      </c>
      <c r="K92" s="47" t="s">
        <v>6</v>
      </c>
      <c r="L92" s="30"/>
      <c r="M92" s="65"/>
      <c r="N92" s="65"/>
      <c r="O92" s="65"/>
      <c r="P92" s="65"/>
      <c r="Q92" s="65"/>
      <c r="R92" s="65"/>
      <c r="S92" s="65"/>
      <c r="T92" s="49"/>
      <c r="U92" s="49"/>
      <c r="V92" s="49"/>
      <c r="AI92" s="60"/>
      <c r="AJ92" s="36"/>
    </row>
    <row r="93" spans="1:36" s="34" customFormat="1">
      <c r="A93" s="66" t="s">
        <v>195</v>
      </c>
      <c r="B93" s="66">
        <v>48</v>
      </c>
      <c r="C93" s="51" t="s">
        <v>47</v>
      </c>
      <c r="D93" s="67" t="str">
        <f>bitConcat(F94:F94)</f>
        <v>32'b00000000000000000000000000000000</v>
      </c>
      <c r="E93" s="68"/>
      <c r="F93" s="68"/>
      <c r="G93" s="68"/>
      <c r="H93" s="69" t="s">
        <v>42</v>
      </c>
      <c r="I93" s="69"/>
      <c r="J93" s="69" t="str">
        <f>bitConcat(G94:G94)</f>
        <v>32'b00000000000000000000000000000000</v>
      </c>
      <c r="K93" s="69"/>
      <c r="L93" s="70"/>
      <c r="M93" s="64" t="str">
        <f>DEC2HEX(_xlfn.BITLSHIFT(O93,7)+4*P93)</f>
        <v>548</v>
      </c>
      <c r="N93" s="64"/>
      <c r="O93" s="64">
        <v>10</v>
      </c>
      <c r="P93" s="64">
        <v>18</v>
      </c>
      <c r="Q93" s="64" t="str">
        <f>DEC2HEX(_xlfn.BITLSHIFT(O93,5)+P93)</f>
        <v>152</v>
      </c>
      <c r="R93" s="64" t="str">
        <f>BIN2HEX(LEFT(RIGHT(D93,32),4))&amp;BIN2HEX(LEFT(RIGHT(D93,28),4))&amp;BIN2HEX(LEFT(RIGHT(D93,24),4))&amp;BIN2HEX(LEFT(RIGHT(D93,20),4))&amp;BIN2HEX(LEFT(RIGHT(D93,16),4))&amp;BIN2HEX(LEFT(RIGHT(D93,12),4))&amp;BIN2HEX(LEFT(RIGHT(D93,8),4))&amp;BIN2HEX(LEFT(RIGHT(D93,4),4))</f>
        <v>00000000</v>
      </c>
      <c r="S93" s="64" t="str">
        <f>BIN2HEX(LEFT(RIGHT(J93,32),4))&amp;BIN2HEX(LEFT(RIGHT(J93,28),4))&amp;BIN2HEX(LEFT(RIGHT(J93,24),4))&amp;BIN2HEX(LEFT(RIGHT(J93,20),4))&amp;BIN2HEX(LEFT(RIGHT(J93,16),4))&amp;BIN2HEX(LEFT(RIGHT(J93,12),4))&amp;BIN2HEX(LEFT(RIGHT(J93,8),4))&amp;BIN2HEX(LEFT(RIGHT(J93,4),4))</f>
        <v>00000000</v>
      </c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 s="56"/>
    </row>
    <row r="94" spans="1:36" s="34" customFormat="1" ht="15" thickBot="1">
      <c r="A94" s="66"/>
      <c r="B94" s="66"/>
      <c r="C94" s="49" t="s">
        <v>130</v>
      </c>
      <c r="D94" s="54">
        <v>32</v>
      </c>
      <c r="E94" s="54" t="str">
        <f>IF(D94&gt;1,(31)&amp;":"&amp;(31-D94+1),(31-D94+1)&amp;":"&amp;(31-D94+1))</f>
        <v>31:0</v>
      </c>
      <c r="F94" s="49" t="s">
        <v>56</v>
      </c>
      <c r="G94" s="49" t="s">
        <v>56</v>
      </c>
      <c r="H94" s="49" t="s">
        <v>131</v>
      </c>
      <c r="I94" s="52" t="s">
        <v>36</v>
      </c>
      <c r="J94" s="50" t="s">
        <v>35</v>
      </c>
      <c r="K94" s="53" t="s">
        <v>6</v>
      </c>
      <c r="L94" s="49"/>
      <c r="M94" s="65"/>
      <c r="N94" s="65"/>
      <c r="O94" s="65"/>
      <c r="P94" s="65"/>
      <c r="Q94" s="65"/>
      <c r="R94" s="65"/>
      <c r="S94" s="65"/>
      <c r="T94" s="49"/>
      <c r="U94" s="49"/>
      <c r="V94" s="49"/>
      <c r="W94"/>
      <c r="X94"/>
      <c r="Y94"/>
      <c r="Z94"/>
      <c r="AA94"/>
      <c r="AB94"/>
      <c r="AC94"/>
      <c r="AD94"/>
      <c r="AE94"/>
      <c r="AF94"/>
      <c r="AG94"/>
      <c r="AH94"/>
      <c r="AI94" s="56"/>
    </row>
    <row r="95" spans="1:36" s="34" customFormat="1">
      <c r="A95" s="66" t="s">
        <v>196</v>
      </c>
      <c r="B95" s="66" t="s">
        <v>209</v>
      </c>
      <c r="C95" s="51" t="s">
        <v>47</v>
      </c>
      <c r="D95" s="67" t="str">
        <f>bitConcat(F96:F96)</f>
        <v>32'b00000000000000000000000000000000</v>
      </c>
      <c r="E95" s="68"/>
      <c r="F95" s="68"/>
      <c r="G95" s="68"/>
      <c r="H95" s="69" t="s">
        <v>42</v>
      </c>
      <c r="I95" s="69"/>
      <c r="J95" s="69" t="str">
        <f>bitConcat(G96:G96)</f>
        <v>32'b00000000000000000000000000000000</v>
      </c>
      <c r="K95" s="69"/>
      <c r="L95" s="70"/>
      <c r="M95" s="64" t="str">
        <f>DEC2HEX(_xlfn.BITLSHIFT(O95,7)+4*P95)</f>
        <v>54C</v>
      </c>
      <c r="N95" s="64"/>
      <c r="O95" s="64">
        <v>10</v>
      </c>
      <c r="P95" s="64">
        <v>19</v>
      </c>
      <c r="Q95" s="64" t="str">
        <f>DEC2HEX(_xlfn.BITLSHIFT(O95,5)+P95)</f>
        <v>153</v>
      </c>
      <c r="R95" s="64" t="str">
        <f>BIN2HEX(LEFT(RIGHT(D95,32),4))&amp;BIN2HEX(LEFT(RIGHT(D95,28),4))&amp;BIN2HEX(LEFT(RIGHT(D95,24),4))&amp;BIN2HEX(LEFT(RIGHT(D95,20),4))&amp;BIN2HEX(LEFT(RIGHT(D95,16),4))&amp;BIN2HEX(LEFT(RIGHT(D95,12),4))&amp;BIN2HEX(LEFT(RIGHT(D95,8),4))&amp;BIN2HEX(LEFT(RIGHT(D95,4),4))</f>
        <v>00000000</v>
      </c>
      <c r="S95" s="64" t="str">
        <f>BIN2HEX(LEFT(RIGHT(J95,32),4))&amp;BIN2HEX(LEFT(RIGHT(J95,28),4))&amp;BIN2HEX(LEFT(RIGHT(J95,24),4))&amp;BIN2HEX(LEFT(RIGHT(J95,20),4))&amp;BIN2HEX(LEFT(RIGHT(J95,16),4))&amp;BIN2HEX(LEFT(RIGHT(J95,12),4))&amp;BIN2HEX(LEFT(RIGHT(J95,8),4))&amp;BIN2HEX(LEFT(RIGHT(J95,4),4))</f>
        <v>00000000</v>
      </c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 s="56"/>
    </row>
    <row r="96" spans="1:36" s="34" customFormat="1" ht="15" thickBot="1">
      <c r="A96" s="66"/>
      <c r="B96" s="66"/>
      <c r="C96" s="49" t="s">
        <v>130</v>
      </c>
      <c r="D96" s="54">
        <v>32</v>
      </c>
      <c r="E96" s="54" t="str">
        <f>IF(D96&gt;1,(31)&amp;":"&amp;(31-D96+1),(31-D96+1)&amp;":"&amp;(31-D96+1))</f>
        <v>31:0</v>
      </c>
      <c r="F96" s="49" t="s">
        <v>56</v>
      </c>
      <c r="G96" s="49" t="s">
        <v>56</v>
      </c>
      <c r="H96" s="49" t="s">
        <v>131</v>
      </c>
      <c r="I96" s="52" t="s">
        <v>36</v>
      </c>
      <c r="J96" s="50" t="s">
        <v>35</v>
      </c>
      <c r="K96" s="53" t="s">
        <v>6</v>
      </c>
      <c r="L96" s="49"/>
      <c r="M96" s="65"/>
      <c r="N96" s="65"/>
      <c r="O96" s="65"/>
      <c r="P96" s="65"/>
      <c r="Q96" s="65"/>
      <c r="R96" s="65"/>
      <c r="S96" s="65"/>
      <c r="T96" s="49"/>
      <c r="U96" s="49"/>
      <c r="V96" s="49"/>
      <c r="W96"/>
      <c r="X96"/>
      <c r="Y96"/>
      <c r="Z96"/>
      <c r="AA96"/>
      <c r="AB96"/>
      <c r="AC96"/>
      <c r="AD96"/>
      <c r="AE96"/>
      <c r="AF96"/>
      <c r="AG96"/>
      <c r="AH96"/>
      <c r="AI96" s="56"/>
    </row>
    <row r="97" spans="1:36" s="34" customFormat="1">
      <c r="A97" s="66" t="s">
        <v>197</v>
      </c>
      <c r="B97" s="66">
        <v>50</v>
      </c>
      <c r="C97" s="51" t="s">
        <v>47</v>
      </c>
      <c r="D97" s="67" t="str">
        <f>bitConcat(F98:F98)</f>
        <v>32'b00000000000000000000000000000000</v>
      </c>
      <c r="E97" s="68"/>
      <c r="F97" s="68"/>
      <c r="G97" s="68"/>
      <c r="H97" s="69" t="s">
        <v>42</v>
      </c>
      <c r="I97" s="69"/>
      <c r="J97" s="69" t="str">
        <f>bitConcat(G98:G98)</f>
        <v>32'b00000000000000000000000000000000</v>
      </c>
      <c r="K97" s="69"/>
      <c r="L97" s="70"/>
      <c r="M97" s="64" t="str">
        <f>DEC2HEX(_xlfn.BITLSHIFT(O97,7)+4*P97)</f>
        <v>550</v>
      </c>
      <c r="N97" s="64"/>
      <c r="O97" s="64">
        <v>10</v>
      </c>
      <c r="P97" s="64">
        <v>20</v>
      </c>
      <c r="Q97" s="64" t="str">
        <f>DEC2HEX(_xlfn.BITLSHIFT(O97,5)+P97)</f>
        <v>154</v>
      </c>
      <c r="R97" s="64" t="str">
        <f>BIN2HEX(LEFT(RIGHT(D97,32),4))&amp;BIN2HEX(LEFT(RIGHT(D97,28),4))&amp;BIN2HEX(LEFT(RIGHT(D97,24),4))&amp;BIN2HEX(LEFT(RIGHT(D97,20),4))&amp;BIN2HEX(LEFT(RIGHT(D97,16),4))&amp;BIN2HEX(LEFT(RIGHT(D97,12),4))&amp;BIN2HEX(LEFT(RIGHT(D97,8),4))&amp;BIN2HEX(LEFT(RIGHT(D97,4),4))</f>
        <v>00000000</v>
      </c>
      <c r="S97" s="64" t="str">
        <f>BIN2HEX(LEFT(RIGHT(J97,32),4))&amp;BIN2HEX(LEFT(RIGHT(J97,28),4))&amp;BIN2HEX(LEFT(RIGHT(J97,24),4))&amp;BIN2HEX(LEFT(RIGHT(J97,20),4))&amp;BIN2HEX(LEFT(RIGHT(J97,16),4))&amp;BIN2HEX(LEFT(RIGHT(J97,12),4))&amp;BIN2HEX(LEFT(RIGHT(J97,8),4))&amp;BIN2HEX(LEFT(RIGHT(J97,4),4))</f>
        <v>00000000</v>
      </c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 s="56"/>
    </row>
    <row r="98" spans="1:36" s="34" customFormat="1" ht="15.75" customHeight="1" thickBot="1">
      <c r="A98" s="66"/>
      <c r="B98" s="66"/>
      <c r="C98" s="49" t="s">
        <v>130</v>
      </c>
      <c r="D98" s="54">
        <v>32</v>
      </c>
      <c r="E98" s="54" t="str">
        <f>IF(D98&gt;1,(31)&amp;":"&amp;(31-D98+1),(31-D98+1)&amp;":"&amp;(31-D98+1))</f>
        <v>31:0</v>
      </c>
      <c r="F98" s="49" t="s">
        <v>56</v>
      </c>
      <c r="G98" s="49" t="s">
        <v>56</v>
      </c>
      <c r="H98" s="49" t="s">
        <v>131</v>
      </c>
      <c r="I98" s="52" t="s">
        <v>36</v>
      </c>
      <c r="J98" s="50" t="s">
        <v>35</v>
      </c>
      <c r="K98" s="53" t="s">
        <v>6</v>
      </c>
      <c r="L98" s="49"/>
      <c r="M98" s="65"/>
      <c r="N98" s="65"/>
      <c r="O98" s="65"/>
      <c r="P98" s="65"/>
      <c r="Q98" s="65"/>
      <c r="R98" s="65"/>
      <c r="S98" s="65"/>
      <c r="T98" s="49"/>
      <c r="U98" s="49"/>
      <c r="V98" s="49"/>
      <c r="W98"/>
      <c r="X98"/>
      <c r="Y98"/>
      <c r="Z98"/>
      <c r="AA98"/>
      <c r="AB98"/>
      <c r="AC98"/>
      <c r="AD98"/>
      <c r="AE98"/>
      <c r="AF98"/>
      <c r="AG98"/>
      <c r="AH98"/>
      <c r="AI98" s="56"/>
    </row>
    <row r="99" spans="1:36" s="34" customFormat="1">
      <c r="A99" s="66" t="s">
        <v>198</v>
      </c>
      <c r="B99" s="66">
        <v>54</v>
      </c>
      <c r="C99" s="51" t="s">
        <v>47</v>
      </c>
      <c r="D99" s="67" t="str">
        <f>bitConcat(F100:F100)</f>
        <v>32'b00000000000000000000000000000000</v>
      </c>
      <c r="E99" s="68"/>
      <c r="F99" s="68"/>
      <c r="G99" s="68"/>
      <c r="H99" s="69" t="s">
        <v>42</v>
      </c>
      <c r="I99" s="69"/>
      <c r="J99" s="69" t="str">
        <f>bitConcat(G100:G100)</f>
        <v>32'b00000000000000000000000000000000</v>
      </c>
      <c r="K99" s="69"/>
      <c r="L99" s="70"/>
      <c r="M99" s="64" t="str">
        <f>DEC2HEX(_xlfn.BITLSHIFT(O99,7)+4*P99)</f>
        <v>554</v>
      </c>
      <c r="N99" s="64"/>
      <c r="O99" s="64">
        <v>10</v>
      </c>
      <c r="P99" s="64">
        <v>21</v>
      </c>
      <c r="Q99" s="64" t="str">
        <f>DEC2HEX(_xlfn.BITLSHIFT(O99,5)+P99)</f>
        <v>155</v>
      </c>
      <c r="R99" s="64" t="str">
        <f>BIN2HEX(LEFT(RIGHT(D99,32),4))&amp;BIN2HEX(LEFT(RIGHT(D99,28),4))&amp;BIN2HEX(LEFT(RIGHT(D99,24),4))&amp;BIN2HEX(LEFT(RIGHT(D99,20),4))&amp;BIN2HEX(LEFT(RIGHT(D99,16),4))&amp;BIN2HEX(LEFT(RIGHT(D99,12),4))&amp;BIN2HEX(LEFT(RIGHT(D99,8),4))&amp;BIN2HEX(LEFT(RIGHT(D99,4),4))</f>
        <v>00000000</v>
      </c>
      <c r="S99" s="64" t="str">
        <f>BIN2HEX(LEFT(RIGHT(J99,32),4))&amp;BIN2HEX(LEFT(RIGHT(J99,28),4))&amp;BIN2HEX(LEFT(RIGHT(J99,24),4))&amp;BIN2HEX(LEFT(RIGHT(J99,20),4))&amp;BIN2HEX(LEFT(RIGHT(J99,16),4))&amp;BIN2HEX(LEFT(RIGHT(J99,12),4))&amp;BIN2HEX(LEFT(RIGHT(J99,8),4))&amp;BIN2HEX(LEFT(RIGHT(J99,4),4))</f>
        <v>00000000</v>
      </c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 s="56"/>
    </row>
    <row r="100" spans="1:36" s="34" customFormat="1" ht="15" customHeight="1" thickBot="1">
      <c r="A100" s="66"/>
      <c r="B100" s="66"/>
      <c r="C100" s="49" t="s">
        <v>130</v>
      </c>
      <c r="D100" s="54">
        <v>32</v>
      </c>
      <c r="E100" s="54" t="str">
        <f>IF(D100&gt;1,(31)&amp;":"&amp;(31-D100+1),(31-D100+1)&amp;":"&amp;(31-D100+1))</f>
        <v>31:0</v>
      </c>
      <c r="F100" s="49" t="s">
        <v>56</v>
      </c>
      <c r="G100" s="49" t="s">
        <v>56</v>
      </c>
      <c r="H100" s="49" t="s">
        <v>131</v>
      </c>
      <c r="I100" s="52" t="s">
        <v>36</v>
      </c>
      <c r="J100" s="50" t="s">
        <v>35</v>
      </c>
      <c r="K100" s="53" t="s">
        <v>6</v>
      </c>
      <c r="L100" s="49"/>
      <c r="M100" s="65"/>
      <c r="N100" s="65"/>
      <c r="O100" s="65"/>
      <c r="P100" s="65"/>
      <c r="Q100" s="65"/>
      <c r="R100" s="65"/>
      <c r="S100" s="65"/>
      <c r="T100" s="49"/>
      <c r="U100" s="49"/>
      <c r="V100" s="49"/>
      <c r="W100"/>
      <c r="X100"/>
      <c r="Y100"/>
      <c r="Z100"/>
      <c r="AA100"/>
      <c r="AB100"/>
      <c r="AC100"/>
      <c r="AD100"/>
      <c r="AE100"/>
      <c r="AF100"/>
      <c r="AG100"/>
      <c r="AH100"/>
      <c r="AI100" s="56"/>
    </row>
    <row r="101" spans="1:36" s="34" customFormat="1">
      <c r="A101" s="66" t="s">
        <v>199</v>
      </c>
      <c r="B101" s="66">
        <v>58</v>
      </c>
      <c r="C101" s="51" t="s">
        <v>47</v>
      </c>
      <c r="D101" s="67" t="str">
        <f>bitConcat(F102:F102)</f>
        <v>32'b00000000000000000000000000000000</v>
      </c>
      <c r="E101" s="68"/>
      <c r="F101" s="68"/>
      <c r="G101" s="68"/>
      <c r="H101" s="69" t="s">
        <v>42</v>
      </c>
      <c r="I101" s="69"/>
      <c r="J101" s="69" t="str">
        <f>bitConcat(G102:G102)</f>
        <v>32'b00000000000000000000000000000000</v>
      </c>
      <c r="K101" s="69"/>
      <c r="L101" s="70"/>
      <c r="M101" s="64" t="str">
        <f>DEC2HEX(_xlfn.BITLSHIFT(O101,7)+4*P101)</f>
        <v>558</v>
      </c>
      <c r="N101" s="64"/>
      <c r="O101" s="64">
        <v>10</v>
      </c>
      <c r="P101" s="64">
        <v>22</v>
      </c>
      <c r="Q101" s="64" t="str">
        <f>DEC2HEX(_xlfn.BITLSHIFT(O101,5)+P101)</f>
        <v>156</v>
      </c>
      <c r="R101" s="64" t="str">
        <f>BIN2HEX(LEFT(RIGHT(D101,32),4))&amp;BIN2HEX(LEFT(RIGHT(D101,28),4))&amp;BIN2HEX(LEFT(RIGHT(D101,24),4))&amp;BIN2HEX(LEFT(RIGHT(D101,20),4))&amp;BIN2HEX(LEFT(RIGHT(D101,16),4))&amp;BIN2HEX(LEFT(RIGHT(D101,12),4))&amp;BIN2HEX(LEFT(RIGHT(D101,8),4))&amp;BIN2HEX(LEFT(RIGHT(D101,4),4))</f>
        <v>00000000</v>
      </c>
      <c r="S101" s="64" t="str">
        <f>BIN2HEX(LEFT(RIGHT(J101,32),4))&amp;BIN2HEX(LEFT(RIGHT(J101,28),4))&amp;BIN2HEX(LEFT(RIGHT(J101,24),4))&amp;BIN2HEX(LEFT(RIGHT(J101,20),4))&amp;BIN2HEX(LEFT(RIGHT(J101,16),4))&amp;BIN2HEX(LEFT(RIGHT(J101,12),4))&amp;BIN2HEX(LEFT(RIGHT(J101,8),4))&amp;BIN2HEX(LEFT(RIGHT(J101,4),4))</f>
        <v>00000000</v>
      </c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 s="60"/>
      <c r="AJ101" s="36"/>
    </row>
    <row r="102" spans="1:36" s="34" customFormat="1" ht="15" thickBot="1">
      <c r="A102" s="66"/>
      <c r="B102" s="66"/>
      <c r="C102" s="49" t="s">
        <v>130</v>
      </c>
      <c r="D102" s="54">
        <v>32</v>
      </c>
      <c r="E102" s="54" t="str">
        <f>IF(D102&gt;1,(31)&amp;":"&amp;(31-D102+1),(31-D102+1)&amp;":"&amp;(31-D102+1))</f>
        <v>31:0</v>
      </c>
      <c r="F102" s="49" t="s">
        <v>56</v>
      </c>
      <c r="G102" s="49" t="s">
        <v>56</v>
      </c>
      <c r="H102" s="49" t="s">
        <v>131</v>
      </c>
      <c r="I102" s="52" t="s">
        <v>36</v>
      </c>
      <c r="J102" s="50" t="s">
        <v>35</v>
      </c>
      <c r="K102" s="53" t="s">
        <v>6</v>
      </c>
      <c r="L102" s="49"/>
      <c r="M102" s="65"/>
      <c r="N102" s="65"/>
      <c r="O102" s="65"/>
      <c r="P102" s="65"/>
      <c r="Q102" s="65"/>
      <c r="R102" s="65"/>
      <c r="S102" s="65"/>
      <c r="T102" s="49"/>
      <c r="U102" s="49"/>
      <c r="V102" s="49"/>
      <c r="W102"/>
      <c r="X102"/>
      <c r="Y102"/>
      <c r="Z102"/>
      <c r="AA102"/>
      <c r="AB102"/>
      <c r="AC102"/>
      <c r="AD102"/>
      <c r="AE102"/>
      <c r="AF102"/>
      <c r="AG102"/>
      <c r="AH102"/>
      <c r="AI102" s="60"/>
      <c r="AJ102" s="36"/>
    </row>
    <row r="103" spans="1:36" s="34" customFormat="1">
      <c r="A103" s="66" t="s">
        <v>200</v>
      </c>
      <c r="B103" s="66" t="s">
        <v>210</v>
      </c>
      <c r="C103" s="51" t="s">
        <v>47</v>
      </c>
      <c r="D103" s="67" t="str">
        <f>bitConcat(F104:F104)</f>
        <v>32'b00000000000000000000000000000000</v>
      </c>
      <c r="E103" s="68"/>
      <c r="F103" s="68"/>
      <c r="G103" s="68"/>
      <c r="H103" s="69" t="s">
        <v>42</v>
      </c>
      <c r="I103" s="69"/>
      <c r="J103" s="69" t="str">
        <f>bitConcat(G104:G104)</f>
        <v>32'b00000000000000000000000000000000</v>
      </c>
      <c r="K103" s="69"/>
      <c r="L103" s="70"/>
      <c r="M103" s="64" t="str">
        <f>DEC2HEX(_xlfn.BITLSHIFT(O103,7)+4*P103)</f>
        <v>55C</v>
      </c>
      <c r="N103" s="64"/>
      <c r="O103" s="64">
        <v>10</v>
      </c>
      <c r="P103" s="64">
        <v>23</v>
      </c>
      <c r="Q103" s="64" t="str">
        <f>DEC2HEX(_xlfn.BITLSHIFT(O103,5)+P103)</f>
        <v>157</v>
      </c>
      <c r="R103" s="64" t="str">
        <f>BIN2HEX(LEFT(RIGHT(D103,32),4))&amp;BIN2HEX(LEFT(RIGHT(D103,28),4))&amp;BIN2HEX(LEFT(RIGHT(D103,24),4))&amp;BIN2HEX(LEFT(RIGHT(D103,20),4))&amp;BIN2HEX(LEFT(RIGHT(D103,16),4))&amp;BIN2HEX(LEFT(RIGHT(D103,12),4))&amp;BIN2HEX(LEFT(RIGHT(D103,8),4))&amp;BIN2HEX(LEFT(RIGHT(D103,4),4))</f>
        <v>00000000</v>
      </c>
      <c r="S103" s="64" t="str">
        <f>BIN2HEX(LEFT(RIGHT(J103,32),4))&amp;BIN2HEX(LEFT(RIGHT(J103,28),4))&amp;BIN2HEX(LEFT(RIGHT(J103,24),4))&amp;BIN2HEX(LEFT(RIGHT(J103,20),4))&amp;BIN2HEX(LEFT(RIGHT(J103,16),4))&amp;BIN2HEX(LEFT(RIGHT(J103,12),4))&amp;BIN2HEX(LEFT(RIGHT(J103,8),4))&amp;BIN2HEX(LEFT(RIGHT(J103,4),4))</f>
        <v>00000000</v>
      </c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 s="60"/>
      <c r="AJ103" s="36"/>
    </row>
    <row r="104" spans="1:36" s="34" customFormat="1" ht="15" thickBot="1">
      <c r="A104" s="66"/>
      <c r="B104" s="66"/>
      <c r="C104" s="49" t="s">
        <v>130</v>
      </c>
      <c r="D104" s="54">
        <v>32</v>
      </c>
      <c r="E104" s="54" t="str">
        <f>IF(D104&gt;1,(31)&amp;":"&amp;(31-D104+1),(31-D104+1)&amp;":"&amp;(31-D104+1))</f>
        <v>31:0</v>
      </c>
      <c r="F104" s="49" t="s">
        <v>56</v>
      </c>
      <c r="G104" s="49" t="s">
        <v>56</v>
      </c>
      <c r="H104" s="49" t="s">
        <v>131</v>
      </c>
      <c r="I104" s="52" t="s">
        <v>36</v>
      </c>
      <c r="J104" s="50" t="s">
        <v>35</v>
      </c>
      <c r="K104" s="53" t="s">
        <v>6</v>
      </c>
      <c r="L104" s="49"/>
      <c r="M104" s="65"/>
      <c r="N104" s="65"/>
      <c r="O104" s="65"/>
      <c r="P104" s="65"/>
      <c r="Q104" s="65"/>
      <c r="R104" s="65"/>
      <c r="S104" s="65"/>
      <c r="T104" s="49"/>
      <c r="U104" s="49"/>
      <c r="V104" s="49"/>
      <c r="W104"/>
      <c r="X104"/>
      <c r="Y104"/>
      <c r="Z104"/>
      <c r="AA104"/>
      <c r="AB104"/>
      <c r="AC104"/>
      <c r="AD104"/>
      <c r="AE104"/>
      <c r="AF104"/>
      <c r="AG104"/>
      <c r="AH104"/>
      <c r="AI104" s="60"/>
      <c r="AJ104" s="36"/>
    </row>
    <row r="105" spans="1:36" s="34" customFormat="1">
      <c r="A105" s="66" t="s">
        <v>201</v>
      </c>
      <c r="B105" s="66">
        <v>60</v>
      </c>
      <c r="C105" s="51" t="s">
        <v>47</v>
      </c>
      <c r="D105" s="67" t="str">
        <f>bitConcat(F106:F106)</f>
        <v>32'b00000000000000000000000000000000</v>
      </c>
      <c r="E105" s="68"/>
      <c r="F105" s="68"/>
      <c r="G105" s="68"/>
      <c r="H105" s="69" t="s">
        <v>42</v>
      </c>
      <c r="I105" s="69"/>
      <c r="J105" s="69" t="str">
        <f>bitConcat(G106:G106)</f>
        <v>32'b00000000000000000000000000000000</v>
      </c>
      <c r="K105" s="69"/>
      <c r="L105" s="70"/>
      <c r="M105" s="64" t="str">
        <f>DEC2HEX(_xlfn.BITLSHIFT(O105,7)+4*P105)</f>
        <v>560</v>
      </c>
      <c r="N105" s="64"/>
      <c r="O105" s="64">
        <v>10</v>
      </c>
      <c r="P105" s="64">
        <v>24</v>
      </c>
      <c r="Q105" s="64" t="str">
        <f>DEC2HEX(_xlfn.BITLSHIFT(O105,5)+P105)</f>
        <v>158</v>
      </c>
      <c r="R105" s="64" t="str">
        <f>BIN2HEX(LEFT(RIGHT(D105,32),4))&amp;BIN2HEX(LEFT(RIGHT(D105,28),4))&amp;BIN2HEX(LEFT(RIGHT(D105,24),4))&amp;BIN2HEX(LEFT(RIGHT(D105,20),4))&amp;BIN2HEX(LEFT(RIGHT(D105,16),4))&amp;BIN2HEX(LEFT(RIGHT(D105,12),4))&amp;BIN2HEX(LEFT(RIGHT(D105,8),4))&amp;BIN2HEX(LEFT(RIGHT(D105,4),4))</f>
        <v>00000000</v>
      </c>
      <c r="S105" s="64" t="str">
        <f>BIN2HEX(LEFT(RIGHT(J105,32),4))&amp;BIN2HEX(LEFT(RIGHT(J105,28),4))&amp;BIN2HEX(LEFT(RIGHT(J105,24),4))&amp;BIN2HEX(LEFT(RIGHT(J105,20),4))&amp;BIN2HEX(LEFT(RIGHT(J105,16),4))&amp;BIN2HEX(LEFT(RIGHT(J105,12),4))&amp;BIN2HEX(LEFT(RIGHT(J105,8),4))&amp;BIN2HEX(LEFT(RIGHT(J105,4),4))</f>
        <v>00000000</v>
      </c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 s="56"/>
    </row>
    <row r="106" spans="1:36" s="34" customFormat="1" ht="15" customHeight="1" thickBot="1">
      <c r="A106" s="66"/>
      <c r="B106" s="66"/>
      <c r="C106" s="49" t="s">
        <v>130</v>
      </c>
      <c r="D106" s="54">
        <v>32</v>
      </c>
      <c r="E106" s="54" t="str">
        <f>IF(D106&gt;1,(31)&amp;":"&amp;(31-D106+1),(31-D106+1)&amp;":"&amp;(31-D106+1))</f>
        <v>31:0</v>
      </c>
      <c r="F106" s="49" t="s">
        <v>56</v>
      </c>
      <c r="G106" s="49" t="s">
        <v>56</v>
      </c>
      <c r="H106" s="49" t="s">
        <v>131</v>
      </c>
      <c r="I106" s="52" t="s">
        <v>36</v>
      </c>
      <c r="J106" s="50" t="s">
        <v>35</v>
      </c>
      <c r="K106" s="53" t="s">
        <v>6</v>
      </c>
      <c r="L106" s="49"/>
      <c r="M106" s="65"/>
      <c r="N106" s="65"/>
      <c r="O106" s="65"/>
      <c r="P106" s="65"/>
      <c r="Q106" s="65"/>
      <c r="R106" s="65"/>
      <c r="S106" s="65"/>
      <c r="T106" s="49"/>
      <c r="U106" s="49"/>
      <c r="V106" s="49"/>
      <c r="W106"/>
      <c r="X106"/>
      <c r="Y106"/>
      <c r="Z106"/>
      <c r="AA106"/>
      <c r="AB106"/>
      <c r="AC106"/>
      <c r="AD106"/>
      <c r="AE106"/>
      <c r="AF106"/>
      <c r="AG106"/>
      <c r="AH106"/>
      <c r="AI106" s="56"/>
    </row>
    <row r="107" spans="1:36" s="34" customFormat="1">
      <c r="A107" s="66" t="s">
        <v>202</v>
      </c>
      <c r="B107" s="66">
        <v>64</v>
      </c>
      <c r="C107" s="51" t="s">
        <v>47</v>
      </c>
      <c r="D107" s="67" t="str">
        <f>bitConcat(F108:F108)</f>
        <v>32'b00000000000000000000000000000000</v>
      </c>
      <c r="E107" s="68"/>
      <c r="F107" s="68"/>
      <c r="G107" s="68"/>
      <c r="H107" s="69" t="s">
        <v>42</v>
      </c>
      <c r="I107" s="69"/>
      <c r="J107" s="69" t="str">
        <f>bitConcat(G108:G108)</f>
        <v>32'b00000000000000000000000000000000</v>
      </c>
      <c r="K107" s="69"/>
      <c r="L107" s="70"/>
      <c r="M107" s="64" t="str">
        <f>DEC2HEX(_xlfn.BITLSHIFT(O107,7)+4*P107)</f>
        <v>564</v>
      </c>
      <c r="N107" s="64"/>
      <c r="O107" s="64">
        <v>10</v>
      </c>
      <c r="P107" s="64">
        <v>25</v>
      </c>
      <c r="Q107" s="64" t="str">
        <f>DEC2HEX(_xlfn.BITLSHIFT(O107,5)+P107)</f>
        <v>159</v>
      </c>
      <c r="R107" s="64" t="str">
        <f>BIN2HEX(LEFT(RIGHT(D107,32),4))&amp;BIN2HEX(LEFT(RIGHT(D107,28),4))&amp;BIN2HEX(LEFT(RIGHT(D107,24),4))&amp;BIN2HEX(LEFT(RIGHT(D107,20),4))&amp;BIN2HEX(LEFT(RIGHT(D107,16),4))&amp;BIN2HEX(LEFT(RIGHT(D107,12),4))&amp;BIN2HEX(LEFT(RIGHT(D107,8),4))&amp;BIN2HEX(LEFT(RIGHT(D107,4),4))</f>
        <v>00000000</v>
      </c>
      <c r="S107" s="64" t="str">
        <f>BIN2HEX(LEFT(RIGHT(J107,32),4))&amp;BIN2HEX(LEFT(RIGHT(J107,28),4))&amp;BIN2HEX(LEFT(RIGHT(J107,24),4))&amp;BIN2HEX(LEFT(RIGHT(J107,20),4))&amp;BIN2HEX(LEFT(RIGHT(J107,16),4))&amp;BIN2HEX(LEFT(RIGHT(J107,12),4))&amp;BIN2HEX(LEFT(RIGHT(J107,8),4))&amp;BIN2HEX(LEFT(RIGHT(J107,4),4))</f>
        <v>00000000</v>
      </c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 s="60"/>
      <c r="AJ107" s="36"/>
    </row>
    <row r="108" spans="1:36" s="34" customFormat="1" ht="15" thickBot="1">
      <c r="A108" s="66"/>
      <c r="B108" s="66"/>
      <c r="C108" s="49" t="s">
        <v>130</v>
      </c>
      <c r="D108" s="54">
        <v>32</v>
      </c>
      <c r="E108" s="54" t="str">
        <f>IF(D108&gt;1,(31)&amp;":"&amp;(31-D108+1),(31-D108+1)&amp;":"&amp;(31-D108+1))</f>
        <v>31:0</v>
      </c>
      <c r="F108" s="49" t="s">
        <v>56</v>
      </c>
      <c r="G108" s="49" t="s">
        <v>56</v>
      </c>
      <c r="H108" s="49" t="s">
        <v>131</v>
      </c>
      <c r="I108" s="52" t="s">
        <v>36</v>
      </c>
      <c r="J108" s="50" t="s">
        <v>35</v>
      </c>
      <c r="K108" s="53" t="s">
        <v>6</v>
      </c>
      <c r="L108" s="49"/>
      <c r="M108" s="65"/>
      <c r="N108" s="65"/>
      <c r="O108" s="65"/>
      <c r="P108" s="65"/>
      <c r="Q108" s="65"/>
      <c r="R108" s="65"/>
      <c r="S108" s="65"/>
      <c r="T108" s="49"/>
      <c r="U108" s="49"/>
      <c r="V108" s="49"/>
      <c r="W108"/>
      <c r="X108"/>
      <c r="Y108"/>
      <c r="Z108"/>
      <c r="AA108"/>
      <c r="AB108"/>
      <c r="AC108"/>
      <c r="AD108"/>
      <c r="AE108"/>
      <c r="AF108"/>
      <c r="AG108"/>
      <c r="AH108"/>
      <c r="AI108" s="60"/>
      <c r="AJ108" s="36"/>
    </row>
    <row r="109" spans="1:36" s="34" customFormat="1">
      <c r="A109" s="66" t="s">
        <v>203</v>
      </c>
      <c r="B109" s="66">
        <v>68</v>
      </c>
      <c r="C109" s="51" t="s">
        <v>47</v>
      </c>
      <c r="D109" s="67" t="str">
        <f>bitConcat(F110:F110)</f>
        <v>32'b00000000000000000000000000000000</v>
      </c>
      <c r="E109" s="68"/>
      <c r="F109" s="68"/>
      <c r="G109" s="68"/>
      <c r="H109" s="69" t="s">
        <v>42</v>
      </c>
      <c r="I109" s="69"/>
      <c r="J109" s="69" t="str">
        <f>bitConcat(G110:G110)</f>
        <v>32'b00000000000000000000000000000000</v>
      </c>
      <c r="K109" s="69"/>
      <c r="L109" s="70"/>
      <c r="M109" s="64" t="str">
        <f>DEC2HEX(_xlfn.BITLSHIFT(O109,7)+4*P109)</f>
        <v>568</v>
      </c>
      <c r="N109" s="64"/>
      <c r="O109" s="64">
        <v>10</v>
      </c>
      <c r="P109" s="64">
        <v>26</v>
      </c>
      <c r="Q109" s="64" t="str">
        <f>DEC2HEX(_xlfn.BITLSHIFT(O109,5)+P109)</f>
        <v>15A</v>
      </c>
      <c r="R109" s="64" t="str">
        <f>BIN2HEX(LEFT(RIGHT(D109,32),4))&amp;BIN2HEX(LEFT(RIGHT(D109,28),4))&amp;BIN2HEX(LEFT(RIGHT(D109,24),4))&amp;BIN2HEX(LEFT(RIGHT(D109,20),4))&amp;BIN2HEX(LEFT(RIGHT(D109,16),4))&amp;BIN2HEX(LEFT(RIGHT(D109,12),4))&amp;BIN2HEX(LEFT(RIGHT(D109,8),4))&amp;BIN2HEX(LEFT(RIGHT(D109,4),4))</f>
        <v>00000000</v>
      </c>
      <c r="S109" s="64" t="str">
        <f>BIN2HEX(LEFT(RIGHT(J109,32),4))&amp;BIN2HEX(LEFT(RIGHT(J109,28),4))&amp;BIN2HEX(LEFT(RIGHT(J109,24),4))&amp;BIN2HEX(LEFT(RIGHT(J109,20),4))&amp;BIN2HEX(LEFT(RIGHT(J109,16),4))&amp;BIN2HEX(LEFT(RIGHT(J109,12),4))&amp;BIN2HEX(LEFT(RIGHT(J109,8),4))&amp;BIN2HEX(LEFT(RIGHT(J109,4),4))</f>
        <v>00000000</v>
      </c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 s="60"/>
      <c r="AJ109" s="36"/>
    </row>
    <row r="110" spans="1:36" s="34" customFormat="1" ht="15" thickBot="1">
      <c r="A110" s="66"/>
      <c r="B110" s="66"/>
      <c r="C110" s="49" t="s">
        <v>130</v>
      </c>
      <c r="D110" s="54">
        <v>32</v>
      </c>
      <c r="E110" s="54" t="str">
        <f>IF(D110&gt;1,(31)&amp;":"&amp;(31-D110+1),(31-D110+1)&amp;":"&amp;(31-D110+1))</f>
        <v>31:0</v>
      </c>
      <c r="F110" s="49" t="s">
        <v>56</v>
      </c>
      <c r="G110" s="49" t="s">
        <v>56</v>
      </c>
      <c r="H110" s="49" t="s">
        <v>131</v>
      </c>
      <c r="I110" s="52" t="s">
        <v>36</v>
      </c>
      <c r="J110" s="50" t="s">
        <v>35</v>
      </c>
      <c r="K110" s="53" t="s">
        <v>6</v>
      </c>
      <c r="L110" s="49"/>
      <c r="M110" s="65"/>
      <c r="N110" s="65"/>
      <c r="O110" s="65"/>
      <c r="P110" s="65"/>
      <c r="Q110" s="65"/>
      <c r="R110" s="65"/>
      <c r="S110" s="65"/>
      <c r="T110" s="49"/>
      <c r="U110" s="49"/>
      <c r="V110" s="49"/>
      <c r="W110"/>
      <c r="X110"/>
      <c r="Y110"/>
      <c r="Z110"/>
      <c r="AA110"/>
      <c r="AB110"/>
      <c r="AC110"/>
      <c r="AD110"/>
      <c r="AE110"/>
      <c r="AF110"/>
      <c r="AG110"/>
      <c r="AH110"/>
      <c r="AI110" s="60"/>
      <c r="AJ110" s="36"/>
    </row>
    <row r="111" spans="1:36" s="34" customFormat="1">
      <c r="A111" s="66" t="s">
        <v>204</v>
      </c>
      <c r="B111" s="66" t="s">
        <v>211</v>
      </c>
      <c r="C111" s="51" t="s">
        <v>47</v>
      </c>
      <c r="D111" s="67" t="str">
        <f>bitConcat(F112:F112)</f>
        <v>32'b00000000000000000000000000000000</v>
      </c>
      <c r="E111" s="68"/>
      <c r="F111" s="68"/>
      <c r="G111" s="68"/>
      <c r="H111" s="69" t="s">
        <v>42</v>
      </c>
      <c r="I111" s="69"/>
      <c r="J111" s="69" t="str">
        <f>bitConcat(G112:G112)</f>
        <v>32'b00000000000000000000000000000000</v>
      </c>
      <c r="K111" s="69"/>
      <c r="L111" s="70"/>
      <c r="M111" s="64" t="str">
        <f>DEC2HEX(_xlfn.BITLSHIFT(O111,7)+4*P111)</f>
        <v>56C</v>
      </c>
      <c r="N111" s="64"/>
      <c r="O111" s="64">
        <v>10</v>
      </c>
      <c r="P111" s="64">
        <v>27</v>
      </c>
      <c r="Q111" s="64" t="str">
        <f>DEC2HEX(_xlfn.BITLSHIFT(O111,5)+P111)</f>
        <v>15B</v>
      </c>
      <c r="R111" s="64" t="str">
        <f>BIN2HEX(LEFT(RIGHT(D111,32),4))&amp;BIN2HEX(LEFT(RIGHT(D111,28),4))&amp;BIN2HEX(LEFT(RIGHT(D111,24),4))&amp;BIN2HEX(LEFT(RIGHT(D111,20),4))&amp;BIN2HEX(LEFT(RIGHT(D111,16),4))&amp;BIN2HEX(LEFT(RIGHT(D111,12),4))&amp;BIN2HEX(LEFT(RIGHT(D111,8),4))&amp;BIN2HEX(LEFT(RIGHT(D111,4),4))</f>
        <v>00000000</v>
      </c>
      <c r="S111" s="64" t="str">
        <f>BIN2HEX(LEFT(RIGHT(J111,32),4))&amp;BIN2HEX(LEFT(RIGHT(J111,28),4))&amp;BIN2HEX(LEFT(RIGHT(J111,24),4))&amp;BIN2HEX(LEFT(RIGHT(J111,20),4))&amp;BIN2HEX(LEFT(RIGHT(J111,16),4))&amp;BIN2HEX(LEFT(RIGHT(J111,12),4))&amp;BIN2HEX(LEFT(RIGHT(J111,8),4))&amp;BIN2HEX(LEFT(RIGHT(J111,4),4))</f>
        <v>00000000</v>
      </c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 s="56"/>
    </row>
    <row r="112" spans="1:36" s="34" customFormat="1" ht="15" thickBot="1">
      <c r="A112" s="66"/>
      <c r="B112" s="66"/>
      <c r="C112" s="49" t="s">
        <v>130</v>
      </c>
      <c r="D112" s="54">
        <v>32</v>
      </c>
      <c r="E112" s="54" t="str">
        <f>IF(D112&gt;1,(31)&amp;":"&amp;(31-D112+1),(31-D112+1)&amp;":"&amp;(31-D112+1))</f>
        <v>31:0</v>
      </c>
      <c r="F112" s="49" t="s">
        <v>56</v>
      </c>
      <c r="G112" s="49" t="s">
        <v>56</v>
      </c>
      <c r="H112" s="49" t="s">
        <v>131</v>
      </c>
      <c r="I112" s="52" t="s">
        <v>36</v>
      </c>
      <c r="J112" s="50" t="s">
        <v>35</v>
      </c>
      <c r="K112" s="53" t="s">
        <v>6</v>
      </c>
      <c r="L112" s="49"/>
      <c r="M112" s="65"/>
      <c r="N112" s="65"/>
      <c r="O112" s="65"/>
      <c r="P112" s="65"/>
      <c r="Q112" s="65"/>
      <c r="R112" s="65"/>
      <c r="S112" s="65"/>
      <c r="T112" s="49"/>
      <c r="U112" s="49"/>
      <c r="V112" s="49"/>
      <c r="W112"/>
      <c r="X112"/>
      <c r="Y112"/>
      <c r="Z112"/>
      <c r="AA112"/>
      <c r="AB112"/>
      <c r="AC112"/>
      <c r="AD112"/>
      <c r="AE112"/>
      <c r="AF112"/>
      <c r="AG112"/>
      <c r="AH112"/>
      <c r="AI112" s="56"/>
    </row>
    <row r="113" spans="1:36" s="34" customFormat="1">
      <c r="A113" s="66" t="s">
        <v>205</v>
      </c>
      <c r="B113" s="66">
        <v>70</v>
      </c>
      <c r="C113" s="51" t="s">
        <v>47</v>
      </c>
      <c r="D113" s="67" t="str">
        <f>bitConcat(F114:F114)</f>
        <v>32'b00000000000000000000000000000000</v>
      </c>
      <c r="E113" s="68"/>
      <c r="F113" s="68"/>
      <c r="G113" s="68"/>
      <c r="H113" s="69" t="s">
        <v>42</v>
      </c>
      <c r="I113" s="69"/>
      <c r="J113" s="69" t="str">
        <f>bitConcat(G114:G114)</f>
        <v>32'b00000000000000000000000000000000</v>
      </c>
      <c r="K113" s="69"/>
      <c r="L113" s="70"/>
      <c r="M113" s="64" t="str">
        <f>DEC2HEX(_xlfn.BITLSHIFT(O113,7)+4*P113)</f>
        <v>570</v>
      </c>
      <c r="N113" s="64"/>
      <c r="O113" s="64">
        <v>10</v>
      </c>
      <c r="P113" s="64">
        <v>28</v>
      </c>
      <c r="Q113" s="64" t="str">
        <f>DEC2HEX(_xlfn.BITLSHIFT(O113,5)+P113)</f>
        <v>15C</v>
      </c>
      <c r="R113" s="64" t="str">
        <f>BIN2HEX(LEFT(RIGHT(D113,32),4))&amp;BIN2HEX(LEFT(RIGHT(D113,28),4))&amp;BIN2HEX(LEFT(RIGHT(D113,24),4))&amp;BIN2HEX(LEFT(RIGHT(D113,20),4))&amp;BIN2HEX(LEFT(RIGHT(D113,16),4))&amp;BIN2HEX(LEFT(RIGHT(D113,12),4))&amp;BIN2HEX(LEFT(RIGHT(D113,8),4))&amp;BIN2HEX(LEFT(RIGHT(D113,4),4))</f>
        <v>00000000</v>
      </c>
      <c r="S113" s="64" t="str">
        <f>BIN2HEX(LEFT(RIGHT(J113,32),4))&amp;BIN2HEX(LEFT(RIGHT(J113,28),4))&amp;BIN2HEX(LEFT(RIGHT(J113,24),4))&amp;BIN2HEX(LEFT(RIGHT(J113,20),4))&amp;BIN2HEX(LEFT(RIGHT(J113,16),4))&amp;BIN2HEX(LEFT(RIGHT(J113,12),4))&amp;BIN2HEX(LEFT(RIGHT(J113,8),4))&amp;BIN2HEX(LEFT(RIGHT(J113,4),4))</f>
        <v>00000000</v>
      </c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 s="56"/>
    </row>
    <row r="114" spans="1:36" s="34" customFormat="1" ht="15" thickBot="1">
      <c r="A114" s="66"/>
      <c r="B114" s="66"/>
      <c r="C114" s="49" t="s">
        <v>130</v>
      </c>
      <c r="D114" s="54">
        <v>32</v>
      </c>
      <c r="E114" s="54" t="str">
        <f>IF(D114&gt;1,(31)&amp;":"&amp;(31-D114+1),(31-D114+1)&amp;":"&amp;(31-D114+1))</f>
        <v>31:0</v>
      </c>
      <c r="F114" s="49" t="s">
        <v>56</v>
      </c>
      <c r="G114" s="49" t="s">
        <v>56</v>
      </c>
      <c r="H114" s="49" t="s">
        <v>131</v>
      </c>
      <c r="I114" s="52" t="s">
        <v>36</v>
      </c>
      <c r="J114" s="50" t="s">
        <v>35</v>
      </c>
      <c r="K114" s="53" t="s">
        <v>6</v>
      </c>
      <c r="L114" s="49"/>
      <c r="M114" s="65"/>
      <c r="N114" s="65"/>
      <c r="O114" s="65"/>
      <c r="P114" s="65"/>
      <c r="Q114" s="65"/>
      <c r="R114" s="65"/>
      <c r="S114" s="65"/>
      <c r="T114" s="49"/>
      <c r="U114" s="49"/>
      <c r="V114" s="49"/>
      <c r="W114"/>
      <c r="X114"/>
      <c r="Y114"/>
      <c r="Z114"/>
      <c r="AA114"/>
      <c r="AB114"/>
      <c r="AC114"/>
      <c r="AD114"/>
      <c r="AE114"/>
      <c r="AF114"/>
      <c r="AG114"/>
      <c r="AH114"/>
      <c r="AI114" s="56"/>
    </row>
    <row r="115" spans="1:36" s="34" customFormat="1">
      <c r="A115" s="66" t="s">
        <v>206</v>
      </c>
      <c r="B115" s="66">
        <v>74</v>
      </c>
      <c r="C115" s="51" t="s">
        <v>47</v>
      </c>
      <c r="D115" s="67" t="str">
        <f>bitConcat(F116:F116)</f>
        <v>32'b00000000000000000000000000000000</v>
      </c>
      <c r="E115" s="68"/>
      <c r="F115" s="68"/>
      <c r="G115" s="68"/>
      <c r="H115" s="69" t="s">
        <v>42</v>
      </c>
      <c r="I115" s="69"/>
      <c r="J115" s="69" t="str">
        <f>bitConcat(G116:G116)</f>
        <v>32'b00000000000000000000000000000000</v>
      </c>
      <c r="K115" s="69"/>
      <c r="L115" s="70"/>
      <c r="M115" s="64" t="str">
        <f>DEC2HEX(_xlfn.BITLSHIFT(O115,7)+4*P115)</f>
        <v>574</v>
      </c>
      <c r="N115" s="64"/>
      <c r="O115" s="64">
        <v>10</v>
      </c>
      <c r="P115" s="64">
        <v>29</v>
      </c>
      <c r="Q115" s="64" t="str">
        <f>DEC2HEX(_xlfn.BITLSHIFT(O115,5)+P115)</f>
        <v>15D</v>
      </c>
      <c r="R115" s="64" t="str">
        <f>BIN2HEX(LEFT(RIGHT(D115,32),4))&amp;BIN2HEX(LEFT(RIGHT(D115,28),4))&amp;BIN2HEX(LEFT(RIGHT(D115,24),4))&amp;BIN2HEX(LEFT(RIGHT(D115,20),4))&amp;BIN2HEX(LEFT(RIGHT(D115,16),4))&amp;BIN2HEX(LEFT(RIGHT(D115,12),4))&amp;BIN2HEX(LEFT(RIGHT(D115,8),4))&amp;BIN2HEX(LEFT(RIGHT(D115,4),4))</f>
        <v>00000000</v>
      </c>
      <c r="S115" s="64" t="str">
        <f>BIN2HEX(LEFT(RIGHT(J115,32),4))&amp;BIN2HEX(LEFT(RIGHT(J115,28),4))&amp;BIN2HEX(LEFT(RIGHT(J115,24),4))&amp;BIN2HEX(LEFT(RIGHT(J115,20),4))&amp;BIN2HEX(LEFT(RIGHT(J115,16),4))&amp;BIN2HEX(LEFT(RIGHT(J115,12),4))&amp;BIN2HEX(LEFT(RIGHT(J115,8),4))&amp;BIN2HEX(LEFT(RIGHT(J115,4),4))</f>
        <v>00000000</v>
      </c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 s="56"/>
    </row>
    <row r="116" spans="1:36" s="34" customFormat="1" ht="15.75" customHeight="1" thickBot="1">
      <c r="A116" s="66"/>
      <c r="B116" s="66"/>
      <c r="C116" s="49" t="s">
        <v>130</v>
      </c>
      <c r="D116" s="54">
        <v>32</v>
      </c>
      <c r="E116" s="54" t="str">
        <f>IF(D116&gt;1,(31)&amp;":"&amp;(31-D116+1),(31-D116+1)&amp;":"&amp;(31-D116+1))</f>
        <v>31:0</v>
      </c>
      <c r="F116" s="49" t="s">
        <v>56</v>
      </c>
      <c r="G116" s="49" t="s">
        <v>56</v>
      </c>
      <c r="H116" s="49" t="s">
        <v>131</v>
      </c>
      <c r="I116" s="52" t="s">
        <v>36</v>
      </c>
      <c r="J116" s="50" t="s">
        <v>35</v>
      </c>
      <c r="K116" s="53" t="s">
        <v>6</v>
      </c>
      <c r="L116" s="49"/>
      <c r="M116" s="65"/>
      <c r="N116" s="65"/>
      <c r="O116" s="65"/>
      <c r="P116" s="65"/>
      <c r="Q116" s="65"/>
      <c r="R116" s="65"/>
      <c r="S116" s="65"/>
      <c r="T116" s="49"/>
      <c r="U116" s="49"/>
      <c r="V116" s="49"/>
      <c r="W116"/>
      <c r="X116"/>
      <c r="Y116"/>
      <c r="Z116"/>
      <c r="AA116"/>
      <c r="AB116"/>
      <c r="AC116"/>
      <c r="AD116"/>
      <c r="AE116"/>
      <c r="AF116"/>
      <c r="AG116"/>
      <c r="AH116"/>
      <c r="AI116" s="56"/>
    </row>
    <row r="117" spans="1:36" s="34" customFormat="1">
      <c r="A117" s="66" t="s">
        <v>207</v>
      </c>
      <c r="B117" s="66">
        <v>78</v>
      </c>
      <c r="C117" s="51" t="s">
        <v>47</v>
      </c>
      <c r="D117" s="67" t="str">
        <f>bitConcat(F118:F118)</f>
        <v>32'b00000000000000000000000000000000</v>
      </c>
      <c r="E117" s="68"/>
      <c r="F117" s="68"/>
      <c r="G117" s="68"/>
      <c r="H117" s="69" t="s">
        <v>42</v>
      </c>
      <c r="I117" s="69"/>
      <c r="J117" s="69" t="str">
        <f>bitConcat(G118:G118)</f>
        <v>32'b00000000000000000000000000000000</v>
      </c>
      <c r="K117" s="69"/>
      <c r="L117" s="70"/>
      <c r="M117" s="64" t="str">
        <f>DEC2HEX(_xlfn.BITLSHIFT(O117,7)+4*P117)</f>
        <v>578</v>
      </c>
      <c r="N117" s="64"/>
      <c r="O117" s="64">
        <v>10</v>
      </c>
      <c r="P117" s="64">
        <v>30</v>
      </c>
      <c r="Q117" s="64" t="str">
        <f>DEC2HEX(_xlfn.BITLSHIFT(O117,5)+P117)</f>
        <v>15E</v>
      </c>
      <c r="R117" s="64" t="str">
        <f>BIN2HEX(LEFT(RIGHT(D117,32),4))&amp;BIN2HEX(LEFT(RIGHT(D117,28),4))&amp;BIN2HEX(LEFT(RIGHT(D117,24),4))&amp;BIN2HEX(LEFT(RIGHT(D117,20),4))&amp;BIN2HEX(LEFT(RIGHT(D117,16),4))&amp;BIN2HEX(LEFT(RIGHT(D117,12),4))&amp;BIN2HEX(LEFT(RIGHT(D117,8),4))&amp;BIN2HEX(LEFT(RIGHT(D117,4),4))</f>
        <v>00000000</v>
      </c>
      <c r="S117" s="64" t="str">
        <f>BIN2HEX(LEFT(RIGHT(J117,32),4))&amp;BIN2HEX(LEFT(RIGHT(J117,28),4))&amp;BIN2HEX(LEFT(RIGHT(J117,24),4))&amp;BIN2HEX(LEFT(RIGHT(J117,20),4))&amp;BIN2HEX(LEFT(RIGHT(J117,16),4))&amp;BIN2HEX(LEFT(RIGHT(J117,12),4))&amp;BIN2HEX(LEFT(RIGHT(J117,8),4))&amp;BIN2HEX(LEFT(RIGHT(J117,4),4))</f>
        <v>00000000</v>
      </c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 s="56"/>
    </row>
    <row r="118" spans="1:36" s="34" customFormat="1" ht="15" customHeight="1" thickBot="1">
      <c r="A118" s="66"/>
      <c r="B118" s="66"/>
      <c r="C118" s="49" t="s">
        <v>130</v>
      </c>
      <c r="D118" s="54">
        <v>32</v>
      </c>
      <c r="E118" s="54" t="str">
        <f>IF(D118&gt;1,(31)&amp;":"&amp;(31-D118+1),(31-D118+1)&amp;":"&amp;(31-D118+1))</f>
        <v>31:0</v>
      </c>
      <c r="F118" s="49" t="s">
        <v>56</v>
      </c>
      <c r="G118" s="49" t="s">
        <v>56</v>
      </c>
      <c r="H118" s="49" t="s">
        <v>131</v>
      </c>
      <c r="I118" s="52" t="s">
        <v>36</v>
      </c>
      <c r="J118" s="50" t="s">
        <v>35</v>
      </c>
      <c r="K118" s="53" t="s">
        <v>6</v>
      </c>
      <c r="L118" s="49"/>
      <c r="M118" s="65"/>
      <c r="N118" s="65"/>
      <c r="O118" s="65"/>
      <c r="P118" s="65"/>
      <c r="Q118" s="65"/>
      <c r="R118" s="65"/>
      <c r="S118" s="65"/>
      <c r="T118" s="49"/>
      <c r="U118" s="49"/>
      <c r="V118" s="49"/>
      <c r="W118"/>
      <c r="X118"/>
      <c r="Y118"/>
      <c r="Z118"/>
      <c r="AA118"/>
      <c r="AB118"/>
      <c r="AC118"/>
      <c r="AD118"/>
      <c r="AE118"/>
      <c r="AF118"/>
      <c r="AG118"/>
      <c r="AH118"/>
      <c r="AI118" s="56"/>
    </row>
    <row r="119" spans="1:36" s="34" customFormat="1">
      <c r="A119" s="66" t="s">
        <v>208</v>
      </c>
      <c r="B119" s="66" t="s">
        <v>212</v>
      </c>
      <c r="C119" s="51" t="s">
        <v>47</v>
      </c>
      <c r="D119" s="67" t="str">
        <f>bitConcat(F120:F120)</f>
        <v>32'b00000000000000000000000000000000</v>
      </c>
      <c r="E119" s="68"/>
      <c r="F119" s="68"/>
      <c r="G119" s="68"/>
      <c r="H119" s="69" t="s">
        <v>42</v>
      </c>
      <c r="I119" s="69"/>
      <c r="J119" s="69" t="str">
        <f>bitConcat(G120:G120)</f>
        <v>32'b00000000000000000000000000000000</v>
      </c>
      <c r="K119" s="69"/>
      <c r="L119" s="70"/>
      <c r="M119" s="64" t="str">
        <f>DEC2HEX(_xlfn.BITLSHIFT(O119,7)+4*P119)</f>
        <v>57C</v>
      </c>
      <c r="N119" s="64"/>
      <c r="O119" s="64">
        <v>10</v>
      </c>
      <c r="P119" s="64">
        <v>31</v>
      </c>
      <c r="Q119" s="64" t="str">
        <f>DEC2HEX(_xlfn.BITLSHIFT(O119,5)+P119)</f>
        <v>15F</v>
      </c>
      <c r="R119" s="64" t="str">
        <f>BIN2HEX(LEFT(RIGHT(D119,32),4))&amp;BIN2HEX(LEFT(RIGHT(D119,28),4))&amp;BIN2HEX(LEFT(RIGHT(D119,24),4))&amp;BIN2HEX(LEFT(RIGHT(D119,20),4))&amp;BIN2HEX(LEFT(RIGHT(D119,16),4))&amp;BIN2HEX(LEFT(RIGHT(D119,12),4))&amp;BIN2HEX(LEFT(RIGHT(D119,8),4))&amp;BIN2HEX(LEFT(RIGHT(D119,4),4))</f>
        <v>00000000</v>
      </c>
      <c r="S119" s="64" t="str">
        <f>BIN2HEX(LEFT(RIGHT(J119,32),4))&amp;BIN2HEX(LEFT(RIGHT(J119,28),4))&amp;BIN2HEX(LEFT(RIGHT(J119,24),4))&amp;BIN2HEX(LEFT(RIGHT(J119,20),4))&amp;BIN2HEX(LEFT(RIGHT(J119,16),4))&amp;BIN2HEX(LEFT(RIGHT(J119,12),4))&amp;BIN2HEX(LEFT(RIGHT(J119,8),4))&amp;BIN2HEX(LEFT(RIGHT(J119,4),4))</f>
        <v>00000000</v>
      </c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 s="60"/>
      <c r="AJ119" s="36"/>
    </row>
    <row r="120" spans="1:36" s="34" customFormat="1">
      <c r="A120" s="66"/>
      <c r="B120" s="66"/>
      <c r="C120" s="49" t="s">
        <v>130</v>
      </c>
      <c r="D120" s="54">
        <v>32</v>
      </c>
      <c r="E120" s="54" t="str">
        <f>IF(D120&gt;1,(31)&amp;":"&amp;(31-D120+1),(31-D120+1)&amp;":"&amp;(31-D120+1))</f>
        <v>31:0</v>
      </c>
      <c r="F120" s="49" t="s">
        <v>56</v>
      </c>
      <c r="G120" s="49" t="s">
        <v>56</v>
      </c>
      <c r="H120" s="49" t="s">
        <v>131</v>
      </c>
      <c r="I120" s="52" t="s">
        <v>36</v>
      </c>
      <c r="J120" s="50" t="s">
        <v>35</v>
      </c>
      <c r="K120" s="53" t="s">
        <v>6</v>
      </c>
      <c r="L120" s="49"/>
      <c r="M120" s="65"/>
      <c r="N120" s="65"/>
      <c r="O120" s="65"/>
      <c r="P120" s="65"/>
      <c r="Q120" s="65"/>
      <c r="R120" s="65"/>
      <c r="S120" s="65"/>
      <c r="T120" s="49"/>
      <c r="U120" s="49"/>
      <c r="V120" s="49"/>
      <c r="W120"/>
      <c r="X120"/>
      <c r="Y120"/>
      <c r="Z120"/>
      <c r="AA120"/>
      <c r="AB120"/>
      <c r="AC120"/>
      <c r="AD120"/>
      <c r="AE120"/>
      <c r="AF120"/>
      <c r="AG120"/>
      <c r="AH120"/>
      <c r="AI120" s="60"/>
      <c r="AJ120" s="36"/>
    </row>
  </sheetData>
  <autoFilter ref="A1:L11" xr:uid="{00000000-0009-0000-0000-000000000000}"/>
  <customSheetViews>
    <customSheetView guid="{2BBBE5B5-B14C-4BF7-9B95-9EEB3666FF3B}">
      <pane ySplit="1" topLeftCell="A2" activePane="bottomLeft" state="frozen"/>
      <selection pane="bottomLeft" activeCell="J10" sqref="J10"/>
      <pageMargins left="0.7" right="0.7" top="0.75" bottom="0.75" header="0.51180555555555551" footer="0.51180555555555551"/>
      <pageSetup firstPageNumber="0" orientation="portrait" horizontalDpi="300" verticalDpi="300" r:id="rId1"/>
      <headerFooter alignWithMargins="0"/>
    </customSheetView>
  </customSheetViews>
  <mergeCells count="384">
    <mergeCell ref="Q101:Q102"/>
    <mergeCell ref="R101:R102"/>
    <mergeCell ref="S101:S102"/>
    <mergeCell ref="Q103:Q104"/>
    <mergeCell ref="R103:R104"/>
    <mergeCell ref="M111:M112"/>
    <mergeCell ref="N111:N112"/>
    <mergeCell ref="O111:O112"/>
    <mergeCell ref="P111:P112"/>
    <mergeCell ref="Q111:Q112"/>
    <mergeCell ref="R111:R112"/>
    <mergeCell ref="S111:S112"/>
    <mergeCell ref="S103:S104"/>
    <mergeCell ref="Q105:Q106"/>
    <mergeCell ref="R105:R106"/>
    <mergeCell ref="S105:S106"/>
    <mergeCell ref="Q107:Q108"/>
    <mergeCell ref="R107:R108"/>
    <mergeCell ref="S107:S108"/>
    <mergeCell ref="Q109:Q110"/>
    <mergeCell ref="R109:R110"/>
    <mergeCell ref="S109:S110"/>
    <mergeCell ref="Q95:Q96"/>
    <mergeCell ref="R95:R96"/>
    <mergeCell ref="S95:S96"/>
    <mergeCell ref="Q97:Q98"/>
    <mergeCell ref="R97:R98"/>
    <mergeCell ref="S97:S98"/>
    <mergeCell ref="Q99:Q100"/>
    <mergeCell ref="R99:R100"/>
    <mergeCell ref="S99:S100"/>
    <mergeCell ref="D111:G111"/>
    <mergeCell ref="H111:I111"/>
    <mergeCell ref="J111:L111"/>
    <mergeCell ref="A111:A112"/>
    <mergeCell ref="B111:B112"/>
    <mergeCell ref="A113:A114"/>
    <mergeCell ref="B113:B114"/>
    <mergeCell ref="D113:G113"/>
    <mergeCell ref="H113:I113"/>
    <mergeCell ref="J113:L113"/>
    <mergeCell ref="O87:O88"/>
    <mergeCell ref="P87:P88"/>
    <mergeCell ref="Q91:Q92"/>
    <mergeCell ref="R91:R92"/>
    <mergeCell ref="S91:S92"/>
    <mergeCell ref="D93:G93"/>
    <mergeCell ref="H93:I93"/>
    <mergeCell ref="J93:L93"/>
    <mergeCell ref="A91:A92"/>
    <mergeCell ref="B91:B92"/>
    <mergeCell ref="D91:G91"/>
    <mergeCell ref="H91:I91"/>
    <mergeCell ref="J91:L91"/>
    <mergeCell ref="M91:M92"/>
    <mergeCell ref="N91:N92"/>
    <mergeCell ref="O91:O92"/>
    <mergeCell ref="P91:P92"/>
    <mergeCell ref="N93:N94"/>
    <mergeCell ref="O93:O94"/>
    <mergeCell ref="P93:P94"/>
    <mergeCell ref="Q93:Q94"/>
    <mergeCell ref="R93:R94"/>
    <mergeCell ref="S93:S94"/>
    <mergeCell ref="A93:A94"/>
    <mergeCell ref="N83:N84"/>
    <mergeCell ref="O83:O84"/>
    <mergeCell ref="Q87:Q88"/>
    <mergeCell ref="R87:R88"/>
    <mergeCell ref="S87:S88"/>
    <mergeCell ref="A89:A90"/>
    <mergeCell ref="B89:B90"/>
    <mergeCell ref="D89:G89"/>
    <mergeCell ref="H89:I89"/>
    <mergeCell ref="J89:L89"/>
    <mergeCell ref="M89:M90"/>
    <mergeCell ref="N89:N90"/>
    <mergeCell ref="O89:O90"/>
    <mergeCell ref="P89:P90"/>
    <mergeCell ref="Q89:Q90"/>
    <mergeCell ref="R89:R90"/>
    <mergeCell ref="S89:S90"/>
    <mergeCell ref="A87:A88"/>
    <mergeCell ref="B87:B88"/>
    <mergeCell ref="D87:G87"/>
    <mergeCell ref="H87:I87"/>
    <mergeCell ref="J87:L87"/>
    <mergeCell ref="M87:M88"/>
    <mergeCell ref="N87:N88"/>
    <mergeCell ref="S77:S78"/>
    <mergeCell ref="J75:L75"/>
    <mergeCell ref="D77:G77"/>
    <mergeCell ref="P83:P84"/>
    <mergeCell ref="Q83:Q84"/>
    <mergeCell ref="R83:R84"/>
    <mergeCell ref="S83:S84"/>
    <mergeCell ref="A85:A86"/>
    <mergeCell ref="B85:B86"/>
    <mergeCell ref="D85:G85"/>
    <mergeCell ref="H85:I85"/>
    <mergeCell ref="J85:L85"/>
    <mergeCell ref="M85:M86"/>
    <mergeCell ref="N85:N86"/>
    <mergeCell ref="O85:O86"/>
    <mergeCell ref="P85:P86"/>
    <mergeCell ref="Q85:Q86"/>
    <mergeCell ref="R85:R86"/>
    <mergeCell ref="S85:S86"/>
    <mergeCell ref="A83:A84"/>
    <mergeCell ref="B83:B84"/>
    <mergeCell ref="D83:G83"/>
    <mergeCell ref="H83:I83"/>
    <mergeCell ref="J83:L83"/>
    <mergeCell ref="R79:R80"/>
    <mergeCell ref="S79:S80"/>
    <mergeCell ref="A81:A82"/>
    <mergeCell ref="B81:B82"/>
    <mergeCell ref="D81:G81"/>
    <mergeCell ref="H81:I81"/>
    <mergeCell ref="J81:L81"/>
    <mergeCell ref="M81:M82"/>
    <mergeCell ref="N81:N82"/>
    <mergeCell ref="O81:O82"/>
    <mergeCell ref="P81:P82"/>
    <mergeCell ref="Q81:Q82"/>
    <mergeCell ref="R81:R82"/>
    <mergeCell ref="S81:S82"/>
    <mergeCell ref="D79:G79"/>
    <mergeCell ref="M79:M80"/>
    <mergeCell ref="N79:N80"/>
    <mergeCell ref="O79:O80"/>
    <mergeCell ref="P79:P80"/>
    <mergeCell ref="Q79:Q80"/>
    <mergeCell ref="S69:S74"/>
    <mergeCell ref="M75:M76"/>
    <mergeCell ref="N75:N76"/>
    <mergeCell ref="M56:M59"/>
    <mergeCell ref="N56:N59"/>
    <mergeCell ref="O56:O59"/>
    <mergeCell ref="P56:P59"/>
    <mergeCell ref="Q56:Q59"/>
    <mergeCell ref="R56:R59"/>
    <mergeCell ref="S56:S59"/>
    <mergeCell ref="M60:M68"/>
    <mergeCell ref="N60:N68"/>
    <mergeCell ref="O60:O68"/>
    <mergeCell ref="P60:P68"/>
    <mergeCell ref="Q60:Q68"/>
    <mergeCell ref="R60:R68"/>
    <mergeCell ref="S60:S68"/>
    <mergeCell ref="S75:S76"/>
    <mergeCell ref="M69:M74"/>
    <mergeCell ref="N69:N74"/>
    <mergeCell ref="O69:O74"/>
    <mergeCell ref="P69:P74"/>
    <mergeCell ref="Q69:Q74"/>
    <mergeCell ref="R69:R74"/>
    <mergeCell ref="S37:S47"/>
    <mergeCell ref="M48:M51"/>
    <mergeCell ref="N48:N51"/>
    <mergeCell ref="O48:O51"/>
    <mergeCell ref="P48:P51"/>
    <mergeCell ref="Q48:Q51"/>
    <mergeCell ref="R48:R51"/>
    <mergeCell ref="S48:S51"/>
    <mergeCell ref="M52:M55"/>
    <mergeCell ref="N52:N55"/>
    <mergeCell ref="O52:O55"/>
    <mergeCell ref="P52:P55"/>
    <mergeCell ref="Q52:Q55"/>
    <mergeCell ref="R52:R55"/>
    <mergeCell ref="S52:S55"/>
    <mergeCell ref="M37:M47"/>
    <mergeCell ref="N37:N47"/>
    <mergeCell ref="O37:O47"/>
    <mergeCell ref="P37:P47"/>
    <mergeCell ref="Q37:Q47"/>
    <mergeCell ref="R37:R47"/>
    <mergeCell ref="N77:N78"/>
    <mergeCell ref="O77:O78"/>
    <mergeCell ref="P77:P78"/>
    <mergeCell ref="Q77:Q78"/>
    <mergeCell ref="R77:R78"/>
    <mergeCell ref="O75:O76"/>
    <mergeCell ref="P75:P76"/>
    <mergeCell ref="Q75:Q76"/>
    <mergeCell ref="R75:R76"/>
    <mergeCell ref="D2:G2"/>
    <mergeCell ref="H2:I2"/>
    <mergeCell ref="J2:L2"/>
    <mergeCell ref="D15:G15"/>
    <mergeCell ref="H15:I15"/>
    <mergeCell ref="J15:L15"/>
    <mergeCell ref="D56:G56"/>
    <mergeCell ref="H56:I56"/>
    <mergeCell ref="J56:L56"/>
    <mergeCell ref="J48:L48"/>
    <mergeCell ref="D26:G26"/>
    <mergeCell ref="H26:I26"/>
    <mergeCell ref="J26:L26"/>
    <mergeCell ref="D37:G37"/>
    <mergeCell ref="H37:I37"/>
    <mergeCell ref="J37:L37"/>
    <mergeCell ref="D48:G48"/>
    <mergeCell ref="H48:I48"/>
    <mergeCell ref="D52:G52"/>
    <mergeCell ref="H52:I52"/>
    <mergeCell ref="J52:L52"/>
    <mergeCell ref="S2:S14"/>
    <mergeCell ref="M15:M25"/>
    <mergeCell ref="N15:N25"/>
    <mergeCell ref="O15:O25"/>
    <mergeCell ref="P15:P25"/>
    <mergeCell ref="Q15:Q25"/>
    <mergeCell ref="R15:R25"/>
    <mergeCell ref="S15:S25"/>
    <mergeCell ref="M26:M36"/>
    <mergeCell ref="M2:M14"/>
    <mergeCell ref="N2:N14"/>
    <mergeCell ref="O2:O14"/>
    <mergeCell ref="P2:P14"/>
    <mergeCell ref="Q2:Q14"/>
    <mergeCell ref="R2:R14"/>
    <mergeCell ref="N26:N36"/>
    <mergeCell ref="O26:O36"/>
    <mergeCell ref="P26:P36"/>
    <mergeCell ref="Q26:Q36"/>
    <mergeCell ref="R26:R36"/>
    <mergeCell ref="S26:S36"/>
    <mergeCell ref="A2:A14"/>
    <mergeCell ref="B2:B14"/>
    <mergeCell ref="A15:A25"/>
    <mergeCell ref="B15:B25"/>
    <mergeCell ref="A26:A36"/>
    <mergeCell ref="B26:B36"/>
    <mergeCell ref="B75:B76"/>
    <mergeCell ref="B77:B78"/>
    <mergeCell ref="B79:B80"/>
    <mergeCell ref="A60:A68"/>
    <mergeCell ref="B60:B68"/>
    <mergeCell ref="A69:A74"/>
    <mergeCell ref="B69:B74"/>
    <mergeCell ref="A75:A76"/>
    <mergeCell ref="A77:A78"/>
    <mergeCell ref="A37:A47"/>
    <mergeCell ref="B37:B47"/>
    <mergeCell ref="A48:A51"/>
    <mergeCell ref="B48:B51"/>
    <mergeCell ref="A52:A55"/>
    <mergeCell ref="B52:B55"/>
    <mergeCell ref="A56:A59"/>
    <mergeCell ref="B56:B59"/>
    <mergeCell ref="A79:A80"/>
    <mergeCell ref="B93:B94"/>
    <mergeCell ref="M93:M94"/>
    <mergeCell ref="H79:I79"/>
    <mergeCell ref="J79:L79"/>
    <mergeCell ref="H77:I77"/>
    <mergeCell ref="J77:L77"/>
    <mergeCell ref="D75:G75"/>
    <mergeCell ref="H75:I75"/>
    <mergeCell ref="D60:G60"/>
    <mergeCell ref="H60:I60"/>
    <mergeCell ref="J60:L60"/>
    <mergeCell ref="D69:G69"/>
    <mergeCell ref="H69:I69"/>
    <mergeCell ref="J69:L69"/>
    <mergeCell ref="M83:M84"/>
    <mergeCell ref="M77:M78"/>
    <mergeCell ref="A95:A96"/>
    <mergeCell ref="B95:B96"/>
    <mergeCell ref="D95:G95"/>
    <mergeCell ref="H95:I95"/>
    <mergeCell ref="J95:L95"/>
    <mergeCell ref="M95:M96"/>
    <mergeCell ref="N95:N96"/>
    <mergeCell ref="O95:O96"/>
    <mergeCell ref="P95:P96"/>
    <mergeCell ref="A97:A98"/>
    <mergeCell ref="B97:B98"/>
    <mergeCell ref="D97:G97"/>
    <mergeCell ref="H97:I97"/>
    <mergeCell ref="J97:L97"/>
    <mergeCell ref="M97:M98"/>
    <mergeCell ref="N97:N98"/>
    <mergeCell ref="O97:O98"/>
    <mergeCell ref="P97:P98"/>
    <mergeCell ref="A99:A100"/>
    <mergeCell ref="B99:B100"/>
    <mergeCell ref="D99:G99"/>
    <mergeCell ref="H99:I99"/>
    <mergeCell ref="J99:L99"/>
    <mergeCell ref="M99:M100"/>
    <mergeCell ref="N99:N100"/>
    <mergeCell ref="O99:O100"/>
    <mergeCell ref="P99:P100"/>
    <mergeCell ref="A101:A102"/>
    <mergeCell ref="B101:B102"/>
    <mergeCell ref="D101:G101"/>
    <mergeCell ref="H101:I101"/>
    <mergeCell ref="J101:L101"/>
    <mergeCell ref="M101:M102"/>
    <mergeCell ref="N101:N102"/>
    <mergeCell ref="O101:O102"/>
    <mergeCell ref="P101:P102"/>
    <mergeCell ref="A105:A106"/>
    <mergeCell ref="B105:B106"/>
    <mergeCell ref="D105:G105"/>
    <mergeCell ref="H105:I105"/>
    <mergeCell ref="J105:L105"/>
    <mergeCell ref="M105:M106"/>
    <mergeCell ref="N105:N106"/>
    <mergeCell ref="O105:O106"/>
    <mergeCell ref="P105:P106"/>
    <mergeCell ref="A103:A104"/>
    <mergeCell ref="B103:B104"/>
    <mergeCell ref="D103:G103"/>
    <mergeCell ref="H103:I103"/>
    <mergeCell ref="J103:L103"/>
    <mergeCell ref="M103:M104"/>
    <mergeCell ref="N103:N104"/>
    <mergeCell ref="O103:O104"/>
    <mergeCell ref="P103:P104"/>
    <mergeCell ref="A109:A110"/>
    <mergeCell ref="B109:B110"/>
    <mergeCell ref="D109:G109"/>
    <mergeCell ref="H109:I109"/>
    <mergeCell ref="J109:L109"/>
    <mergeCell ref="M109:M110"/>
    <mergeCell ref="N109:N110"/>
    <mergeCell ref="O109:O110"/>
    <mergeCell ref="P109:P110"/>
    <mergeCell ref="A107:A108"/>
    <mergeCell ref="B107:B108"/>
    <mergeCell ref="D107:G107"/>
    <mergeCell ref="H107:I107"/>
    <mergeCell ref="J107:L107"/>
    <mergeCell ref="M107:M108"/>
    <mergeCell ref="N107:N108"/>
    <mergeCell ref="O107:O108"/>
    <mergeCell ref="P107:P108"/>
    <mergeCell ref="P113:P114"/>
    <mergeCell ref="Q113:Q114"/>
    <mergeCell ref="R113:R114"/>
    <mergeCell ref="S113:S114"/>
    <mergeCell ref="A115:A116"/>
    <mergeCell ref="B115:B116"/>
    <mergeCell ref="D115:G115"/>
    <mergeCell ref="H115:I115"/>
    <mergeCell ref="J115:L115"/>
    <mergeCell ref="M115:M116"/>
    <mergeCell ref="N115:N116"/>
    <mergeCell ref="O115:O116"/>
    <mergeCell ref="P115:P116"/>
    <mergeCell ref="Q115:Q116"/>
    <mergeCell ref="R115:R116"/>
    <mergeCell ref="S115:S116"/>
    <mergeCell ref="M113:M114"/>
    <mergeCell ref="N113:N114"/>
    <mergeCell ref="O113:O114"/>
    <mergeCell ref="S117:S118"/>
    <mergeCell ref="A119:A120"/>
    <mergeCell ref="B119:B120"/>
    <mergeCell ref="D119:G119"/>
    <mergeCell ref="H119:I119"/>
    <mergeCell ref="J119:L119"/>
    <mergeCell ref="M119:M120"/>
    <mergeCell ref="N119:N120"/>
    <mergeCell ref="O119:O120"/>
    <mergeCell ref="P119:P120"/>
    <mergeCell ref="Q119:Q120"/>
    <mergeCell ref="R119:R120"/>
    <mergeCell ref="S119:S120"/>
    <mergeCell ref="D117:G117"/>
    <mergeCell ref="H117:I117"/>
    <mergeCell ref="J117:L117"/>
    <mergeCell ref="M117:M118"/>
    <mergeCell ref="N117:N118"/>
    <mergeCell ref="O117:O118"/>
    <mergeCell ref="P117:P118"/>
    <mergeCell ref="Q117:Q118"/>
    <mergeCell ref="R117:R118"/>
    <mergeCell ref="A117:A118"/>
    <mergeCell ref="B117:B118"/>
  </mergeCells>
  <phoneticPr fontId="29" type="noConversion"/>
  <dataValidations xWindow="475" yWindow="579" count="6">
    <dataValidation type="list" allowBlank="1" showInputMessage="1" showErrorMessage="1" sqref="I3:I14 I16:I25 I120 I27:I36 I49:I51 I53:I55 I57:I59 I61:I68 I70:I74 I76 I78 I80 I82 I84 I86 I88 I90 I92 I94 I96 I98 I100 I102 I104 I106 I108 I110 I112 I114 I116 I118 I38:I47" xr:uid="{00000000-0002-0000-0000-000000000000}">
      <formula1>"WR,RO"</formula1>
    </dataValidation>
    <dataValidation type="list" allowBlank="1" showErrorMessage="1" sqref="I1" xr:uid="{00000000-0002-0000-0000-000001000000}">
      <formula1>"WR,RO"</formula1>
    </dataValidation>
    <dataValidation type="list" allowBlank="1" showInputMessage="1" showErrorMessage="1" sqref="K3:K14 K16:K25 K120 K27:K36 K49:K51 K53:K55 K57:K59 K61:K68 K70:K74 K76 K78 K80 K82 K84 K86 K88 K90 K92 K94 K96 K98 K100 K102 K104 K106 K108 K110 K112 K114 K116 K118 K38:K47" xr:uid="{00000000-0002-0000-0000-000002000000}">
      <formula1>BOOLEAN</formula1>
    </dataValidation>
    <dataValidation allowBlank="1" showInputMessage="1" showErrorMessage="1" prompt="8 bit Hexa number between 0x0 and 0xff. Offset within register space for block" sqref="B1 M1:S1" xr:uid="{00000000-0002-0000-0000-000003000000}">
      <formula1>0</formula1>
      <formula2>0</formula2>
    </dataValidation>
    <dataValidation allowBlank="1" showInputMessage="1" sqref="F1:G1" xr:uid="{00000000-0002-0000-0000-000004000000}"/>
    <dataValidation type="list" allowBlank="1" sqref="J1 J3:J14 J16:J25 J80:J120 J27:J36 J49:J51 J53:J55 J57:J59 J61:J68 J70:J74 J76 J78 J38:J47" xr:uid="{00000000-0002-0000-0000-000005000000}">
      <formula1>"Default, Soft Strap, Hard Strap, Fuse"</formula1>
    </dataValidation>
  </dataValidations>
  <pageMargins left="0.7" right="0.7" top="0.75" bottom="0.75" header="0.51180555555555551" footer="0.51180555555555551"/>
  <pageSetup firstPageNumber="0" orientation="portrait" horizontalDpi="300" verticalDpi="300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9:H15"/>
  <sheetViews>
    <sheetView workbookViewId="0">
      <selection activeCell="A10" sqref="A10"/>
    </sheetView>
  </sheetViews>
  <sheetFormatPr defaultRowHeight="14.4"/>
  <cols>
    <col min="1" max="1" width="13.44140625" customWidth="1"/>
  </cols>
  <sheetData>
    <row r="9" spans="1:8">
      <c r="D9" t="s">
        <v>17</v>
      </c>
    </row>
    <row r="10" spans="1:8">
      <c r="A10" t="s">
        <v>5</v>
      </c>
      <c r="C10" t="s">
        <v>15</v>
      </c>
      <c r="D10" t="s">
        <v>18</v>
      </c>
      <c r="F10" t="s">
        <v>11</v>
      </c>
      <c r="H10" t="s">
        <v>8</v>
      </c>
    </row>
    <row r="11" spans="1:8">
      <c r="A11" t="s">
        <v>20</v>
      </c>
      <c r="C11" t="s">
        <v>16</v>
      </c>
      <c r="D11" t="s">
        <v>19</v>
      </c>
      <c r="F11" t="s">
        <v>12</v>
      </c>
      <c r="H11" t="s">
        <v>6</v>
      </c>
    </row>
    <row r="12" spans="1:8">
      <c r="A12" t="s">
        <v>9</v>
      </c>
      <c r="C12" t="s">
        <v>13</v>
      </c>
    </row>
    <row r="13" spans="1:8">
      <c r="A13" t="s">
        <v>10</v>
      </c>
    </row>
    <row r="14" spans="1:8">
      <c r="A14" t="s">
        <v>14</v>
      </c>
    </row>
    <row r="15" spans="1:8">
      <c r="A15" t="s">
        <v>22</v>
      </c>
    </row>
  </sheetData>
  <customSheetViews>
    <customSheetView guid="{2BBBE5B5-B14C-4BF7-9B95-9EEB3666FF3B}" state="hidden">
      <selection activeCell="D22" sqref="D22"/>
      <pageMargins left="0.7" right="0.7" top="0.75" bottom="0.75" header="0.51180555555555551" footer="0.51180555555555551"/>
      <pageSetup firstPageNumber="0" orientation="portrait" horizontalDpi="300" verticalDpi="300"/>
      <headerFooter alignWithMargins="0"/>
    </customSheetView>
  </customSheetViews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26"/>
  <sheetViews>
    <sheetView workbookViewId="0">
      <selection activeCell="A40" sqref="A40"/>
    </sheetView>
  </sheetViews>
  <sheetFormatPr defaultRowHeight="14.4"/>
  <cols>
    <col min="1" max="1" width="9.5546875" bestFit="1" customWidth="1"/>
    <col min="2" max="2" width="14" bestFit="1" customWidth="1"/>
  </cols>
  <sheetData>
    <row r="1" spans="1:8" ht="15" thickBot="1">
      <c r="A1" s="9" t="s">
        <v>27</v>
      </c>
      <c r="B1" s="11" t="s">
        <v>28</v>
      </c>
      <c r="C1" s="10"/>
      <c r="D1" s="11"/>
      <c r="E1" s="10"/>
      <c r="F1" s="11"/>
      <c r="G1" s="10"/>
      <c r="H1" s="11"/>
    </row>
    <row r="2" spans="1:8">
      <c r="A2" s="6" t="s">
        <v>25</v>
      </c>
      <c r="B2" s="4" t="s">
        <v>30</v>
      </c>
      <c r="C2" s="3"/>
      <c r="D2" s="4"/>
      <c r="E2" s="3"/>
      <c r="F2" s="4"/>
      <c r="G2" s="3"/>
      <c r="H2" s="4"/>
    </row>
    <row r="3" spans="1:8">
      <c r="A3" s="6" t="s">
        <v>26</v>
      </c>
      <c r="B3" s="4" t="s">
        <v>29</v>
      </c>
      <c r="C3" s="3"/>
      <c r="D3" s="4"/>
      <c r="E3" s="3"/>
      <c r="F3" s="4"/>
      <c r="G3" s="3"/>
      <c r="H3" s="4"/>
    </row>
    <row r="4" spans="1:8">
      <c r="A4" s="6"/>
      <c r="B4" s="4" t="s">
        <v>31</v>
      </c>
      <c r="C4" s="3"/>
      <c r="D4" s="4"/>
      <c r="E4" s="3"/>
      <c r="F4" s="4"/>
      <c r="G4" s="3"/>
      <c r="H4" s="4"/>
    </row>
    <row r="5" spans="1:8">
      <c r="A5" s="6"/>
      <c r="B5" s="4" t="s">
        <v>32</v>
      </c>
      <c r="C5" s="3"/>
      <c r="D5" s="4"/>
      <c r="E5" s="3"/>
      <c r="F5" s="4"/>
      <c r="G5" s="3"/>
      <c r="H5" s="4"/>
    </row>
    <row r="6" spans="1:8">
      <c r="A6" s="6"/>
      <c r="B6" s="4"/>
      <c r="C6" s="3"/>
      <c r="D6" s="4"/>
      <c r="E6" s="3"/>
      <c r="F6" s="4"/>
      <c r="G6" s="3"/>
      <c r="H6" s="4"/>
    </row>
    <row r="7" spans="1:8">
      <c r="A7" s="6"/>
      <c r="B7" s="4"/>
      <c r="C7" s="3"/>
      <c r="D7" s="4"/>
      <c r="E7" s="3"/>
      <c r="F7" s="4"/>
      <c r="G7" s="3"/>
      <c r="H7" s="4"/>
    </row>
    <row r="8" spans="1:8">
      <c r="A8" s="6"/>
      <c r="B8" s="4"/>
      <c r="C8" s="3"/>
      <c r="D8" s="4"/>
      <c r="E8" s="3"/>
      <c r="F8" s="4"/>
      <c r="G8" s="3"/>
      <c r="H8" s="4"/>
    </row>
    <row r="9" spans="1:8">
      <c r="A9" s="6"/>
      <c r="B9" s="4"/>
      <c r="C9" s="3"/>
      <c r="D9" s="4"/>
      <c r="E9" s="3"/>
      <c r="F9" s="4"/>
      <c r="G9" s="3"/>
      <c r="H9" s="4"/>
    </row>
    <row r="10" spans="1:8">
      <c r="A10" s="6"/>
      <c r="B10" s="4"/>
      <c r="C10" s="3"/>
      <c r="D10" s="4"/>
      <c r="E10" s="3"/>
      <c r="F10" s="4"/>
      <c r="G10" s="3"/>
      <c r="H10" s="4"/>
    </row>
    <row r="11" spans="1:8">
      <c r="A11" s="6"/>
      <c r="B11" s="4"/>
      <c r="C11" s="3"/>
      <c r="D11" s="4"/>
      <c r="E11" s="3"/>
      <c r="F11" s="4"/>
      <c r="G11" s="3"/>
      <c r="H11" s="4"/>
    </row>
    <row r="12" spans="1:8">
      <c r="A12" s="6"/>
      <c r="B12" s="4"/>
      <c r="C12" s="3"/>
      <c r="D12" s="4"/>
      <c r="E12" s="3"/>
      <c r="F12" s="4"/>
      <c r="G12" s="3"/>
      <c r="H12" s="4"/>
    </row>
    <row r="13" spans="1:8">
      <c r="A13" s="6"/>
      <c r="B13" s="4"/>
      <c r="C13" s="3"/>
      <c r="D13" s="4"/>
      <c r="E13" s="3"/>
      <c r="F13" s="4"/>
      <c r="G13" s="3"/>
      <c r="H13" s="4"/>
    </row>
    <row r="14" spans="1:8">
      <c r="A14" s="6"/>
      <c r="B14" s="4"/>
      <c r="C14" s="3"/>
      <c r="D14" s="4"/>
      <c r="E14" s="3"/>
      <c r="F14" s="4"/>
      <c r="G14" s="3"/>
      <c r="H14" s="4"/>
    </row>
    <row r="15" spans="1:8">
      <c r="A15" s="6"/>
      <c r="B15" s="4"/>
      <c r="C15" s="3"/>
      <c r="D15" s="4"/>
      <c r="E15" s="3"/>
      <c r="F15" s="4"/>
      <c r="G15" s="3"/>
      <c r="H15" s="4"/>
    </row>
    <row r="16" spans="1:8">
      <c r="A16" s="6"/>
      <c r="B16" s="4"/>
      <c r="C16" s="3"/>
      <c r="D16" s="4"/>
      <c r="E16" s="3"/>
      <c r="F16" s="4"/>
      <c r="G16" s="3"/>
      <c r="H16" s="4"/>
    </row>
    <row r="17" spans="1:8">
      <c r="A17" s="6"/>
      <c r="B17" s="4"/>
      <c r="C17" s="3"/>
      <c r="D17" s="4"/>
      <c r="E17" s="3"/>
      <c r="F17" s="4"/>
      <c r="G17" s="3"/>
      <c r="H17" s="4"/>
    </row>
    <row r="18" spans="1:8">
      <c r="A18" s="6"/>
      <c r="B18" s="4"/>
      <c r="C18" s="3"/>
      <c r="D18" s="4"/>
      <c r="E18" s="3"/>
      <c r="F18" s="4"/>
      <c r="G18" s="3"/>
      <c r="H18" s="4"/>
    </row>
    <row r="19" spans="1:8">
      <c r="A19" s="6"/>
      <c r="B19" s="4"/>
      <c r="C19" s="3"/>
      <c r="D19" s="4"/>
      <c r="E19" s="3"/>
      <c r="F19" s="4"/>
      <c r="G19" s="3"/>
      <c r="H19" s="4"/>
    </row>
    <row r="20" spans="1:8">
      <c r="A20" s="6"/>
      <c r="B20" s="4"/>
      <c r="C20" s="3"/>
      <c r="D20" s="4"/>
      <c r="E20" s="3"/>
      <c r="F20" s="4"/>
      <c r="G20" s="3"/>
      <c r="H20" s="4"/>
    </row>
    <row r="21" spans="1:8">
      <c r="A21" s="6"/>
      <c r="B21" s="4"/>
      <c r="C21" s="3"/>
      <c r="D21" s="4"/>
      <c r="E21" s="3"/>
      <c r="F21" s="4"/>
      <c r="G21" s="3"/>
      <c r="H21" s="4"/>
    </row>
    <row r="22" spans="1:8">
      <c r="A22" s="6"/>
      <c r="B22" s="4"/>
      <c r="C22" s="3"/>
      <c r="D22" s="4"/>
      <c r="E22" s="3"/>
      <c r="F22" s="4"/>
      <c r="G22" s="3"/>
      <c r="H22" s="4"/>
    </row>
    <row r="23" spans="1:8">
      <c r="A23" s="6"/>
      <c r="B23" s="4"/>
      <c r="C23" s="3"/>
      <c r="D23" s="4"/>
      <c r="E23" s="3"/>
      <c r="F23" s="4"/>
      <c r="G23" s="3"/>
      <c r="H23" s="4"/>
    </row>
    <row r="24" spans="1:8">
      <c r="A24" s="6"/>
      <c r="B24" s="4"/>
      <c r="C24" s="3"/>
      <c r="D24" s="4"/>
      <c r="E24" s="3"/>
      <c r="F24" s="4"/>
      <c r="G24" s="3"/>
      <c r="H24" s="4"/>
    </row>
    <row r="25" spans="1:8">
      <c r="A25" s="6"/>
      <c r="B25" s="4"/>
      <c r="C25" s="3"/>
      <c r="D25" s="4"/>
      <c r="E25" s="3"/>
      <c r="F25" s="4"/>
      <c r="G25" s="3"/>
      <c r="H25" s="4"/>
    </row>
    <row r="26" spans="1:8" ht="15" thickBot="1">
      <c r="A26" s="7"/>
      <c r="B26" s="5"/>
      <c r="C26" s="8"/>
      <c r="D26" s="5"/>
      <c r="E26" s="8"/>
      <c r="F26" s="5"/>
      <c r="G26" s="8"/>
      <c r="H26" s="5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843C0F9E50B914A96F8D271432EBC33" ma:contentTypeVersion="0" ma:contentTypeDescription="Create a new document." ma:contentTypeScope="" ma:versionID="5e835c43eb47666319830cdb216a144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56C059C-0B93-40BB-9822-6178BB3A15B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6FEDBEE-D3F8-4B1A-80EF-A24D04DB9439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B4EE478-C465-497B-9ECD-59BED90515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SERDES_LANE_ANA_RX1</vt:lpstr>
      <vt:lpstr>Sheet2</vt:lpstr>
      <vt:lpstr>lists</vt:lpstr>
      <vt:lpstr>BLOCK_NAMES</vt:lpstr>
      <vt:lpstr>BOOLEAN</vt:lpstr>
      <vt:lpstr>DEFAULT_TYPE</vt:lpstr>
      <vt:lpstr>hw_type</vt:lpstr>
      <vt:lpstr>hwclr</vt:lpstr>
      <vt:lpstr>hwtype</vt:lpstr>
      <vt:lpstr>REG_TYPE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Yom Tov, Chanan</dc:creator>
  <cp:keywords>CTPClassification=CTP_IC:VisualMarkings=, CTPClassification=CTP_IC</cp:keywords>
  <cp:lastModifiedBy>Marina</cp:lastModifiedBy>
  <dcterms:created xsi:type="dcterms:W3CDTF">2011-12-18T09:45:58Z</dcterms:created>
  <dcterms:modified xsi:type="dcterms:W3CDTF">2020-10-29T12:21:03Z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209c8031-b432-44e9-911c-b2be3a535e6a</vt:lpwstr>
  </property>
  <property fmtid="{D5CDD505-2E9C-101B-9397-08002B2CF9AE}" pid="3" name="CTP_BU">
    <vt:lpwstr>MIXED SIGNAL IP SOL GROUP</vt:lpwstr>
  </property>
  <property fmtid="{D5CDD505-2E9C-101B-9397-08002B2CF9AE}" pid="4" name="CTP_TimeStamp">
    <vt:lpwstr>2020-07-26 05:01:53Z</vt:lpwstr>
  </property>
  <property fmtid="{D5CDD505-2E9C-101B-9397-08002B2CF9AE}" pid="5" name="ContentTypeId">
    <vt:lpwstr>0x010100A843C0F9E50B914A96F8D271432EBC33</vt:lpwstr>
  </property>
  <property fmtid="{D5CDD505-2E9C-101B-9397-08002B2CF9AE}" pid="6" name="CTPClassification">
    <vt:lpwstr>CTP_IC</vt:lpwstr>
  </property>
  <property fmtid="{D5CDD505-2E9C-101B-9397-08002B2CF9AE}" pid="7" name="MSIP_Label_9aa06179-68b3-4e2b-b09b-a2424735516b_Enabled">
    <vt:lpwstr>True</vt:lpwstr>
  </property>
  <property fmtid="{D5CDD505-2E9C-101B-9397-08002B2CF9AE}" pid="8" name="MSIP_Label_9aa06179-68b3-4e2b-b09b-a2424735516b_SiteId">
    <vt:lpwstr>46c98d88-e344-4ed4-8496-4ed7712e255d</vt:lpwstr>
  </property>
  <property fmtid="{D5CDD505-2E9C-101B-9397-08002B2CF9AE}" pid="9" name="MSIP_Label_9aa06179-68b3-4e2b-b09b-a2424735516b_Owner">
    <vt:lpwstr>marina.kovshov@intel.com</vt:lpwstr>
  </property>
  <property fmtid="{D5CDD505-2E9C-101B-9397-08002B2CF9AE}" pid="10" name="MSIP_Label_9aa06179-68b3-4e2b-b09b-a2424735516b_SetDate">
    <vt:lpwstr>2020-09-09T10:31:26.1353709Z</vt:lpwstr>
  </property>
  <property fmtid="{D5CDD505-2E9C-101B-9397-08002B2CF9AE}" pid="11" name="MSIP_Label_9aa06179-68b3-4e2b-b09b-a2424735516b_Name">
    <vt:lpwstr>Intel Confidential</vt:lpwstr>
  </property>
  <property fmtid="{D5CDD505-2E9C-101B-9397-08002B2CF9AE}" pid="12" name="MSIP_Label_9aa06179-68b3-4e2b-b09b-a2424735516b_Application">
    <vt:lpwstr>Microsoft Azure Information Protection</vt:lpwstr>
  </property>
  <property fmtid="{D5CDD505-2E9C-101B-9397-08002B2CF9AE}" pid="13" name="MSIP_Label_9aa06179-68b3-4e2b-b09b-a2424735516b_ActionId">
    <vt:lpwstr>aad9df11-f4e6-415a-b653-154a6419679f</vt:lpwstr>
  </property>
  <property fmtid="{D5CDD505-2E9C-101B-9397-08002B2CF9AE}" pid="14" name="MSIP_Label_9aa06179-68b3-4e2b-b09b-a2424735516b_Extended_MSFT_Method">
    <vt:lpwstr>Automatic</vt:lpwstr>
  </property>
  <property fmtid="{D5CDD505-2E9C-101B-9397-08002B2CF9AE}" pid="15" name="Sensitivity">
    <vt:lpwstr>Intel Confidential</vt:lpwstr>
  </property>
</Properties>
</file>