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ovshov\Desktop\soconline\1p1\"/>
    </mc:Choice>
  </mc:AlternateContent>
  <xr:revisionPtr revIDLastSave="0" documentId="13_ncr:1_{7E929644-8D16-4CEB-B089-A6A5D976947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ERDES_LANE_ANA_RX2" sheetId="1" r:id="rId1"/>
    <sheet name="Sheet2" sheetId="2" state="hidden" r:id="rId2"/>
    <sheet name="lists" sheetId="19" state="hidden" r:id="rId3"/>
  </sheets>
  <functionGroups builtInGroupCount="19"/>
  <externalReferences>
    <externalReference r:id="rId4"/>
  </externalReferences>
  <definedNames>
    <definedName name="_xlnm._FilterDatabase" localSheetId="0" hidden="1">SERDES_LANE_ANA_RX2!$A$1:$L$159</definedName>
    <definedName name="BLOCK_NAMES">Sheet2!$A$10:$A$14</definedName>
    <definedName name="BOOLEAN">Sheet2!$H$10:$H$11</definedName>
    <definedName name="default">[1]List!$J$1:$J$5</definedName>
    <definedName name="DEFAULT_TYPE" comment="types for defining registers defaults.">lists!$B$2:$B$26</definedName>
    <definedName name="hw_type">Sheet2!$D$10:$D$12</definedName>
    <definedName name="hwclr">Sheet2!$D$10:$D$11</definedName>
    <definedName name="hwtype">Sheet2!$D$10:$D$11</definedName>
    <definedName name="REG_TYPE">lists!$A$2:$A$26</definedName>
  </definedNames>
  <calcPr calcId="191029"/>
  <customWorkbookViews>
    <customWorkbookView name="Virobnik, Udi - Personal View" guid="{2BBBE5B5-B14C-4BF7-9B95-9EEB3666FF3B}" mergeInterval="0" personalView="1" maximized="1" windowWidth="1920" windowHeight="85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2" i="1" l="1"/>
  <c r="E173" i="1"/>
  <c r="E123" i="1" l="1"/>
  <c r="Q122" i="1"/>
  <c r="M122" i="1"/>
  <c r="E174" i="1"/>
  <c r="E175" i="1" s="1"/>
  <c r="E176" i="1" s="1"/>
  <c r="E124" i="1"/>
  <c r="J122" i="1"/>
  <c r="D122" i="1"/>
  <c r="R122" i="1" l="1"/>
  <c r="S122" i="1"/>
  <c r="E114" i="1"/>
  <c r="Q113" i="1"/>
  <c r="M113" i="1"/>
  <c r="E125" i="1"/>
  <c r="E126" i="1" s="1"/>
  <c r="E127" i="1" s="1"/>
  <c r="E115" i="1"/>
  <c r="E116" i="1" s="1"/>
  <c r="E177" i="1"/>
  <c r="J113" i="1"/>
  <c r="D113" i="1"/>
  <c r="R113" i="1" l="1"/>
  <c r="S113" i="1"/>
  <c r="E105" i="1"/>
  <c r="Q104" i="1"/>
  <c r="M104" i="1"/>
  <c r="E178" i="1"/>
  <c r="E106" i="1"/>
  <c r="E107" i="1"/>
  <c r="D104" i="1"/>
  <c r="E117" i="1"/>
  <c r="E128" i="1"/>
  <c r="J104" i="1"/>
  <c r="R104" i="1" l="1"/>
  <c r="S104" i="1"/>
  <c r="E96" i="1"/>
  <c r="Q95" i="1"/>
  <c r="M95" i="1"/>
  <c r="E129" i="1"/>
  <c r="E130" i="1" s="1"/>
  <c r="E118" i="1"/>
  <c r="J95" i="1"/>
  <c r="E108" i="1"/>
  <c r="D95" i="1"/>
  <c r="E97" i="1"/>
  <c r="R95" i="1" l="1"/>
  <c r="S95" i="1"/>
  <c r="E87" i="1"/>
  <c r="Q86" i="1"/>
  <c r="M86" i="1"/>
  <c r="E98" i="1"/>
  <c r="E109" i="1"/>
  <c r="E119" i="1"/>
  <c r="E131" i="1"/>
  <c r="J86" i="1"/>
  <c r="D86" i="1"/>
  <c r="E88" i="1"/>
  <c r="E89" i="1" s="1"/>
  <c r="R86" i="1" l="1"/>
  <c r="S86" i="1"/>
  <c r="E78" i="1"/>
  <c r="Q77" i="1"/>
  <c r="M77" i="1"/>
  <c r="E90" i="1"/>
  <c r="E99" i="1"/>
  <c r="J77" i="1"/>
  <c r="D77" i="1"/>
  <c r="E79" i="1"/>
  <c r="E110" i="1"/>
  <c r="E132" i="1"/>
  <c r="E120" i="1"/>
  <c r="R77" i="1" l="1"/>
  <c r="S77" i="1"/>
  <c r="E69" i="1"/>
  <c r="Q68" i="1"/>
  <c r="M68" i="1"/>
  <c r="E121" i="1"/>
  <c r="E100" i="1"/>
  <c r="E70" i="1"/>
  <c r="E133" i="1"/>
  <c r="E91" i="1"/>
  <c r="J68" i="1"/>
  <c r="E111" i="1"/>
  <c r="D68" i="1"/>
  <c r="E80" i="1"/>
  <c r="R68" i="1" l="1"/>
  <c r="S68" i="1"/>
  <c r="E57" i="1"/>
  <c r="Q56" i="1"/>
  <c r="M56" i="1"/>
  <c r="E81" i="1"/>
  <c r="E82" i="1" s="1"/>
  <c r="E83" i="1" s="1"/>
  <c r="E84" i="1" s="1"/>
  <c r="E85" i="1" s="1"/>
  <c r="E101" i="1"/>
  <c r="D56" i="1"/>
  <c r="E112" i="1"/>
  <c r="E92" i="1"/>
  <c r="E58" i="1"/>
  <c r="E71" i="1"/>
  <c r="J56" i="1"/>
  <c r="R56" i="1" l="1"/>
  <c r="S56" i="1"/>
  <c r="E48" i="1"/>
  <c r="Q47" i="1"/>
  <c r="M47" i="1"/>
  <c r="E72" i="1"/>
  <c r="E73" i="1" s="1"/>
  <c r="J47" i="1"/>
  <c r="D47" i="1"/>
  <c r="E49" i="1"/>
  <c r="E102" i="1"/>
  <c r="E50" i="1"/>
  <c r="E59" i="1"/>
  <c r="E93" i="1"/>
  <c r="R47" i="1" l="1"/>
  <c r="S47" i="1"/>
  <c r="E39" i="1"/>
  <c r="Q38" i="1"/>
  <c r="M38" i="1"/>
  <c r="E94" i="1"/>
  <c r="E51" i="1"/>
  <c r="E60" i="1"/>
  <c r="E74" i="1"/>
  <c r="J38" i="1"/>
  <c r="D38" i="1"/>
  <c r="E103" i="1"/>
  <c r="E40" i="1"/>
  <c r="E41" i="1" s="1"/>
  <c r="R38" i="1" l="1"/>
  <c r="S38" i="1"/>
  <c r="E30" i="1"/>
  <c r="Q29" i="1"/>
  <c r="M29" i="1"/>
  <c r="E42" i="1"/>
  <c r="J29" i="1"/>
  <c r="D29" i="1"/>
  <c r="E31" i="1"/>
  <c r="E52" i="1"/>
  <c r="E32" i="1"/>
  <c r="E75" i="1"/>
  <c r="E61" i="1"/>
  <c r="R29" i="1" l="1"/>
  <c r="S29" i="1"/>
  <c r="E21" i="1"/>
  <c r="Q20" i="1"/>
  <c r="M20" i="1"/>
  <c r="E62" i="1"/>
  <c r="E43" i="1"/>
  <c r="J20" i="1"/>
  <c r="D20" i="1"/>
  <c r="E22" i="1"/>
  <c r="E53" i="1"/>
  <c r="E23" i="1"/>
  <c r="E76" i="1"/>
  <c r="E33" i="1"/>
  <c r="R20" i="1" l="1"/>
  <c r="S20" i="1"/>
  <c r="E12" i="1"/>
  <c r="Q11" i="1"/>
  <c r="M11" i="1"/>
  <c r="E34" i="1"/>
  <c r="E63" i="1"/>
  <c r="E13" i="1"/>
  <c r="J11" i="1"/>
  <c r="E44" i="1"/>
  <c r="E14" i="1"/>
  <c r="D11" i="1"/>
  <c r="E24" i="1"/>
  <c r="E54" i="1"/>
  <c r="R11" i="1" l="1"/>
  <c r="S11" i="1"/>
  <c r="E3" i="1"/>
  <c r="Q2" i="1"/>
  <c r="M2" i="1"/>
  <c r="E55" i="1"/>
  <c r="E64" i="1"/>
  <c r="E4" i="1"/>
  <c r="E25" i="1"/>
  <c r="E35" i="1"/>
  <c r="J2" i="1"/>
  <c r="D2" i="1"/>
  <c r="E45" i="1"/>
  <c r="E15" i="1"/>
  <c r="E16" i="1" s="1"/>
  <c r="R2" i="1" l="1"/>
  <c r="S2" i="1"/>
  <c r="E229" i="1"/>
  <c r="Q228" i="1"/>
  <c r="M228" i="1"/>
  <c r="E227" i="1"/>
  <c r="Q226" i="1"/>
  <c r="M226" i="1"/>
  <c r="E225" i="1"/>
  <c r="Q224" i="1"/>
  <c r="M224" i="1"/>
  <c r="E223" i="1"/>
  <c r="Q222" i="1"/>
  <c r="M222" i="1"/>
  <c r="E221" i="1"/>
  <c r="Q220" i="1"/>
  <c r="M220" i="1"/>
  <c r="E219" i="1"/>
  <c r="Q218" i="1"/>
  <c r="M218" i="1"/>
  <c r="E155" i="1"/>
  <c r="Q154" i="1"/>
  <c r="M154" i="1"/>
  <c r="E139" i="1"/>
  <c r="Q138" i="1"/>
  <c r="M138" i="1"/>
  <c r="E147" i="1"/>
  <c r="Q146" i="1"/>
  <c r="M146" i="1"/>
  <c r="E137" i="1"/>
  <c r="Q136" i="1"/>
  <c r="M136" i="1"/>
  <c r="E135" i="1"/>
  <c r="Q134" i="1"/>
  <c r="M134" i="1"/>
  <c r="E203" i="1"/>
  <c r="Q202" i="1"/>
  <c r="M202" i="1"/>
  <c r="E180" i="1"/>
  <c r="Q179" i="1"/>
  <c r="M179" i="1"/>
  <c r="Q171" i="1"/>
  <c r="M171" i="1"/>
  <c r="E165" i="1"/>
  <c r="Q164" i="1"/>
  <c r="M164" i="1"/>
  <c r="E157" i="1"/>
  <c r="Q156" i="1"/>
  <c r="M156" i="1"/>
  <c r="E145" i="1"/>
  <c r="Q144" i="1"/>
  <c r="M144" i="1"/>
  <c r="E17" i="1"/>
  <c r="E5" i="1"/>
  <c r="E158" i="1"/>
  <c r="D218" i="1"/>
  <c r="D138" i="1"/>
  <c r="D220" i="1"/>
  <c r="J146" i="1"/>
  <c r="J171" i="1"/>
  <c r="J202" i="1"/>
  <c r="J224" i="1"/>
  <c r="I164" i="1"/>
  <c r="J218" i="1"/>
  <c r="I156" i="1"/>
  <c r="J138" i="1"/>
  <c r="J136" i="1"/>
  <c r="I146" i="1"/>
  <c r="D156" i="1"/>
  <c r="D136" i="1"/>
  <c r="J154" i="1"/>
  <c r="D222" i="1"/>
  <c r="J228" i="1"/>
  <c r="E181" i="1"/>
  <c r="J134" i="1"/>
  <c r="E46" i="1"/>
  <c r="E65" i="1"/>
  <c r="E204" i="1"/>
  <c r="D154" i="1"/>
  <c r="D224" i="1"/>
  <c r="J179" i="1"/>
  <c r="D171" i="1"/>
  <c r="I202" i="1"/>
  <c r="E148" i="1"/>
  <c r="D146" i="1"/>
  <c r="J156" i="1"/>
  <c r="J220" i="1"/>
  <c r="J226" i="1"/>
  <c r="J144" i="1"/>
  <c r="J222" i="1"/>
  <c r="D164" i="1"/>
  <c r="D202" i="1"/>
  <c r="E166" i="1"/>
  <c r="D228" i="1"/>
  <c r="J164" i="1"/>
  <c r="D144" i="1"/>
  <c r="D179" i="1"/>
  <c r="D226" i="1"/>
  <c r="D134" i="1"/>
  <c r="I171" i="1"/>
  <c r="E26" i="1"/>
  <c r="E36" i="1"/>
  <c r="I179" i="1"/>
  <c r="R228" i="1" l="1"/>
  <c r="S228" i="1"/>
  <c r="R226" i="1"/>
  <c r="S226" i="1"/>
  <c r="R224" i="1"/>
  <c r="S224" i="1"/>
  <c r="R222" i="1"/>
  <c r="S222" i="1"/>
  <c r="R220" i="1"/>
  <c r="S220" i="1"/>
  <c r="R218" i="1"/>
  <c r="S218" i="1"/>
  <c r="S154" i="1"/>
  <c r="R154" i="1"/>
  <c r="R138" i="1"/>
  <c r="S138" i="1"/>
  <c r="S146" i="1"/>
  <c r="R146" i="1"/>
  <c r="R136" i="1"/>
  <c r="S136" i="1"/>
  <c r="R134" i="1"/>
  <c r="S134" i="1"/>
  <c r="S202" i="1"/>
  <c r="R202" i="1"/>
  <c r="S179" i="1"/>
  <c r="R179" i="1"/>
  <c r="S171" i="1"/>
  <c r="R171" i="1"/>
  <c r="S164" i="1"/>
  <c r="R164" i="1"/>
  <c r="S156" i="1"/>
  <c r="R156" i="1"/>
  <c r="R144" i="1"/>
  <c r="S144" i="1"/>
  <c r="E37" i="1"/>
  <c r="E18" i="1"/>
  <c r="E19" i="1" s="1"/>
  <c r="E167" i="1"/>
  <c r="E159" i="1"/>
  <c r="E27" i="1"/>
  <c r="E205" i="1"/>
  <c r="E149" i="1"/>
  <c r="E206" i="1"/>
  <c r="E66" i="1"/>
  <c r="E182" i="1"/>
  <c r="E6" i="1"/>
  <c r="E7" i="1" s="1"/>
  <c r="E141" i="1" l="1"/>
  <c r="E142" i="1"/>
  <c r="E8" i="1"/>
  <c r="D140" i="1"/>
  <c r="E160" i="1"/>
  <c r="J140" i="1"/>
  <c r="E143" i="1"/>
  <c r="E150" i="1"/>
  <c r="E183" i="1"/>
  <c r="E168" i="1"/>
  <c r="E67" i="1"/>
  <c r="E28" i="1"/>
  <c r="E207" i="1"/>
  <c r="Q140" i="1" l="1"/>
  <c r="M140" i="1"/>
  <c r="E184" i="1"/>
  <c r="E169" i="1"/>
  <c r="E9" i="1"/>
  <c r="E185" i="1"/>
  <c r="E151" i="1"/>
  <c r="E170" i="1"/>
  <c r="E161" i="1"/>
  <c r="E208" i="1"/>
  <c r="E152" i="1"/>
  <c r="I140" i="1"/>
  <c r="S140" i="1" l="1"/>
  <c r="R140" i="1"/>
  <c r="E10" i="1"/>
  <c r="E162" i="1"/>
  <c r="E186" i="1"/>
  <c r="E209" i="1"/>
  <c r="E210" i="1" s="1"/>
  <c r="E163" i="1"/>
  <c r="E153" i="1"/>
  <c r="E187" i="1"/>
  <c r="E188" i="1" s="1"/>
  <c r="E189" i="1" s="1"/>
  <c r="E211" i="1"/>
  <c r="E212" i="1"/>
  <c r="E213" i="1" s="1"/>
  <c r="E214" i="1" s="1"/>
  <c r="E215" i="1" s="1"/>
  <c r="E190" i="1"/>
  <c r="E191" i="1" s="1"/>
  <c r="E216" i="1"/>
  <c r="E217" i="1" s="1"/>
  <c r="E192" i="1"/>
  <c r="E193" i="1" s="1"/>
  <c r="E194" i="1"/>
  <c r="E195" i="1" s="1"/>
  <c r="E196" i="1" s="1"/>
  <c r="E197" i="1" s="1"/>
  <c r="E198" i="1" s="1"/>
  <c r="E199" i="1" s="1"/>
  <c r="E200" i="1" s="1"/>
  <c r="E201" i="1" s="1"/>
</calcChain>
</file>

<file path=xl/sharedStrings.xml><?xml version="1.0" encoding="utf-8"?>
<sst xmlns="http://schemas.openxmlformats.org/spreadsheetml/2006/main" count="1706" uniqueCount="571">
  <si>
    <t>Field Name</t>
  </si>
  <si>
    <t>Width</t>
  </si>
  <si>
    <t>Bits</t>
  </si>
  <si>
    <t>Description</t>
  </si>
  <si>
    <t>Need to latch for at-speed scan?</t>
  </si>
  <si>
    <t>COMMON</t>
  </si>
  <si>
    <t>NO</t>
  </si>
  <si>
    <t>1'b0</t>
  </si>
  <si>
    <t>YES</t>
  </si>
  <si>
    <t>FFDIV</t>
  </si>
  <si>
    <t>DEBUF</t>
  </si>
  <si>
    <t>HEX2DEC</t>
  </si>
  <si>
    <t>DEC2HEX</t>
  </si>
  <si>
    <t>PULSE</t>
  </si>
  <si>
    <t>SEBUF</t>
  </si>
  <si>
    <t>wr</t>
  </si>
  <si>
    <t>r</t>
  </si>
  <si>
    <t>hw type</t>
  </si>
  <si>
    <t>hwclr</t>
  </si>
  <si>
    <t>we</t>
  </si>
  <si>
    <t>PHMOD</t>
  </si>
  <si>
    <t>Reg Offset</t>
  </si>
  <si>
    <t>CMU</t>
  </si>
  <si>
    <t>default type</t>
  </si>
  <si>
    <t>Reg Type</t>
  </si>
  <si>
    <t>WR</t>
  </si>
  <si>
    <t>RO</t>
  </si>
  <si>
    <t>REG_TYPE</t>
  </si>
  <si>
    <t>DEFAULT_TYPE</t>
  </si>
  <si>
    <t>soft strap</t>
  </si>
  <si>
    <t>default</t>
  </si>
  <si>
    <t>strap</t>
  </si>
  <si>
    <t>fuse</t>
  </si>
  <si>
    <t>Reg Name</t>
  </si>
  <si>
    <t>Sus Well</t>
  </si>
  <si>
    <t>Default</t>
  </si>
  <si>
    <t>RW</t>
  </si>
  <si>
    <t>Reg Soconline Offset</t>
  </si>
  <si>
    <t>user define</t>
  </si>
  <si>
    <t xml:space="preserve">Domain </t>
  </si>
  <si>
    <t>decoder pin</t>
  </si>
  <si>
    <t>SA ADDRESS</t>
  </si>
  <si>
    <t>Reset value</t>
  </si>
  <si>
    <t>NVM_value</t>
  </si>
  <si>
    <t>Reset_value</t>
  </si>
  <si>
    <t>Reset Value(HEX)</t>
  </si>
  <si>
    <t>NVM Value(HEX)</t>
  </si>
  <si>
    <t>NVM value</t>
  </si>
  <si>
    <t>20'b0</t>
  </si>
  <si>
    <t>32'b0</t>
  </si>
  <si>
    <t>1'b1</t>
  </si>
  <si>
    <t>4'b1000</t>
  </si>
  <si>
    <t>nocon</t>
  </si>
  <si>
    <t>address placeholder</t>
  </si>
  <si>
    <t>cmp_refgen_reg</t>
  </si>
  <si>
    <t>ref_voltage_sel</t>
  </si>
  <si>
    <t>dcmon_enable</t>
  </si>
  <si>
    <t>spare_31_12</t>
  </si>
  <si>
    <t>dcmon enable</t>
  </si>
  <si>
    <t>spares</t>
  </si>
  <si>
    <t>2'b0</t>
  </si>
  <si>
    <t>10'b0</t>
  </si>
  <si>
    <t>rx2_nocon_reg1</t>
  </si>
  <si>
    <t>rx_refgen_reg0</t>
  </si>
  <si>
    <t>sel_adcffe_0</t>
  </si>
  <si>
    <t>sel_adcffe_1</t>
  </si>
  <si>
    <t>sel_adcffe_2</t>
  </si>
  <si>
    <t>sel_adcffe_3</t>
  </si>
  <si>
    <t>sel_adcffe_4</t>
  </si>
  <si>
    <t>sel_adcffe_5</t>
  </si>
  <si>
    <t>spare_31_31</t>
  </si>
  <si>
    <t>Spare</t>
  </si>
  <si>
    <t>rx_refgen_reg1</t>
  </si>
  <si>
    <t>C</t>
  </si>
  <si>
    <t>sel_ldoofc_0</t>
  </si>
  <si>
    <t>sel_ldoofc_1</t>
  </si>
  <si>
    <t>sel_ldopi_0</t>
  </si>
  <si>
    <t>sel_ldopi_1</t>
  </si>
  <si>
    <t>sel_ldosar_0</t>
  </si>
  <si>
    <t>sel_ldoth1_0</t>
  </si>
  <si>
    <t>rx_refgen_reg2</t>
  </si>
  <si>
    <t>sel_ldoth2_0</t>
  </si>
  <si>
    <t>sel_ldotx_0</t>
  </si>
  <si>
    <t>sel_ldotx_1</t>
  </si>
  <si>
    <t>sel_ldotx_2</t>
  </si>
  <si>
    <t>sel_ldotx_3</t>
  </si>
  <si>
    <t>sel_ldo_dig_vpark_0p65</t>
  </si>
  <si>
    <t>spare_31_25</t>
  </si>
  <si>
    <t>sel_ldotx_0 - 700mV to 840mV: tx dl stg1</t>
  </si>
  <si>
    <t>7'b0</t>
  </si>
  <si>
    <t>3'b100</t>
  </si>
  <si>
    <t>rx_refgen_reg3</t>
  </si>
  <si>
    <t>en_dcmon_ldotx_clk</t>
  </si>
  <si>
    <t>en_dcmon_ldotx_dl_stg1</t>
  </si>
  <si>
    <t>en_dcmon_ldotx_pg</t>
  </si>
  <si>
    <t>en_dcmon_ldotx_pg_stg1</t>
  </si>
  <si>
    <t>en_dcmon_ldotx_pll</t>
  </si>
  <si>
    <t>en_dcmon_ldo_dco</t>
  </si>
  <si>
    <t>en_dcmon_ldo_ofc</t>
  </si>
  <si>
    <t>en_dcmon_ldo_pi</t>
  </si>
  <si>
    <t>en_dcmon_ldo_sar</t>
  </si>
  <si>
    <t>en_dcmon_ldo_th1</t>
  </si>
  <si>
    <t>en_dcmon_ldo_th2</t>
  </si>
  <si>
    <t>en_dcmon_adcffe_th1_cmin</t>
  </si>
  <si>
    <t>en_dcmon_adcffe_sar</t>
  </si>
  <si>
    <t>en_dcmon_adcffe_brk2_th1_cmout</t>
  </si>
  <si>
    <t>en_dcmon_ldo_dig_vpark_0p65</t>
  </si>
  <si>
    <t>en_ldo_dco</t>
  </si>
  <si>
    <t>en_ldo_ofc</t>
  </si>
  <si>
    <t>en_ldo_pi</t>
  </si>
  <si>
    <t>en_ldo_sar</t>
  </si>
  <si>
    <t>en_ldo_th1</t>
  </si>
  <si>
    <t>en_ldo_th2</t>
  </si>
  <si>
    <t>en_ldo_dig_vpark_0p65</t>
  </si>
  <si>
    <t>en_dcmon_ldotx_pll[1:0]  - 1:high 0:low</t>
  </si>
  <si>
    <t>en_dcmon_ldo_dco[1:0] - 1:high 0:low</t>
  </si>
  <si>
    <t>en_dcmon_ldo_ofc[1:0] - 1:high 0:low</t>
  </si>
  <si>
    <t>en_dcmon_ldo_pi[1:0] - 1:high 0:low</t>
  </si>
  <si>
    <t>en_dcmon_adcffe_brk2_th1_cmout[3:0]</t>
  </si>
  <si>
    <t xml:space="preserve">en_ldo_dco[1:0]  reference voltages - 1:high 0:low </t>
  </si>
  <si>
    <t>en_ldo_ofc[1:0] reference voltages</t>
  </si>
  <si>
    <t>en_ldo_pi[1:0] reference voltages</t>
  </si>
  <si>
    <t>en_ldo_sar reference voltages</t>
  </si>
  <si>
    <t>en_ldo_th1 reference voltages</t>
  </si>
  <si>
    <t>en_ldo_th2 reference voltages</t>
  </si>
  <si>
    <t>en_ldo_dig_vpark_0p65 reference voltages</t>
  </si>
  <si>
    <t>2'b11</t>
  </si>
  <si>
    <t>4'b0</t>
  </si>
  <si>
    <t>en_adc_ffe_0</t>
  </si>
  <si>
    <t>en_adc_ffe_1</t>
  </si>
  <si>
    <t>en_adc_ffe_2</t>
  </si>
  <si>
    <t>en_adc_ffe_3</t>
  </si>
  <si>
    <t>en_adc_ffe_4</t>
  </si>
  <si>
    <t>en_adc_ffe_5</t>
  </si>
  <si>
    <t>en_ldo_tx_0</t>
  </si>
  <si>
    <t>en_ldo_tx_1</t>
  </si>
  <si>
    <t>en_ldo_tx_2</t>
  </si>
  <si>
    <t>en_ldo_tx_3</t>
  </si>
  <si>
    <t>en_ldo_tx_4</t>
  </si>
  <si>
    <t>en_ldo_tx_5</t>
  </si>
  <si>
    <t>bypass</t>
  </si>
  <si>
    <t>en15</t>
  </si>
  <si>
    <t>spare_31_15</t>
  </si>
  <si>
    <t>rx_refgen_reg4</t>
  </si>
  <si>
    <t>en_adc_ffe_0 - enable vref_adc_ffe_sar</t>
  </si>
  <si>
    <t>en_adc_ffe_1 - enable brk2_vref_adc_ffe_th1_cmin</t>
  </si>
  <si>
    <t>en_ldo_tx_0 - enable tx dl stg1 ref</t>
  </si>
  <si>
    <t>en_ldo_tx_1 - enable tx pg stg1 ref</t>
  </si>
  <si>
    <t>en_ldo_tx_2 - enable tx clocking ref</t>
  </si>
  <si>
    <t>en_ldo_tx_3 - enable tx pg ref</t>
  </si>
  <si>
    <t>en_ldo_tx_4 - enable tx dco pll ref LOW</t>
  </si>
  <si>
    <t>en_ldo_tx_5 - enable tx dco pll ref HIGH</t>
  </si>
  <si>
    <t>by_pass[1:0] - controls the R of fltr_vcc0p9 (11:125k/10:25k/01:0/00:0)</t>
  </si>
  <si>
    <t>Spare Bits</t>
  </si>
  <si>
    <t>17'b0</t>
  </si>
  <si>
    <t>rx2_nocon_reg2</t>
  </si>
  <si>
    <t>rx2_nocon_reg3</t>
  </si>
  <si>
    <t>1C</t>
  </si>
  <si>
    <t>rx_comparator_reg</t>
  </si>
  <si>
    <t>spare_14_0</t>
  </si>
  <si>
    <t>dcmon_sel</t>
  </si>
  <si>
    <t>ofst</t>
  </si>
  <si>
    <t>ofst_sgn</t>
  </si>
  <si>
    <t>chop_sel_n</t>
  </si>
  <si>
    <t>chop_sel_p</t>
  </si>
  <si>
    <t>cmp_en</t>
  </si>
  <si>
    <t>spare bits</t>
  </si>
  <si>
    <t>offset sign</t>
  </si>
  <si>
    <t>comparator enable</t>
  </si>
  <si>
    <t>3'b0</t>
  </si>
  <si>
    <t>15'b0</t>
  </si>
  <si>
    <t>2C</t>
  </si>
  <si>
    <t>3C</t>
  </si>
  <si>
    <t>4C</t>
  </si>
  <si>
    <t>5C</t>
  </si>
  <si>
    <t>6C</t>
  </si>
  <si>
    <t>7C</t>
  </si>
  <si>
    <t>rx2_nocon_reg4</t>
  </si>
  <si>
    <t>rx2_nocon_reg5</t>
  </si>
  <si>
    <t>rx2_nocon_reg6</t>
  </si>
  <si>
    <t>rx2_nocon_reg7</t>
  </si>
  <si>
    <t>rx2_nocon_reg8</t>
  </si>
  <si>
    <t>rx2_nocon_reg9</t>
  </si>
  <si>
    <t>rx2_nocon_reg10</t>
  </si>
  <si>
    <t>5'b10000</t>
  </si>
  <si>
    <t>6'b100000</t>
  </si>
  <si>
    <t>en15 -global enable the block functionality (en and pg - LDO is ON)</t>
  </si>
  <si>
    <t>en_adc_ffe_5 - enable brk2_vref_adc_ffe_th1_cmout[3](prebuf)</t>
  </si>
  <si>
    <t>en_adc_ffe_4 - enable brk2_vref_adc_ffe_th1_cmout[2](prebuf)</t>
  </si>
  <si>
    <t>en_adc_ffe_3 - enable brk2_vref_adc_ffe_th1_cmout[1](prebuf)</t>
  </si>
  <si>
    <t>en_adc_ffe_2 - enable brk2_vref_adc_ffe_th1_cmout[0](prebuf)</t>
  </si>
  <si>
    <t>rx2_nocon_reg0</t>
  </si>
  <si>
    <t>HDL Path</t>
  </si>
  <si>
    <t>refgen_and_comp.cmp_refgen.reg0_addr[31:12]</t>
  </si>
  <si>
    <t>refgen_and_comp.cmp_refgen.reg0_addr[11:10]</t>
  </si>
  <si>
    <t>refgen_and_comp.I7.reg_d_out_0[31]</t>
  </si>
  <si>
    <t>refgen_and_comp.I7.rx_refgen_core.sel_adcffe_5[4:0]</t>
  </si>
  <si>
    <t>refgen_and_comp.I7.rx_refgen_core.sel_adcffe_4[4:0]</t>
  </si>
  <si>
    <t>refgen_and_comp.I7.rx_refgen_core.sel_adcffe_3[4:0]</t>
  </si>
  <si>
    <t>refgen_and_comp.I7.rx_refgen_core.sel_adcffe_2[4:0]</t>
  </si>
  <si>
    <t>refgen_and_comp.I7.rx_refgen_core.sel_adcffe_1[4:0]</t>
  </si>
  <si>
    <t>refgen_and_comp.I7.rx_refgen_core.sel_adcffe_0[4:0]</t>
  </si>
  <si>
    <t>refgen_and_comp.I7.reg_d_out_2[31:25]</t>
  </si>
  <si>
    <t>refgen_and_comp.I7.rx_refgen_core.en_ldo_dig_vaprk_0p65</t>
  </si>
  <si>
    <t>refgen_and_comp.I7.rx_refgen_core.en_ldo_th2</t>
  </si>
  <si>
    <t>refgen_and_comp.I7.rx_refgen_core.en_ldo_th1</t>
  </si>
  <si>
    <t>refgen_and_comp.I7.rx_refgen_core.en_ldo_sar</t>
  </si>
  <si>
    <t>refgen_and_comp.I7.rx_refgen_core.en_dcmon_ldo_dig_vaprk_0p65</t>
  </si>
  <si>
    <t>refgen_and_comp.I7.rx_refgen_core.en_dcmon_adcffe_sar</t>
  </si>
  <si>
    <t>refgen_and_comp.I7.rx_refgen_core.en_dcmon_adcffe_th1_cmin</t>
  </si>
  <si>
    <t>refgen_and_comp.I7.rx_refgen_core.en_dcmon_ldo_th2</t>
  </si>
  <si>
    <t>refgen_and_comp.I7.rx_refgen_core.en_dcmon_ldo_th1</t>
  </si>
  <si>
    <t>refgen_and_comp.I7.rx_refgen_core.en_dcmon_ldo_sar</t>
  </si>
  <si>
    <t>refgen_and_comp.I7.rx_refgen_core.en_dcmon_ldotx_pg_stg1</t>
  </si>
  <si>
    <t>refgen_and_comp.I7.rx_refgen_core.en_dcmon_ldotx_pg</t>
  </si>
  <si>
    <t>refgen_and_comp.I7.rx_refgen_core.en_dcmon_ldotx_dl_stg1</t>
  </si>
  <si>
    <t>refgen_and_comp.I7.rx_refgen_core.en_dcmon_ldotx_clk</t>
  </si>
  <si>
    <t>refgen_and_comp.I7.rx_refgen_core.en09</t>
  </si>
  <si>
    <t>refgen_and_comp.I7.reg_d_out_4[31:15]</t>
  </si>
  <si>
    <t>refgen_and_comp.comparator_top.cmp_en</t>
  </si>
  <si>
    <t>refgen_and_comp.comparator_top.ofst_sgn</t>
  </si>
  <si>
    <t>prototype path</t>
  </si>
  <si>
    <t>flcn_lane_wrap_ins.ipn5flcntop_single_lane_top_lane0_ins.flcn_lane_ana_top_ins.flcn_lane_ana_wrap_ins.i_ipn5flctc2top_lane_top.rx_top</t>
  </si>
  <si>
    <t>refgen_and_comp.I7.rx_refgen_core.sel_ldoth1_0[4:0]</t>
  </si>
  <si>
    <t>refgen_and_comp.I7.rx_refgen_core.sel_ldosar_0[4:0]</t>
  </si>
  <si>
    <t>refgen_and_comp.I7.rx_refgen_core.sel_ldopi_1[4:0]</t>
  </si>
  <si>
    <t>refgen_and_comp.I7.rx_refgen_core.sel_ldopi_0[4:0]</t>
  </si>
  <si>
    <t>refgen_and_comp.I7.rx_refgen_core.sel_ldoofc_1[5:0]</t>
  </si>
  <si>
    <t>refgen_and_comp.I7.rx_refgen_core.sel_ldoofc_0[5:0]</t>
  </si>
  <si>
    <t>refgen_and_comp.I7.rx_refgen_core.sel_ldo_dig_vaprk_0p65[2:0]</t>
  </si>
  <si>
    <t>refgen_and_comp.I7.rx_refgen_core.sel_ldotx_3[4:0]</t>
  </si>
  <si>
    <t>refgen_and_comp.I7.rx_refgen_core.sel_ldotx_2[4:0]</t>
  </si>
  <si>
    <t>refgen_and_comp.I7.rx_refgen_core.sel_ldotx_1[3:0]</t>
  </si>
  <si>
    <t>refgen_and_comp.I7.rx_refgen_core.sel_ldotx_0[3:0]</t>
  </si>
  <si>
    <t>refgen_and_comp.I7.rx_refgen_core.sel_ldoth2_0[3:0]</t>
  </si>
  <si>
    <t>refgen_and_comp.I7.rx_refgen_core.en_ldo_pi[1:0]</t>
  </si>
  <si>
    <t>refgen_and_comp.I7.rx_refgen_core.en_ldo_ofc[1:0]</t>
  </si>
  <si>
    <t>refgen_and_comp.I7.rx_refgen_core.en_ldo_dco[1:0]</t>
  </si>
  <si>
    <t>refgen_and_comp.I7.rx_refgen_core.en_dcmon_brk2_adcffe_th1_cmout[3:0]</t>
  </si>
  <si>
    <t>refgen_and_comp.I7.rx_refgen_core.en_dcmon_ldo_pi[1:0]</t>
  </si>
  <si>
    <t>refgen_and_comp.I7.rx_refgen_core.en_dcmon_ldo_ofc[1:0]</t>
  </si>
  <si>
    <t>refgen_and_comp.I7.rx_refgen_core.en_dcmon_ldo_dco[1:0]</t>
  </si>
  <si>
    <t>refgen_and_comp.I7.rx_refgen_core.en_dcmon_ldotx_pll[1:0]</t>
  </si>
  <si>
    <t>refgen_and_comp.I7.rx_refgen_core.byp_res[1:0]</t>
  </si>
  <si>
    <t>refgen_and_comp.I7.rx_refgen_core.en_ldo_tx[5]</t>
  </si>
  <si>
    <t>refgen_and_comp.I7.rx_refgen_core.en_ldo_tx[4]</t>
  </si>
  <si>
    <t>refgen_and_comp.I7.rx_refgen_core.en_ldo_tx[3]</t>
  </si>
  <si>
    <t>refgen_and_comp.I7.rx_refgen_core.en_ldo_tx[2]</t>
  </si>
  <si>
    <t>refgen_and_comp.I7.rx_refgen_core.en_ldo_tx[1]</t>
  </si>
  <si>
    <t>refgen_and_comp.I7.rx_refgen_core.en_ldo_tx[0]</t>
  </si>
  <si>
    <t>refgen_and_comp.I7.rx_refgen_core.en_adc_ffe[5]</t>
  </si>
  <si>
    <t>refgen_and_comp.I7.rx_refgen_core.en_adc_ffe[4]</t>
  </si>
  <si>
    <t>refgen_and_comp.I7.rx_refgen_core.en_adc_ffe[3]</t>
  </si>
  <si>
    <t>refgen_and_comp.I7.rx_refgen_core.en_adc_ffe[2]</t>
  </si>
  <si>
    <t>refgen_and_comp.I7.rx_refgen_core.en_adc_ffe[1]</t>
  </si>
  <si>
    <t>refgen_and_comp.I7.rx_refgen_core.en_adc_ffe[0]</t>
  </si>
  <si>
    <t>refgen_and_comp.comparator_top.chop_sel_p[2:0]</t>
  </si>
  <si>
    <t>refgen_and_comp.comparator_top.chop_sel_n[2:0]</t>
  </si>
  <si>
    <t>refgen_and_comp.comparator_top.ofst[6:0]</t>
  </si>
  <si>
    <t>refgen_and_comp.comparator_top.dcmon_sel[1:0]</t>
  </si>
  <si>
    <t>refgen_and_comp.comparator_top.spare[14:0]</t>
  </si>
  <si>
    <t>local_bias_reg0</t>
  </si>
  <si>
    <t>d_100_3_p</t>
  </si>
  <si>
    <t>4'b0111</t>
  </si>
  <si>
    <t>local_bias.ptop.d_100_3[3:0]</t>
  </si>
  <si>
    <t>d_100_2_p</t>
  </si>
  <si>
    <t>local_bias.ptop.d_100_2[3:0]</t>
  </si>
  <si>
    <t>d_100_1_p</t>
  </si>
  <si>
    <t>local_bias.ptop.d_100_1[3:0]</t>
  </si>
  <si>
    <t>d_100_0_p</t>
  </si>
  <si>
    <t>local_bias.ptop.d_100_0[3:0]</t>
  </si>
  <si>
    <t>d_50_2_p</t>
  </si>
  <si>
    <t>local_bias.ptop.d_50_2[3:0]</t>
  </si>
  <si>
    <t>d_50_1_p</t>
  </si>
  <si>
    <t>local_bias.ptop.d_50_1[3:0]</t>
  </si>
  <si>
    <t>d_50_0_p</t>
  </si>
  <si>
    <t>local_bias.ptop.d_50_0[3:0]</t>
  </si>
  <si>
    <t>d_master_p</t>
  </si>
  <si>
    <t>lb pmos master current</t>
  </si>
  <si>
    <t>local_bias.ptop.d_master[3:0]</t>
  </si>
  <si>
    <t>local_bias_reg1</t>
  </si>
  <si>
    <t>d_100_11_p</t>
  </si>
  <si>
    <t>local_bias.ptop.d_100_11[3:0]</t>
  </si>
  <si>
    <t>d_100_10_p</t>
  </si>
  <si>
    <t>local_bias.ptop.d_100_10[3:0]</t>
  </si>
  <si>
    <t>d_100_9_p</t>
  </si>
  <si>
    <t>local_bias.ptop.d_100_9[3:0]</t>
  </si>
  <si>
    <t>d_100_8_p</t>
  </si>
  <si>
    <t>local_bias.ptop.d_100_8[3:0]</t>
  </si>
  <si>
    <t>d_100_7_p</t>
  </si>
  <si>
    <t>local_bias.ptop.d_100_7[3:0]</t>
  </si>
  <si>
    <t>d_100_6_p</t>
  </si>
  <si>
    <t>local_bias.ptop.d_100_6[3:0]</t>
  </si>
  <si>
    <t>d_100_5_p</t>
  </si>
  <si>
    <t>local_bias.ptop.d_100_5[3:0]</t>
  </si>
  <si>
    <t>d_100_4_p</t>
  </si>
  <si>
    <t>local_bias.ptop.d_100_4[3:0]</t>
  </si>
  <si>
    <t>local_bias_reg2</t>
  </si>
  <si>
    <t>d_100_19_p</t>
  </si>
  <si>
    <t>local_bias.ptop.d_100_19[3:0]</t>
  </si>
  <si>
    <t>d_100_18_p</t>
  </si>
  <si>
    <t>local_bias.ptop.d_100_18[3:0]</t>
  </si>
  <si>
    <t>d_100_17_p</t>
  </si>
  <si>
    <t>local_bias.ptop.d_100_17[3:0]</t>
  </si>
  <si>
    <t>d_100_16_p</t>
  </si>
  <si>
    <t>local_bias.ptop.d_100_16[3:0]</t>
  </si>
  <si>
    <t>d_100_15_p</t>
  </si>
  <si>
    <t>local_bias.ptop.d_100_15[3:0]</t>
  </si>
  <si>
    <t>d_100_14_p</t>
  </si>
  <si>
    <t>local_bias.ptop.d_100_14[3:0]</t>
  </si>
  <si>
    <t>d_100_13_p</t>
  </si>
  <si>
    <t>local_bias.ptop.d_100_13[3:0]</t>
  </si>
  <si>
    <t>d_100_12_p</t>
  </si>
  <si>
    <t>local_bias.ptop.d_100_12[3:0]</t>
  </si>
  <si>
    <t>local_bias_reg3</t>
  </si>
  <si>
    <t>d_100_27_p</t>
  </si>
  <si>
    <t>local_bias.ptop.d_100_27[3:0]</t>
  </si>
  <si>
    <t>d_100_26_p</t>
  </si>
  <si>
    <t>local_bias.ptop.d_100_26[3:0]</t>
  </si>
  <si>
    <t>d_100_25_p</t>
  </si>
  <si>
    <t>local_bias.ptop.d_100_25[3:0]</t>
  </si>
  <si>
    <t>d_100_24_p</t>
  </si>
  <si>
    <t>local_bias.ptop.d_100_24[3:0]</t>
  </si>
  <si>
    <t>d_100_23_p</t>
  </si>
  <si>
    <t>local_bias.ptop.d_100_23[3:0]</t>
  </si>
  <si>
    <t>d_100_22_p</t>
  </si>
  <si>
    <t>local_bias.ptop.d_100_22[3:0]</t>
  </si>
  <si>
    <t>d_100_21_p</t>
  </si>
  <si>
    <t>local_bias.ptop.d_100_21[3:0]</t>
  </si>
  <si>
    <t>d_100_20_p</t>
  </si>
  <si>
    <t>local_bias.ptop.d_100_20[3:0]</t>
  </si>
  <si>
    <t>local_bias_reg4</t>
  </si>
  <si>
    <t>d_dcmon</t>
  </si>
  <si>
    <t>lb to DCMON from pmos</t>
  </si>
  <si>
    <t>local_bias.ptop.d_dcmon[3:0]</t>
  </si>
  <si>
    <t>d_400_2_p</t>
  </si>
  <si>
    <t>local_bias.ptop.d_400_2[3:0]</t>
  </si>
  <si>
    <t>d_400_2_x1_p</t>
  </si>
  <si>
    <t>local_bias.ptop.d_400_2_x1[3:0]</t>
  </si>
  <si>
    <t>d_400_1_p</t>
  </si>
  <si>
    <t>local_bias.ptop.d_400_1[3:0]</t>
  </si>
  <si>
    <t>d_400_1_x1_p</t>
  </si>
  <si>
    <t>local_bias.ptop.d_400_1_x1[3:0]</t>
  </si>
  <si>
    <t>d_400_0_p</t>
  </si>
  <si>
    <t>local_bias.ptop.d_400_0[3:0]</t>
  </si>
  <si>
    <t>d_400_0_x1_p</t>
  </si>
  <si>
    <t>local_bias.ptop.d_400_0_x1[3:0]</t>
  </si>
  <si>
    <t>d_100_28_p</t>
  </si>
  <si>
    <t>local_bias.ptop.d_100_28[3:0]</t>
  </si>
  <si>
    <t>local_bias_reg5</t>
  </si>
  <si>
    <t>d_spare_50_7_p</t>
  </si>
  <si>
    <t>unconnected</t>
  </si>
  <si>
    <t>local_bias.ptop.d_spare_50_7[3:0]</t>
  </si>
  <si>
    <t>d_spare_50_6_p</t>
  </si>
  <si>
    <t>local_bias.ptop.d_spare_50_6[3:0]</t>
  </si>
  <si>
    <t>d_spare_50_5_p</t>
  </si>
  <si>
    <t>local_bias.ptop.d_spare_50_5[3:0]</t>
  </si>
  <si>
    <t>d_spare_50_4_p</t>
  </si>
  <si>
    <t>local_bias.ptop.d_spare_50_4[3:0]</t>
  </si>
  <si>
    <t>d_spare_50_3_p</t>
  </si>
  <si>
    <t>local_bias.ptop.d_spare_50_3[3:0]</t>
  </si>
  <si>
    <t>d_spare_50_2_p</t>
  </si>
  <si>
    <t>local_bias.ptop.d_spare_50_2[3:0]</t>
  </si>
  <si>
    <t>d_spare_50_1_p</t>
  </si>
  <si>
    <t>local_bias.ptop.d_spare_50_1[3:0]</t>
  </si>
  <si>
    <t>d_spare_50_0_p</t>
  </si>
  <si>
    <t>local_bias.ptop.d_spare_50_0[3:0]</t>
  </si>
  <si>
    <t>local_bias_reg6</t>
  </si>
  <si>
    <t>en_dcmon_cur1_p</t>
  </si>
  <si>
    <t>dcmon en control</t>
  </si>
  <si>
    <t>local_bias.ptop.en_dcmon_cur1</t>
  </si>
  <si>
    <t>en_dcmon_cur0_p</t>
  </si>
  <si>
    <r>
      <t>local_bias.ptop.</t>
    </r>
    <r>
      <rPr>
        <sz val="11"/>
        <color rgb="FF000000"/>
        <rFont val="Calibri"/>
        <family val="2"/>
      </rPr>
      <t>en_dcmon_cur0</t>
    </r>
  </si>
  <si>
    <t>en_dcmon1_p</t>
  </si>
  <si>
    <t>local_bias.ptop.en_dcmon1</t>
  </si>
  <si>
    <t>en_dcmon0_p</t>
  </si>
  <si>
    <t>local_bias.ptop.en_dcmon0</t>
  </si>
  <si>
    <t>d_spare_50_14_p</t>
  </si>
  <si>
    <t>local_bias.ptop.d_spare_50_14[3:0]</t>
  </si>
  <si>
    <t>d_spare_50_13_p</t>
  </si>
  <si>
    <t>local_bias.ptop.d_spare_50_13[3:0]</t>
  </si>
  <si>
    <t>d_spare_50_12_p</t>
  </si>
  <si>
    <t>local_bias.ptop.d_spare_50_12[3:0]</t>
  </si>
  <si>
    <t>d_spare_50_11_p</t>
  </si>
  <si>
    <t>local_bias.ptop.d_spare_50_11[3:0]</t>
  </si>
  <si>
    <t>d_spare_50_10_p</t>
  </si>
  <si>
    <t>local_bias.ptop.d_spare_50_10[3:0]</t>
  </si>
  <si>
    <t>d_spare_50_9_p</t>
  </si>
  <si>
    <t>local_bias.ptop.d_spare_50_9[3:0]</t>
  </si>
  <si>
    <t>d_spare_50_8_p</t>
  </si>
  <si>
    <t>local_bias.ptop.d_spare_50_8[3:0]</t>
  </si>
  <si>
    <t>local_bias_reg7</t>
  </si>
  <si>
    <t>d_50_6_n</t>
  </si>
  <si>
    <t>local_bias.ntop.d_50_6[3:0]</t>
  </si>
  <si>
    <t>d_50_5_n</t>
  </si>
  <si>
    <t>local_bias.ntop.d_50_5[3:0]</t>
  </si>
  <si>
    <t>d_50_4_n</t>
  </si>
  <si>
    <t>local_bias.ntop.d_50_4[3:0]</t>
  </si>
  <si>
    <t>d_50_3_n</t>
  </si>
  <si>
    <t>local_bias.ntop.d_50_3[3:0]</t>
  </si>
  <si>
    <t>d_50_2_n</t>
  </si>
  <si>
    <t>local_bias.ntop.d_50_2[3:0]</t>
  </si>
  <si>
    <t>d_50_1_n</t>
  </si>
  <si>
    <t>local_bias.ntop.d_50_1[3:0]</t>
  </si>
  <si>
    <t>d_50_0_n</t>
  </si>
  <si>
    <t>local_bias.ntop.d_50_0[3:0]</t>
  </si>
  <si>
    <t>d_master_n</t>
  </si>
  <si>
    <t>lb nmos master current</t>
  </si>
  <si>
    <t>local_bias.ntop.d_master[3:0]</t>
  </si>
  <si>
    <t>local_bias_reg8</t>
  </si>
  <si>
    <t>local_bias.ntop.d_100_7[3:0]</t>
  </si>
  <si>
    <t>local_bias.ntop.d_100_6[3:0]</t>
  </si>
  <si>
    <t>local_bias.ntop.d_100_5[3:0]</t>
  </si>
  <si>
    <t>local_bias.ntop.d_100_4[3:0]</t>
  </si>
  <si>
    <t>local_bias.ntop.d_100_3[3:0]</t>
  </si>
  <si>
    <t>d_100_2_n</t>
  </si>
  <si>
    <t>local_bias.ntop.d_100_2[3:0]</t>
  </si>
  <si>
    <t>d_100_1_n</t>
  </si>
  <si>
    <t>local_bias.ntop.d_100_1[3:0]</t>
  </si>
  <si>
    <t>d_100_0_n</t>
  </si>
  <si>
    <t>local_bias.ntop.d_100_0[3:0]</t>
  </si>
  <si>
    <t>local_bias_reg9</t>
  </si>
  <si>
    <t>d_100_15_n</t>
  </si>
  <si>
    <t>local_bias.ntop.d_100_15[3:0]</t>
  </si>
  <si>
    <t>d_100_14_n</t>
  </si>
  <si>
    <t>local_bias.ntop.d_100_14[3:0]</t>
  </si>
  <si>
    <t>d_100_13_n</t>
  </si>
  <si>
    <t>local_bias.ntop.d_100_13[3:0]</t>
  </si>
  <si>
    <t>d_100_12_n</t>
  </si>
  <si>
    <t>local_bias.ntop.d_100_12[3:0]</t>
  </si>
  <si>
    <t>d_100_11_n</t>
  </si>
  <si>
    <t>local_bias.ntop.d_100_11[3:0]</t>
  </si>
  <si>
    <t>local_bias.ntop.d_100_10[3:0]</t>
  </si>
  <si>
    <t>local_bias.ntop.d_100_9[3:0]</t>
  </si>
  <si>
    <t>local_bias.ntop.d_100_8[3:0]</t>
  </si>
  <si>
    <t>local_bias_reg10</t>
  </si>
  <si>
    <t>d_200_4_n</t>
  </si>
  <si>
    <t>local_bias.ntop.d_200_4[3:0]</t>
  </si>
  <si>
    <t>d_200_3_n</t>
  </si>
  <si>
    <t>local_bias.ntop.d_200_3[3:0]</t>
  </si>
  <si>
    <t>d_200_2_n</t>
  </si>
  <si>
    <t>local_bias.ntop.d_200_2[3:0]</t>
  </si>
  <si>
    <t>d_200_1_n</t>
  </si>
  <si>
    <t>local_bias.ntop.d_200_1[3:0]</t>
  </si>
  <si>
    <t>d_200_0_n</t>
  </si>
  <si>
    <t>local_bias.ntop.d_200_0[3:0]</t>
  </si>
  <si>
    <t>d_100_18_n</t>
  </si>
  <si>
    <t>local_bias.ntop.d_100_18[3:0]</t>
  </si>
  <si>
    <t>d_100_17_n</t>
  </si>
  <si>
    <t>local_bias.ntop.d_100_17[3:0]</t>
  </si>
  <si>
    <t>d_100_16_n</t>
  </si>
  <si>
    <t>local_bias.ntop.d_100_16[3:0]</t>
  </si>
  <si>
    <t>local_bias_reg11</t>
  </si>
  <si>
    <t>d_spare_50_0_n</t>
  </si>
  <si>
    <t>local_bias.ntop.d_spare_50_0[3:0]</t>
  </si>
  <si>
    <t>d_dcmon_n</t>
  </si>
  <si>
    <t>local_bias.ntop.d_dcmon[3:0]</t>
  </si>
  <si>
    <t>d_400_2_n</t>
  </si>
  <si>
    <t>local_bias.ntop.d_400_2[3:0]</t>
  </si>
  <si>
    <t>d_400_2_x1_n</t>
  </si>
  <si>
    <t>local_bias.ntop.d_400_2_x1[3:0]</t>
  </si>
  <si>
    <t>d_400_1_n</t>
  </si>
  <si>
    <t>local_bias.ntop.d_400_1[3:0]</t>
  </si>
  <si>
    <t>d_400_1_x1_n</t>
  </si>
  <si>
    <t>local_bias.ntop.d_400_1_x1[3:0]</t>
  </si>
  <si>
    <t>d_400_0_n</t>
  </si>
  <si>
    <t>local_bias.ntop.d_400_0[3:0]</t>
  </si>
  <si>
    <t>d_400_0_x1_n</t>
  </si>
  <si>
    <t>local_bias.ntop.d_400_0_x1[3:0]</t>
  </si>
  <si>
    <t>local_bias_reg12</t>
  </si>
  <si>
    <t>d_spare_50_8_n</t>
  </si>
  <si>
    <t>local_bias.ntop.d_spare_50_8[3:0]</t>
  </si>
  <si>
    <t>d_spare_50_7_n</t>
  </si>
  <si>
    <t>local_bias.ntop.d_spare_50_7[3:0]</t>
  </si>
  <si>
    <t>d_spare_50_6_n</t>
  </si>
  <si>
    <t>local_bias.ntop.d_spare_50_6[3:0]</t>
  </si>
  <si>
    <t>d_spare_50_5_n</t>
  </si>
  <si>
    <t>local_bias.ntop.d_spare_50_5[3:0]</t>
  </si>
  <si>
    <t>d_spare_50_4_n</t>
  </si>
  <si>
    <t>local_bias.ntop.d_spare_50_4[3:0]</t>
  </si>
  <si>
    <t>d_spare_50_3_n</t>
  </si>
  <si>
    <t>local_bias.ntop.d_spare_50_3[3:0]</t>
  </si>
  <si>
    <t>d_spare_50_2_n</t>
  </si>
  <si>
    <t>local_bias.ntop.d_spare_50_2[3:0]</t>
  </si>
  <si>
    <t>d_spare_50_1_n</t>
  </si>
  <si>
    <t>local_bias.ntop.d_spare_50_1[3:0]</t>
  </si>
  <si>
    <t>local_bias_reg13</t>
  </si>
  <si>
    <t>en_dcmon_nmos_cur1</t>
  </si>
  <si>
    <t>local_bias.ntop.en_dcmon1</t>
  </si>
  <si>
    <t>en_dcmon_nmos_cur0</t>
  </si>
  <si>
    <t>local_bias.ntop.en_dcmon0</t>
  </si>
  <si>
    <t>en_dcmon_nmos1</t>
  </si>
  <si>
    <t>local_bias.ntop.en_dcmon_cur1</t>
  </si>
  <si>
    <t>en_dcmon_nmos0</t>
  </si>
  <si>
    <t>local_bias.ntop.en_dcmon_cur0</t>
  </si>
  <si>
    <t>d_spare_200_1_n</t>
  </si>
  <si>
    <t>local_bias.ntop.d_spare_200_1[3:0]</t>
  </si>
  <si>
    <t>d_spare_200_0_n</t>
  </si>
  <si>
    <t>local_bias.ntop.d_spare_200_0[3:0]</t>
  </si>
  <si>
    <t>d_spare_100_2_n</t>
  </si>
  <si>
    <t>local_bias.ntop.d_spare_100_2[3:0]</t>
  </si>
  <si>
    <t>d_spare_100_1_n</t>
  </si>
  <si>
    <t>local_bias.ntop.d_spare_100_1[3:0]</t>
  </si>
  <si>
    <t>d_spare_100_0_n</t>
  </si>
  <si>
    <t>local_bias.ntop.d_spare_100_0[3:0]</t>
  </si>
  <si>
    <t>d_spare_50_10_n</t>
  </si>
  <si>
    <t>local_bias.ntop.d_spare_50_10[3:0]</t>
  </si>
  <si>
    <t>d_spare_50_9_n</t>
  </si>
  <si>
    <t>local_bias.ntop.d_spare_50_9[3:0]</t>
  </si>
  <si>
    <t>4'b1111</t>
  </si>
  <si>
    <t>4'b0000</t>
  </si>
  <si>
    <t>6'b011011</t>
  </si>
  <si>
    <t>sel_ldotx_3 - 547.5mV to 897.5mV: tx pg ref</t>
  </si>
  <si>
    <t>6'b011001</t>
  </si>
  <si>
    <t>sel_ldotx_2 - 447.5mV to 897.5mV: tx clocking ref</t>
  </si>
  <si>
    <t>5'b01110</t>
  </si>
  <si>
    <t>sel_ldotx_1 - 657.5mV to 897.5mV: tx pg stg1</t>
  </si>
  <si>
    <t>provides 50u from pmos to adcfe ldo</t>
  </si>
  <si>
    <t>provides 50u from pmos to sararray ldo</t>
  </si>
  <si>
    <t>provides 100u from pmos to prebuf dc</t>
  </si>
  <si>
    <t>provides 100u from pmos to prebuf</t>
  </si>
  <si>
    <t>provides 100u from pmos to tx</t>
  </si>
  <si>
    <t>provides 100u from pmos to afe</t>
  </si>
  <si>
    <t>not connected</t>
  </si>
  <si>
    <t>provides 400u from pmos to afe</t>
  </si>
  <si>
    <t>provides 50u from pmos to tx</t>
  </si>
  <si>
    <t>provides 50u from pmos to rx refgen</t>
  </si>
  <si>
    <t>provides 50u from pmos to lane comparator</t>
  </si>
  <si>
    <t>provides 50u from pmos to divtop</t>
  </si>
  <si>
    <t>provides 50u from pmos to sararray ldo refgen</t>
  </si>
  <si>
    <t>provides 50u from nmos to tx</t>
  </si>
  <si>
    <t>provides 100u from nmos to afe</t>
  </si>
  <si>
    <t>provides 100u from nmos to pll</t>
  </si>
  <si>
    <t>provides 100u from nmos to dco</t>
  </si>
  <si>
    <t>provides 100u from nmos to prebuf dc</t>
  </si>
  <si>
    <t>provides 200u from nmos to prebuf dc</t>
  </si>
  <si>
    <t>pmos ref</t>
  </si>
  <si>
    <t>provides 400u from nmos to afe</t>
  </si>
  <si>
    <t>dcmon n control</t>
  </si>
  <si>
    <t>provides 50u from nmos to sararray ldo</t>
  </si>
  <si>
    <t>provides 50u from nmos to prebuf dc</t>
  </si>
  <si>
    <t>provides 100u from pmos to dco</t>
  </si>
  <si>
    <t>provides 50u from nmos to divtop</t>
  </si>
  <si>
    <t>d_50_pair_4</t>
  </si>
  <si>
    <t>d_50_pair_5</t>
  </si>
  <si>
    <t>d_50_pair_6</t>
  </si>
  <si>
    <t>d_50_pair_7</t>
  </si>
  <si>
    <t>d_50_pair_3</t>
  </si>
  <si>
    <t>d_50_pair_2</t>
  </si>
  <si>
    <t>d_50_pair_1</t>
  </si>
  <si>
    <t>d_50_pair_0</t>
  </si>
  <si>
    <t>provides 50u from nmos to postbuf</t>
  </si>
  <si>
    <t xml:space="preserve">reference voltage selector. 0mV - 900mV, resolution of 0.88mV per step, linear range
</t>
  </si>
  <si>
    <t>sel_adcffe_0 - 250mV to 500mV. Not connected</t>
  </si>
  <si>
    <t>sel_adcffe_1 - 680mV to 830mV. Not connected</t>
  </si>
  <si>
    <t>sel_adcffe_5 - 680mV to 830mV. Not connected</t>
  </si>
  <si>
    <t>sel_adcffe_4 - 680mV to 830mV. Not connected</t>
  </si>
  <si>
    <t>sel_adcffe_3 - 680mV to 830mV. Not connected</t>
  </si>
  <si>
    <t>sel_adcffe_2 - 680mV to 830mV. Not connected</t>
  </si>
  <si>
    <t>sel_ldoth1_0 - 750mV to 850mV. Not connected</t>
  </si>
  <si>
    <t>sel_ldosar_0  - 630mV to 850mV. Not connected</t>
  </si>
  <si>
    <t>sel_ldopi_1 - 750mV to 850mV. Not connected</t>
  </si>
  <si>
    <t>sel_ldopi_0 - 650mV to 750mV. Not connected</t>
  </si>
  <si>
    <t>sel_ldoofc_1 - 350mV to 660mV. Not connected</t>
  </si>
  <si>
    <t>sel_ldoofc_0 - 90mV to 400mV. Not connected</t>
  </si>
  <si>
    <t>sel_ldo_dig_vpark_0p65 - 550mV to 700mV: tx pg ref. Not connected</t>
  </si>
  <si>
    <t>sel_ldoth2_0 - 500mV to 850mV. Not connected</t>
  </si>
  <si>
    <t>2 - vga_vcmp_n, 1 - vga_vcmp_p, 0 - vga_vref_sweep</t>
  </si>
  <si>
    <t>dcmon select - 1 for cmp_p, 0 for cmp_n</t>
  </si>
  <si>
    <t>offset step is 0.2mV</t>
  </si>
  <si>
    <t>NOT ROUTED TO LB BOUNDRY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</si>
</sst>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Neo Sans Intel"/>
      <family val="2"/>
    </font>
    <font>
      <b/>
      <sz val="10"/>
      <color indexed="60"/>
      <name val="Neo Sans Inte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Neo Sans Intel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EFDBB"/>
        <bgColor indexed="26"/>
      </patternFill>
    </fill>
    <fill>
      <patternFill patternType="solid">
        <fgColor rgb="FFFFC000"/>
        <bgColor indexed="26"/>
      </patternFill>
    </fill>
    <fill>
      <patternFill patternType="solid">
        <fgColor rgb="FFCCECFF"/>
        <bgColor indexed="26"/>
      </patternFill>
    </fill>
    <fill>
      <patternFill patternType="solid">
        <fgColor rgb="FFBBF2FD"/>
        <bgColor indexed="26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9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6" fillId="0" borderId="0"/>
    <xf numFmtId="0" fontId="16" fillId="0" borderId="0"/>
    <xf numFmtId="0" fontId="23" fillId="0" borderId="0"/>
    <xf numFmtId="0" fontId="22" fillId="23" borderId="7" applyNumberForma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6" fillId="24" borderId="0" applyNumberFormat="0" applyBorder="0" applyAlignment="0" applyProtection="0"/>
    <xf numFmtId="0" fontId="27" fillId="25" borderId="12" applyNumberFormat="0" applyAlignment="0" applyProtection="0"/>
    <xf numFmtId="0" fontId="17" fillId="20" borderId="21" applyNumberFormat="0" applyAlignment="0" applyProtection="0"/>
    <xf numFmtId="0" fontId="22" fillId="23" borderId="20" applyNumberFormat="0" applyAlignment="0" applyProtection="0"/>
    <xf numFmtId="0" fontId="19" fillId="0" borderId="26" applyNumberFormat="0" applyFill="0" applyAlignment="0" applyProtection="0"/>
    <xf numFmtId="0" fontId="17" fillId="20" borderId="25" applyNumberFormat="0" applyAlignment="0" applyProtection="0"/>
    <xf numFmtId="0" fontId="22" fillId="23" borderId="24" applyNumberFormat="0" applyAlignment="0" applyProtection="0"/>
    <xf numFmtId="0" fontId="13" fillId="7" borderId="19" applyNumberFormat="0" applyAlignment="0" applyProtection="0"/>
    <xf numFmtId="0" fontId="13" fillId="7" borderId="23" applyNumberFormat="0" applyAlignment="0" applyProtection="0"/>
    <xf numFmtId="0" fontId="6" fillId="20" borderId="19" applyNumberFormat="0" applyAlignment="0" applyProtection="0"/>
    <xf numFmtId="0" fontId="6" fillId="20" borderId="23" applyNumberFormat="0" applyAlignment="0" applyProtection="0"/>
    <xf numFmtId="0" fontId="3" fillId="0" borderId="0"/>
    <xf numFmtId="0" fontId="19" fillId="0" borderId="22" applyNumberFormat="0" applyFill="0" applyAlignment="0" applyProtection="0"/>
    <xf numFmtId="0" fontId="2" fillId="0" borderId="0"/>
    <xf numFmtId="0" fontId="17" fillId="20" borderId="25" applyNumberFormat="0" applyAlignment="0" applyProtection="0"/>
    <xf numFmtId="0" fontId="22" fillId="23" borderId="24" applyNumberFormat="0" applyAlignment="0" applyProtection="0"/>
    <xf numFmtId="0" fontId="13" fillId="7" borderId="23" applyNumberFormat="0" applyAlignment="0" applyProtection="0"/>
    <xf numFmtId="0" fontId="6" fillId="20" borderId="23" applyNumberFormat="0" applyAlignment="0" applyProtection="0"/>
    <xf numFmtId="0" fontId="2" fillId="0" borderId="0"/>
    <xf numFmtId="0" fontId="19" fillId="0" borderId="26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</cellStyleXfs>
  <cellXfs count="87">
    <xf numFmtId="0" fontId="0" fillId="0" borderId="0" xfId="0"/>
    <xf numFmtId="0" fontId="21" fillId="0" borderId="0" xfId="0" applyFont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3" xfId="0" applyBorder="1"/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wrapText="1"/>
    </xf>
    <xf numFmtId="0" fontId="0" fillId="0" borderId="29" xfId="0" applyBorder="1" applyAlignment="1">
      <alignment wrapText="1"/>
    </xf>
    <xf numFmtId="0" fontId="24" fillId="26" borderId="30" xfId="0" applyFont="1" applyFill="1" applyBorder="1" applyAlignment="1">
      <alignment horizontal="center" vertical="center" wrapText="1"/>
    </xf>
    <xf numFmtId="49" fontId="24" fillId="26" borderId="30" xfId="0" applyNumberFormat="1" applyFont="1" applyFill="1" applyBorder="1" applyAlignment="1">
      <alignment horizontal="center" vertical="center" wrapText="1"/>
    </xf>
    <xf numFmtId="0" fontId="24" fillId="26" borderId="31" xfId="0" applyFont="1" applyFill="1" applyBorder="1" applyAlignment="1">
      <alignment horizontal="center" vertical="center" wrapText="1"/>
    </xf>
    <xf numFmtId="0" fontId="24" fillId="26" borderId="28" xfId="0" applyFont="1" applyFill="1" applyBorder="1" applyAlignment="1">
      <alignment horizontal="center" vertical="center" wrapText="1"/>
    </xf>
    <xf numFmtId="49" fontId="24" fillId="0" borderId="29" xfId="0" applyNumberFormat="1" applyFont="1" applyFill="1" applyBorder="1" applyAlignment="1">
      <alignment horizontal="center" vertical="center" wrapText="1"/>
    </xf>
    <xf numFmtId="0" fontId="28" fillId="0" borderId="29" xfId="37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0" fillId="0" borderId="38" xfId="0" applyBorder="1"/>
    <xf numFmtId="0" fontId="24" fillId="26" borderId="30" xfId="0" applyFont="1" applyFill="1" applyBorder="1" applyAlignment="1">
      <alignment horizontal="left" vertical="center" wrapText="1"/>
    </xf>
    <xf numFmtId="0" fontId="0" fillId="0" borderId="29" xfId="0" applyBorder="1" applyAlignment="1">
      <alignment horizontal="left"/>
    </xf>
    <xf numFmtId="0" fontId="0" fillId="0" borderId="0" xfId="0" applyBorder="1" applyAlignment="1">
      <alignment horizontal="left" vertical="center" wrapText="1"/>
    </xf>
    <xf numFmtId="49" fontId="24" fillId="26" borderId="30" xfId="0" applyNumberFormat="1" applyFont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25" fillId="22" borderId="37" xfId="36" applyNumberFormat="1" applyFont="1" applyBorder="1" applyAlignment="1" applyProtection="1">
      <alignment horizontal="left" vertical="center" wrapText="1"/>
    </xf>
    <xf numFmtId="0" fontId="0" fillId="0" borderId="40" xfId="0" applyBorder="1" applyAlignment="1">
      <alignment horizontal="left"/>
    </xf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  <xf numFmtId="0" fontId="0" fillId="0" borderId="29" xfId="0" applyBorder="1" applyAlignment="1">
      <alignment wrapText="1"/>
    </xf>
    <xf numFmtId="49" fontId="24" fillId="0" borderId="29" xfId="0" applyNumberFormat="1" applyFont="1" applyFill="1" applyBorder="1" applyAlignment="1">
      <alignment horizontal="center" vertical="center" wrapText="1"/>
    </xf>
    <xf numFmtId="0" fontId="28" fillId="0" borderId="29" xfId="37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40" xfId="0" applyBorder="1"/>
    <xf numFmtId="0" fontId="28" fillId="0" borderId="40" xfId="37" applyFont="1" applyBorder="1" applyAlignment="1">
      <alignment horizontal="center" vertical="center" wrapText="1"/>
    </xf>
    <xf numFmtId="0" fontId="25" fillId="22" borderId="36" xfId="36" applyFont="1" applyBorder="1" applyAlignment="1">
      <alignment vertical="center" wrapText="1"/>
    </xf>
    <xf numFmtId="49" fontId="24" fillId="0" borderId="40" xfId="0" applyNumberFormat="1" applyFont="1" applyBorder="1" applyAlignment="1">
      <alignment horizontal="center" vertical="center" wrapText="1"/>
    </xf>
    <xf numFmtId="0" fontId="24" fillId="0" borderId="40" xfId="0" applyFont="1" applyBorder="1" applyAlignment="1">
      <alignment horizontal="center" vertical="center" wrapText="1"/>
    </xf>
    <xf numFmtId="0" fontId="0" fillId="0" borderId="40" xfId="0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25" fillId="30" borderId="41" xfId="3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31" borderId="40" xfId="0" applyFill="1" applyBorder="1"/>
    <xf numFmtId="0" fontId="25" fillId="30" borderId="41" xfId="36" applyFont="1" applyFill="1" applyBorder="1" applyAlignment="1">
      <alignment horizontal="center" vertical="center" wrapText="1"/>
    </xf>
    <xf numFmtId="0" fontId="25" fillId="30" borderId="42" xfId="36" applyFont="1" applyFill="1" applyBorder="1" applyAlignment="1">
      <alignment horizontal="center" vertical="center" wrapText="1"/>
    </xf>
    <xf numFmtId="0" fontId="25" fillId="27" borderId="30" xfId="36" applyFont="1" applyFill="1" applyBorder="1" applyAlignment="1">
      <alignment horizontal="center" vertical="center" wrapText="1"/>
    </xf>
    <xf numFmtId="0" fontId="25" fillId="27" borderId="45" xfId="36" applyFont="1" applyFill="1" applyBorder="1" applyAlignment="1">
      <alignment horizontal="center" vertical="center" wrapText="1"/>
    </xf>
    <xf numFmtId="0" fontId="25" fillId="27" borderId="35" xfId="36" applyFont="1" applyFill="1" applyBorder="1" applyAlignment="1">
      <alignment horizontal="center" vertical="center" wrapText="1"/>
    </xf>
    <xf numFmtId="0" fontId="25" fillId="27" borderId="39" xfId="36" applyFont="1" applyFill="1" applyBorder="1" applyAlignment="1">
      <alignment horizontal="center" vertical="center" wrapText="1"/>
    </xf>
    <xf numFmtId="0" fontId="25" fillId="27" borderId="32" xfId="36" applyFont="1" applyFill="1" applyBorder="1" applyAlignment="1">
      <alignment horizontal="center" vertical="center" wrapText="1"/>
    </xf>
    <xf numFmtId="0" fontId="25" fillId="27" borderId="27" xfId="36" applyFont="1" applyFill="1" applyBorder="1" applyAlignment="1">
      <alignment horizontal="center" vertical="center" wrapText="1"/>
    </xf>
    <xf numFmtId="0" fontId="25" fillId="27" borderId="48" xfId="36" applyFont="1" applyFill="1" applyBorder="1" applyAlignment="1">
      <alignment horizontal="center" vertical="center" wrapText="1"/>
    </xf>
    <xf numFmtId="0" fontId="25" fillId="28" borderId="43" xfId="36" applyFont="1" applyFill="1" applyBorder="1" applyAlignment="1">
      <alignment horizontal="center" vertical="center" wrapText="1"/>
    </xf>
    <xf numFmtId="0" fontId="25" fillId="28" borderId="44" xfId="36" applyFont="1" applyFill="1" applyBorder="1" applyAlignment="1">
      <alignment horizontal="center" vertical="center" wrapText="1"/>
    </xf>
    <xf numFmtId="0" fontId="25" fillId="28" borderId="47" xfId="36" applyFont="1" applyFill="1" applyBorder="1" applyAlignment="1">
      <alignment horizontal="center" vertical="center" wrapText="1"/>
    </xf>
    <xf numFmtId="0" fontId="25" fillId="28" borderId="0" xfId="36" applyFont="1" applyFill="1" applyAlignment="1">
      <alignment horizontal="center" vertical="center" wrapText="1"/>
    </xf>
    <xf numFmtId="0" fontId="25" fillId="22" borderId="36" xfId="36" applyFont="1" applyBorder="1" applyAlignment="1">
      <alignment horizontal="center" vertical="center" wrapText="1"/>
    </xf>
    <xf numFmtId="0" fontId="25" fillId="22" borderId="41" xfId="36" applyFont="1" applyBorder="1" applyAlignment="1">
      <alignment horizontal="center" vertical="center" wrapText="1"/>
    </xf>
    <xf numFmtId="0" fontId="25" fillId="28" borderId="29" xfId="36" applyFont="1" applyFill="1" applyBorder="1" applyAlignment="1">
      <alignment horizontal="center" vertical="center" wrapText="1"/>
    </xf>
    <xf numFmtId="0" fontId="25" fillId="28" borderId="30" xfId="36" applyFont="1" applyFill="1" applyBorder="1" applyAlignment="1">
      <alignment horizontal="center" vertical="center" wrapText="1"/>
    </xf>
    <xf numFmtId="0" fontId="25" fillId="28" borderId="45" xfId="36" applyFont="1" applyFill="1" applyBorder="1" applyAlignment="1">
      <alignment horizontal="center" vertical="center" wrapText="1"/>
    </xf>
    <xf numFmtId="0" fontId="25" fillId="27" borderId="32" xfId="36" applyNumberFormat="1" applyFont="1" applyFill="1" applyBorder="1" applyAlignment="1" applyProtection="1">
      <alignment horizontal="center" vertical="center" wrapText="1"/>
    </xf>
    <xf numFmtId="0" fontId="25" fillId="27" borderId="27" xfId="36" applyNumberFormat="1" applyFont="1" applyFill="1" applyBorder="1" applyAlignment="1" applyProtection="1">
      <alignment horizontal="center" vertical="center" wrapText="1"/>
    </xf>
    <xf numFmtId="0" fontId="25" fillId="27" borderId="45" xfId="36" applyNumberFormat="1" applyFont="1" applyFill="1" applyBorder="1" applyAlignment="1" applyProtection="1">
      <alignment horizontal="center" vertical="center" wrapText="1"/>
    </xf>
    <xf numFmtId="0" fontId="25" fillId="22" borderId="33" xfId="36" applyNumberFormat="1" applyFont="1" applyBorder="1" applyAlignment="1" applyProtection="1">
      <alignment horizontal="center" vertical="center" wrapText="1"/>
    </xf>
    <xf numFmtId="0" fontId="25" fillId="22" borderId="37" xfId="36" applyNumberFormat="1" applyFont="1" applyBorder="1" applyAlignment="1" applyProtection="1">
      <alignment horizontal="center" vertical="center" wrapText="1"/>
    </xf>
    <xf numFmtId="0" fontId="25" fillId="22" borderId="18" xfId="36" applyNumberFormat="1" applyFont="1" applyBorder="1" applyAlignment="1" applyProtection="1">
      <alignment horizontal="center" vertical="center" wrapText="1"/>
    </xf>
    <xf numFmtId="0" fontId="25" fillId="29" borderId="18" xfId="36" applyNumberFormat="1" applyFont="1" applyFill="1" applyBorder="1" applyAlignment="1" applyProtection="1">
      <alignment horizontal="center" vertical="center" wrapText="1"/>
    </xf>
    <xf numFmtId="0" fontId="25" fillId="29" borderId="34" xfId="36" applyNumberFormat="1" applyFont="1" applyFill="1" applyBorder="1" applyAlignment="1" applyProtection="1">
      <alignment horizontal="center" vertical="center" wrapText="1"/>
    </xf>
    <xf numFmtId="0" fontId="25" fillId="29" borderId="33" xfId="36" applyNumberFormat="1" applyFont="1" applyFill="1" applyBorder="1" applyAlignment="1" applyProtection="1">
      <alignment horizontal="center" vertical="center" wrapText="1"/>
    </xf>
    <xf numFmtId="0" fontId="25" fillId="28" borderId="43" xfId="36" applyNumberFormat="1" applyFont="1" applyFill="1" applyBorder="1" applyAlignment="1" applyProtection="1">
      <alignment horizontal="center" vertical="center" wrapText="1"/>
    </xf>
    <xf numFmtId="0" fontId="25" fillId="28" borderId="44" xfId="36" applyNumberFormat="1" applyFont="1" applyFill="1" applyBorder="1" applyAlignment="1" applyProtection="1">
      <alignment horizontal="center" vertical="center" wrapText="1"/>
    </xf>
    <xf numFmtId="0" fontId="25" fillId="28" borderId="38" xfId="36" applyNumberFormat="1" applyFont="1" applyFill="1" applyBorder="1" applyAlignment="1" applyProtection="1">
      <alignment horizontal="center" vertical="center" wrapText="1"/>
    </xf>
    <xf numFmtId="0" fontId="25" fillId="28" borderId="30" xfId="36" applyNumberFormat="1" applyFont="1" applyFill="1" applyBorder="1" applyAlignment="1" applyProtection="1">
      <alignment horizontal="center" vertical="center" wrapText="1"/>
    </xf>
    <xf numFmtId="0" fontId="25" fillId="28" borderId="27" xfId="36" applyNumberFormat="1" applyFont="1" applyFill="1" applyBorder="1" applyAlignment="1" applyProtection="1">
      <alignment horizontal="center" vertical="center" wrapText="1"/>
    </xf>
    <xf numFmtId="0" fontId="25" fillId="27" borderId="35" xfId="36" applyNumberFormat="1" applyFont="1" applyFill="1" applyBorder="1" applyAlignment="1" applyProtection="1">
      <alignment horizontal="center" vertical="center" wrapText="1"/>
    </xf>
    <xf numFmtId="0" fontId="25" fillId="27" borderId="39" xfId="36" applyNumberFormat="1" applyFont="1" applyFill="1" applyBorder="1" applyAlignment="1" applyProtection="1">
      <alignment horizontal="center" vertical="center" wrapText="1"/>
    </xf>
    <xf numFmtId="0" fontId="25" fillId="27" borderId="46" xfId="36" applyNumberFormat="1" applyFont="1" applyFill="1" applyBorder="1" applyAlignment="1" applyProtection="1">
      <alignment horizontal="center" vertical="center" wrapText="1"/>
    </xf>
    <xf numFmtId="0" fontId="25" fillId="28" borderId="45" xfId="36" applyNumberFormat="1" applyFont="1" applyFill="1" applyBorder="1" applyAlignment="1" applyProtection="1">
      <alignment horizontal="center" vertical="center" wrapText="1"/>
    </xf>
  </cellXfs>
  <cellStyles count="6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alculation 2" xfId="54" xr:uid="{00000000-0005-0000-0000-00001A000000}"/>
    <cellStyle name="Calculation 2 2" xfId="62" xr:uid="{4EDD82C5-096F-4B5C-909C-4D555E43EF8F}"/>
    <cellStyle name="Calculation 3" xfId="55" xr:uid="{00000000-0005-0000-0000-00001B000000}"/>
    <cellStyle name="Check Cell" xfId="27" builtinId="23" customBuiltin="1"/>
    <cellStyle name="Check Cell 2" xfId="46" xr:uid="{00000000-0005-0000-0000-00001D000000}"/>
    <cellStyle name="Explanatory Text" xfId="28" builtinId="53" customBuiltin="1"/>
    <cellStyle name="Good" xfId="29" builtinId="26" customBuiltin="1"/>
    <cellStyle name="Good 2" xfId="45" xr:uid="{00000000-0005-0000-0000-000020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Input 2" xfId="52" xr:uid="{00000000-0005-0000-0000-000026000000}"/>
    <cellStyle name="Input 2 2" xfId="61" xr:uid="{5A47B42B-9FC7-49EE-83E3-ADF7696BDA99}"/>
    <cellStyle name="Input 3" xfId="53" xr:uid="{00000000-0005-0000-0000-000027000000}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B000000}"/>
    <cellStyle name="Normal 2 2" xfId="38" xr:uid="{00000000-0005-0000-0000-00002C000000}"/>
    <cellStyle name="Normal 3" xfId="39" xr:uid="{00000000-0005-0000-0000-00002D000000}"/>
    <cellStyle name="Normal 3 2" xfId="56" xr:uid="{00000000-0005-0000-0000-00002E000000}"/>
    <cellStyle name="Normal 3 2 2" xfId="63" xr:uid="{3CAC20A0-BA08-4ED0-BB1D-50A595883574}"/>
    <cellStyle name="Normal 3 2 2 2" xfId="68" xr:uid="{9C6F8BB5-F409-4E0B-9778-0F013170F2EC}"/>
    <cellStyle name="Normal 3 2 3" xfId="66" xr:uid="{CAA4CE23-72F1-42F5-95B0-CA91025C955E}"/>
    <cellStyle name="Normal 3 3" xfId="58" xr:uid="{756E39F9-05D4-4F18-8633-9CE223FCCCDA}"/>
    <cellStyle name="Normal 3 3 2" xfId="67" xr:uid="{83CEC08C-7EF1-4120-91C3-6BDC8195464D}"/>
    <cellStyle name="Normal 3 4" xfId="65" xr:uid="{0D23A9D1-01B0-4908-A01A-622F5D84779C}"/>
    <cellStyle name="Note" xfId="40" builtinId="10" customBuiltin="1"/>
    <cellStyle name="Note 2" xfId="48" xr:uid="{00000000-0005-0000-0000-000030000000}"/>
    <cellStyle name="Note 2 2" xfId="60" xr:uid="{493FD1C8-31B7-4895-9025-5AA7FF5B1FD0}"/>
    <cellStyle name="Note 3" xfId="51" xr:uid="{00000000-0005-0000-0000-000031000000}"/>
    <cellStyle name="Output" xfId="41" builtinId="21" customBuiltin="1"/>
    <cellStyle name="Output 2" xfId="47" xr:uid="{00000000-0005-0000-0000-000033000000}"/>
    <cellStyle name="Output 2 2" xfId="59" xr:uid="{CA99CCCA-3B81-4A9C-A7D7-224A475BF179}"/>
    <cellStyle name="Output 3" xfId="50" xr:uid="{00000000-0005-0000-0000-000034000000}"/>
    <cellStyle name="Title" xfId="42" builtinId="15" customBuiltin="1"/>
    <cellStyle name="Total" xfId="43" builtinId="25" customBuiltin="1"/>
    <cellStyle name="Total 2" xfId="57" xr:uid="{00000000-0005-0000-0000-000037000000}"/>
    <cellStyle name="Total 2 2" xfId="64" xr:uid="{FFFF014B-CE6A-465B-AB51-A3CFAF290215}"/>
    <cellStyle name="Total 3" xfId="49" xr:uid="{00000000-0005-0000-0000-000038000000}"/>
    <cellStyle name="Warning Text" xfId="44" builtinId="11" customBuiltin="1"/>
  </cellStyles>
  <dxfs count="0"/>
  <tableStyles count="0" defaultTableStyle="TableStyleMedium2" defaultPivotStyle="PivotStyleLight16"/>
  <colors>
    <mruColors>
      <color rgb="FFBBF2FD"/>
      <color rgb="FF00CCFF"/>
      <color rgb="FFFF9999"/>
      <color rgb="FFFCBCFC"/>
      <color rgb="FFC6FFB9"/>
      <color rgb="FFBEFD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ger.ith.intel.com/Users/uvirobni/AppData/Local/Microsoft/Windows/Temporary%20Internet%20Files/Content.Outlook/KURMAHKO/p1269_iCLK_CAS_Signal_Bucketing_L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_Grandioso"/>
      <sheetName val="SSCa"/>
      <sheetName val="SSCa_PI"/>
      <sheetName val="SSCa_Postdiv"/>
      <sheetName val="SSCa_AsyncLogic"/>
      <sheetName val="SSCd"/>
      <sheetName val="GEN Diff Buffer"/>
      <sheetName val="GEN MoDDIV"/>
      <sheetName val="GEN SE Buffer"/>
      <sheetName val="Non-SSC Divtop"/>
      <sheetName val="Diff Buffer"/>
      <sheetName val="CBTOP"/>
      <sheetName val="CBANA"/>
      <sheetName val="CBTOP_OLD"/>
      <sheetName val="iref bias"/>
      <sheetName val="OSC"/>
      <sheetName val="SFR"/>
      <sheetName val="LCPLLTOP"/>
      <sheetName val="Mon Port"/>
      <sheetName val="CML2CMOS"/>
      <sheetName val="c69pxpllshr_inbufreftop"/>
      <sheetName val="c69pxpllshr_inbuftop"/>
      <sheetName val="List"/>
      <sheetName val="sandbox"/>
      <sheetName val="Sheet1"/>
      <sheetName val="Crapo"/>
      <sheetName val="Sheet8"/>
      <sheetName val="Sheet9"/>
      <sheetName val="Sheet10"/>
      <sheetName val="Sheet11"/>
      <sheetName val="Sheet1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J1" t="str">
            <v>FUSE (high priority)  w/ internally hard tied register default</v>
          </cell>
        </row>
        <row r="2">
          <cell r="J2" t="str">
            <v>FUSE (nice to have)  w/ internally hard tied register default</v>
          </cell>
        </row>
        <row r="3">
          <cell r="J3" t="str">
            <v>PIN/STRAP - externally hard tied register default</v>
          </cell>
        </row>
        <row r="4">
          <cell r="J4" t="str">
            <v>Internally hard tied register default (no fuse)</v>
          </cell>
        </row>
        <row r="5">
          <cell r="J5" t="str">
            <v>N/A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K229"/>
  <sheetViews>
    <sheetView tabSelected="1" zoomScale="80" zoomScaleNormal="80" workbookViewId="0">
      <pane ySplit="1" topLeftCell="A2" activePane="bottomLeft" state="frozen"/>
      <selection pane="bottomLeft" activeCell="H24" sqref="H24"/>
    </sheetView>
  </sheetViews>
  <sheetFormatPr defaultColWidth="9.109375" defaultRowHeight="14.4"/>
  <cols>
    <col min="1" max="1" width="32.33203125" style="14" customWidth="1"/>
    <col min="2" max="2" width="11.44140625" style="15" bestFit="1" customWidth="1"/>
    <col min="3" max="3" width="48.6640625" style="27" bestFit="1" customWidth="1"/>
    <col min="4" max="4" width="6.6640625" style="12" bestFit="1" customWidth="1"/>
    <col min="5" max="5" width="20.5546875" style="13" customWidth="1"/>
    <col min="6" max="6" width="15.5546875" style="29" bestFit="1" customWidth="1"/>
    <col min="7" max="7" width="13.88671875" style="13" customWidth="1"/>
    <col min="8" max="8" width="73.6640625" style="1" customWidth="1"/>
    <col min="9" max="9" width="10" style="12" bestFit="1" customWidth="1"/>
    <col min="10" max="10" width="12.88671875" style="12" bestFit="1" customWidth="1"/>
    <col min="11" max="11" width="18.33203125" style="14" customWidth="1"/>
    <col min="12" max="12" width="26.44140625" style="14" bestFit="1" customWidth="1"/>
    <col min="13" max="16" width="11.44140625" style="15" bestFit="1" customWidth="1"/>
    <col min="17" max="17" width="16.44140625" style="15" bestFit="1" customWidth="1"/>
    <col min="18" max="18" width="42.109375" style="15" bestFit="1" customWidth="1"/>
    <col min="19" max="19" width="11.5546875" style="2" bestFit="1" customWidth="1"/>
    <col min="35" max="35" width="69.44140625" style="2" customWidth="1"/>
    <col min="36" max="36" width="126" style="2" bestFit="1" customWidth="1"/>
    <col min="37" max="37" width="9.109375" style="2"/>
    <col min="38" max="38" width="42.6640625" style="2" bestFit="1" customWidth="1"/>
    <col min="39" max="16384" width="9.109375" style="2"/>
  </cols>
  <sheetData>
    <row r="1" spans="1:36" ht="40.200000000000003" thickBot="1">
      <c r="A1" s="17" t="s">
        <v>33</v>
      </c>
      <c r="B1" s="17" t="s">
        <v>21</v>
      </c>
      <c r="C1" s="25" t="s">
        <v>0</v>
      </c>
      <c r="D1" s="17" t="s">
        <v>1</v>
      </c>
      <c r="E1" s="18" t="s">
        <v>2</v>
      </c>
      <c r="F1" s="28" t="s">
        <v>47</v>
      </c>
      <c r="G1" s="18" t="s">
        <v>42</v>
      </c>
      <c r="H1" s="17" t="s">
        <v>3</v>
      </c>
      <c r="I1" s="17" t="s">
        <v>24</v>
      </c>
      <c r="J1" s="17" t="s">
        <v>23</v>
      </c>
      <c r="K1" s="17" t="s">
        <v>34</v>
      </c>
      <c r="L1" s="17" t="s">
        <v>4</v>
      </c>
      <c r="M1" s="19" t="s">
        <v>37</v>
      </c>
      <c r="N1" s="20" t="s">
        <v>38</v>
      </c>
      <c r="O1" s="20" t="s">
        <v>39</v>
      </c>
      <c r="P1" s="20" t="s">
        <v>40</v>
      </c>
      <c r="Q1" s="20" t="s">
        <v>41</v>
      </c>
      <c r="R1" s="20" t="s">
        <v>46</v>
      </c>
      <c r="S1" s="20" t="s">
        <v>45</v>
      </c>
      <c r="AI1" s="20" t="s">
        <v>192</v>
      </c>
      <c r="AJ1" s="20" t="s">
        <v>221</v>
      </c>
    </row>
    <row r="2" spans="1:36" s="47" customFormat="1">
      <c r="A2" s="66" t="s">
        <v>261</v>
      </c>
      <c r="B2" s="66">
        <v>0</v>
      </c>
      <c r="C2" s="42" t="s">
        <v>47</v>
      </c>
      <c r="D2" s="64" t="str">
        <f>bitConcat(F3:F10)</f>
        <v>32'b01110111011101110111011101110111</v>
      </c>
      <c r="E2" s="65"/>
      <c r="F2" s="65"/>
      <c r="G2" s="65"/>
      <c r="H2" s="51" t="s">
        <v>42</v>
      </c>
      <c r="I2" s="51"/>
      <c r="J2" s="51" t="str">
        <f>bitConcat(G3:G10)</f>
        <v>32'b01110111011101110111011101110111</v>
      </c>
      <c r="K2" s="51"/>
      <c r="L2" s="52"/>
      <c r="M2" s="55" t="str">
        <f>DEC2HEX(_xlfn.BITLSHIFT(O2,7)+4*P2)</f>
        <v>580</v>
      </c>
      <c r="N2" s="55"/>
      <c r="O2" s="55">
        <v>11</v>
      </c>
      <c r="P2" s="55">
        <v>0</v>
      </c>
      <c r="Q2" s="55" t="str">
        <f>DEC2HEX(_xlfn.BITLSHIFT(O2,5)+P2)</f>
        <v>160</v>
      </c>
      <c r="R2" s="55" t="str">
        <f>BIN2HEX(LEFT(RIGHT(D2,32),4))&amp;BIN2HEX(LEFT(RIGHT(D2,28),4))&amp;BIN2HEX(LEFT(RIGHT(D2,24),4))&amp;BIN2HEX(LEFT(RIGHT(D2,20),4))&amp;BIN2HEX(LEFT(RIGHT(D2,16),4))&amp;BIN2HEX(LEFT(RIGHT(D2,12),4))&amp;BIN2HEX(LEFT(RIGHT(D2,8),4))&amp;BIN2HEX(LEFT(RIGHT(D2,4),4))</f>
        <v>77777777</v>
      </c>
      <c r="S2" s="57" t="str">
        <f>BIN2HEX(LEFT(RIGHT(J2,32),4))&amp;BIN2HEX(LEFT(RIGHT(J2,28),4))&amp;BIN2HEX(LEFT(RIGHT(J2,24),4))&amp;BIN2HEX(LEFT(RIGHT(J2,20),4))&amp;BIN2HEX(LEFT(RIGHT(J2,16),4))&amp;BIN2HEX(LEFT(RIGHT(J2,12),4))&amp;BIN2HEX(LEFT(RIGHT(J2,8),4))&amp;BIN2HEX(LEFT(RIGHT(J2,4),4))</f>
        <v>77777777</v>
      </c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 s="46"/>
    </row>
    <row r="3" spans="1:36" s="47" customFormat="1">
      <c r="A3" s="66"/>
      <c r="B3" s="66"/>
      <c r="C3" s="40" t="s">
        <v>262</v>
      </c>
      <c r="D3" s="45">
        <v>4</v>
      </c>
      <c r="E3" s="45" t="str">
        <f>IF(D3&gt;1,(31)&amp;":"&amp;(31-D3+1),(31-D3+1)&amp;":"&amp;(31-D3+1))</f>
        <v>31:28</v>
      </c>
      <c r="F3" s="40" t="s">
        <v>263</v>
      </c>
      <c r="G3" s="40" t="s">
        <v>263</v>
      </c>
      <c r="H3" s="40" t="s">
        <v>519</v>
      </c>
      <c r="I3" s="43" t="s">
        <v>36</v>
      </c>
      <c r="J3" s="41" t="s">
        <v>35</v>
      </c>
      <c r="K3" s="44" t="s">
        <v>6</v>
      </c>
      <c r="L3" s="40"/>
      <c r="M3" s="56"/>
      <c r="N3" s="56"/>
      <c r="O3" s="56"/>
      <c r="P3" s="56"/>
      <c r="Q3" s="56"/>
      <c r="R3" s="56"/>
      <c r="S3" s="58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 s="49" t="s">
        <v>264</v>
      </c>
      <c r="AJ3" s="46"/>
    </row>
    <row r="4" spans="1:36" s="47" customFormat="1">
      <c r="A4" s="66"/>
      <c r="B4" s="66"/>
      <c r="C4" s="40" t="s">
        <v>265</v>
      </c>
      <c r="D4" s="45">
        <v>4</v>
      </c>
      <c r="E4" s="45" t="str">
        <f t="shared" ref="E4:E10" si="0">(MID(str_cnvt(E3),SEARCH(":",str_cnvt(E3))+1,2)-1) &amp; ":" &amp; (MID(str_cnvt(E3),SEARCH(":",str_cnvt(E3))+1,2)-D4)</f>
        <v>27:24</v>
      </c>
      <c r="F4" s="40" t="s">
        <v>263</v>
      </c>
      <c r="G4" s="40" t="s">
        <v>263</v>
      </c>
      <c r="H4" s="40" t="s">
        <v>519</v>
      </c>
      <c r="I4" s="43" t="s">
        <v>36</v>
      </c>
      <c r="J4" s="41" t="s">
        <v>35</v>
      </c>
      <c r="K4" s="44" t="s">
        <v>6</v>
      </c>
      <c r="L4" s="40"/>
      <c r="M4" s="56"/>
      <c r="N4" s="56"/>
      <c r="O4" s="56"/>
      <c r="P4" s="56"/>
      <c r="Q4" s="56"/>
      <c r="R4" s="56"/>
      <c r="S4" s="58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 s="49" t="s">
        <v>266</v>
      </c>
      <c r="AJ4" s="46"/>
    </row>
    <row r="5" spans="1:36" s="47" customFormat="1">
      <c r="A5" s="66"/>
      <c r="B5" s="66"/>
      <c r="C5" s="40" t="s">
        <v>267</v>
      </c>
      <c r="D5" s="45">
        <v>4</v>
      </c>
      <c r="E5" s="45" t="str">
        <f t="shared" si="0"/>
        <v>23:20</v>
      </c>
      <c r="F5" s="40" t="s">
        <v>263</v>
      </c>
      <c r="G5" s="40" t="s">
        <v>263</v>
      </c>
      <c r="H5" s="40" t="s">
        <v>519</v>
      </c>
      <c r="I5" s="43" t="s">
        <v>36</v>
      </c>
      <c r="J5" s="41" t="s">
        <v>35</v>
      </c>
      <c r="K5" s="44" t="s">
        <v>6</v>
      </c>
      <c r="L5" s="40"/>
      <c r="M5" s="56"/>
      <c r="N5" s="56"/>
      <c r="O5" s="56"/>
      <c r="P5" s="56"/>
      <c r="Q5" s="56"/>
      <c r="R5" s="56"/>
      <c r="S5" s="58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 s="49" t="s">
        <v>268</v>
      </c>
      <c r="AJ5" s="46"/>
    </row>
    <row r="6" spans="1:36" s="47" customFormat="1">
      <c r="A6" s="66"/>
      <c r="B6" s="66"/>
      <c r="C6" s="40" t="s">
        <v>269</v>
      </c>
      <c r="D6" s="45">
        <v>4</v>
      </c>
      <c r="E6" s="45" t="str">
        <f t="shared" si="0"/>
        <v>19:16</v>
      </c>
      <c r="F6" s="40" t="s">
        <v>263</v>
      </c>
      <c r="G6" s="40" t="s">
        <v>263</v>
      </c>
      <c r="H6" s="40" t="s">
        <v>519</v>
      </c>
      <c r="I6" s="43" t="s">
        <v>36</v>
      </c>
      <c r="J6" s="41" t="s">
        <v>35</v>
      </c>
      <c r="K6" s="44" t="s">
        <v>6</v>
      </c>
      <c r="L6" s="40"/>
      <c r="M6" s="56"/>
      <c r="N6" s="56"/>
      <c r="O6" s="56"/>
      <c r="P6" s="56"/>
      <c r="Q6" s="56"/>
      <c r="R6" s="56"/>
      <c r="S6" s="58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49" t="s">
        <v>270</v>
      </c>
      <c r="AJ6" s="46"/>
    </row>
    <row r="7" spans="1:36" s="47" customFormat="1">
      <c r="A7" s="66"/>
      <c r="B7" s="66"/>
      <c r="C7" s="40" t="s">
        <v>271</v>
      </c>
      <c r="D7" s="45">
        <v>4</v>
      </c>
      <c r="E7" s="45" t="str">
        <f t="shared" si="0"/>
        <v>15:12</v>
      </c>
      <c r="F7" s="40" t="s">
        <v>263</v>
      </c>
      <c r="G7" s="40" t="s">
        <v>263</v>
      </c>
      <c r="H7" s="40" t="s">
        <v>570</v>
      </c>
      <c r="I7" s="43" t="s">
        <v>36</v>
      </c>
      <c r="J7" s="41" t="s">
        <v>35</v>
      </c>
      <c r="K7" s="44" t="s">
        <v>6</v>
      </c>
      <c r="L7" s="40"/>
      <c r="M7" s="56"/>
      <c r="N7" s="56"/>
      <c r="O7" s="56"/>
      <c r="P7" s="56"/>
      <c r="Q7" s="56"/>
      <c r="R7" s="56"/>
      <c r="S7" s="58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49" t="s">
        <v>272</v>
      </c>
      <c r="AJ7" s="46"/>
    </row>
    <row r="8" spans="1:36" s="47" customFormat="1">
      <c r="A8" s="66"/>
      <c r="B8" s="66"/>
      <c r="C8" s="40" t="s">
        <v>273</v>
      </c>
      <c r="D8" s="45">
        <v>4</v>
      </c>
      <c r="E8" s="45" t="str">
        <f t="shared" si="0"/>
        <v>11:8</v>
      </c>
      <c r="F8" s="40" t="s">
        <v>263</v>
      </c>
      <c r="G8" s="40" t="s">
        <v>263</v>
      </c>
      <c r="H8" s="40" t="s">
        <v>517</v>
      </c>
      <c r="I8" s="43" t="s">
        <v>36</v>
      </c>
      <c r="J8" s="41" t="s">
        <v>35</v>
      </c>
      <c r="K8" s="44" t="s">
        <v>6</v>
      </c>
      <c r="L8" s="40"/>
      <c r="M8" s="56"/>
      <c r="N8" s="56"/>
      <c r="O8" s="56"/>
      <c r="P8" s="56"/>
      <c r="Q8" s="56"/>
      <c r="R8" s="56"/>
      <c r="S8" s="5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49" t="s">
        <v>274</v>
      </c>
      <c r="AJ8" s="46"/>
    </row>
    <row r="9" spans="1:36" s="47" customFormat="1">
      <c r="A9" s="66"/>
      <c r="B9" s="66"/>
      <c r="C9" s="40" t="s">
        <v>275</v>
      </c>
      <c r="D9" s="45">
        <v>4</v>
      </c>
      <c r="E9" s="45" t="str">
        <f t="shared" si="0"/>
        <v>7:4</v>
      </c>
      <c r="F9" s="40" t="s">
        <v>263</v>
      </c>
      <c r="G9" s="40" t="s">
        <v>263</v>
      </c>
      <c r="H9" s="40" t="s">
        <v>517</v>
      </c>
      <c r="I9" s="43" t="s">
        <v>36</v>
      </c>
      <c r="J9" s="41" t="s">
        <v>35</v>
      </c>
      <c r="K9" s="44" t="s">
        <v>6</v>
      </c>
      <c r="L9" s="40"/>
      <c r="M9" s="56"/>
      <c r="N9" s="56"/>
      <c r="O9" s="56"/>
      <c r="P9" s="56"/>
      <c r="Q9" s="56"/>
      <c r="R9" s="56"/>
      <c r="S9" s="58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49" t="s">
        <v>276</v>
      </c>
      <c r="AJ9" s="46"/>
    </row>
    <row r="10" spans="1:36" s="47" customFormat="1" ht="15" thickBot="1">
      <c r="A10" s="66"/>
      <c r="B10" s="66"/>
      <c r="C10" s="40" t="s">
        <v>277</v>
      </c>
      <c r="D10" s="45">
        <v>4</v>
      </c>
      <c r="E10" s="45" t="str">
        <f t="shared" si="0"/>
        <v>3:0</v>
      </c>
      <c r="F10" s="40" t="s">
        <v>263</v>
      </c>
      <c r="G10" s="40" t="s">
        <v>263</v>
      </c>
      <c r="H10" s="40" t="s">
        <v>278</v>
      </c>
      <c r="I10" s="43" t="s">
        <v>36</v>
      </c>
      <c r="J10" s="41" t="s">
        <v>35</v>
      </c>
      <c r="K10" s="44" t="s">
        <v>6</v>
      </c>
      <c r="L10" s="40"/>
      <c r="M10" s="56"/>
      <c r="N10" s="56"/>
      <c r="O10" s="56"/>
      <c r="P10" s="56"/>
      <c r="Q10" s="56"/>
      <c r="R10" s="56"/>
      <c r="S10" s="58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 s="49" t="s">
        <v>279</v>
      </c>
      <c r="AJ10" s="46"/>
    </row>
    <row r="11" spans="1:36" s="47" customFormat="1">
      <c r="A11" s="66" t="s">
        <v>280</v>
      </c>
      <c r="B11" s="66">
        <v>4</v>
      </c>
      <c r="C11" s="42" t="s">
        <v>47</v>
      </c>
      <c r="D11" s="64" t="str">
        <f>bitConcat(F12:F19)</f>
        <v>32'b01110111011101110111011101110111</v>
      </c>
      <c r="E11" s="65"/>
      <c r="F11" s="65"/>
      <c r="G11" s="65"/>
      <c r="H11" s="51" t="s">
        <v>42</v>
      </c>
      <c r="I11" s="51"/>
      <c r="J11" s="51" t="str">
        <f>bitConcat(G12:G19)</f>
        <v>32'b01110111011101110111011101110111</v>
      </c>
      <c r="K11" s="51"/>
      <c r="L11" s="52"/>
      <c r="M11" s="55" t="str">
        <f>DEC2HEX(_xlfn.BITLSHIFT(O11,7)+4*P11)</f>
        <v>584</v>
      </c>
      <c r="N11" s="55"/>
      <c r="O11" s="55">
        <v>11</v>
      </c>
      <c r="P11" s="55">
        <v>1</v>
      </c>
      <c r="Q11" s="55" t="str">
        <f>DEC2HEX(_xlfn.BITLSHIFT(O11,5)+P11)</f>
        <v>161</v>
      </c>
      <c r="R11" s="55" t="str">
        <f>BIN2HEX(LEFT(RIGHT(D11,32),4))&amp;BIN2HEX(LEFT(RIGHT(D11,28),4))&amp;BIN2HEX(LEFT(RIGHT(D11,24),4))&amp;BIN2HEX(LEFT(RIGHT(D11,20),4))&amp;BIN2HEX(LEFT(RIGHT(D11,16),4))&amp;BIN2HEX(LEFT(RIGHT(D11,12),4))&amp;BIN2HEX(LEFT(RIGHT(D11,8),4))&amp;BIN2HEX(LEFT(RIGHT(D11,4),4))</f>
        <v>77777777</v>
      </c>
      <c r="S11" s="57" t="str">
        <f>BIN2HEX(LEFT(RIGHT(J11,32),4))&amp;BIN2HEX(LEFT(RIGHT(J11,28),4))&amp;BIN2HEX(LEFT(RIGHT(J11,24),4))&amp;BIN2HEX(LEFT(RIGHT(J11,20),4))&amp;BIN2HEX(LEFT(RIGHT(J11,16),4))&amp;BIN2HEX(LEFT(RIGHT(J11,12),4))&amp;BIN2HEX(LEFT(RIGHT(J11,8),4))&amp;BIN2HEX(LEFT(RIGHT(J11,4),4))</f>
        <v>77777777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49"/>
      <c r="AJ11" s="46"/>
    </row>
    <row r="12" spans="1:36" s="47" customFormat="1">
      <c r="A12" s="66"/>
      <c r="B12" s="66"/>
      <c r="C12" s="40" t="s">
        <v>281</v>
      </c>
      <c r="D12" s="45">
        <v>4</v>
      </c>
      <c r="E12" s="45" t="str">
        <f>IF(D12&gt;1,(31)&amp;":"&amp;(31-D12+1),(31-D12+1)&amp;":"&amp;(31-D12+1))</f>
        <v>31:28</v>
      </c>
      <c r="F12" s="40" t="s">
        <v>263</v>
      </c>
      <c r="G12" s="40" t="s">
        <v>263</v>
      </c>
      <c r="H12" s="40" t="s">
        <v>519</v>
      </c>
      <c r="I12" s="43" t="s">
        <v>36</v>
      </c>
      <c r="J12" s="41" t="s">
        <v>35</v>
      </c>
      <c r="K12" s="44" t="s">
        <v>6</v>
      </c>
      <c r="L12" s="40"/>
      <c r="M12" s="56"/>
      <c r="N12" s="56"/>
      <c r="O12" s="56"/>
      <c r="P12" s="56"/>
      <c r="Q12" s="56"/>
      <c r="R12" s="56"/>
      <c r="S12" s="58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49" t="s">
        <v>282</v>
      </c>
      <c r="AJ12" s="46"/>
    </row>
    <row r="13" spans="1:36" s="47" customFormat="1">
      <c r="A13" s="66"/>
      <c r="B13" s="66"/>
      <c r="C13" s="40" t="s">
        <v>283</v>
      </c>
      <c r="D13" s="45">
        <v>4</v>
      </c>
      <c r="E13" s="45" t="str">
        <f t="shared" ref="E13:E19" si="1">(MID(str_cnvt(E12),SEARCH(":",str_cnvt(E12))+1,2)-1) &amp; ":" &amp; (MID(str_cnvt(E12),SEARCH(":",str_cnvt(E12))+1,2)-D13)</f>
        <v>27:24</v>
      </c>
      <c r="F13" s="40" t="s">
        <v>263</v>
      </c>
      <c r="G13" s="40" t="s">
        <v>263</v>
      </c>
      <c r="H13" s="40" t="s">
        <v>519</v>
      </c>
      <c r="I13" s="43" t="s">
        <v>36</v>
      </c>
      <c r="J13" s="41" t="s">
        <v>35</v>
      </c>
      <c r="K13" s="44" t="s">
        <v>6</v>
      </c>
      <c r="L13" s="40"/>
      <c r="M13" s="56"/>
      <c r="N13" s="56"/>
      <c r="O13" s="56"/>
      <c r="P13" s="56"/>
      <c r="Q13" s="56"/>
      <c r="R13" s="56"/>
      <c r="S13" s="58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49" t="s">
        <v>284</v>
      </c>
      <c r="AJ13" s="46"/>
    </row>
    <row r="14" spans="1:36" s="47" customFormat="1">
      <c r="A14" s="66"/>
      <c r="B14" s="66"/>
      <c r="C14" s="40" t="s">
        <v>285</v>
      </c>
      <c r="D14" s="45">
        <v>4</v>
      </c>
      <c r="E14" s="45" t="str">
        <f t="shared" si="1"/>
        <v>23:20</v>
      </c>
      <c r="F14" s="40" t="s">
        <v>263</v>
      </c>
      <c r="G14" s="40" t="s">
        <v>263</v>
      </c>
      <c r="H14" s="40" t="s">
        <v>519</v>
      </c>
      <c r="I14" s="43" t="s">
        <v>36</v>
      </c>
      <c r="J14" s="41" t="s">
        <v>35</v>
      </c>
      <c r="K14" s="44" t="s">
        <v>6</v>
      </c>
      <c r="L14" s="40"/>
      <c r="M14" s="56"/>
      <c r="N14" s="56"/>
      <c r="O14" s="56"/>
      <c r="P14" s="56"/>
      <c r="Q14" s="56"/>
      <c r="R14" s="56"/>
      <c r="S14" s="58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49" t="s">
        <v>286</v>
      </c>
      <c r="AJ14" s="46"/>
    </row>
    <row r="15" spans="1:36" s="47" customFormat="1">
      <c r="A15" s="66"/>
      <c r="B15" s="66"/>
      <c r="C15" s="40" t="s">
        <v>287</v>
      </c>
      <c r="D15" s="45">
        <v>4</v>
      </c>
      <c r="E15" s="45" t="str">
        <f t="shared" si="1"/>
        <v>19:16</v>
      </c>
      <c r="F15" s="40" t="s">
        <v>263</v>
      </c>
      <c r="G15" s="40" t="s">
        <v>263</v>
      </c>
      <c r="H15" s="40" t="s">
        <v>519</v>
      </c>
      <c r="I15" s="43" t="s">
        <v>36</v>
      </c>
      <c r="J15" s="41" t="s">
        <v>35</v>
      </c>
      <c r="K15" s="44" t="s">
        <v>6</v>
      </c>
      <c r="L15" s="40"/>
      <c r="M15" s="56"/>
      <c r="N15" s="56"/>
      <c r="O15" s="56"/>
      <c r="P15" s="56"/>
      <c r="Q15" s="56"/>
      <c r="R15" s="56"/>
      <c r="S15" s="58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49" t="s">
        <v>288</v>
      </c>
      <c r="AJ15" s="46"/>
    </row>
    <row r="16" spans="1:36" s="47" customFormat="1">
      <c r="A16" s="66"/>
      <c r="B16" s="66"/>
      <c r="C16" s="40" t="s">
        <v>289</v>
      </c>
      <c r="D16" s="45">
        <v>4</v>
      </c>
      <c r="E16" s="45" t="str">
        <f t="shared" si="1"/>
        <v>15:12</v>
      </c>
      <c r="F16" s="40" t="s">
        <v>263</v>
      </c>
      <c r="G16" s="40" t="s">
        <v>263</v>
      </c>
      <c r="H16" s="40" t="s">
        <v>519</v>
      </c>
      <c r="I16" s="43" t="s">
        <v>36</v>
      </c>
      <c r="J16" s="41" t="s">
        <v>35</v>
      </c>
      <c r="K16" s="44" t="s">
        <v>6</v>
      </c>
      <c r="L16" s="40"/>
      <c r="M16" s="56"/>
      <c r="N16" s="56"/>
      <c r="O16" s="56"/>
      <c r="P16" s="56"/>
      <c r="Q16" s="56"/>
      <c r="R16" s="56"/>
      <c r="S16" s="58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49" t="s">
        <v>290</v>
      </c>
      <c r="AJ16" s="46"/>
    </row>
    <row r="17" spans="1:36" s="47" customFormat="1">
      <c r="A17" s="66"/>
      <c r="B17" s="66"/>
      <c r="C17" s="40" t="s">
        <v>291</v>
      </c>
      <c r="D17" s="45">
        <v>4</v>
      </c>
      <c r="E17" s="45" t="str">
        <f t="shared" si="1"/>
        <v>11:8</v>
      </c>
      <c r="F17" s="40" t="s">
        <v>263</v>
      </c>
      <c r="G17" s="40" t="s">
        <v>263</v>
      </c>
      <c r="H17" s="40" t="s">
        <v>519</v>
      </c>
      <c r="I17" s="43" t="s">
        <v>36</v>
      </c>
      <c r="J17" s="41" t="s">
        <v>35</v>
      </c>
      <c r="K17" s="44" t="s">
        <v>6</v>
      </c>
      <c r="L17" s="40"/>
      <c r="M17" s="56"/>
      <c r="N17" s="56"/>
      <c r="O17" s="56"/>
      <c r="P17" s="56"/>
      <c r="Q17" s="56"/>
      <c r="R17" s="56"/>
      <c r="S17" s="58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49" t="s">
        <v>292</v>
      </c>
      <c r="AJ17" s="46"/>
    </row>
    <row r="18" spans="1:36" s="47" customFormat="1">
      <c r="A18" s="66"/>
      <c r="B18" s="66"/>
      <c r="C18" s="40" t="s">
        <v>293</v>
      </c>
      <c r="D18" s="45">
        <v>4</v>
      </c>
      <c r="E18" s="45" t="str">
        <f t="shared" si="1"/>
        <v>7:4</v>
      </c>
      <c r="F18" s="40" t="s">
        <v>263</v>
      </c>
      <c r="G18" s="40" t="s">
        <v>263</v>
      </c>
      <c r="H18" s="40" t="s">
        <v>519</v>
      </c>
      <c r="I18" s="43" t="s">
        <v>36</v>
      </c>
      <c r="J18" s="41" t="s">
        <v>35</v>
      </c>
      <c r="K18" s="44" t="s">
        <v>6</v>
      </c>
      <c r="L18" s="40"/>
      <c r="M18" s="56"/>
      <c r="N18" s="56"/>
      <c r="O18" s="56"/>
      <c r="P18" s="56"/>
      <c r="Q18" s="56"/>
      <c r="R18" s="56"/>
      <c r="S18" s="5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49" t="s">
        <v>294</v>
      </c>
      <c r="AJ18" s="46"/>
    </row>
    <row r="19" spans="1:36" s="47" customFormat="1" ht="15" thickBot="1">
      <c r="A19" s="66"/>
      <c r="B19" s="66"/>
      <c r="C19" s="40" t="s">
        <v>295</v>
      </c>
      <c r="D19" s="45">
        <v>4</v>
      </c>
      <c r="E19" s="45" t="str">
        <f t="shared" si="1"/>
        <v>3:0</v>
      </c>
      <c r="F19" s="40" t="s">
        <v>263</v>
      </c>
      <c r="G19" s="40" t="s">
        <v>263</v>
      </c>
      <c r="H19" s="40" t="s">
        <v>519</v>
      </c>
      <c r="I19" s="43" t="s">
        <v>36</v>
      </c>
      <c r="J19" s="41" t="s">
        <v>35</v>
      </c>
      <c r="K19" s="44" t="s">
        <v>6</v>
      </c>
      <c r="L19" s="40"/>
      <c r="M19" s="56"/>
      <c r="N19" s="56"/>
      <c r="O19" s="56"/>
      <c r="P19" s="56"/>
      <c r="Q19" s="56"/>
      <c r="R19" s="56"/>
      <c r="S19" s="58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49" t="s">
        <v>296</v>
      </c>
      <c r="AJ19" s="46"/>
    </row>
    <row r="20" spans="1:36" s="47" customFormat="1">
      <c r="A20" s="66" t="s">
        <v>297</v>
      </c>
      <c r="B20" s="66">
        <v>8</v>
      </c>
      <c r="C20" s="42" t="s">
        <v>47</v>
      </c>
      <c r="D20" s="64" t="str">
        <f>bitConcat(F21:F28)</f>
        <v>32'b01110111011101110111011101110111</v>
      </c>
      <c r="E20" s="65"/>
      <c r="F20" s="65"/>
      <c r="G20" s="65"/>
      <c r="H20" s="51" t="s">
        <v>42</v>
      </c>
      <c r="I20" s="51"/>
      <c r="J20" s="51" t="str">
        <f>bitConcat(G21:G28)</f>
        <v>32'b01110111011101110111011101110111</v>
      </c>
      <c r="K20" s="51"/>
      <c r="L20" s="52"/>
      <c r="M20" s="55" t="str">
        <f>DEC2HEX(_xlfn.BITLSHIFT(O20,7)+4*P20)</f>
        <v>588</v>
      </c>
      <c r="N20" s="55"/>
      <c r="O20" s="55">
        <v>11</v>
      </c>
      <c r="P20" s="55">
        <v>2</v>
      </c>
      <c r="Q20" s="55" t="str">
        <f>DEC2HEX(_xlfn.BITLSHIFT(O20,5)+P20)</f>
        <v>162</v>
      </c>
      <c r="R20" s="55" t="str">
        <f>BIN2HEX(LEFT(RIGHT(D20,32),4))&amp;BIN2HEX(LEFT(RIGHT(D20,28),4))&amp;BIN2HEX(LEFT(RIGHT(D20,24),4))&amp;BIN2HEX(LEFT(RIGHT(D20,20),4))&amp;BIN2HEX(LEFT(RIGHT(D20,16),4))&amp;BIN2HEX(LEFT(RIGHT(D20,12),4))&amp;BIN2HEX(LEFT(RIGHT(D20,8),4))&amp;BIN2HEX(LEFT(RIGHT(D20,4),4))</f>
        <v>77777777</v>
      </c>
      <c r="S20" s="57" t="str">
        <f>BIN2HEX(LEFT(RIGHT(J20,32),4))&amp;BIN2HEX(LEFT(RIGHT(J20,28),4))&amp;BIN2HEX(LEFT(RIGHT(J20,24),4))&amp;BIN2HEX(LEFT(RIGHT(J20,20),4))&amp;BIN2HEX(LEFT(RIGHT(J20,16),4))&amp;BIN2HEX(LEFT(RIGHT(J20,12),4))&amp;BIN2HEX(LEFT(RIGHT(J20,8),4))&amp;BIN2HEX(LEFT(RIGHT(J20,4),4))</f>
        <v>77777777</v>
      </c>
      <c r="AI20" s="49"/>
      <c r="AJ20" s="46"/>
    </row>
    <row r="21" spans="1:36" s="47" customFormat="1">
      <c r="A21" s="66"/>
      <c r="B21" s="66"/>
      <c r="C21" s="40" t="s">
        <v>298</v>
      </c>
      <c r="D21" s="45">
        <v>4</v>
      </c>
      <c r="E21" s="45" t="str">
        <f>IF(D21&gt;1,(31)&amp;":"&amp;(31-D21+1),(31-D21+1)&amp;":"&amp;(31-D21+1))</f>
        <v>31:28</v>
      </c>
      <c r="F21" s="40" t="s">
        <v>263</v>
      </c>
      <c r="G21" s="40" t="s">
        <v>263</v>
      </c>
      <c r="H21" s="40" t="s">
        <v>522</v>
      </c>
      <c r="I21" s="43" t="s">
        <v>36</v>
      </c>
      <c r="J21" s="41" t="s">
        <v>35</v>
      </c>
      <c r="K21" s="44" t="s">
        <v>6</v>
      </c>
      <c r="L21" s="40"/>
      <c r="M21" s="56"/>
      <c r="N21" s="56"/>
      <c r="O21" s="56"/>
      <c r="P21" s="56"/>
      <c r="Q21" s="56"/>
      <c r="R21" s="56"/>
      <c r="S21" s="58"/>
      <c r="AI21" s="49" t="s">
        <v>299</v>
      </c>
      <c r="AJ21" s="46"/>
    </row>
    <row r="22" spans="1:36" s="47" customFormat="1">
      <c r="A22" s="66"/>
      <c r="B22" s="66"/>
      <c r="C22" s="40" t="s">
        <v>300</v>
      </c>
      <c r="D22" s="45">
        <v>4</v>
      </c>
      <c r="E22" s="45" t="str">
        <f t="shared" ref="E22:E28" si="2">(MID(str_cnvt(E21),SEARCH(":",str_cnvt(E21))+1,2)-1) &amp; ":" &amp; (MID(str_cnvt(E21),SEARCH(":",str_cnvt(E21))+1,2)-D22)</f>
        <v>27:24</v>
      </c>
      <c r="F22" s="40" t="s">
        <v>263</v>
      </c>
      <c r="G22" s="40" t="s">
        <v>263</v>
      </c>
      <c r="H22" s="40" t="s">
        <v>522</v>
      </c>
      <c r="I22" s="43" t="s">
        <v>36</v>
      </c>
      <c r="J22" s="41" t="s">
        <v>35</v>
      </c>
      <c r="K22" s="44" t="s">
        <v>6</v>
      </c>
      <c r="L22" s="40"/>
      <c r="M22" s="56"/>
      <c r="N22" s="56"/>
      <c r="O22" s="56"/>
      <c r="P22" s="56"/>
      <c r="Q22" s="56"/>
      <c r="R22" s="56"/>
      <c r="S22" s="58"/>
      <c r="AI22" s="49" t="s">
        <v>301</v>
      </c>
      <c r="AJ22" s="46"/>
    </row>
    <row r="23" spans="1:36" s="47" customFormat="1">
      <c r="A23" s="66"/>
      <c r="B23" s="66"/>
      <c r="C23" s="40" t="s">
        <v>302</v>
      </c>
      <c r="D23" s="45">
        <v>4</v>
      </c>
      <c r="E23" s="45" t="str">
        <f t="shared" si="2"/>
        <v>23:20</v>
      </c>
      <c r="F23" s="40" t="s">
        <v>263</v>
      </c>
      <c r="G23" s="40" t="s">
        <v>263</v>
      </c>
      <c r="H23" s="40" t="s">
        <v>570</v>
      </c>
      <c r="I23" s="43" t="s">
        <v>36</v>
      </c>
      <c r="J23" s="41" t="s">
        <v>35</v>
      </c>
      <c r="K23" s="44" t="s">
        <v>6</v>
      </c>
      <c r="L23" s="40"/>
      <c r="M23" s="56"/>
      <c r="N23" s="56"/>
      <c r="O23" s="56"/>
      <c r="P23" s="56"/>
      <c r="Q23" s="56"/>
      <c r="R23" s="56"/>
      <c r="S23" s="58"/>
      <c r="AI23" s="49" t="s">
        <v>303</v>
      </c>
      <c r="AJ23" s="46"/>
    </row>
    <row r="24" spans="1:36" s="47" customFormat="1">
      <c r="A24" s="66"/>
      <c r="B24" s="66"/>
      <c r="C24" s="40" t="s">
        <v>304</v>
      </c>
      <c r="D24" s="45">
        <v>4</v>
      </c>
      <c r="E24" s="45" t="str">
        <f t="shared" si="2"/>
        <v>19:16</v>
      </c>
      <c r="F24" s="40" t="s">
        <v>263</v>
      </c>
      <c r="G24" s="40" t="s">
        <v>263</v>
      </c>
      <c r="H24" s="40" t="s">
        <v>520</v>
      </c>
      <c r="I24" s="43" t="s">
        <v>36</v>
      </c>
      <c r="J24" s="41" t="s">
        <v>35</v>
      </c>
      <c r="K24" s="44" t="s">
        <v>6</v>
      </c>
      <c r="L24" s="40"/>
      <c r="M24" s="56"/>
      <c r="N24" s="56"/>
      <c r="O24" s="56"/>
      <c r="P24" s="56"/>
      <c r="Q24" s="56"/>
      <c r="R24" s="56"/>
      <c r="S24" s="58"/>
      <c r="AI24" s="49" t="s">
        <v>305</v>
      </c>
      <c r="AJ24" s="46"/>
    </row>
    <row r="25" spans="1:36" s="47" customFormat="1">
      <c r="A25" s="66"/>
      <c r="B25" s="66"/>
      <c r="C25" s="40" t="s">
        <v>306</v>
      </c>
      <c r="D25" s="45">
        <v>4</v>
      </c>
      <c r="E25" s="45" t="str">
        <f t="shared" si="2"/>
        <v>15:12</v>
      </c>
      <c r="F25" s="40" t="s">
        <v>263</v>
      </c>
      <c r="G25" s="40" t="s">
        <v>263</v>
      </c>
      <c r="H25" s="40" t="s">
        <v>520</v>
      </c>
      <c r="I25" s="43" t="s">
        <v>36</v>
      </c>
      <c r="J25" s="41" t="s">
        <v>35</v>
      </c>
      <c r="K25" s="44" t="s">
        <v>6</v>
      </c>
      <c r="L25" s="40"/>
      <c r="M25" s="56"/>
      <c r="N25" s="56"/>
      <c r="O25" s="56"/>
      <c r="P25" s="56"/>
      <c r="Q25" s="56"/>
      <c r="R25" s="56"/>
      <c r="S25" s="58"/>
      <c r="AI25" s="49" t="s">
        <v>307</v>
      </c>
      <c r="AJ25" s="46"/>
    </row>
    <row r="26" spans="1:36" s="47" customFormat="1">
      <c r="A26" s="66"/>
      <c r="B26" s="66"/>
      <c r="C26" s="40" t="s">
        <v>308</v>
      </c>
      <c r="D26" s="45">
        <v>4</v>
      </c>
      <c r="E26" s="45" t="str">
        <f t="shared" si="2"/>
        <v>11:8</v>
      </c>
      <c r="F26" s="40" t="s">
        <v>263</v>
      </c>
      <c r="G26" s="40" t="s">
        <v>263</v>
      </c>
      <c r="H26" s="40" t="s">
        <v>520</v>
      </c>
      <c r="I26" s="43" t="s">
        <v>36</v>
      </c>
      <c r="J26" s="41" t="s">
        <v>35</v>
      </c>
      <c r="K26" s="44" t="s">
        <v>6</v>
      </c>
      <c r="L26" s="40"/>
      <c r="M26" s="56"/>
      <c r="N26" s="56"/>
      <c r="O26" s="56"/>
      <c r="P26" s="56"/>
      <c r="Q26" s="56"/>
      <c r="R26" s="56"/>
      <c r="S26" s="58"/>
      <c r="AI26" s="49" t="s">
        <v>309</v>
      </c>
      <c r="AJ26" s="46"/>
    </row>
    <row r="27" spans="1:36" s="47" customFormat="1">
      <c r="A27" s="66"/>
      <c r="B27" s="66"/>
      <c r="C27" s="40" t="s">
        <v>310</v>
      </c>
      <c r="D27" s="45">
        <v>4</v>
      </c>
      <c r="E27" s="45" t="str">
        <f t="shared" si="2"/>
        <v>7:4</v>
      </c>
      <c r="F27" s="40" t="s">
        <v>263</v>
      </c>
      <c r="G27" s="40" t="s">
        <v>263</v>
      </c>
      <c r="H27" s="40" t="s">
        <v>520</v>
      </c>
      <c r="I27" s="43" t="s">
        <v>36</v>
      </c>
      <c r="J27" s="41" t="s">
        <v>35</v>
      </c>
      <c r="K27" s="44" t="s">
        <v>6</v>
      </c>
      <c r="L27" s="40"/>
      <c r="M27" s="56"/>
      <c r="N27" s="56"/>
      <c r="O27" s="56"/>
      <c r="P27" s="56"/>
      <c r="Q27" s="56"/>
      <c r="R27" s="56"/>
      <c r="S27" s="58"/>
      <c r="AI27" s="49" t="s">
        <v>311</v>
      </c>
      <c r="AJ27" s="46"/>
    </row>
    <row r="28" spans="1:36" s="47" customFormat="1" ht="15" thickBot="1">
      <c r="A28" s="66"/>
      <c r="B28" s="66"/>
      <c r="C28" s="40" t="s">
        <v>312</v>
      </c>
      <c r="D28" s="45">
        <v>4</v>
      </c>
      <c r="E28" s="45" t="str">
        <f t="shared" si="2"/>
        <v>3:0</v>
      </c>
      <c r="F28" s="40" t="s">
        <v>263</v>
      </c>
      <c r="G28" s="40" t="s">
        <v>263</v>
      </c>
      <c r="H28" s="40" t="s">
        <v>519</v>
      </c>
      <c r="I28" s="43" t="s">
        <v>36</v>
      </c>
      <c r="J28" s="41" t="s">
        <v>35</v>
      </c>
      <c r="K28" s="44" t="s">
        <v>6</v>
      </c>
      <c r="L28" s="40"/>
      <c r="M28" s="56"/>
      <c r="N28" s="56"/>
      <c r="O28" s="56"/>
      <c r="P28" s="56"/>
      <c r="Q28" s="56"/>
      <c r="R28" s="56"/>
      <c r="S28" s="58"/>
      <c r="AI28" s="49" t="s">
        <v>313</v>
      </c>
      <c r="AJ28" s="46"/>
    </row>
    <row r="29" spans="1:36" s="47" customFormat="1">
      <c r="A29" s="66" t="s">
        <v>314</v>
      </c>
      <c r="B29" s="66" t="s">
        <v>73</v>
      </c>
      <c r="C29" s="42" t="s">
        <v>47</v>
      </c>
      <c r="D29" s="64" t="str">
        <f>bitConcat(F30:F37)</f>
        <v>32'b01110111011101110111011101110111</v>
      </c>
      <c r="E29" s="65"/>
      <c r="F29" s="65"/>
      <c r="G29" s="65"/>
      <c r="H29" s="51" t="s">
        <v>42</v>
      </c>
      <c r="I29" s="51"/>
      <c r="J29" s="51" t="str">
        <f>bitConcat(G30:G37)</f>
        <v>32'b01110111011101110111011101110111</v>
      </c>
      <c r="K29" s="51"/>
      <c r="L29" s="52"/>
      <c r="M29" s="55" t="str">
        <f>DEC2HEX(_xlfn.BITLSHIFT(O29,7)+4*P29)</f>
        <v>58C</v>
      </c>
      <c r="N29" s="55"/>
      <c r="O29" s="55">
        <v>11</v>
      </c>
      <c r="P29" s="55">
        <v>3</v>
      </c>
      <c r="Q29" s="55" t="str">
        <f>DEC2HEX(_xlfn.BITLSHIFT(O29,5)+P29)</f>
        <v>163</v>
      </c>
      <c r="R29" s="55" t="str">
        <f>BIN2HEX(LEFT(RIGHT(D29,32),4))&amp;BIN2HEX(LEFT(RIGHT(D29,28),4))&amp;BIN2HEX(LEFT(RIGHT(D29,24),4))&amp;BIN2HEX(LEFT(RIGHT(D29,20),4))&amp;BIN2HEX(LEFT(RIGHT(D29,16),4))&amp;BIN2HEX(LEFT(RIGHT(D29,12),4))&amp;BIN2HEX(LEFT(RIGHT(D29,8),4))&amp;BIN2HEX(LEFT(RIGHT(D29,4),4))</f>
        <v>77777777</v>
      </c>
      <c r="S29" s="57" t="str">
        <f>BIN2HEX(LEFT(RIGHT(J29,32),4))&amp;BIN2HEX(LEFT(RIGHT(J29,28),4))&amp;BIN2HEX(LEFT(RIGHT(J29,24),4))&amp;BIN2HEX(LEFT(RIGHT(J29,20),4))&amp;BIN2HEX(LEFT(RIGHT(J29,16),4))&amp;BIN2HEX(LEFT(RIGHT(J29,12),4))&amp;BIN2HEX(LEFT(RIGHT(J29,8),4))&amp;BIN2HEX(LEFT(RIGHT(J29,4),4))</f>
        <v>77777777</v>
      </c>
      <c r="AI29" s="49"/>
      <c r="AJ29" s="46"/>
    </row>
    <row r="30" spans="1:36" s="47" customFormat="1">
      <c r="A30" s="66"/>
      <c r="B30" s="66"/>
      <c r="C30" s="40" t="s">
        <v>315</v>
      </c>
      <c r="D30" s="45">
        <v>4</v>
      </c>
      <c r="E30" s="45" t="str">
        <f>IF(D30&gt;1,(31)&amp;":"&amp;(31-D30+1),(31-D30+1)&amp;":"&amp;(31-D30+1))</f>
        <v>31:28</v>
      </c>
      <c r="F30" s="40" t="s">
        <v>263</v>
      </c>
      <c r="G30" s="40" t="s">
        <v>263</v>
      </c>
      <c r="H30" s="40" t="s">
        <v>523</v>
      </c>
      <c r="I30" s="43" t="s">
        <v>36</v>
      </c>
      <c r="J30" s="41" t="s">
        <v>35</v>
      </c>
      <c r="K30" s="44" t="s">
        <v>6</v>
      </c>
      <c r="L30" s="40"/>
      <c r="M30" s="56"/>
      <c r="N30" s="56"/>
      <c r="O30" s="56"/>
      <c r="P30" s="56"/>
      <c r="Q30" s="56"/>
      <c r="R30" s="56"/>
      <c r="S30" s="58"/>
      <c r="AI30" s="49" t="s">
        <v>316</v>
      </c>
      <c r="AJ30" s="46"/>
    </row>
    <row r="31" spans="1:36" s="47" customFormat="1">
      <c r="A31" s="66"/>
      <c r="B31" s="66"/>
      <c r="C31" s="40" t="s">
        <v>317</v>
      </c>
      <c r="D31" s="45">
        <v>4</v>
      </c>
      <c r="E31" s="45" t="str">
        <f t="shared" ref="E31:E37" si="3">(MID(str_cnvt(E30),SEARCH(":",str_cnvt(E30))+1,2)-1) &amp; ":" &amp; (MID(str_cnvt(E30),SEARCH(":",str_cnvt(E30))+1,2)-D31)</f>
        <v>27:24</v>
      </c>
      <c r="F31" s="40" t="s">
        <v>263</v>
      </c>
      <c r="G31" s="40" t="s">
        <v>263</v>
      </c>
      <c r="H31" s="40" t="s">
        <v>523</v>
      </c>
      <c r="I31" s="43" t="s">
        <v>36</v>
      </c>
      <c r="J31" s="41" t="s">
        <v>35</v>
      </c>
      <c r="K31" s="44" t="s">
        <v>6</v>
      </c>
      <c r="L31" s="40"/>
      <c r="M31" s="56"/>
      <c r="N31" s="56"/>
      <c r="O31" s="56"/>
      <c r="P31" s="56"/>
      <c r="Q31" s="56"/>
      <c r="R31" s="56"/>
      <c r="S31" s="58"/>
      <c r="AI31" s="49" t="s">
        <v>318</v>
      </c>
      <c r="AJ31" s="46"/>
    </row>
    <row r="32" spans="1:36" s="47" customFormat="1">
      <c r="A32" s="66"/>
      <c r="B32" s="66"/>
      <c r="C32" s="40" t="s">
        <v>319</v>
      </c>
      <c r="D32" s="45">
        <v>4</v>
      </c>
      <c r="E32" s="45" t="str">
        <f t="shared" si="3"/>
        <v>23:20</v>
      </c>
      <c r="F32" s="40" t="s">
        <v>263</v>
      </c>
      <c r="G32" s="40" t="s">
        <v>263</v>
      </c>
      <c r="H32" s="40" t="s">
        <v>523</v>
      </c>
      <c r="I32" s="43" t="s">
        <v>36</v>
      </c>
      <c r="J32" s="41" t="s">
        <v>35</v>
      </c>
      <c r="K32" s="44" t="s">
        <v>6</v>
      </c>
      <c r="L32" s="40"/>
      <c r="M32" s="56"/>
      <c r="N32" s="56"/>
      <c r="O32" s="56"/>
      <c r="P32" s="56"/>
      <c r="Q32" s="56"/>
      <c r="R32" s="56"/>
      <c r="S32" s="58"/>
      <c r="AI32" s="49" t="s">
        <v>320</v>
      </c>
      <c r="AJ32" s="46"/>
    </row>
    <row r="33" spans="1:36" s="47" customFormat="1">
      <c r="A33" s="66"/>
      <c r="B33" s="66"/>
      <c r="C33" s="40" t="s">
        <v>321</v>
      </c>
      <c r="D33" s="45">
        <v>4</v>
      </c>
      <c r="E33" s="45" t="str">
        <f t="shared" si="3"/>
        <v>19:16</v>
      </c>
      <c r="F33" s="40" t="s">
        <v>263</v>
      </c>
      <c r="G33" s="40" t="s">
        <v>263</v>
      </c>
      <c r="H33" s="40" t="s">
        <v>523</v>
      </c>
      <c r="I33" s="43" t="s">
        <v>36</v>
      </c>
      <c r="J33" s="41" t="s">
        <v>35</v>
      </c>
      <c r="K33" s="44" t="s">
        <v>6</v>
      </c>
      <c r="L33" s="40"/>
      <c r="M33" s="56"/>
      <c r="N33" s="56"/>
      <c r="O33" s="56"/>
      <c r="P33" s="56"/>
      <c r="Q33" s="56"/>
      <c r="R33" s="56"/>
      <c r="S33" s="58"/>
      <c r="AI33" s="49" t="s">
        <v>322</v>
      </c>
      <c r="AJ33" s="46"/>
    </row>
    <row r="34" spans="1:36" s="47" customFormat="1">
      <c r="A34" s="66"/>
      <c r="B34" s="66"/>
      <c r="C34" s="40" t="s">
        <v>323</v>
      </c>
      <c r="D34" s="45">
        <v>4</v>
      </c>
      <c r="E34" s="45" t="str">
        <f t="shared" si="3"/>
        <v>15:12</v>
      </c>
      <c r="F34" s="40" t="s">
        <v>263</v>
      </c>
      <c r="G34" s="40" t="s">
        <v>263</v>
      </c>
      <c r="H34" s="40" t="s">
        <v>523</v>
      </c>
      <c r="I34" s="43" t="s">
        <v>36</v>
      </c>
      <c r="J34" s="41" t="s">
        <v>35</v>
      </c>
      <c r="K34" s="44" t="s">
        <v>6</v>
      </c>
      <c r="L34" s="40"/>
      <c r="M34" s="56"/>
      <c r="N34" s="56"/>
      <c r="O34" s="56"/>
      <c r="P34" s="56"/>
      <c r="Q34" s="56"/>
      <c r="R34" s="56"/>
      <c r="S34" s="58"/>
      <c r="AI34" s="49" t="s">
        <v>324</v>
      </c>
      <c r="AJ34" s="46"/>
    </row>
    <row r="35" spans="1:36" s="47" customFormat="1">
      <c r="A35" s="66"/>
      <c r="B35" s="66"/>
      <c r="C35" s="40" t="s">
        <v>325</v>
      </c>
      <c r="D35" s="45">
        <v>4</v>
      </c>
      <c r="E35" s="45" t="str">
        <f t="shared" si="3"/>
        <v>11:8</v>
      </c>
      <c r="F35" s="40" t="s">
        <v>263</v>
      </c>
      <c r="G35" s="40" t="s">
        <v>263</v>
      </c>
      <c r="H35" s="40" t="s">
        <v>521</v>
      </c>
      <c r="I35" s="43" t="s">
        <v>36</v>
      </c>
      <c r="J35" s="41" t="s">
        <v>35</v>
      </c>
      <c r="K35" s="44" t="s">
        <v>6</v>
      </c>
      <c r="L35" s="40"/>
      <c r="M35" s="56"/>
      <c r="N35" s="56"/>
      <c r="O35" s="56"/>
      <c r="P35" s="56"/>
      <c r="Q35" s="56"/>
      <c r="R35" s="56"/>
      <c r="S35" s="58"/>
      <c r="AI35" s="49" t="s">
        <v>326</v>
      </c>
      <c r="AJ35" s="46"/>
    </row>
    <row r="36" spans="1:36" s="47" customFormat="1">
      <c r="A36" s="66"/>
      <c r="B36" s="66"/>
      <c r="C36" s="40" t="s">
        <v>327</v>
      </c>
      <c r="D36" s="45">
        <v>4</v>
      </c>
      <c r="E36" s="45" t="str">
        <f t="shared" si="3"/>
        <v>7:4</v>
      </c>
      <c r="F36" s="40" t="s">
        <v>263</v>
      </c>
      <c r="G36" s="40" t="s">
        <v>263</v>
      </c>
      <c r="H36" s="40" t="s">
        <v>541</v>
      </c>
      <c r="I36" s="43" t="s">
        <v>36</v>
      </c>
      <c r="J36" s="41" t="s">
        <v>35</v>
      </c>
      <c r="K36" s="44" t="s">
        <v>6</v>
      </c>
      <c r="L36" s="40"/>
      <c r="M36" s="56"/>
      <c r="N36" s="56"/>
      <c r="O36" s="56"/>
      <c r="P36" s="56"/>
      <c r="Q36" s="56"/>
      <c r="R36" s="56"/>
      <c r="S36" s="58"/>
      <c r="AI36" s="49" t="s">
        <v>328</v>
      </c>
      <c r="AJ36" s="46"/>
    </row>
    <row r="37" spans="1:36" s="47" customFormat="1" ht="15" thickBot="1">
      <c r="A37" s="66"/>
      <c r="B37" s="66"/>
      <c r="C37" s="40" t="s">
        <v>329</v>
      </c>
      <c r="D37" s="45">
        <v>4</v>
      </c>
      <c r="E37" s="45" t="str">
        <f t="shared" si="3"/>
        <v>3:0</v>
      </c>
      <c r="F37" s="40" t="s">
        <v>263</v>
      </c>
      <c r="G37" s="40" t="s">
        <v>263</v>
      </c>
      <c r="H37" s="40" t="s">
        <v>522</v>
      </c>
      <c r="I37" s="43" t="s">
        <v>36</v>
      </c>
      <c r="J37" s="41" t="s">
        <v>35</v>
      </c>
      <c r="K37" s="44" t="s">
        <v>6</v>
      </c>
      <c r="L37" s="40"/>
      <c r="M37" s="56"/>
      <c r="N37" s="56"/>
      <c r="O37" s="56"/>
      <c r="P37" s="56"/>
      <c r="Q37" s="56"/>
      <c r="R37" s="56"/>
      <c r="S37" s="58"/>
      <c r="AI37" s="49" t="s">
        <v>330</v>
      </c>
      <c r="AJ37" s="46"/>
    </row>
    <row r="38" spans="1:36" s="47" customFormat="1">
      <c r="A38" s="66" t="s">
        <v>331</v>
      </c>
      <c r="B38" s="66">
        <v>10</v>
      </c>
      <c r="C38" s="42" t="s">
        <v>47</v>
      </c>
      <c r="D38" s="64" t="str">
        <f>bitConcat(F39:F46)</f>
        <v>32'b11110111011101110111011101110111</v>
      </c>
      <c r="E38" s="65"/>
      <c r="F38" s="65"/>
      <c r="G38" s="65"/>
      <c r="H38" s="51" t="s">
        <v>42</v>
      </c>
      <c r="I38" s="51"/>
      <c r="J38" s="51" t="str">
        <f>bitConcat(G39:G46)</f>
        <v>32'b11110111011101110111011101110111</v>
      </c>
      <c r="K38" s="51"/>
      <c r="L38" s="52"/>
      <c r="M38" s="55" t="str">
        <f>DEC2HEX(_xlfn.BITLSHIFT(O38,7)+4*P38)</f>
        <v>590</v>
      </c>
      <c r="N38" s="55"/>
      <c r="O38" s="55">
        <v>11</v>
      </c>
      <c r="P38" s="55">
        <v>4</v>
      </c>
      <c r="Q38" s="55" t="str">
        <f>DEC2HEX(_xlfn.BITLSHIFT(O38,5)+P38)</f>
        <v>164</v>
      </c>
      <c r="R38" s="55" t="str">
        <f>BIN2HEX(LEFT(RIGHT(D38,32),4))&amp;BIN2HEX(LEFT(RIGHT(D38,28),4))&amp;BIN2HEX(LEFT(RIGHT(D38,24),4))&amp;BIN2HEX(LEFT(RIGHT(D38,20),4))&amp;BIN2HEX(LEFT(RIGHT(D38,16),4))&amp;BIN2HEX(LEFT(RIGHT(D38,12),4))&amp;BIN2HEX(LEFT(RIGHT(D38,8),4))&amp;BIN2HEX(LEFT(RIGHT(D38,4),4))</f>
        <v>F7777777</v>
      </c>
      <c r="S38" s="57" t="str">
        <f>BIN2HEX(LEFT(RIGHT(J38,32),4))&amp;BIN2HEX(LEFT(RIGHT(J38,28),4))&amp;BIN2HEX(LEFT(RIGHT(J38,24),4))&amp;BIN2HEX(LEFT(RIGHT(J38,20),4))&amp;BIN2HEX(LEFT(RIGHT(J38,16),4))&amp;BIN2HEX(LEFT(RIGHT(J38,12),4))&amp;BIN2HEX(LEFT(RIGHT(J38,8),4))&amp;BIN2HEX(LEFT(RIGHT(J38,4),4))</f>
        <v>F7777777</v>
      </c>
      <c r="AI38" s="49"/>
      <c r="AJ38" s="46"/>
    </row>
    <row r="39" spans="1:36" s="47" customFormat="1">
      <c r="A39" s="66"/>
      <c r="B39" s="66"/>
      <c r="C39" s="40" t="s">
        <v>332</v>
      </c>
      <c r="D39" s="45">
        <v>4</v>
      </c>
      <c r="E39" s="45" t="str">
        <f>IF(D39&gt;1,(31)&amp;":"&amp;(31-D39+1),(31-D39+1)&amp;":"&amp;(31-D39+1))</f>
        <v>31:28</v>
      </c>
      <c r="F39" s="50" t="s">
        <v>509</v>
      </c>
      <c r="G39" s="50" t="s">
        <v>509</v>
      </c>
      <c r="H39" s="40" t="s">
        <v>333</v>
      </c>
      <c r="I39" s="43" t="s">
        <v>36</v>
      </c>
      <c r="J39" s="41" t="s">
        <v>35</v>
      </c>
      <c r="K39" s="44" t="s">
        <v>6</v>
      </c>
      <c r="L39" s="40"/>
      <c r="M39" s="56"/>
      <c r="N39" s="56"/>
      <c r="O39" s="56"/>
      <c r="P39" s="56"/>
      <c r="Q39" s="56"/>
      <c r="R39" s="56"/>
      <c r="S39" s="58"/>
      <c r="AI39" s="49" t="s">
        <v>334</v>
      </c>
      <c r="AJ39" s="46"/>
    </row>
    <row r="40" spans="1:36" s="47" customFormat="1">
      <c r="A40" s="66"/>
      <c r="B40" s="66"/>
      <c r="C40" s="40" t="s">
        <v>335</v>
      </c>
      <c r="D40" s="45">
        <v>4</v>
      </c>
      <c r="E40" s="45" t="str">
        <f t="shared" ref="E40:E46" si="4">(MID(str_cnvt(E39),SEARCH(":",str_cnvt(E39))+1,2)-1) &amp; ":" &amp; (MID(str_cnvt(E39),SEARCH(":",str_cnvt(E39))+1,2)-D40)</f>
        <v>27:24</v>
      </c>
      <c r="F40" s="40" t="s">
        <v>263</v>
      </c>
      <c r="G40" s="40" t="s">
        <v>263</v>
      </c>
      <c r="H40" s="40" t="s">
        <v>524</v>
      </c>
      <c r="I40" s="43" t="s">
        <v>36</v>
      </c>
      <c r="J40" s="41" t="s">
        <v>35</v>
      </c>
      <c r="K40" s="44" t="s">
        <v>6</v>
      </c>
      <c r="L40" s="40"/>
      <c r="M40" s="56"/>
      <c r="N40" s="56"/>
      <c r="O40" s="56"/>
      <c r="P40" s="56"/>
      <c r="Q40" s="56"/>
      <c r="R40" s="56"/>
      <c r="S40" s="58"/>
      <c r="AI40" s="49" t="s">
        <v>336</v>
      </c>
      <c r="AJ40" s="46"/>
    </row>
    <row r="41" spans="1:36" s="47" customFormat="1">
      <c r="A41" s="66"/>
      <c r="B41" s="66"/>
      <c r="C41" s="40" t="s">
        <v>337</v>
      </c>
      <c r="D41" s="45">
        <v>4</v>
      </c>
      <c r="E41" s="45" t="str">
        <f t="shared" si="4"/>
        <v>23:20</v>
      </c>
      <c r="F41" s="40" t="s">
        <v>263</v>
      </c>
      <c r="G41" s="40" t="s">
        <v>263</v>
      </c>
      <c r="H41" s="40" t="s">
        <v>524</v>
      </c>
      <c r="I41" s="43" t="s">
        <v>36</v>
      </c>
      <c r="J41" s="41" t="s">
        <v>35</v>
      </c>
      <c r="K41" s="44" t="s">
        <v>6</v>
      </c>
      <c r="L41" s="40"/>
      <c r="M41" s="56"/>
      <c r="N41" s="56"/>
      <c r="O41" s="56"/>
      <c r="P41" s="56"/>
      <c r="Q41" s="56"/>
      <c r="R41" s="56"/>
      <c r="S41" s="58"/>
      <c r="AI41" s="49" t="s">
        <v>338</v>
      </c>
      <c r="AJ41" s="46"/>
    </row>
    <row r="42" spans="1:36" s="47" customFormat="1">
      <c r="A42" s="66"/>
      <c r="B42" s="66"/>
      <c r="C42" s="40" t="s">
        <v>339</v>
      </c>
      <c r="D42" s="45">
        <v>4</v>
      </c>
      <c r="E42" s="45" t="str">
        <f t="shared" si="4"/>
        <v>19:16</v>
      </c>
      <c r="F42" s="40" t="s">
        <v>263</v>
      </c>
      <c r="G42" s="40" t="s">
        <v>263</v>
      </c>
      <c r="H42" s="40" t="s">
        <v>524</v>
      </c>
      <c r="I42" s="43" t="s">
        <v>36</v>
      </c>
      <c r="J42" s="41" t="s">
        <v>35</v>
      </c>
      <c r="K42" s="44" t="s">
        <v>6</v>
      </c>
      <c r="L42" s="40"/>
      <c r="M42" s="56"/>
      <c r="N42" s="56"/>
      <c r="O42" s="56"/>
      <c r="P42" s="56"/>
      <c r="Q42" s="56"/>
      <c r="R42" s="56"/>
      <c r="S42" s="58"/>
      <c r="AI42" s="49" t="s">
        <v>340</v>
      </c>
      <c r="AJ42" s="46"/>
    </row>
    <row r="43" spans="1:36" s="47" customFormat="1">
      <c r="A43" s="66"/>
      <c r="B43" s="66"/>
      <c r="C43" s="40" t="s">
        <v>341</v>
      </c>
      <c r="D43" s="45">
        <v>4</v>
      </c>
      <c r="E43" s="45" t="str">
        <f t="shared" si="4"/>
        <v>15:12</v>
      </c>
      <c r="F43" s="40" t="s">
        <v>263</v>
      </c>
      <c r="G43" s="40" t="s">
        <v>263</v>
      </c>
      <c r="H43" s="40" t="s">
        <v>524</v>
      </c>
      <c r="I43" s="43" t="s">
        <v>36</v>
      </c>
      <c r="J43" s="41" t="s">
        <v>35</v>
      </c>
      <c r="K43" s="44" t="s">
        <v>6</v>
      </c>
      <c r="L43" s="40"/>
      <c r="M43" s="56"/>
      <c r="N43" s="56"/>
      <c r="O43" s="56"/>
      <c r="P43" s="56"/>
      <c r="Q43" s="56"/>
      <c r="R43" s="56"/>
      <c r="S43" s="58"/>
      <c r="AI43" s="49" t="s">
        <v>342</v>
      </c>
      <c r="AJ43" s="46"/>
    </row>
    <row r="44" spans="1:36" s="47" customFormat="1">
      <c r="A44" s="66"/>
      <c r="B44" s="66"/>
      <c r="C44" s="40" t="s">
        <v>343</v>
      </c>
      <c r="D44" s="45">
        <v>4</v>
      </c>
      <c r="E44" s="45" t="str">
        <f t="shared" si="4"/>
        <v>11:8</v>
      </c>
      <c r="F44" s="40" t="s">
        <v>263</v>
      </c>
      <c r="G44" s="40" t="s">
        <v>263</v>
      </c>
      <c r="H44" s="40" t="s">
        <v>524</v>
      </c>
      <c r="I44" s="43" t="s">
        <v>36</v>
      </c>
      <c r="J44" s="41" t="s">
        <v>35</v>
      </c>
      <c r="K44" s="44" t="s">
        <v>6</v>
      </c>
      <c r="L44" s="40"/>
      <c r="M44" s="56"/>
      <c r="N44" s="56"/>
      <c r="O44" s="56"/>
      <c r="P44" s="56"/>
      <c r="Q44" s="56"/>
      <c r="R44" s="56"/>
      <c r="S44" s="58"/>
      <c r="AI44" s="49" t="s">
        <v>344</v>
      </c>
      <c r="AJ44" s="46"/>
    </row>
    <row r="45" spans="1:36" s="47" customFormat="1">
      <c r="A45" s="66"/>
      <c r="B45" s="66"/>
      <c r="C45" s="40" t="s">
        <v>345</v>
      </c>
      <c r="D45" s="45">
        <v>4</v>
      </c>
      <c r="E45" s="45" t="str">
        <f t="shared" si="4"/>
        <v>7:4</v>
      </c>
      <c r="F45" s="40" t="s">
        <v>263</v>
      </c>
      <c r="G45" s="40" t="s">
        <v>263</v>
      </c>
      <c r="H45" s="40" t="s">
        <v>524</v>
      </c>
      <c r="I45" s="43" t="s">
        <v>36</v>
      </c>
      <c r="J45" s="41" t="s">
        <v>35</v>
      </c>
      <c r="K45" s="44" t="s">
        <v>6</v>
      </c>
      <c r="L45" s="40"/>
      <c r="M45" s="56"/>
      <c r="N45" s="56"/>
      <c r="O45" s="56"/>
      <c r="P45" s="56"/>
      <c r="Q45" s="56"/>
      <c r="R45" s="56"/>
      <c r="S45" s="58"/>
      <c r="AI45" s="49" t="s">
        <v>346</v>
      </c>
      <c r="AJ45" s="46"/>
    </row>
    <row r="46" spans="1:36" s="47" customFormat="1" ht="15" thickBot="1">
      <c r="A46" s="66"/>
      <c r="B46" s="66"/>
      <c r="C46" s="40" t="s">
        <v>347</v>
      </c>
      <c r="D46" s="45">
        <v>4</v>
      </c>
      <c r="E46" s="45" t="str">
        <f t="shared" si="4"/>
        <v>3:0</v>
      </c>
      <c r="F46" s="40" t="s">
        <v>263</v>
      </c>
      <c r="G46" s="40" t="s">
        <v>263</v>
      </c>
      <c r="H46" s="40" t="s">
        <v>523</v>
      </c>
      <c r="I46" s="43" t="s">
        <v>36</v>
      </c>
      <c r="J46" s="41" t="s">
        <v>35</v>
      </c>
      <c r="K46" s="44" t="s">
        <v>6</v>
      </c>
      <c r="L46" s="40"/>
      <c r="M46" s="56"/>
      <c r="N46" s="56"/>
      <c r="O46" s="56"/>
      <c r="P46" s="56"/>
      <c r="Q46" s="56"/>
      <c r="R46" s="56"/>
      <c r="S46" s="58"/>
      <c r="AI46" s="49" t="s">
        <v>348</v>
      </c>
      <c r="AJ46" s="46"/>
    </row>
    <row r="47" spans="1:36" s="47" customFormat="1">
      <c r="A47" s="66" t="s">
        <v>349</v>
      </c>
      <c r="B47" s="66">
        <v>14</v>
      </c>
      <c r="C47" s="42" t="s">
        <v>47</v>
      </c>
      <c r="D47" s="64" t="str">
        <f>bitConcat(F48:F55)</f>
        <v>32'b01110111011101110111011101110111</v>
      </c>
      <c r="E47" s="65"/>
      <c r="F47" s="65"/>
      <c r="G47" s="65"/>
      <c r="H47" s="51" t="s">
        <v>42</v>
      </c>
      <c r="I47" s="51"/>
      <c r="J47" s="51" t="str">
        <f>bitConcat(G48:G55)</f>
        <v>32'b01110111011101110111011101110111</v>
      </c>
      <c r="K47" s="51"/>
      <c r="L47" s="52"/>
      <c r="M47" s="55" t="str">
        <f>DEC2HEX(_xlfn.BITLSHIFT(O47,7)+4*P47)</f>
        <v>594</v>
      </c>
      <c r="N47" s="55"/>
      <c r="O47" s="55">
        <v>11</v>
      </c>
      <c r="P47" s="55">
        <v>5</v>
      </c>
      <c r="Q47" s="55" t="str">
        <f>DEC2HEX(_xlfn.BITLSHIFT(O47,5)+P47)</f>
        <v>165</v>
      </c>
      <c r="R47" s="55" t="str">
        <f>BIN2HEX(LEFT(RIGHT(D47,32),4))&amp;BIN2HEX(LEFT(RIGHT(D47,28),4))&amp;BIN2HEX(LEFT(RIGHT(D47,24),4))&amp;BIN2HEX(LEFT(RIGHT(D47,20),4))&amp;BIN2HEX(LEFT(RIGHT(D47,16),4))&amp;BIN2HEX(LEFT(RIGHT(D47,12),4))&amp;BIN2HEX(LEFT(RIGHT(D47,8),4))&amp;BIN2HEX(LEFT(RIGHT(D47,4),4))</f>
        <v>77777777</v>
      </c>
      <c r="S47" s="57" t="str">
        <f>BIN2HEX(LEFT(RIGHT(J47,32),4))&amp;BIN2HEX(LEFT(RIGHT(J47,28),4))&amp;BIN2HEX(LEFT(RIGHT(J47,24),4))&amp;BIN2HEX(LEFT(RIGHT(J47,20),4))&amp;BIN2HEX(LEFT(RIGHT(J47,16),4))&amp;BIN2HEX(LEFT(RIGHT(J47,12),4))&amp;BIN2HEX(LEFT(RIGHT(J47,8),4))&amp;BIN2HEX(LEFT(RIGHT(J47,4),4))</f>
        <v>77777777</v>
      </c>
      <c r="AI47" s="49"/>
      <c r="AJ47" s="46"/>
    </row>
    <row r="48" spans="1:36" s="47" customFormat="1">
      <c r="A48" s="66"/>
      <c r="B48" s="66"/>
      <c r="C48" s="40" t="s">
        <v>350</v>
      </c>
      <c r="D48" s="45">
        <v>4</v>
      </c>
      <c r="E48" s="45" t="str">
        <f>IF(D48&gt;1,(31)&amp;":"&amp;(31-D48+1),(31-D48+1)&amp;":"&amp;(31-D48+1))</f>
        <v>31:28</v>
      </c>
      <c r="F48" s="50" t="s">
        <v>263</v>
      </c>
      <c r="G48" s="50" t="s">
        <v>263</v>
      </c>
      <c r="H48" s="40" t="s">
        <v>527</v>
      </c>
      <c r="I48" s="43" t="s">
        <v>36</v>
      </c>
      <c r="J48" s="41" t="s">
        <v>35</v>
      </c>
      <c r="K48" s="44" t="s">
        <v>6</v>
      </c>
      <c r="L48" s="40"/>
      <c r="M48" s="56"/>
      <c r="N48" s="56"/>
      <c r="O48" s="56"/>
      <c r="P48" s="56"/>
      <c r="Q48" s="56"/>
      <c r="R48" s="56"/>
      <c r="S48" s="58"/>
      <c r="AI48" s="49" t="s">
        <v>352</v>
      </c>
      <c r="AJ48" s="46"/>
    </row>
    <row r="49" spans="1:36" s="47" customFormat="1">
      <c r="A49" s="66"/>
      <c r="B49" s="66"/>
      <c r="C49" s="40" t="s">
        <v>353</v>
      </c>
      <c r="D49" s="45">
        <v>4</v>
      </c>
      <c r="E49" s="45" t="str">
        <f t="shared" ref="E49:E55" si="5">(MID(str_cnvt(E48),SEARCH(":",str_cnvt(E48))+1,2)-1) &amp; ":" &amp; (MID(str_cnvt(E48),SEARCH(":",str_cnvt(E48))+1,2)-D49)</f>
        <v>27:24</v>
      </c>
      <c r="F49" s="40" t="s">
        <v>263</v>
      </c>
      <c r="G49" s="40" t="s">
        <v>263</v>
      </c>
      <c r="H49" s="40" t="s">
        <v>526</v>
      </c>
      <c r="I49" s="43" t="s">
        <v>36</v>
      </c>
      <c r="J49" s="41" t="s">
        <v>35</v>
      </c>
      <c r="K49" s="44" t="s">
        <v>6</v>
      </c>
      <c r="L49" s="40"/>
      <c r="M49" s="56"/>
      <c r="N49" s="56"/>
      <c r="O49" s="56"/>
      <c r="P49" s="56"/>
      <c r="Q49" s="56"/>
      <c r="R49" s="56"/>
      <c r="S49" s="58"/>
      <c r="AI49" s="49" t="s">
        <v>354</v>
      </c>
      <c r="AJ49" s="46"/>
    </row>
    <row r="50" spans="1:36" s="47" customFormat="1">
      <c r="A50" s="66"/>
      <c r="B50" s="66"/>
      <c r="C50" s="40" t="s">
        <v>355</v>
      </c>
      <c r="D50" s="45">
        <v>4</v>
      </c>
      <c r="E50" s="45" t="str">
        <f t="shared" si="5"/>
        <v>23:20</v>
      </c>
      <c r="F50" s="40" t="s">
        <v>263</v>
      </c>
      <c r="G50" s="40" t="s">
        <v>263</v>
      </c>
      <c r="H50" s="40" t="s">
        <v>525</v>
      </c>
      <c r="I50" s="43" t="s">
        <v>36</v>
      </c>
      <c r="J50" s="41" t="s">
        <v>35</v>
      </c>
      <c r="K50" s="44" t="s">
        <v>6</v>
      </c>
      <c r="L50" s="40"/>
      <c r="M50" s="56"/>
      <c r="N50" s="56"/>
      <c r="O50" s="56"/>
      <c r="P50" s="56"/>
      <c r="Q50" s="56"/>
      <c r="R50" s="56"/>
      <c r="S50" s="58"/>
      <c r="AI50" s="49" t="s">
        <v>356</v>
      </c>
      <c r="AJ50" s="46"/>
    </row>
    <row r="51" spans="1:36" s="47" customFormat="1">
      <c r="A51" s="66"/>
      <c r="B51" s="66"/>
      <c r="C51" s="40" t="s">
        <v>357</v>
      </c>
      <c r="D51" s="45">
        <v>4</v>
      </c>
      <c r="E51" s="45" t="str">
        <f t="shared" si="5"/>
        <v>19:16</v>
      </c>
      <c r="F51" s="40" t="s">
        <v>263</v>
      </c>
      <c r="G51" s="40" t="s">
        <v>263</v>
      </c>
      <c r="H51" s="40" t="s">
        <v>525</v>
      </c>
      <c r="I51" s="43" t="s">
        <v>36</v>
      </c>
      <c r="J51" s="41" t="s">
        <v>35</v>
      </c>
      <c r="K51" s="44" t="s">
        <v>6</v>
      </c>
      <c r="L51" s="40"/>
      <c r="M51" s="56"/>
      <c r="N51" s="56"/>
      <c r="O51" s="56"/>
      <c r="P51" s="56"/>
      <c r="Q51" s="56"/>
      <c r="R51" s="56"/>
      <c r="S51" s="58"/>
      <c r="AI51" s="49" t="s">
        <v>358</v>
      </c>
      <c r="AJ51" s="46"/>
    </row>
    <row r="52" spans="1:36" s="47" customFormat="1">
      <c r="A52" s="66"/>
      <c r="B52" s="66"/>
      <c r="C52" s="40" t="s">
        <v>359</v>
      </c>
      <c r="D52" s="45">
        <v>4</v>
      </c>
      <c r="E52" s="45" t="str">
        <f t="shared" si="5"/>
        <v>15:12</v>
      </c>
      <c r="F52" s="40" t="s">
        <v>263</v>
      </c>
      <c r="G52" s="40" t="s">
        <v>263</v>
      </c>
      <c r="H52" s="40" t="s">
        <v>525</v>
      </c>
      <c r="I52" s="43" t="s">
        <v>36</v>
      </c>
      <c r="J52" s="41" t="s">
        <v>35</v>
      </c>
      <c r="K52" s="44" t="s">
        <v>6</v>
      </c>
      <c r="L52" s="40"/>
      <c r="M52" s="56"/>
      <c r="N52" s="56"/>
      <c r="O52" s="56"/>
      <c r="P52" s="56"/>
      <c r="Q52" s="56"/>
      <c r="R52" s="56"/>
      <c r="S52" s="58"/>
      <c r="AI52" s="49" t="s">
        <v>360</v>
      </c>
      <c r="AJ52" s="46"/>
    </row>
    <row r="53" spans="1:36" s="47" customFormat="1">
      <c r="A53" s="66"/>
      <c r="B53" s="66"/>
      <c r="C53" s="40" t="s">
        <v>361</v>
      </c>
      <c r="D53" s="45">
        <v>4</v>
      </c>
      <c r="E53" s="45" t="str">
        <f t="shared" si="5"/>
        <v>11:8</v>
      </c>
      <c r="F53" s="40" t="s">
        <v>263</v>
      </c>
      <c r="G53" s="40" t="s">
        <v>263</v>
      </c>
      <c r="H53" s="40" t="s">
        <v>525</v>
      </c>
      <c r="I53" s="43" t="s">
        <v>36</v>
      </c>
      <c r="J53" s="41" t="s">
        <v>35</v>
      </c>
      <c r="K53" s="44" t="s">
        <v>6</v>
      </c>
      <c r="L53" s="40"/>
      <c r="M53" s="56"/>
      <c r="N53" s="56"/>
      <c r="O53" s="56"/>
      <c r="P53" s="56"/>
      <c r="Q53" s="56"/>
      <c r="R53" s="56"/>
      <c r="S53" s="58"/>
      <c r="AI53" s="49" t="s">
        <v>362</v>
      </c>
      <c r="AJ53" s="46"/>
    </row>
    <row r="54" spans="1:36" s="47" customFormat="1">
      <c r="A54" s="66"/>
      <c r="B54" s="66"/>
      <c r="C54" s="40" t="s">
        <v>363</v>
      </c>
      <c r="D54" s="45">
        <v>4</v>
      </c>
      <c r="E54" s="45" t="str">
        <f t="shared" si="5"/>
        <v>7:4</v>
      </c>
      <c r="F54" s="40" t="s">
        <v>263</v>
      </c>
      <c r="G54" s="40" t="s">
        <v>263</v>
      </c>
      <c r="H54" s="40" t="s">
        <v>525</v>
      </c>
      <c r="I54" s="43" t="s">
        <v>36</v>
      </c>
      <c r="J54" s="41" t="s">
        <v>35</v>
      </c>
      <c r="K54" s="44" t="s">
        <v>6</v>
      </c>
      <c r="L54" s="40"/>
      <c r="M54" s="56"/>
      <c r="N54" s="56"/>
      <c r="O54" s="56"/>
      <c r="P54" s="56"/>
      <c r="Q54" s="56"/>
      <c r="R54" s="56"/>
      <c r="S54" s="58"/>
      <c r="AI54" s="49" t="s">
        <v>364</v>
      </c>
      <c r="AJ54" s="46"/>
    </row>
    <row r="55" spans="1:36" s="47" customFormat="1" ht="15" thickBot="1">
      <c r="A55" s="66"/>
      <c r="B55" s="66"/>
      <c r="C55" s="40" t="s">
        <v>365</v>
      </c>
      <c r="D55" s="45">
        <v>4</v>
      </c>
      <c r="E55" s="45" t="str">
        <f t="shared" si="5"/>
        <v>3:0</v>
      </c>
      <c r="F55" s="40" t="s">
        <v>263</v>
      </c>
      <c r="G55" s="40" t="s">
        <v>263</v>
      </c>
      <c r="H55" s="40" t="s">
        <v>525</v>
      </c>
      <c r="I55" s="43" t="s">
        <v>36</v>
      </c>
      <c r="J55" s="41" t="s">
        <v>35</v>
      </c>
      <c r="K55" s="44" t="s">
        <v>6</v>
      </c>
      <c r="L55" s="40"/>
      <c r="M55" s="56"/>
      <c r="N55" s="56"/>
      <c r="O55" s="56"/>
      <c r="P55" s="56"/>
      <c r="Q55" s="56"/>
      <c r="R55" s="56"/>
      <c r="S55" s="58"/>
      <c r="AI55" s="49" t="s">
        <v>366</v>
      </c>
      <c r="AJ55" s="46"/>
    </row>
    <row r="56" spans="1:36" s="47" customFormat="1">
      <c r="A56" s="60" t="s">
        <v>367</v>
      </c>
      <c r="B56" s="62">
        <v>18</v>
      </c>
      <c r="C56" s="42" t="s">
        <v>47</v>
      </c>
      <c r="D56" s="64" t="str">
        <f>bitConcat(F57:F67)</f>
        <v>32'b00000111011101110111011101110111</v>
      </c>
      <c r="E56" s="65"/>
      <c r="F56" s="65"/>
      <c r="G56" s="65"/>
      <c r="H56" s="51" t="s">
        <v>42</v>
      </c>
      <c r="I56" s="51"/>
      <c r="J56" s="51" t="str">
        <f>bitConcat(G57:G67)</f>
        <v>32'b00000111011101110111011101110111</v>
      </c>
      <c r="K56" s="51"/>
      <c r="L56" s="52"/>
      <c r="M56" s="55" t="str">
        <f>DEC2HEX(_xlfn.BITLSHIFT(O56,7)+4*P56)</f>
        <v>598</v>
      </c>
      <c r="N56" s="55"/>
      <c r="O56" s="55">
        <v>11</v>
      </c>
      <c r="P56" s="55">
        <v>6</v>
      </c>
      <c r="Q56" s="55" t="str">
        <f>DEC2HEX(_xlfn.BITLSHIFT(O56,5)+P56)</f>
        <v>166</v>
      </c>
      <c r="R56" s="55" t="str">
        <f>BIN2HEX(LEFT(RIGHT(D56,32),4))&amp;BIN2HEX(LEFT(RIGHT(D56,28),4))&amp;BIN2HEX(LEFT(RIGHT(D56,24),4))&amp;BIN2HEX(LEFT(RIGHT(D56,20),4))&amp;BIN2HEX(LEFT(RIGHT(D56,16),4))&amp;BIN2HEX(LEFT(RIGHT(D56,12),4))&amp;BIN2HEX(LEFT(RIGHT(D56,8),4))&amp;BIN2HEX(LEFT(RIGHT(D56,4),4))</f>
        <v>07777777</v>
      </c>
      <c r="S56" s="57" t="str">
        <f>BIN2HEX(LEFT(RIGHT(J56,32),4))&amp;BIN2HEX(LEFT(RIGHT(J56,28),4))&amp;BIN2HEX(LEFT(RIGHT(J56,24),4))&amp;BIN2HEX(LEFT(RIGHT(J56,20),4))&amp;BIN2HEX(LEFT(RIGHT(J56,16),4))&amp;BIN2HEX(LEFT(RIGHT(J56,12),4))&amp;BIN2HEX(LEFT(RIGHT(J56,8),4))&amp;BIN2HEX(LEFT(RIGHT(J56,4),4))</f>
        <v>07777777</v>
      </c>
      <c r="AI56" s="49"/>
      <c r="AJ56" s="46"/>
    </row>
    <row r="57" spans="1:36" s="47" customFormat="1">
      <c r="A57" s="61"/>
      <c r="B57" s="63"/>
      <c r="C57" s="40" t="s">
        <v>368</v>
      </c>
      <c r="D57" s="45">
        <v>1</v>
      </c>
      <c r="E57" s="45" t="str">
        <f>IF(D57&gt;1,(31)&amp;":"&amp;(31-D57+1),(31-D57+1)&amp;":"&amp;(31-D57+1))</f>
        <v>31:31</v>
      </c>
      <c r="F57" s="40" t="s">
        <v>7</v>
      </c>
      <c r="G57" s="40" t="s">
        <v>7</v>
      </c>
      <c r="H57" s="40" t="s">
        <v>369</v>
      </c>
      <c r="I57" s="43" t="s">
        <v>36</v>
      </c>
      <c r="J57" s="41" t="s">
        <v>35</v>
      </c>
      <c r="K57" s="44" t="s">
        <v>6</v>
      </c>
      <c r="L57" s="40"/>
      <c r="M57" s="56"/>
      <c r="N57" s="56"/>
      <c r="O57" s="56"/>
      <c r="P57" s="56"/>
      <c r="Q57" s="56"/>
      <c r="R57" s="56"/>
      <c r="S57" s="58"/>
      <c r="AI57" s="47" t="s">
        <v>370</v>
      </c>
      <c r="AJ57" s="46"/>
    </row>
    <row r="58" spans="1:36" s="47" customFormat="1">
      <c r="A58" s="61"/>
      <c r="B58" s="63"/>
      <c r="C58" s="40" t="s">
        <v>371</v>
      </c>
      <c r="D58" s="45">
        <v>1</v>
      </c>
      <c r="E58" s="45" t="str">
        <f t="shared" ref="E58:E67" si="6">(MID(str_cnvt(E57),SEARCH(":",str_cnvt(E57))+1,2)-1) &amp; ":" &amp; (MID(str_cnvt(E57),SEARCH(":",str_cnvt(E57))+1,2)-D58)</f>
        <v>30:30</v>
      </c>
      <c r="F58" s="40" t="s">
        <v>7</v>
      </c>
      <c r="G58" s="40" t="s">
        <v>7</v>
      </c>
      <c r="H58" s="40" t="s">
        <v>369</v>
      </c>
      <c r="I58" s="43" t="s">
        <v>36</v>
      </c>
      <c r="J58" s="41" t="s">
        <v>35</v>
      </c>
      <c r="K58" s="44" t="s">
        <v>6</v>
      </c>
      <c r="L58" s="40"/>
      <c r="M58" s="56"/>
      <c r="N58" s="56"/>
      <c r="O58" s="56"/>
      <c r="P58" s="56"/>
      <c r="Q58" s="56"/>
      <c r="R58" s="56"/>
      <c r="S58" s="58"/>
      <c r="AI58" s="47" t="s">
        <v>372</v>
      </c>
      <c r="AJ58" s="46"/>
    </row>
    <row r="59" spans="1:36" s="47" customFormat="1">
      <c r="A59" s="61"/>
      <c r="B59" s="63"/>
      <c r="C59" s="40" t="s">
        <v>373</v>
      </c>
      <c r="D59" s="45">
        <v>1</v>
      </c>
      <c r="E59" s="45" t="str">
        <f t="shared" si="6"/>
        <v>29:29</v>
      </c>
      <c r="F59" s="40" t="s">
        <v>7</v>
      </c>
      <c r="G59" s="40" t="s">
        <v>7</v>
      </c>
      <c r="H59" s="40" t="s">
        <v>369</v>
      </c>
      <c r="I59" s="43" t="s">
        <v>36</v>
      </c>
      <c r="J59" s="41" t="s">
        <v>35</v>
      </c>
      <c r="K59" s="44" t="s">
        <v>6</v>
      </c>
      <c r="L59" s="40"/>
      <c r="M59" s="56"/>
      <c r="N59" s="56"/>
      <c r="O59" s="56"/>
      <c r="P59" s="56"/>
      <c r="Q59" s="56"/>
      <c r="R59" s="56"/>
      <c r="S59" s="58"/>
      <c r="AI59" s="47" t="s">
        <v>374</v>
      </c>
      <c r="AJ59" s="46"/>
    </row>
    <row r="60" spans="1:36" s="47" customFormat="1">
      <c r="A60" s="61"/>
      <c r="B60" s="63"/>
      <c r="C60" s="40" t="s">
        <v>375</v>
      </c>
      <c r="D60" s="45">
        <v>1</v>
      </c>
      <c r="E60" s="45" t="str">
        <f t="shared" si="6"/>
        <v>28:28</v>
      </c>
      <c r="F60" s="40" t="s">
        <v>7</v>
      </c>
      <c r="G60" s="40" t="s">
        <v>7</v>
      </c>
      <c r="H60" s="40" t="s">
        <v>369</v>
      </c>
      <c r="I60" s="43" t="s">
        <v>36</v>
      </c>
      <c r="J60" s="41" t="s">
        <v>35</v>
      </c>
      <c r="K60" s="44" t="s">
        <v>6</v>
      </c>
      <c r="L60" s="40"/>
      <c r="M60" s="56"/>
      <c r="N60" s="56"/>
      <c r="O60" s="56"/>
      <c r="P60" s="56"/>
      <c r="Q60" s="56"/>
      <c r="R60" s="56"/>
      <c r="S60" s="58"/>
      <c r="AI60" s="47" t="s">
        <v>376</v>
      </c>
      <c r="AJ60" s="46"/>
    </row>
    <row r="61" spans="1:36" s="47" customFormat="1">
      <c r="A61" s="61"/>
      <c r="B61" s="63"/>
      <c r="C61" s="40" t="s">
        <v>377</v>
      </c>
      <c r="D61" s="45">
        <v>4</v>
      </c>
      <c r="E61" s="45" t="str">
        <f t="shared" si="6"/>
        <v>27:24</v>
      </c>
      <c r="F61" s="40" t="s">
        <v>263</v>
      </c>
      <c r="G61" s="40" t="s">
        <v>263</v>
      </c>
      <c r="H61" s="40" t="s">
        <v>523</v>
      </c>
      <c r="I61" s="43" t="s">
        <v>36</v>
      </c>
      <c r="J61" s="41" t="s">
        <v>35</v>
      </c>
      <c r="K61" s="44" t="s">
        <v>6</v>
      </c>
      <c r="L61" s="40"/>
      <c r="M61" s="56"/>
      <c r="N61" s="56"/>
      <c r="O61" s="56"/>
      <c r="P61" s="56"/>
      <c r="Q61" s="56"/>
      <c r="R61" s="56"/>
      <c r="S61" s="58"/>
      <c r="AI61" s="49" t="s">
        <v>378</v>
      </c>
      <c r="AJ61" s="46"/>
    </row>
    <row r="62" spans="1:36" s="47" customFormat="1">
      <c r="A62" s="61"/>
      <c r="B62" s="63"/>
      <c r="C62" s="40" t="s">
        <v>379</v>
      </c>
      <c r="D62" s="45">
        <v>4</v>
      </c>
      <c r="E62" s="45" t="str">
        <f t="shared" si="6"/>
        <v>23:20</v>
      </c>
      <c r="F62" s="40" t="s">
        <v>263</v>
      </c>
      <c r="G62" s="40" t="s">
        <v>263</v>
      </c>
      <c r="H62" s="40" t="s">
        <v>523</v>
      </c>
      <c r="I62" s="43" t="s">
        <v>36</v>
      </c>
      <c r="J62" s="41" t="s">
        <v>35</v>
      </c>
      <c r="K62" s="44" t="s">
        <v>6</v>
      </c>
      <c r="L62" s="40"/>
      <c r="M62" s="56"/>
      <c r="N62" s="56"/>
      <c r="O62" s="56"/>
      <c r="P62" s="56"/>
      <c r="Q62" s="56"/>
      <c r="R62" s="56"/>
      <c r="S62" s="58"/>
      <c r="AI62" s="49" t="s">
        <v>380</v>
      </c>
      <c r="AJ62" s="46"/>
    </row>
    <row r="63" spans="1:36" s="47" customFormat="1">
      <c r="A63" s="61"/>
      <c r="B63" s="63"/>
      <c r="C63" s="40" t="s">
        <v>381</v>
      </c>
      <c r="D63" s="45">
        <v>4</v>
      </c>
      <c r="E63" s="45" t="str">
        <f t="shared" si="6"/>
        <v>19:16</v>
      </c>
      <c r="F63" s="40" t="s">
        <v>263</v>
      </c>
      <c r="G63" s="40" t="s">
        <v>263</v>
      </c>
      <c r="H63" s="40" t="s">
        <v>518</v>
      </c>
      <c r="I63" s="43" t="s">
        <v>36</v>
      </c>
      <c r="J63" s="41" t="s">
        <v>35</v>
      </c>
      <c r="K63" s="44" t="s">
        <v>6</v>
      </c>
      <c r="L63" s="40"/>
      <c r="M63" s="56"/>
      <c r="N63" s="56"/>
      <c r="O63" s="56"/>
      <c r="P63" s="56"/>
      <c r="Q63" s="56"/>
      <c r="R63" s="56"/>
      <c r="S63" s="58"/>
      <c r="AI63" s="49" t="s">
        <v>382</v>
      </c>
      <c r="AJ63" s="46"/>
    </row>
    <row r="64" spans="1:36" s="47" customFormat="1">
      <c r="A64" s="61"/>
      <c r="B64" s="63"/>
      <c r="C64" s="40" t="s">
        <v>383</v>
      </c>
      <c r="D64" s="45">
        <v>4</v>
      </c>
      <c r="E64" s="45" t="str">
        <f t="shared" si="6"/>
        <v>15:12</v>
      </c>
      <c r="F64" s="40" t="s">
        <v>263</v>
      </c>
      <c r="G64" s="40" t="s">
        <v>263</v>
      </c>
      <c r="H64" s="40" t="s">
        <v>529</v>
      </c>
      <c r="I64" s="43" t="s">
        <v>36</v>
      </c>
      <c r="J64" s="41" t="s">
        <v>35</v>
      </c>
      <c r="K64" s="44" t="s">
        <v>6</v>
      </c>
      <c r="L64" s="40"/>
      <c r="M64" s="56"/>
      <c r="N64" s="56"/>
      <c r="O64" s="56"/>
      <c r="P64" s="56"/>
      <c r="Q64" s="56"/>
      <c r="R64" s="56"/>
      <c r="S64" s="58"/>
      <c r="AI64" s="49" t="s">
        <v>384</v>
      </c>
      <c r="AJ64" s="46"/>
    </row>
    <row r="65" spans="1:36" s="47" customFormat="1">
      <c r="A65" s="61"/>
      <c r="B65" s="63"/>
      <c r="C65" s="40" t="s">
        <v>385</v>
      </c>
      <c r="D65" s="45">
        <v>4</v>
      </c>
      <c r="E65" s="45" t="str">
        <f t="shared" si="6"/>
        <v>11:8</v>
      </c>
      <c r="F65" s="40" t="s">
        <v>263</v>
      </c>
      <c r="G65" s="40" t="s">
        <v>263</v>
      </c>
      <c r="H65" s="40" t="s">
        <v>528</v>
      </c>
      <c r="I65" s="43" t="s">
        <v>36</v>
      </c>
      <c r="J65" s="41" t="s">
        <v>35</v>
      </c>
      <c r="K65" s="44" t="s">
        <v>6</v>
      </c>
      <c r="L65" s="40"/>
      <c r="M65" s="56"/>
      <c r="N65" s="56"/>
      <c r="O65" s="56"/>
      <c r="P65" s="56"/>
      <c r="Q65" s="56"/>
      <c r="R65" s="56"/>
      <c r="S65" s="58"/>
      <c r="AI65" s="49" t="s">
        <v>386</v>
      </c>
      <c r="AJ65" s="46"/>
    </row>
    <row r="66" spans="1:36" s="47" customFormat="1">
      <c r="A66" s="61"/>
      <c r="B66" s="63"/>
      <c r="C66" s="40" t="s">
        <v>387</v>
      </c>
      <c r="D66" s="45">
        <v>4</v>
      </c>
      <c r="E66" s="45" t="str">
        <f t="shared" si="6"/>
        <v>7:4</v>
      </c>
      <c r="F66" s="40" t="s">
        <v>263</v>
      </c>
      <c r="G66" s="40" t="s">
        <v>263</v>
      </c>
      <c r="H66" s="40" t="s">
        <v>518</v>
      </c>
      <c r="I66" s="43" t="s">
        <v>36</v>
      </c>
      <c r="J66" s="41" t="s">
        <v>35</v>
      </c>
      <c r="K66" s="44" t="s">
        <v>6</v>
      </c>
      <c r="L66" s="40"/>
      <c r="M66" s="56"/>
      <c r="N66" s="56"/>
      <c r="O66" s="56"/>
      <c r="P66" s="56"/>
      <c r="Q66" s="56"/>
      <c r="R66" s="56"/>
      <c r="S66" s="58"/>
      <c r="AI66" s="49" t="s">
        <v>388</v>
      </c>
      <c r="AJ66" s="46"/>
    </row>
    <row r="67" spans="1:36" s="47" customFormat="1" ht="15" thickBot="1">
      <c r="A67" s="61"/>
      <c r="B67" s="63"/>
      <c r="C67" s="40" t="s">
        <v>389</v>
      </c>
      <c r="D67" s="45">
        <v>4</v>
      </c>
      <c r="E67" s="45" t="str">
        <f t="shared" si="6"/>
        <v>3:0</v>
      </c>
      <c r="F67" s="40" t="s">
        <v>263</v>
      </c>
      <c r="G67" s="40" t="s">
        <v>263</v>
      </c>
      <c r="H67" s="40" t="s">
        <v>528</v>
      </c>
      <c r="I67" s="43" t="s">
        <v>36</v>
      </c>
      <c r="J67" s="41" t="s">
        <v>35</v>
      </c>
      <c r="K67" s="44" t="s">
        <v>6</v>
      </c>
      <c r="L67" s="40"/>
      <c r="M67" s="56"/>
      <c r="N67" s="56"/>
      <c r="O67" s="56"/>
      <c r="P67" s="56"/>
      <c r="Q67" s="56"/>
      <c r="R67" s="56"/>
      <c r="S67" s="59"/>
      <c r="AI67" s="49" t="s">
        <v>390</v>
      </c>
      <c r="AJ67" s="46"/>
    </row>
    <row r="68" spans="1:36" s="47" customFormat="1">
      <c r="A68" s="66" t="s">
        <v>391</v>
      </c>
      <c r="B68" s="66" t="s">
        <v>157</v>
      </c>
      <c r="C68" s="42" t="s">
        <v>47</v>
      </c>
      <c r="D68" s="64" t="str">
        <f>bitConcat(F69:F76)</f>
        <v>32'b10001000100010001000100010001000</v>
      </c>
      <c r="E68" s="65"/>
      <c r="F68" s="65"/>
      <c r="G68" s="65"/>
      <c r="H68" s="51" t="s">
        <v>42</v>
      </c>
      <c r="I68" s="51"/>
      <c r="J68" s="51" t="str">
        <f>bitConcat(G69:G76)</f>
        <v>32'b10001000100010001000100010001000</v>
      </c>
      <c r="K68" s="51"/>
      <c r="L68" s="52"/>
      <c r="M68" s="55" t="str">
        <f>DEC2HEX(_xlfn.BITLSHIFT(O68,7)+4*P68)</f>
        <v>59C</v>
      </c>
      <c r="N68" s="55"/>
      <c r="O68" s="55">
        <v>11</v>
      </c>
      <c r="P68" s="55">
        <v>7</v>
      </c>
      <c r="Q68" s="55" t="str">
        <f>DEC2HEX(_xlfn.BITLSHIFT(O68,5)+P68)</f>
        <v>167</v>
      </c>
      <c r="R68" s="55" t="str">
        <f>BIN2HEX(LEFT(RIGHT(D68,32),4))&amp;BIN2HEX(LEFT(RIGHT(D68,28),4))&amp;BIN2HEX(LEFT(RIGHT(D68,24),4))&amp;BIN2HEX(LEFT(RIGHT(D68,20),4))&amp;BIN2HEX(LEFT(RIGHT(D68,16),4))&amp;BIN2HEX(LEFT(RIGHT(D68,12),4))&amp;BIN2HEX(LEFT(RIGHT(D68,8),4))&amp;BIN2HEX(LEFT(RIGHT(D68,4),4))</f>
        <v>88888888</v>
      </c>
      <c r="S68" s="57" t="str">
        <f>BIN2HEX(LEFT(RIGHT(J68,32),4))&amp;BIN2HEX(LEFT(RIGHT(J68,28),4))&amp;BIN2HEX(LEFT(RIGHT(J68,24),4))&amp;BIN2HEX(LEFT(RIGHT(J68,20),4))&amp;BIN2HEX(LEFT(RIGHT(J68,16),4))&amp;BIN2HEX(LEFT(RIGHT(J68,12),4))&amp;BIN2HEX(LEFT(RIGHT(J68,8),4))&amp;BIN2HEX(LEFT(RIGHT(J68,4),4))</f>
        <v>88888888</v>
      </c>
      <c r="AI68" s="49"/>
      <c r="AJ68" s="46"/>
    </row>
    <row r="69" spans="1:36" s="47" customFormat="1">
      <c r="A69" s="66"/>
      <c r="B69" s="66"/>
      <c r="C69" s="40" t="s">
        <v>392</v>
      </c>
      <c r="D69" s="45">
        <v>4</v>
      </c>
      <c r="E69" s="45" t="str">
        <f>IF(D69&gt;1,(31)&amp;":"&amp;(31-D69+1),(31-D69+1)&amp;":"&amp;(31-D69+1))</f>
        <v>31:28</v>
      </c>
      <c r="F69" s="40" t="s">
        <v>51</v>
      </c>
      <c r="G69" s="40" t="s">
        <v>51</v>
      </c>
      <c r="H69" s="40" t="s">
        <v>351</v>
      </c>
      <c r="I69" s="43" t="s">
        <v>36</v>
      </c>
      <c r="J69" s="41" t="s">
        <v>35</v>
      </c>
      <c r="K69" s="44" t="s">
        <v>6</v>
      </c>
      <c r="L69" s="40"/>
      <c r="M69" s="56"/>
      <c r="N69" s="56"/>
      <c r="O69" s="56"/>
      <c r="P69" s="56"/>
      <c r="Q69" s="56"/>
      <c r="R69" s="56"/>
      <c r="S69" s="58"/>
      <c r="AI69" s="49" t="s">
        <v>393</v>
      </c>
      <c r="AJ69" s="46"/>
    </row>
    <row r="70" spans="1:36" s="47" customFormat="1">
      <c r="A70" s="66"/>
      <c r="B70" s="66"/>
      <c r="C70" s="40" t="s">
        <v>394</v>
      </c>
      <c r="D70" s="45">
        <v>4</v>
      </c>
      <c r="E70" s="45" t="str">
        <f t="shared" ref="E70:E76" si="7">(MID(str_cnvt(E69),SEARCH(":",str_cnvt(E69))+1,2)-1) &amp; ":" &amp; (MID(str_cnvt(E69),SEARCH(":",str_cnvt(E69))+1,2)-D70)</f>
        <v>27:24</v>
      </c>
      <c r="F70" s="40" t="s">
        <v>51</v>
      </c>
      <c r="G70" s="40" t="s">
        <v>51</v>
      </c>
      <c r="H70" s="40" t="s">
        <v>542</v>
      </c>
      <c r="I70" s="43" t="s">
        <v>36</v>
      </c>
      <c r="J70" s="41" t="s">
        <v>35</v>
      </c>
      <c r="K70" s="44" t="s">
        <v>6</v>
      </c>
      <c r="L70" s="40"/>
      <c r="M70" s="56"/>
      <c r="N70" s="56"/>
      <c r="O70" s="56"/>
      <c r="P70" s="56"/>
      <c r="Q70" s="56"/>
      <c r="R70" s="56"/>
      <c r="S70" s="58"/>
      <c r="AI70" s="49" t="s">
        <v>395</v>
      </c>
      <c r="AJ70" s="46"/>
    </row>
    <row r="71" spans="1:36" s="47" customFormat="1">
      <c r="A71" s="66"/>
      <c r="B71" s="66"/>
      <c r="C71" s="40" t="s">
        <v>396</v>
      </c>
      <c r="D71" s="45">
        <v>4</v>
      </c>
      <c r="E71" s="45" t="str">
        <f t="shared" si="7"/>
        <v>23:20</v>
      </c>
      <c r="F71" s="40" t="s">
        <v>51</v>
      </c>
      <c r="G71" s="40" t="s">
        <v>51</v>
      </c>
      <c r="H71" s="40" t="s">
        <v>530</v>
      </c>
      <c r="I71" s="43" t="s">
        <v>36</v>
      </c>
      <c r="J71" s="41" t="s">
        <v>35</v>
      </c>
      <c r="K71" s="44" t="s">
        <v>6</v>
      </c>
      <c r="L71" s="40"/>
      <c r="M71" s="56"/>
      <c r="N71" s="56"/>
      <c r="O71" s="56"/>
      <c r="P71" s="56"/>
      <c r="Q71" s="56"/>
      <c r="R71" s="56"/>
      <c r="S71" s="58"/>
      <c r="AI71" s="49" t="s">
        <v>397</v>
      </c>
      <c r="AJ71" s="46"/>
    </row>
    <row r="72" spans="1:36" s="47" customFormat="1">
      <c r="A72" s="66"/>
      <c r="B72" s="66"/>
      <c r="C72" s="40" t="s">
        <v>398</v>
      </c>
      <c r="D72" s="45">
        <v>4</v>
      </c>
      <c r="E72" s="45" t="str">
        <f t="shared" si="7"/>
        <v>19:16</v>
      </c>
      <c r="F72" s="40" t="s">
        <v>51</v>
      </c>
      <c r="G72" s="40" t="s">
        <v>51</v>
      </c>
      <c r="H72" s="40" t="s">
        <v>530</v>
      </c>
      <c r="I72" s="43" t="s">
        <v>36</v>
      </c>
      <c r="J72" s="41" t="s">
        <v>35</v>
      </c>
      <c r="K72" s="44" t="s">
        <v>6</v>
      </c>
      <c r="L72" s="40"/>
      <c r="M72" s="56"/>
      <c r="N72" s="56"/>
      <c r="O72" s="56"/>
      <c r="P72" s="56"/>
      <c r="Q72" s="56"/>
      <c r="R72" s="56"/>
      <c r="S72" s="58"/>
      <c r="AI72" s="49" t="s">
        <v>399</v>
      </c>
      <c r="AJ72" s="46"/>
    </row>
    <row r="73" spans="1:36" s="47" customFormat="1">
      <c r="A73" s="66"/>
      <c r="B73" s="66"/>
      <c r="C73" s="40" t="s">
        <v>400</v>
      </c>
      <c r="D73" s="45">
        <v>4</v>
      </c>
      <c r="E73" s="45" t="str">
        <f t="shared" si="7"/>
        <v>15:12</v>
      </c>
      <c r="F73" s="40" t="s">
        <v>51</v>
      </c>
      <c r="G73" s="40" t="s">
        <v>51</v>
      </c>
      <c r="H73" s="40" t="s">
        <v>530</v>
      </c>
      <c r="I73" s="43" t="s">
        <v>36</v>
      </c>
      <c r="J73" s="41" t="s">
        <v>35</v>
      </c>
      <c r="K73" s="44" t="s">
        <v>6</v>
      </c>
      <c r="L73" s="40"/>
      <c r="M73" s="56"/>
      <c r="N73" s="56"/>
      <c r="O73" s="56"/>
      <c r="P73" s="56"/>
      <c r="Q73" s="56"/>
      <c r="R73" s="56"/>
      <c r="S73" s="58"/>
      <c r="AI73" s="49" t="s">
        <v>401</v>
      </c>
      <c r="AJ73" s="46"/>
    </row>
    <row r="74" spans="1:36" s="47" customFormat="1">
      <c r="A74" s="66"/>
      <c r="B74" s="66"/>
      <c r="C74" s="40" t="s">
        <v>402</v>
      </c>
      <c r="D74" s="45">
        <v>4</v>
      </c>
      <c r="E74" s="45" t="str">
        <f t="shared" si="7"/>
        <v>11:8</v>
      </c>
      <c r="F74" s="40" t="s">
        <v>51</v>
      </c>
      <c r="G74" s="40" t="s">
        <v>51</v>
      </c>
      <c r="H74" s="40" t="s">
        <v>530</v>
      </c>
      <c r="I74" s="43" t="s">
        <v>36</v>
      </c>
      <c r="J74" s="41" t="s">
        <v>35</v>
      </c>
      <c r="K74" s="44" t="s">
        <v>6</v>
      </c>
      <c r="L74" s="40"/>
      <c r="M74" s="56"/>
      <c r="N74" s="56"/>
      <c r="O74" s="56"/>
      <c r="P74" s="56"/>
      <c r="Q74" s="56"/>
      <c r="R74" s="56"/>
      <c r="S74" s="58"/>
      <c r="AI74" s="49" t="s">
        <v>403</v>
      </c>
      <c r="AJ74" s="46"/>
    </row>
    <row r="75" spans="1:36" s="47" customFormat="1">
      <c r="A75" s="66"/>
      <c r="B75" s="66"/>
      <c r="C75" s="40" t="s">
        <v>404</v>
      </c>
      <c r="D75" s="45">
        <v>4</v>
      </c>
      <c r="E75" s="45" t="str">
        <f t="shared" si="7"/>
        <v>7:4</v>
      </c>
      <c r="F75" s="40" t="s">
        <v>51</v>
      </c>
      <c r="G75" s="40" t="s">
        <v>51</v>
      </c>
      <c r="H75" s="40" t="s">
        <v>530</v>
      </c>
      <c r="I75" s="43" t="s">
        <v>36</v>
      </c>
      <c r="J75" s="41" t="s">
        <v>35</v>
      </c>
      <c r="K75" s="44" t="s">
        <v>6</v>
      </c>
      <c r="L75" s="40"/>
      <c r="M75" s="56"/>
      <c r="N75" s="56"/>
      <c r="O75" s="56"/>
      <c r="P75" s="56"/>
      <c r="Q75" s="56"/>
      <c r="R75" s="56"/>
      <c r="S75" s="58"/>
      <c r="AI75" s="49" t="s">
        <v>405</v>
      </c>
      <c r="AJ75" s="46"/>
    </row>
    <row r="76" spans="1:36" s="47" customFormat="1" ht="15" thickBot="1">
      <c r="A76" s="66"/>
      <c r="B76" s="66"/>
      <c r="C76" s="40" t="s">
        <v>406</v>
      </c>
      <c r="D76" s="45">
        <v>4</v>
      </c>
      <c r="E76" s="45" t="str">
        <f t="shared" si="7"/>
        <v>3:0</v>
      </c>
      <c r="F76" s="40" t="s">
        <v>51</v>
      </c>
      <c r="G76" s="40" t="s">
        <v>51</v>
      </c>
      <c r="H76" s="40" t="s">
        <v>407</v>
      </c>
      <c r="I76" s="43" t="s">
        <v>36</v>
      </c>
      <c r="J76" s="41" t="s">
        <v>35</v>
      </c>
      <c r="K76" s="44" t="s">
        <v>6</v>
      </c>
      <c r="L76" s="40"/>
      <c r="M76" s="56"/>
      <c r="N76" s="56"/>
      <c r="O76" s="56"/>
      <c r="P76" s="56"/>
      <c r="Q76" s="56"/>
      <c r="R76" s="56"/>
      <c r="S76" s="58"/>
      <c r="AI76" s="49" t="s">
        <v>408</v>
      </c>
      <c r="AJ76" s="46"/>
    </row>
    <row r="77" spans="1:36" s="47" customFormat="1">
      <c r="A77" s="66" t="s">
        <v>409</v>
      </c>
      <c r="B77" s="66">
        <v>20</v>
      </c>
      <c r="C77" s="42" t="s">
        <v>47</v>
      </c>
      <c r="D77" s="64" t="str">
        <f>bitConcat(F78:F85)</f>
        <v>32'b10001000100010001000100010001000</v>
      </c>
      <c r="E77" s="65"/>
      <c r="F77" s="65"/>
      <c r="G77" s="65"/>
      <c r="H77" s="51" t="s">
        <v>42</v>
      </c>
      <c r="I77" s="51"/>
      <c r="J77" s="51" t="str">
        <f>bitConcat(G78:G85)</f>
        <v>32'b10001000100010001000100010001000</v>
      </c>
      <c r="K77" s="51"/>
      <c r="L77" s="52"/>
      <c r="M77" s="55" t="str">
        <f>DEC2HEX(_xlfn.BITLSHIFT(O77,7)+4*P77)</f>
        <v>5A0</v>
      </c>
      <c r="N77" s="55"/>
      <c r="O77" s="55">
        <v>11</v>
      </c>
      <c r="P77" s="55">
        <v>8</v>
      </c>
      <c r="Q77" s="55" t="str">
        <f>DEC2HEX(_xlfn.BITLSHIFT(O77,5)+P77)</f>
        <v>168</v>
      </c>
      <c r="R77" s="55" t="str">
        <f>BIN2HEX(LEFT(RIGHT(D77,32),4))&amp;BIN2HEX(LEFT(RIGHT(D77,28),4))&amp;BIN2HEX(LEFT(RIGHT(D77,24),4))&amp;BIN2HEX(LEFT(RIGHT(D77,20),4))&amp;BIN2HEX(LEFT(RIGHT(D77,16),4))&amp;BIN2HEX(LEFT(RIGHT(D77,12),4))&amp;BIN2HEX(LEFT(RIGHT(D77,8),4))&amp;BIN2HEX(LEFT(RIGHT(D77,4),4))</f>
        <v>88888888</v>
      </c>
      <c r="S77" s="57" t="str">
        <f>BIN2HEX(LEFT(RIGHT(J77,32),4))&amp;BIN2HEX(LEFT(RIGHT(J77,28),4))&amp;BIN2HEX(LEFT(RIGHT(J77,24),4))&amp;BIN2HEX(LEFT(RIGHT(J77,20),4))&amp;BIN2HEX(LEFT(RIGHT(J77,16),4))&amp;BIN2HEX(LEFT(RIGHT(J77,12),4))&amp;BIN2HEX(LEFT(RIGHT(J77,8),4))&amp;BIN2HEX(LEFT(RIGHT(J77,4),4))</f>
        <v>88888888</v>
      </c>
      <c r="AI77" s="49"/>
      <c r="AJ77" s="46"/>
    </row>
    <row r="78" spans="1:36" s="47" customFormat="1">
      <c r="A78" s="66"/>
      <c r="B78" s="66"/>
      <c r="C78" s="50" t="s">
        <v>543</v>
      </c>
      <c r="D78" s="45">
        <v>4</v>
      </c>
      <c r="E78" s="45" t="str">
        <f>IF(D78&gt;1,(31)&amp;":"&amp;(31-D78+1),(31-D78+1)&amp;":"&amp;(31-D78+1))</f>
        <v>31:28</v>
      </c>
      <c r="F78" s="40" t="s">
        <v>51</v>
      </c>
      <c r="G78" s="40" t="s">
        <v>51</v>
      </c>
      <c r="H78" s="40" t="s">
        <v>551</v>
      </c>
      <c r="I78" s="43" t="s">
        <v>36</v>
      </c>
      <c r="J78" s="41" t="s">
        <v>35</v>
      </c>
      <c r="K78" s="44" t="s">
        <v>6</v>
      </c>
      <c r="L78" s="40"/>
      <c r="M78" s="56"/>
      <c r="N78" s="56"/>
      <c r="O78" s="56"/>
      <c r="P78" s="56"/>
      <c r="Q78" s="56"/>
      <c r="R78" s="56"/>
      <c r="S78" s="58"/>
      <c r="AI78" s="49" t="s">
        <v>410</v>
      </c>
      <c r="AJ78" s="46"/>
    </row>
    <row r="79" spans="1:36" s="47" customFormat="1">
      <c r="A79" s="66"/>
      <c r="B79" s="66"/>
      <c r="C79" s="50" t="s">
        <v>547</v>
      </c>
      <c r="D79" s="45">
        <v>4</v>
      </c>
      <c r="E79" s="45" t="str">
        <f>(MID(str_cnvt(E78),SEARCH(":",str_cnvt(E78))+1,2)-1) &amp; ":" &amp; (MID(str_cnvt(E78),SEARCH(":",str_cnvt(E78))+1,2)-D79)</f>
        <v>27:24</v>
      </c>
      <c r="F79" s="40" t="s">
        <v>51</v>
      </c>
      <c r="G79" s="40" t="s">
        <v>51</v>
      </c>
      <c r="H79" s="40" t="s">
        <v>551</v>
      </c>
      <c r="I79" s="43" t="s">
        <v>36</v>
      </c>
      <c r="J79" s="41" t="s">
        <v>35</v>
      </c>
      <c r="K79" s="44" t="s">
        <v>6</v>
      </c>
      <c r="L79" s="40"/>
      <c r="M79" s="56"/>
      <c r="N79" s="56"/>
      <c r="O79" s="56"/>
      <c r="P79" s="56"/>
      <c r="Q79" s="56"/>
      <c r="R79" s="56"/>
      <c r="S79" s="58"/>
      <c r="AI79" s="49" t="s">
        <v>411</v>
      </c>
      <c r="AJ79" s="46"/>
    </row>
    <row r="80" spans="1:36" s="47" customFormat="1">
      <c r="A80" s="66"/>
      <c r="B80" s="66"/>
      <c r="C80" s="50" t="s">
        <v>548</v>
      </c>
      <c r="D80" s="45">
        <v>4</v>
      </c>
      <c r="E80" s="45" t="str">
        <f t="shared" ref="E80:E85" si="8">(MID(str_cnvt(E79),SEARCH(":",str_cnvt(E79))+1,2)-1) &amp; ":" &amp; (MID(str_cnvt(E79),SEARCH(":",str_cnvt(E79))+1,2)-D80)</f>
        <v>23:20</v>
      </c>
      <c r="F80" s="40" t="s">
        <v>51</v>
      </c>
      <c r="G80" s="40" t="s">
        <v>51</v>
      </c>
      <c r="H80" s="40" t="s">
        <v>551</v>
      </c>
      <c r="I80" s="43" t="s">
        <v>36</v>
      </c>
      <c r="J80" s="41" t="s">
        <v>35</v>
      </c>
      <c r="K80" s="44" t="s">
        <v>6</v>
      </c>
      <c r="L80" s="40"/>
      <c r="M80" s="56"/>
      <c r="N80" s="56"/>
      <c r="O80" s="56"/>
      <c r="P80" s="56"/>
      <c r="Q80" s="56"/>
      <c r="R80" s="56"/>
      <c r="S80" s="58"/>
      <c r="AI80" s="49" t="s">
        <v>412</v>
      </c>
      <c r="AJ80" s="46"/>
    </row>
    <row r="81" spans="1:36" s="47" customFormat="1">
      <c r="A81" s="66"/>
      <c r="B81" s="66"/>
      <c r="C81" s="50" t="s">
        <v>549</v>
      </c>
      <c r="D81" s="45">
        <v>4</v>
      </c>
      <c r="E81" s="45" t="str">
        <f t="shared" si="8"/>
        <v>19:16</v>
      </c>
      <c r="F81" s="40" t="s">
        <v>51</v>
      </c>
      <c r="G81" s="40" t="s">
        <v>51</v>
      </c>
      <c r="H81" s="40" t="s">
        <v>551</v>
      </c>
      <c r="I81" s="43" t="s">
        <v>36</v>
      </c>
      <c r="J81" s="41" t="s">
        <v>35</v>
      </c>
      <c r="K81" s="44" t="s">
        <v>6</v>
      </c>
      <c r="L81" s="40"/>
      <c r="M81" s="56"/>
      <c r="N81" s="56"/>
      <c r="O81" s="56"/>
      <c r="P81" s="56"/>
      <c r="Q81" s="56"/>
      <c r="R81" s="56"/>
      <c r="S81" s="58"/>
      <c r="AI81" s="49" t="s">
        <v>413</v>
      </c>
      <c r="AJ81" s="46"/>
    </row>
    <row r="82" spans="1:36" s="47" customFormat="1">
      <c r="A82" s="66"/>
      <c r="B82" s="66"/>
      <c r="C82" s="50" t="s">
        <v>550</v>
      </c>
      <c r="D82" s="45">
        <v>4</v>
      </c>
      <c r="E82" s="45" t="str">
        <f t="shared" si="8"/>
        <v>15:12</v>
      </c>
      <c r="F82" s="40" t="s">
        <v>51</v>
      </c>
      <c r="G82" s="40" t="s">
        <v>51</v>
      </c>
      <c r="H82" s="40" t="s">
        <v>551</v>
      </c>
      <c r="I82" s="43" t="s">
        <v>36</v>
      </c>
      <c r="J82" s="41" t="s">
        <v>35</v>
      </c>
      <c r="K82" s="44" t="s">
        <v>6</v>
      </c>
      <c r="L82" s="40"/>
      <c r="M82" s="56"/>
      <c r="N82" s="56"/>
      <c r="O82" s="56"/>
      <c r="P82" s="56"/>
      <c r="Q82" s="56"/>
      <c r="R82" s="56"/>
      <c r="S82" s="58"/>
      <c r="AI82" s="49" t="s">
        <v>414</v>
      </c>
      <c r="AJ82" s="46"/>
    </row>
    <row r="83" spans="1:36" s="47" customFormat="1">
      <c r="A83" s="66"/>
      <c r="B83" s="66"/>
      <c r="C83" s="50" t="s">
        <v>415</v>
      </c>
      <c r="D83" s="45">
        <v>4</v>
      </c>
      <c r="E83" s="45" t="str">
        <f>(MID(str_cnvt(E82),SEARCH(":",str_cnvt(E82))+1,2)-1) &amp; ":" &amp; (MID(str_cnvt(E82),SEARCH(":",str_cnvt(E82))+1,2)-D83)</f>
        <v>11:8</v>
      </c>
      <c r="F83" s="40" t="s">
        <v>51</v>
      </c>
      <c r="G83" s="40" t="s">
        <v>51</v>
      </c>
      <c r="H83" s="40" t="s">
        <v>533</v>
      </c>
      <c r="I83" s="43" t="s">
        <v>36</v>
      </c>
      <c r="J83" s="41" t="s">
        <v>35</v>
      </c>
      <c r="K83" s="44" t="s">
        <v>6</v>
      </c>
      <c r="L83" s="40"/>
      <c r="M83" s="56"/>
      <c r="N83" s="56"/>
      <c r="O83" s="56"/>
      <c r="P83" s="56"/>
      <c r="Q83" s="56"/>
      <c r="R83" s="56"/>
      <c r="S83" s="58"/>
      <c r="AI83" s="49" t="s">
        <v>416</v>
      </c>
      <c r="AJ83" s="46"/>
    </row>
    <row r="84" spans="1:36" s="47" customFormat="1">
      <c r="A84" s="66"/>
      <c r="B84" s="66"/>
      <c r="C84" s="50" t="s">
        <v>417</v>
      </c>
      <c r="D84" s="45">
        <v>4</v>
      </c>
      <c r="E84" s="45" t="str">
        <f t="shared" si="8"/>
        <v>7:4</v>
      </c>
      <c r="F84" s="40" t="s">
        <v>51</v>
      </c>
      <c r="G84" s="40" t="s">
        <v>51</v>
      </c>
      <c r="H84" s="40" t="s">
        <v>532</v>
      </c>
      <c r="I84" s="43" t="s">
        <v>36</v>
      </c>
      <c r="J84" s="41" t="s">
        <v>35</v>
      </c>
      <c r="K84" s="44" t="s">
        <v>6</v>
      </c>
      <c r="L84" s="40"/>
      <c r="M84" s="56"/>
      <c r="N84" s="56"/>
      <c r="O84" s="56"/>
      <c r="P84" s="56"/>
      <c r="Q84" s="56"/>
      <c r="R84" s="56"/>
      <c r="S84" s="58"/>
      <c r="AI84" s="49" t="s">
        <v>418</v>
      </c>
      <c r="AJ84" s="46"/>
    </row>
    <row r="85" spans="1:36" s="47" customFormat="1" ht="15" thickBot="1">
      <c r="A85" s="66"/>
      <c r="B85" s="66"/>
      <c r="C85" s="50" t="s">
        <v>419</v>
      </c>
      <c r="D85" s="45">
        <v>4</v>
      </c>
      <c r="E85" s="45" t="str">
        <f t="shared" si="8"/>
        <v>3:0</v>
      </c>
      <c r="F85" s="40" t="s">
        <v>51</v>
      </c>
      <c r="G85" s="40" t="s">
        <v>51</v>
      </c>
      <c r="H85" s="40" t="s">
        <v>531</v>
      </c>
      <c r="I85" s="43" t="s">
        <v>36</v>
      </c>
      <c r="J85" s="41" t="s">
        <v>35</v>
      </c>
      <c r="K85" s="44" t="s">
        <v>6</v>
      </c>
      <c r="L85" s="40"/>
      <c r="M85" s="56"/>
      <c r="N85" s="56"/>
      <c r="O85" s="56"/>
      <c r="P85" s="56"/>
      <c r="Q85" s="56"/>
      <c r="R85" s="56"/>
      <c r="S85" s="58"/>
      <c r="AI85" s="49" t="s">
        <v>420</v>
      </c>
      <c r="AJ85" s="46"/>
    </row>
    <row r="86" spans="1:36" s="47" customFormat="1">
      <c r="A86" s="66" t="s">
        <v>421</v>
      </c>
      <c r="B86" s="66">
        <v>24</v>
      </c>
      <c r="C86" s="42" t="s">
        <v>47</v>
      </c>
      <c r="D86" s="64" t="str">
        <f>bitConcat(F87:F94)</f>
        <v>32'b10001000100010001000100010001000</v>
      </c>
      <c r="E86" s="65"/>
      <c r="F86" s="65"/>
      <c r="G86" s="65"/>
      <c r="H86" s="51" t="s">
        <v>42</v>
      </c>
      <c r="I86" s="51"/>
      <c r="J86" s="51" t="str">
        <f>bitConcat(G87:G94)</f>
        <v>32'b10001000100010001000100010001000</v>
      </c>
      <c r="K86" s="51"/>
      <c r="L86" s="52"/>
      <c r="M86" s="55" t="str">
        <f>DEC2HEX(_xlfn.BITLSHIFT(O86,7)+4*P86)</f>
        <v>5A4</v>
      </c>
      <c r="N86" s="55"/>
      <c r="O86" s="55">
        <v>11</v>
      </c>
      <c r="P86" s="55">
        <v>9</v>
      </c>
      <c r="Q86" s="55" t="str">
        <f>DEC2HEX(_xlfn.BITLSHIFT(O86,5)+P86)</f>
        <v>169</v>
      </c>
      <c r="R86" s="55" t="str">
        <f>BIN2HEX(LEFT(RIGHT(D86,32),4))&amp;BIN2HEX(LEFT(RIGHT(D86,28),4))&amp;BIN2HEX(LEFT(RIGHT(D86,24),4))&amp;BIN2HEX(LEFT(RIGHT(D86,20),4))&amp;BIN2HEX(LEFT(RIGHT(D86,16),4))&amp;BIN2HEX(LEFT(RIGHT(D86,12),4))&amp;BIN2HEX(LEFT(RIGHT(D86,8),4))&amp;BIN2HEX(LEFT(RIGHT(D86,4),4))</f>
        <v>88888888</v>
      </c>
      <c r="S86" s="57" t="str">
        <f>BIN2HEX(LEFT(RIGHT(J86,32),4))&amp;BIN2HEX(LEFT(RIGHT(J86,28),4))&amp;BIN2HEX(LEFT(RIGHT(J86,24),4))&amp;BIN2HEX(LEFT(RIGHT(J86,20),4))&amp;BIN2HEX(LEFT(RIGHT(J86,16),4))&amp;BIN2HEX(LEFT(RIGHT(J86,12),4))&amp;BIN2HEX(LEFT(RIGHT(J86,8),4))&amp;BIN2HEX(LEFT(RIGHT(J86,4),4))</f>
        <v>88888888</v>
      </c>
      <c r="AI86" s="49"/>
      <c r="AJ86" s="46"/>
    </row>
    <row r="87" spans="1:36" s="47" customFormat="1">
      <c r="A87" s="66"/>
      <c r="B87" s="66"/>
      <c r="C87" s="40" t="s">
        <v>422</v>
      </c>
      <c r="D87" s="45">
        <v>4</v>
      </c>
      <c r="E87" s="45" t="str">
        <f>IF(D87&gt;1,(31)&amp;":"&amp;(31-D87+1),(31-D87+1)&amp;":"&amp;(31-D87+1))</f>
        <v>31:28</v>
      </c>
      <c r="F87" s="40" t="s">
        <v>51</v>
      </c>
      <c r="G87" s="40" t="s">
        <v>51</v>
      </c>
      <c r="H87" s="40" t="s">
        <v>523</v>
      </c>
      <c r="I87" s="43" t="s">
        <v>36</v>
      </c>
      <c r="J87" s="41" t="s">
        <v>35</v>
      </c>
      <c r="K87" s="44" t="s">
        <v>6</v>
      </c>
      <c r="L87" s="40"/>
      <c r="M87" s="56"/>
      <c r="N87" s="56"/>
      <c r="O87" s="56"/>
      <c r="P87" s="56"/>
      <c r="Q87" s="56"/>
      <c r="R87" s="56"/>
      <c r="S87" s="58"/>
      <c r="AI87" s="49" t="s">
        <v>423</v>
      </c>
      <c r="AJ87" s="46"/>
    </row>
    <row r="88" spans="1:36" s="47" customFormat="1">
      <c r="A88" s="66"/>
      <c r="B88" s="66"/>
      <c r="C88" s="40" t="s">
        <v>424</v>
      </c>
      <c r="D88" s="45">
        <v>4</v>
      </c>
      <c r="E88" s="45" t="str">
        <f t="shared" ref="E88:E94" si="9">(MID(str_cnvt(E87),SEARCH(":",str_cnvt(E87))+1,2)-1) &amp; ":" &amp; (MID(str_cnvt(E87),SEARCH(":",str_cnvt(E87))+1,2)-D88)</f>
        <v>27:24</v>
      </c>
      <c r="F88" s="40" t="s">
        <v>51</v>
      </c>
      <c r="G88" s="40" t="s">
        <v>51</v>
      </c>
      <c r="H88" s="40" t="s">
        <v>523</v>
      </c>
      <c r="I88" s="43" t="s">
        <v>36</v>
      </c>
      <c r="J88" s="41" t="s">
        <v>35</v>
      </c>
      <c r="K88" s="44" t="s">
        <v>6</v>
      </c>
      <c r="L88" s="40"/>
      <c r="M88" s="56"/>
      <c r="N88" s="56"/>
      <c r="O88" s="56"/>
      <c r="P88" s="56"/>
      <c r="Q88" s="56"/>
      <c r="R88" s="56"/>
      <c r="S88" s="58"/>
      <c r="AI88" s="49" t="s">
        <v>425</v>
      </c>
      <c r="AJ88" s="46"/>
    </row>
    <row r="89" spans="1:36" s="47" customFormat="1">
      <c r="A89" s="66"/>
      <c r="B89" s="66"/>
      <c r="C89" s="40" t="s">
        <v>426</v>
      </c>
      <c r="D89" s="45">
        <v>4</v>
      </c>
      <c r="E89" s="45" t="str">
        <f t="shared" si="9"/>
        <v>23:20</v>
      </c>
      <c r="F89" s="40" t="s">
        <v>51</v>
      </c>
      <c r="G89" s="40" t="s">
        <v>51</v>
      </c>
      <c r="H89" s="40" t="s">
        <v>523</v>
      </c>
      <c r="I89" s="43" t="s">
        <v>36</v>
      </c>
      <c r="J89" s="41" t="s">
        <v>35</v>
      </c>
      <c r="K89" s="44" t="s">
        <v>6</v>
      </c>
      <c r="L89" s="40"/>
      <c r="M89" s="56"/>
      <c r="N89" s="56"/>
      <c r="O89" s="56"/>
      <c r="P89" s="56"/>
      <c r="Q89" s="56"/>
      <c r="R89" s="56"/>
      <c r="S89" s="58"/>
      <c r="AI89" s="49" t="s">
        <v>427</v>
      </c>
      <c r="AJ89" s="46"/>
    </row>
    <row r="90" spans="1:36" s="47" customFormat="1">
      <c r="A90" s="66"/>
      <c r="B90" s="66"/>
      <c r="C90" s="40" t="s">
        <v>428</v>
      </c>
      <c r="D90" s="45">
        <v>4</v>
      </c>
      <c r="E90" s="45" t="str">
        <f t="shared" si="9"/>
        <v>19:16</v>
      </c>
      <c r="F90" s="40" t="s">
        <v>51</v>
      </c>
      <c r="G90" s="40" t="s">
        <v>51</v>
      </c>
      <c r="H90" s="40" t="s">
        <v>534</v>
      </c>
      <c r="I90" s="43" t="s">
        <v>36</v>
      </c>
      <c r="J90" s="41" t="s">
        <v>35</v>
      </c>
      <c r="K90" s="44" t="s">
        <v>6</v>
      </c>
      <c r="L90" s="40"/>
      <c r="M90" s="56"/>
      <c r="N90" s="56"/>
      <c r="O90" s="56"/>
      <c r="P90" s="56"/>
      <c r="Q90" s="56"/>
      <c r="R90" s="56"/>
      <c r="S90" s="58"/>
      <c r="AI90" s="49" t="s">
        <v>429</v>
      </c>
      <c r="AJ90" s="46"/>
    </row>
    <row r="91" spans="1:36" s="47" customFormat="1">
      <c r="A91" s="66"/>
      <c r="B91" s="66"/>
      <c r="C91" s="40" t="s">
        <v>430</v>
      </c>
      <c r="D91" s="45">
        <v>4</v>
      </c>
      <c r="E91" s="45" t="str">
        <f t="shared" si="9"/>
        <v>15:12</v>
      </c>
      <c r="F91" s="40" t="s">
        <v>51</v>
      </c>
      <c r="G91" s="40" t="s">
        <v>51</v>
      </c>
      <c r="H91" s="40" t="s">
        <v>534</v>
      </c>
      <c r="I91" s="43" t="s">
        <v>36</v>
      </c>
      <c r="J91" s="41" t="s">
        <v>35</v>
      </c>
      <c r="K91" s="44" t="s">
        <v>6</v>
      </c>
      <c r="L91" s="40"/>
      <c r="M91" s="56"/>
      <c r="N91" s="56"/>
      <c r="O91" s="56"/>
      <c r="P91" s="56"/>
      <c r="Q91" s="56"/>
      <c r="R91" s="56"/>
      <c r="S91" s="58"/>
      <c r="AI91" s="49" t="s">
        <v>431</v>
      </c>
      <c r="AJ91" s="46"/>
    </row>
    <row r="92" spans="1:36" s="47" customFormat="1">
      <c r="A92" s="66"/>
      <c r="B92" s="66"/>
      <c r="C92" s="50" t="s">
        <v>546</v>
      </c>
      <c r="D92" s="45">
        <v>4</v>
      </c>
      <c r="E92" s="45" t="str">
        <f t="shared" si="9"/>
        <v>11:8</v>
      </c>
      <c r="F92" s="40" t="s">
        <v>51</v>
      </c>
      <c r="G92" s="40" t="s">
        <v>51</v>
      </c>
      <c r="H92" s="40" t="s">
        <v>551</v>
      </c>
      <c r="I92" s="43" t="s">
        <v>36</v>
      </c>
      <c r="J92" s="41" t="s">
        <v>35</v>
      </c>
      <c r="K92" s="44" t="s">
        <v>6</v>
      </c>
      <c r="L92" s="40"/>
      <c r="M92" s="56"/>
      <c r="N92" s="56"/>
      <c r="O92" s="56"/>
      <c r="P92" s="56"/>
      <c r="Q92" s="56"/>
      <c r="R92" s="56"/>
      <c r="S92" s="58"/>
      <c r="AI92" s="49" t="s">
        <v>432</v>
      </c>
      <c r="AJ92" s="46"/>
    </row>
    <row r="93" spans="1:36" s="47" customFormat="1">
      <c r="A93" s="66"/>
      <c r="B93" s="66"/>
      <c r="C93" s="50" t="s">
        <v>545</v>
      </c>
      <c r="D93" s="45">
        <v>4</v>
      </c>
      <c r="E93" s="45" t="str">
        <f t="shared" si="9"/>
        <v>7:4</v>
      </c>
      <c r="F93" s="40" t="s">
        <v>51</v>
      </c>
      <c r="G93" s="40" t="s">
        <v>51</v>
      </c>
      <c r="H93" s="40" t="s">
        <v>551</v>
      </c>
      <c r="I93" s="43" t="s">
        <v>36</v>
      </c>
      <c r="J93" s="41" t="s">
        <v>35</v>
      </c>
      <c r="K93" s="44" t="s">
        <v>6</v>
      </c>
      <c r="L93" s="40"/>
      <c r="M93" s="56"/>
      <c r="N93" s="56"/>
      <c r="O93" s="56"/>
      <c r="P93" s="56"/>
      <c r="Q93" s="56"/>
      <c r="R93" s="56"/>
      <c r="S93" s="58"/>
      <c r="AI93" s="49" t="s">
        <v>433</v>
      </c>
      <c r="AJ93" s="46"/>
    </row>
    <row r="94" spans="1:36" s="47" customFormat="1" ht="15" customHeight="1" thickBot="1">
      <c r="A94" s="66"/>
      <c r="B94" s="66"/>
      <c r="C94" s="50" t="s">
        <v>544</v>
      </c>
      <c r="D94" s="45">
        <v>4</v>
      </c>
      <c r="E94" s="45" t="str">
        <f t="shared" si="9"/>
        <v>3:0</v>
      </c>
      <c r="F94" s="40" t="s">
        <v>51</v>
      </c>
      <c r="G94" s="40" t="s">
        <v>51</v>
      </c>
      <c r="H94" s="40" t="s">
        <v>551</v>
      </c>
      <c r="I94" s="43" t="s">
        <v>36</v>
      </c>
      <c r="J94" s="41" t="s">
        <v>35</v>
      </c>
      <c r="K94" s="44" t="s">
        <v>6</v>
      </c>
      <c r="L94" s="40"/>
      <c r="M94" s="56"/>
      <c r="N94" s="56"/>
      <c r="O94" s="56"/>
      <c r="P94" s="56"/>
      <c r="Q94" s="56"/>
      <c r="R94" s="56"/>
      <c r="S94" s="58"/>
      <c r="AI94" s="49" t="s">
        <v>434</v>
      </c>
      <c r="AJ94" s="46"/>
    </row>
    <row r="95" spans="1:36" s="47" customFormat="1">
      <c r="A95" s="66" t="s">
        <v>435</v>
      </c>
      <c r="B95" s="66">
        <v>28</v>
      </c>
      <c r="C95" s="42" t="s">
        <v>47</v>
      </c>
      <c r="D95" s="64" t="str">
        <f>bitConcat(F96:F103)</f>
        <v>32'b10001000100010001000100010001000</v>
      </c>
      <c r="E95" s="65"/>
      <c r="F95" s="65"/>
      <c r="G95" s="65"/>
      <c r="H95" s="51" t="s">
        <v>42</v>
      </c>
      <c r="I95" s="51"/>
      <c r="J95" s="51" t="str">
        <f>bitConcat(G96:G103)</f>
        <v>32'b10001000100010001000100010001000</v>
      </c>
      <c r="K95" s="51"/>
      <c r="L95" s="52"/>
      <c r="M95" s="55" t="str">
        <f>DEC2HEX(_xlfn.BITLSHIFT(O95,7)+4*P95)</f>
        <v>5A8</v>
      </c>
      <c r="N95" s="55"/>
      <c r="O95" s="55">
        <v>11</v>
      </c>
      <c r="P95" s="55">
        <v>10</v>
      </c>
      <c r="Q95" s="55" t="str">
        <f>DEC2HEX(_xlfn.BITLSHIFT(O95,5)+P95)</f>
        <v>16A</v>
      </c>
      <c r="R95" s="55" t="str">
        <f>BIN2HEX(LEFT(RIGHT(D95,32),4))&amp;BIN2HEX(LEFT(RIGHT(D95,28),4))&amp;BIN2HEX(LEFT(RIGHT(D95,24),4))&amp;BIN2HEX(LEFT(RIGHT(D95,20),4))&amp;BIN2HEX(LEFT(RIGHT(D95,16),4))&amp;BIN2HEX(LEFT(RIGHT(D95,12),4))&amp;BIN2HEX(LEFT(RIGHT(D95,8),4))&amp;BIN2HEX(LEFT(RIGHT(D95,4),4))</f>
        <v>88888888</v>
      </c>
      <c r="S95" s="57" t="str">
        <f>BIN2HEX(LEFT(RIGHT(J95,32),4))&amp;BIN2HEX(LEFT(RIGHT(J95,28),4))&amp;BIN2HEX(LEFT(RIGHT(J95,24),4))&amp;BIN2HEX(LEFT(RIGHT(J95,20),4))&amp;BIN2HEX(LEFT(RIGHT(J95,16),4))&amp;BIN2HEX(LEFT(RIGHT(J95,12),4))&amp;BIN2HEX(LEFT(RIGHT(J95,8),4))&amp;BIN2HEX(LEFT(RIGHT(J95,4),4))</f>
        <v>88888888</v>
      </c>
      <c r="AI95" s="49"/>
      <c r="AJ95" s="46"/>
    </row>
    <row r="96" spans="1:36" s="47" customFormat="1">
      <c r="A96" s="66"/>
      <c r="B96" s="66"/>
      <c r="C96" s="40" t="s">
        <v>436</v>
      </c>
      <c r="D96" s="45">
        <v>4</v>
      </c>
      <c r="E96" s="45" t="str">
        <f>IF(D96&gt;1,(31)&amp;":"&amp;(31-D96+1),(31-D96+1)&amp;":"&amp;(31-D96+1))</f>
        <v>31:28</v>
      </c>
      <c r="F96" s="40" t="s">
        <v>51</v>
      </c>
      <c r="G96" s="40" t="s">
        <v>51</v>
      </c>
      <c r="H96" s="40" t="s">
        <v>535</v>
      </c>
      <c r="I96" s="43" t="s">
        <v>36</v>
      </c>
      <c r="J96" s="41" t="s">
        <v>35</v>
      </c>
      <c r="K96" s="44" t="s">
        <v>6</v>
      </c>
      <c r="L96" s="40"/>
      <c r="M96" s="56"/>
      <c r="N96" s="56"/>
      <c r="O96" s="56"/>
      <c r="P96" s="56"/>
      <c r="Q96" s="56"/>
      <c r="R96" s="56"/>
      <c r="S96" s="58"/>
      <c r="AI96" s="49" t="s">
        <v>437</v>
      </c>
      <c r="AJ96" s="46"/>
    </row>
    <row r="97" spans="1:36" s="47" customFormat="1">
      <c r="A97" s="66"/>
      <c r="B97" s="66"/>
      <c r="C97" s="40" t="s">
        <v>438</v>
      </c>
      <c r="D97" s="45">
        <v>4</v>
      </c>
      <c r="E97" s="45" t="str">
        <f t="shared" ref="E97:E103" si="10">(MID(str_cnvt(E96),SEARCH(":",str_cnvt(E96))+1,2)-1) &amp; ":" &amp; (MID(str_cnvt(E96),SEARCH(":",str_cnvt(E96))+1,2)-D97)</f>
        <v>27:24</v>
      </c>
      <c r="F97" s="40" t="s">
        <v>51</v>
      </c>
      <c r="G97" s="40" t="s">
        <v>51</v>
      </c>
      <c r="H97" s="40" t="s">
        <v>535</v>
      </c>
      <c r="I97" s="43" t="s">
        <v>36</v>
      </c>
      <c r="J97" s="41" t="s">
        <v>35</v>
      </c>
      <c r="K97" s="44" t="s">
        <v>6</v>
      </c>
      <c r="L97" s="40"/>
      <c r="M97" s="56"/>
      <c r="N97" s="56"/>
      <c r="O97" s="56"/>
      <c r="P97" s="56"/>
      <c r="Q97" s="56"/>
      <c r="R97" s="56"/>
      <c r="S97" s="58"/>
      <c r="AI97" s="49" t="s">
        <v>439</v>
      </c>
      <c r="AJ97" s="46"/>
    </row>
    <row r="98" spans="1:36" s="47" customFormat="1">
      <c r="A98" s="66"/>
      <c r="B98" s="66"/>
      <c r="C98" s="40" t="s">
        <v>440</v>
      </c>
      <c r="D98" s="45">
        <v>4</v>
      </c>
      <c r="E98" s="45" t="str">
        <f t="shared" si="10"/>
        <v>23:20</v>
      </c>
      <c r="F98" s="40" t="s">
        <v>51</v>
      </c>
      <c r="G98" s="40" t="s">
        <v>51</v>
      </c>
      <c r="H98" s="40" t="s">
        <v>535</v>
      </c>
      <c r="I98" s="43" t="s">
        <v>36</v>
      </c>
      <c r="J98" s="41" t="s">
        <v>35</v>
      </c>
      <c r="K98" s="44" t="s">
        <v>6</v>
      </c>
      <c r="L98" s="40"/>
      <c r="M98" s="56"/>
      <c r="N98" s="56"/>
      <c r="O98" s="56"/>
      <c r="P98" s="56"/>
      <c r="Q98" s="56"/>
      <c r="R98" s="56"/>
      <c r="S98" s="58"/>
      <c r="AI98" s="49" t="s">
        <v>441</v>
      </c>
      <c r="AJ98" s="46"/>
    </row>
    <row r="99" spans="1:36" s="47" customFormat="1">
      <c r="A99" s="66"/>
      <c r="B99" s="66"/>
      <c r="C99" s="40" t="s">
        <v>442</v>
      </c>
      <c r="D99" s="45">
        <v>4</v>
      </c>
      <c r="E99" s="45" t="str">
        <f t="shared" si="10"/>
        <v>19:16</v>
      </c>
      <c r="F99" s="40" t="s">
        <v>51</v>
      </c>
      <c r="G99" s="40" t="s">
        <v>51</v>
      </c>
      <c r="H99" s="40" t="s">
        <v>535</v>
      </c>
      <c r="I99" s="43" t="s">
        <v>36</v>
      </c>
      <c r="J99" s="41" t="s">
        <v>35</v>
      </c>
      <c r="K99" s="44" t="s">
        <v>6</v>
      </c>
      <c r="L99" s="40"/>
      <c r="M99" s="56"/>
      <c r="N99" s="56"/>
      <c r="O99" s="56"/>
      <c r="P99" s="56"/>
      <c r="Q99" s="56"/>
      <c r="R99" s="56"/>
      <c r="S99" s="58"/>
      <c r="AI99" s="49" t="s">
        <v>443</v>
      </c>
      <c r="AJ99" s="46"/>
    </row>
    <row r="100" spans="1:36" s="47" customFormat="1">
      <c r="A100" s="66"/>
      <c r="B100" s="66"/>
      <c r="C100" s="40" t="s">
        <v>444</v>
      </c>
      <c r="D100" s="45">
        <v>4</v>
      </c>
      <c r="E100" s="45" t="str">
        <f t="shared" si="10"/>
        <v>15:12</v>
      </c>
      <c r="F100" s="40" t="s">
        <v>51</v>
      </c>
      <c r="G100" s="40" t="s">
        <v>51</v>
      </c>
      <c r="H100" s="40" t="s">
        <v>536</v>
      </c>
      <c r="I100" s="43" t="s">
        <v>36</v>
      </c>
      <c r="J100" s="41" t="s">
        <v>35</v>
      </c>
      <c r="K100" s="44" t="s">
        <v>6</v>
      </c>
      <c r="L100" s="40"/>
      <c r="M100" s="56"/>
      <c r="N100" s="56"/>
      <c r="O100" s="56"/>
      <c r="P100" s="56"/>
      <c r="Q100" s="56"/>
      <c r="R100" s="56"/>
      <c r="S100" s="58"/>
      <c r="AI100" s="49" t="s">
        <v>445</v>
      </c>
      <c r="AJ100" s="46"/>
    </row>
    <row r="101" spans="1:36" s="47" customFormat="1">
      <c r="A101" s="66"/>
      <c r="B101" s="66"/>
      <c r="C101" s="40" t="s">
        <v>446</v>
      </c>
      <c r="D101" s="45">
        <v>4</v>
      </c>
      <c r="E101" s="45" t="str">
        <f t="shared" si="10"/>
        <v>11:8</v>
      </c>
      <c r="F101" s="40" t="s">
        <v>51</v>
      </c>
      <c r="G101" s="40" t="s">
        <v>51</v>
      </c>
      <c r="H101" s="40" t="s">
        <v>523</v>
      </c>
      <c r="I101" s="43" t="s">
        <v>36</v>
      </c>
      <c r="J101" s="41" t="s">
        <v>35</v>
      </c>
      <c r="K101" s="44" t="s">
        <v>6</v>
      </c>
      <c r="L101" s="40"/>
      <c r="M101" s="56"/>
      <c r="N101" s="56"/>
      <c r="O101" s="56"/>
      <c r="P101" s="56"/>
      <c r="Q101" s="56"/>
      <c r="R101" s="56"/>
      <c r="S101" s="58"/>
      <c r="AI101" s="49" t="s">
        <v>447</v>
      </c>
      <c r="AJ101" s="46"/>
    </row>
    <row r="102" spans="1:36" s="47" customFormat="1">
      <c r="A102" s="66"/>
      <c r="B102" s="66"/>
      <c r="C102" s="40" t="s">
        <v>448</v>
      </c>
      <c r="D102" s="45">
        <v>4</v>
      </c>
      <c r="E102" s="45" t="str">
        <f t="shared" si="10"/>
        <v>7:4</v>
      </c>
      <c r="F102" s="40" t="s">
        <v>51</v>
      </c>
      <c r="G102" s="40" t="s">
        <v>51</v>
      </c>
      <c r="H102" s="40" t="s">
        <v>523</v>
      </c>
      <c r="I102" s="43" t="s">
        <v>36</v>
      </c>
      <c r="J102" s="41" t="s">
        <v>35</v>
      </c>
      <c r="K102" s="44" t="s">
        <v>6</v>
      </c>
      <c r="L102" s="40"/>
      <c r="M102" s="56"/>
      <c r="N102" s="56"/>
      <c r="O102" s="56"/>
      <c r="P102" s="56"/>
      <c r="Q102" s="56"/>
      <c r="R102" s="56"/>
      <c r="S102" s="58"/>
      <c r="AI102" s="49" t="s">
        <v>449</v>
      </c>
      <c r="AJ102" s="46"/>
    </row>
    <row r="103" spans="1:36" s="47" customFormat="1" ht="15" thickBot="1">
      <c r="A103" s="66"/>
      <c r="B103" s="66"/>
      <c r="C103" s="40" t="s">
        <v>450</v>
      </c>
      <c r="D103" s="45">
        <v>4</v>
      </c>
      <c r="E103" s="45" t="str">
        <f t="shared" si="10"/>
        <v>3:0</v>
      </c>
      <c r="F103" s="40" t="s">
        <v>51</v>
      </c>
      <c r="G103" s="40" t="s">
        <v>51</v>
      </c>
      <c r="H103" s="40" t="s">
        <v>523</v>
      </c>
      <c r="I103" s="43" t="s">
        <v>36</v>
      </c>
      <c r="J103" s="41" t="s">
        <v>35</v>
      </c>
      <c r="K103" s="44" t="s">
        <v>6</v>
      </c>
      <c r="L103" s="40"/>
      <c r="M103" s="56"/>
      <c r="N103" s="56"/>
      <c r="O103" s="56"/>
      <c r="P103" s="56"/>
      <c r="Q103" s="56"/>
      <c r="R103" s="56"/>
      <c r="S103" s="58"/>
      <c r="AI103" s="49" t="s">
        <v>451</v>
      </c>
      <c r="AJ103" s="46"/>
    </row>
    <row r="104" spans="1:36" s="47" customFormat="1">
      <c r="A104" s="66" t="s">
        <v>452</v>
      </c>
      <c r="B104" s="66" t="s">
        <v>171</v>
      </c>
      <c r="C104" s="42" t="s">
        <v>47</v>
      </c>
      <c r="D104" s="64" t="str">
        <f>bitConcat(F105:F112)</f>
        <v>32'b10000000100010001000100010001000</v>
      </c>
      <c r="E104" s="65"/>
      <c r="F104" s="65"/>
      <c r="G104" s="65"/>
      <c r="H104" s="51" t="s">
        <v>42</v>
      </c>
      <c r="I104" s="51"/>
      <c r="J104" s="51" t="str">
        <f>bitConcat(G105:G112)</f>
        <v>32'b10000000100010001000100010001000</v>
      </c>
      <c r="K104" s="51"/>
      <c r="L104" s="52"/>
      <c r="M104" s="55" t="str">
        <f>DEC2HEX(_xlfn.BITLSHIFT(O104,7)+4*P104)</f>
        <v>5AC</v>
      </c>
      <c r="N104" s="55"/>
      <c r="O104" s="55">
        <v>11</v>
      </c>
      <c r="P104" s="55">
        <v>11</v>
      </c>
      <c r="Q104" s="55" t="str">
        <f>DEC2HEX(_xlfn.BITLSHIFT(O104,5)+P104)</f>
        <v>16B</v>
      </c>
      <c r="R104" s="55" t="str">
        <f>BIN2HEX(LEFT(RIGHT(D104,32),4))&amp;BIN2HEX(LEFT(RIGHT(D104,28),4))&amp;BIN2HEX(LEFT(RIGHT(D104,24),4))&amp;BIN2HEX(LEFT(RIGHT(D104,20),4))&amp;BIN2HEX(LEFT(RIGHT(D104,16),4))&amp;BIN2HEX(LEFT(RIGHT(D104,12),4))&amp;BIN2HEX(LEFT(RIGHT(D104,8),4))&amp;BIN2HEX(LEFT(RIGHT(D104,4),4))</f>
        <v>80888888</v>
      </c>
      <c r="S104" s="57" t="str">
        <f>BIN2HEX(LEFT(RIGHT(J104,32),4))&amp;BIN2HEX(LEFT(RIGHT(J104,28),4))&amp;BIN2HEX(LEFT(RIGHT(J104,24),4))&amp;BIN2HEX(LEFT(RIGHT(J104,20),4))&amp;BIN2HEX(LEFT(RIGHT(J104,16),4))&amp;BIN2HEX(LEFT(RIGHT(J104,12),4))&amp;BIN2HEX(LEFT(RIGHT(J104,8),4))&amp;BIN2HEX(LEFT(RIGHT(J104,4),4))</f>
        <v>80888888</v>
      </c>
      <c r="AI104" s="49"/>
      <c r="AJ104" s="46"/>
    </row>
    <row r="105" spans="1:36" s="47" customFormat="1">
      <c r="A105" s="66"/>
      <c r="B105" s="66"/>
      <c r="C105" s="40" t="s">
        <v>453</v>
      </c>
      <c r="D105" s="45">
        <v>4</v>
      </c>
      <c r="E105" s="45" t="str">
        <f>IF(D105&gt;1,(31)&amp;":"&amp;(31-D105+1),(31-D105+1)&amp;":"&amp;(31-D105+1))</f>
        <v>31:28</v>
      </c>
      <c r="F105" s="40" t="s">
        <v>51</v>
      </c>
      <c r="G105" s="40" t="s">
        <v>51</v>
      </c>
      <c r="H105" s="40" t="s">
        <v>539</v>
      </c>
      <c r="I105" s="43" t="s">
        <v>36</v>
      </c>
      <c r="J105" s="41" t="s">
        <v>35</v>
      </c>
      <c r="K105" s="44" t="s">
        <v>6</v>
      </c>
      <c r="L105" s="40"/>
      <c r="M105" s="56"/>
      <c r="N105" s="56"/>
      <c r="O105" s="56"/>
      <c r="P105" s="56"/>
      <c r="Q105" s="56"/>
      <c r="R105" s="56"/>
      <c r="S105" s="58"/>
      <c r="AI105" s="49" t="s">
        <v>454</v>
      </c>
      <c r="AJ105" s="46"/>
    </row>
    <row r="106" spans="1:36" s="47" customFormat="1">
      <c r="A106" s="66"/>
      <c r="B106" s="66"/>
      <c r="C106" s="40" t="s">
        <v>455</v>
      </c>
      <c r="D106" s="45">
        <v>4</v>
      </c>
      <c r="E106" s="45" t="str">
        <f t="shared" ref="E106:E112" si="11">(MID(str_cnvt(E105),SEARCH(":",str_cnvt(E105))+1,2)-1) &amp; ":" &amp; (MID(str_cnvt(E105),SEARCH(":",str_cnvt(E105))+1,2)-D106)</f>
        <v>27:24</v>
      </c>
      <c r="F106" s="40" t="s">
        <v>510</v>
      </c>
      <c r="G106" s="40" t="s">
        <v>510</v>
      </c>
      <c r="H106" s="40" t="s">
        <v>538</v>
      </c>
      <c r="I106" s="43" t="s">
        <v>36</v>
      </c>
      <c r="J106" s="41" t="s">
        <v>35</v>
      </c>
      <c r="K106" s="44" t="s">
        <v>6</v>
      </c>
      <c r="L106" s="40"/>
      <c r="M106" s="56"/>
      <c r="N106" s="56"/>
      <c r="O106" s="56"/>
      <c r="P106" s="56"/>
      <c r="Q106" s="56"/>
      <c r="R106" s="56"/>
      <c r="S106" s="58"/>
      <c r="AI106" s="49" t="s">
        <v>456</v>
      </c>
      <c r="AJ106" s="46"/>
    </row>
    <row r="107" spans="1:36" s="47" customFormat="1">
      <c r="A107" s="66"/>
      <c r="B107" s="66"/>
      <c r="C107" s="40" t="s">
        <v>457</v>
      </c>
      <c r="D107" s="45">
        <v>4</v>
      </c>
      <c r="E107" s="45" t="str">
        <f t="shared" si="11"/>
        <v>23:20</v>
      </c>
      <c r="F107" s="40" t="s">
        <v>51</v>
      </c>
      <c r="G107" s="40" t="s">
        <v>51</v>
      </c>
      <c r="H107" s="40" t="s">
        <v>537</v>
      </c>
      <c r="I107" s="43" t="s">
        <v>36</v>
      </c>
      <c r="J107" s="41" t="s">
        <v>35</v>
      </c>
      <c r="K107" s="44" t="s">
        <v>6</v>
      </c>
      <c r="L107" s="40"/>
      <c r="M107" s="56"/>
      <c r="N107" s="56"/>
      <c r="O107" s="56"/>
      <c r="P107" s="56"/>
      <c r="Q107" s="56"/>
      <c r="R107" s="56"/>
      <c r="S107" s="58"/>
      <c r="AI107" s="49" t="s">
        <v>458</v>
      </c>
      <c r="AJ107" s="46"/>
    </row>
    <row r="108" spans="1:36" s="47" customFormat="1">
      <c r="A108" s="66"/>
      <c r="B108" s="66"/>
      <c r="C108" s="40" t="s">
        <v>459</v>
      </c>
      <c r="D108" s="45">
        <v>4</v>
      </c>
      <c r="E108" s="45" t="str">
        <f t="shared" si="11"/>
        <v>19:16</v>
      </c>
      <c r="F108" s="40" t="s">
        <v>51</v>
      </c>
      <c r="G108" s="40" t="s">
        <v>51</v>
      </c>
      <c r="H108" s="40" t="s">
        <v>537</v>
      </c>
      <c r="I108" s="43" t="s">
        <v>36</v>
      </c>
      <c r="J108" s="41" t="s">
        <v>35</v>
      </c>
      <c r="K108" s="44" t="s">
        <v>6</v>
      </c>
      <c r="L108" s="40"/>
      <c r="M108" s="56"/>
      <c r="N108" s="56"/>
      <c r="O108" s="56"/>
      <c r="P108" s="56"/>
      <c r="Q108" s="56"/>
      <c r="R108" s="56"/>
      <c r="S108" s="58"/>
      <c r="AI108" s="49" t="s">
        <v>460</v>
      </c>
      <c r="AJ108" s="46"/>
    </row>
    <row r="109" spans="1:36" s="47" customFormat="1">
      <c r="A109" s="66"/>
      <c r="B109" s="66"/>
      <c r="C109" s="40" t="s">
        <v>461</v>
      </c>
      <c r="D109" s="45">
        <v>4</v>
      </c>
      <c r="E109" s="45" t="str">
        <f t="shared" si="11"/>
        <v>15:12</v>
      </c>
      <c r="F109" s="40" t="s">
        <v>51</v>
      </c>
      <c r="G109" s="40" t="s">
        <v>51</v>
      </c>
      <c r="H109" s="40" t="s">
        <v>537</v>
      </c>
      <c r="I109" s="43" t="s">
        <v>36</v>
      </c>
      <c r="J109" s="41" t="s">
        <v>35</v>
      </c>
      <c r="K109" s="44" t="s">
        <v>6</v>
      </c>
      <c r="L109" s="40"/>
      <c r="M109" s="56"/>
      <c r="N109" s="56"/>
      <c r="O109" s="56"/>
      <c r="P109" s="56"/>
      <c r="Q109" s="56"/>
      <c r="R109" s="56"/>
      <c r="S109" s="58"/>
      <c r="AI109" s="49" t="s">
        <v>462</v>
      </c>
      <c r="AJ109" s="46"/>
    </row>
    <row r="110" spans="1:36" s="47" customFormat="1">
      <c r="A110" s="66"/>
      <c r="B110" s="66"/>
      <c r="C110" s="40" t="s">
        <v>463</v>
      </c>
      <c r="D110" s="45">
        <v>4</v>
      </c>
      <c r="E110" s="45" t="str">
        <f t="shared" si="11"/>
        <v>11:8</v>
      </c>
      <c r="F110" s="40" t="s">
        <v>51</v>
      </c>
      <c r="G110" s="40" t="s">
        <v>51</v>
      </c>
      <c r="H110" s="40" t="s">
        <v>537</v>
      </c>
      <c r="I110" s="43" t="s">
        <v>36</v>
      </c>
      <c r="J110" s="41" t="s">
        <v>35</v>
      </c>
      <c r="K110" s="44" t="s">
        <v>6</v>
      </c>
      <c r="L110" s="40"/>
      <c r="M110" s="56"/>
      <c r="N110" s="56"/>
      <c r="O110" s="56"/>
      <c r="P110" s="56"/>
      <c r="Q110" s="56"/>
      <c r="R110" s="56"/>
      <c r="S110" s="58"/>
      <c r="AI110" s="49" t="s">
        <v>464</v>
      </c>
      <c r="AJ110" s="46"/>
    </row>
    <row r="111" spans="1:36" s="47" customFormat="1">
      <c r="A111" s="66"/>
      <c r="B111" s="66"/>
      <c r="C111" s="40" t="s">
        <v>465</v>
      </c>
      <c r="D111" s="45">
        <v>4</v>
      </c>
      <c r="E111" s="45" t="str">
        <f t="shared" si="11"/>
        <v>7:4</v>
      </c>
      <c r="F111" s="40" t="s">
        <v>51</v>
      </c>
      <c r="G111" s="40" t="s">
        <v>51</v>
      </c>
      <c r="H111" s="40" t="s">
        <v>537</v>
      </c>
      <c r="I111" s="43" t="s">
        <v>36</v>
      </c>
      <c r="J111" s="41" t="s">
        <v>35</v>
      </c>
      <c r="K111" s="44" t="s">
        <v>6</v>
      </c>
      <c r="L111" s="40"/>
      <c r="M111" s="56"/>
      <c r="N111" s="56"/>
      <c r="O111" s="56"/>
      <c r="P111" s="56"/>
      <c r="Q111" s="56"/>
      <c r="R111" s="56"/>
      <c r="S111" s="58"/>
      <c r="AI111" s="49" t="s">
        <v>466</v>
      </c>
      <c r="AJ111" s="46"/>
    </row>
    <row r="112" spans="1:36" s="47" customFormat="1" ht="15" thickBot="1">
      <c r="A112" s="66"/>
      <c r="B112" s="66"/>
      <c r="C112" s="40" t="s">
        <v>467</v>
      </c>
      <c r="D112" s="45">
        <v>4</v>
      </c>
      <c r="E112" s="45" t="str">
        <f t="shared" si="11"/>
        <v>3:0</v>
      </c>
      <c r="F112" s="40" t="s">
        <v>51</v>
      </c>
      <c r="G112" s="40" t="s">
        <v>51</v>
      </c>
      <c r="H112" s="40" t="s">
        <v>537</v>
      </c>
      <c r="I112" s="43" t="s">
        <v>36</v>
      </c>
      <c r="J112" s="41" t="s">
        <v>35</v>
      </c>
      <c r="K112" s="44" t="s">
        <v>6</v>
      </c>
      <c r="L112" s="40"/>
      <c r="M112" s="56"/>
      <c r="N112" s="56"/>
      <c r="O112" s="56"/>
      <c r="P112" s="56"/>
      <c r="Q112" s="56"/>
      <c r="R112" s="56"/>
      <c r="S112" s="58"/>
      <c r="AI112" s="49" t="s">
        <v>468</v>
      </c>
      <c r="AJ112" s="46"/>
    </row>
    <row r="113" spans="1:36" s="47" customFormat="1">
      <c r="A113" s="66" t="s">
        <v>469</v>
      </c>
      <c r="B113" s="66">
        <v>30</v>
      </c>
      <c r="C113" s="42" t="s">
        <v>47</v>
      </c>
      <c r="D113" s="64" t="str">
        <f>bitConcat(F114:F121)</f>
        <v>32'b10001000100010001000100010001000</v>
      </c>
      <c r="E113" s="65"/>
      <c r="F113" s="65"/>
      <c r="G113" s="65"/>
      <c r="H113" s="51" t="s">
        <v>42</v>
      </c>
      <c r="I113" s="51"/>
      <c r="J113" s="51" t="str">
        <f>bitConcat(G114:G121)</f>
        <v>32'b10001000100010001000100010001000</v>
      </c>
      <c r="K113" s="51"/>
      <c r="L113" s="52"/>
      <c r="M113" s="55" t="str">
        <f>DEC2HEX(_xlfn.BITLSHIFT(O113,7)+4*P113)</f>
        <v>5B0</v>
      </c>
      <c r="N113" s="55"/>
      <c r="O113" s="55">
        <v>11</v>
      </c>
      <c r="P113" s="55">
        <v>12</v>
      </c>
      <c r="Q113" s="55" t="str">
        <f>DEC2HEX(_xlfn.BITLSHIFT(O113,5)+P113)</f>
        <v>16C</v>
      </c>
      <c r="R113" s="55" t="str">
        <f>BIN2HEX(LEFT(RIGHT(D113,32),4))&amp;BIN2HEX(LEFT(RIGHT(D113,28),4))&amp;BIN2HEX(LEFT(RIGHT(D113,24),4))&amp;BIN2HEX(LEFT(RIGHT(D113,20),4))&amp;BIN2HEX(LEFT(RIGHT(D113,16),4))&amp;BIN2HEX(LEFT(RIGHT(D113,12),4))&amp;BIN2HEX(LEFT(RIGHT(D113,8),4))&amp;BIN2HEX(LEFT(RIGHT(D113,4),4))</f>
        <v>88888888</v>
      </c>
      <c r="S113" s="57" t="str">
        <f>BIN2HEX(LEFT(RIGHT(J113,32),4))&amp;BIN2HEX(LEFT(RIGHT(J113,28),4))&amp;BIN2HEX(LEFT(RIGHT(J113,24),4))&amp;BIN2HEX(LEFT(RIGHT(J113,20),4))&amp;BIN2HEX(LEFT(RIGHT(J113,16),4))&amp;BIN2HEX(LEFT(RIGHT(J113,12),4))&amp;BIN2HEX(LEFT(RIGHT(J113,8),4))&amp;BIN2HEX(LEFT(RIGHT(J113,4),4))</f>
        <v>88888888</v>
      </c>
      <c r="AI113" s="49"/>
      <c r="AJ113" s="46"/>
    </row>
    <row r="114" spans="1:36" s="47" customFormat="1">
      <c r="A114" s="66"/>
      <c r="B114" s="66"/>
      <c r="C114" s="40" t="s">
        <v>470</v>
      </c>
      <c r="D114" s="45">
        <v>4</v>
      </c>
      <c r="E114" s="45" t="str">
        <f>IF(D114&gt;1,(31)&amp;":"&amp;(31-D114+1),(31-D114+1)&amp;":"&amp;(31-D114+1))</f>
        <v>31:28</v>
      </c>
      <c r="F114" s="40" t="s">
        <v>51</v>
      </c>
      <c r="G114" s="40" t="s">
        <v>51</v>
      </c>
      <c r="H114" s="40" t="s">
        <v>523</v>
      </c>
      <c r="I114" s="43" t="s">
        <v>36</v>
      </c>
      <c r="J114" s="41" t="s">
        <v>35</v>
      </c>
      <c r="K114" s="44" t="s">
        <v>6</v>
      </c>
      <c r="L114" s="40"/>
      <c r="M114" s="56"/>
      <c r="N114" s="56"/>
      <c r="O114" s="56"/>
      <c r="P114" s="56"/>
      <c r="Q114" s="56"/>
      <c r="R114" s="56"/>
      <c r="S114" s="58"/>
      <c r="AI114" s="49" t="s">
        <v>471</v>
      </c>
      <c r="AJ114" s="46"/>
    </row>
    <row r="115" spans="1:36" s="47" customFormat="1">
      <c r="A115" s="66"/>
      <c r="B115" s="66"/>
      <c r="C115" s="40" t="s">
        <v>472</v>
      </c>
      <c r="D115" s="45">
        <v>4</v>
      </c>
      <c r="E115" s="45" t="str">
        <f t="shared" ref="E115:E121" si="12">(MID(str_cnvt(E114),SEARCH(":",str_cnvt(E114))+1,2)-1) &amp; ":" &amp; (MID(str_cnvt(E114),SEARCH(":",str_cnvt(E114))+1,2)-D115)</f>
        <v>27:24</v>
      </c>
      <c r="F115" s="40" t="s">
        <v>51</v>
      </c>
      <c r="G115" s="40" t="s">
        <v>51</v>
      </c>
      <c r="H115" s="40" t="s">
        <v>523</v>
      </c>
      <c r="I115" s="43" t="s">
        <v>36</v>
      </c>
      <c r="J115" s="41" t="s">
        <v>35</v>
      </c>
      <c r="K115" s="44" t="s">
        <v>6</v>
      </c>
      <c r="L115" s="40"/>
      <c r="M115" s="56"/>
      <c r="N115" s="56"/>
      <c r="O115" s="56"/>
      <c r="P115" s="56"/>
      <c r="Q115" s="56"/>
      <c r="R115" s="56"/>
      <c r="S115" s="58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 s="49" t="s">
        <v>473</v>
      </c>
      <c r="AJ115" s="46"/>
    </row>
    <row r="116" spans="1:36" s="47" customFormat="1">
      <c r="A116" s="66"/>
      <c r="B116" s="66"/>
      <c r="C116" s="40" t="s">
        <v>474</v>
      </c>
      <c r="D116" s="45">
        <v>4</v>
      </c>
      <c r="E116" s="45" t="str">
        <f t="shared" si="12"/>
        <v>23:20</v>
      </c>
      <c r="F116" s="40" t="s">
        <v>51</v>
      </c>
      <c r="G116" s="40" t="s">
        <v>51</v>
      </c>
      <c r="H116" s="40" t="s">
        <v>523</v>
      </c>
      <c r="I116" s="43" t="s">
        <v>36</v>
      </c>
      <c r="J116" s="41" t="s">
        <v>35</v>
      </c>
      <c r="K116" s="44" t="s">
        <v>6</v>
      </c>
      <c r="L116" s="40"/>
      <c r="M116" s="56"/>
      <c r="N116" s="56"/>
      <c r="O116" s="56"/>
      <c r="P116" s="56"/>
      <c r="Q116" s="56"/>
      <c r="R116" s="56"/>
      <c r="S116" s="58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 s="49" t="s">
        <v>475</v>
      </c>
      <c r="AJ116" s="46"/>
    </row>
    <row r="117" spans="1:36" s="47" customFormat="1">
      <c r="A117" s="66"/>
      <c r="B117" s="66"/>
      <c r="C117" s="40" t="s">
        <v>476</v>
      </c>
      <c r="D117" s="45">
        <v>4</v>
      </c>
      <c r="E117" s="45" t="str">
        <f t="shared" si="12"/>
        <v>19:16</v>
      </c>
      <c r="F117" s="40" t="s">
        <v>51</v>
      </c>
      <c r="G117" s="40" t="s">
        <v>51</v>
      </c>
      <c r="H117" s="40" t="s">
        <v>523</v>
      </c>
      <c r="I117" s="43" t="s">
        <v>36</v>
      </c>
      <c r="J117" s="41" t="s">
        <v>35</v>
      </c>
      <c r="K117" s="44" t="s">
        <v>6</v>
      </c>
      <c r="L117" s="40"/>
      <c r="M117" s="56"/>
      <c r="N117" s="56"/>
      <c r="O117" s="56"/>
      <c r="P117" s="56"/>
      <c r="Q117" s="56"/>
      <c r="R117" s="56"/>
      <c r="S117" s="58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 s="49" t="s">
        <v>477</v>
      </c>
      <c r="AJ117" s="46"/>
    </row>
    <row r="118" spans="1:36" s="47" customFormat="1">
      <c r="A118" s="66"/>
      <c r="B118" s="66"/>
      <c r="C118" s="40" t="s">
        <v>478</v>
      </c>
      <c r="D118" s="45">
        <v>4</v>
      </c>
      <c r="E118" s="45" t="str">
        <f t="shared" si="12"/>
        <v>15:12</v>
      </c>
      <c r="F118" s="40" t="s">
        <v>51</v>
      </c>
      <c r="G118" s="40" t="s">
        <v>51</v>
      </c>
      <c r="H118" s="40" t="s">
        <v>540</v>
      </c>
      <c r="I118" s="43" t="s">
        <v>36</v>
      </c>
      <c r="J118" s="41" t="s">
        <v>35</v>
      </c>
      <c r="K118" s="44" t="s">
        <v>6</v>
      </c>
      <c r="L118" s="40"/>
      <c r="M118" s="56"/>
      <c r="N118" s="56"/>
      <c r="O118" s="56"/>
      <c r="P118" s="56"/>
      <c r="Q118" s="56"/>
      <c r="R118" s="56"/>
      <c r="S118" s="5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 s="49" t="s">
        <v>479</v>
      </c>
      <c r="AJ118" s="46"/>
    </row>
    <row r="119" spans="1:36" s="47" customFormat="1">
      <c r="A119" s="66"/>
      <c r="B119" s="66"/>
      <c r="C119" s="40" t="s">
        <v>480</v>
      </c>
      <c r="D119" s="45">
        <v>4</v>
      </c>
      <c r="E119" s="45" t="str">
        <f t="shared" si="12"/>
        <v>11:8</v>
      </c>
      <c r="F119" s="40" t="s">
        <v>51</v>
      </c>
      <c r="G119" s="40" t="s">
        <v>51</v>
      </c>
      <c r="H119" s="40" t="s">
        <v>540</v>
      </c>
      <c r="I119" s="43" t="s">
        <v>36</v>
      </c>
      <c r="J119" s="41" t="s">
        <v>35</v>
      </c>
      <c r="K119" s="44" t="s">
        <v>6</v>
      </c>
      <c r="L119" s="40"/>
      <c r="M119" s="56"/>
      <c r="N119" s="56"/>
      <c r="O119" s="56"/>
      <c r="P119" s="56"/>
      <c r="Q119" s="56"/>
      <c r="R119" s="56"/>
      <c r="S119" s="58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 s="49" t="s">
        <v>481</v>
      </c>
    </row>
    <row r="120" spans="1:36" s="47" customFormat="1">
      <c r="A120" s="66"/>
      <c r="B120" s="66"/>
      <c r="C120" s="40" t="s">
        <v>482</v>
      </c>
      <c r="D120" s="45">
        <v>4</v>
      </c>
      <c r="E120" s="45" t="str">
        <f t="shared" si="12"/>
        <v>7:4</v>
      </c>
      <c r="F120" s="40" t="s">
        <v>51</v>
      </c>
      <c r="G120" s="40" t="s">
        <v>51</v>
      </c>
      <c r="H120" s="40" t="s">
        <v>540</v>
      </c>
      <c r="I120" s="43" t="s">
        <v>36</v>
      </c>
      <c r="J120" s="41" t="s">
        <v>35</v>
      </c>
      <c r="K120" s="44" t="s">
        <v>6</v>
      </c>
      <c r="L120" s="40"/>
      <c r="M120" s="56"/>
      <c r="N120" s="56"/>
      <c r="O120" s="56"/>
      <c r="P120" s="56"/>
      <c r="Q120" s="56"/>
      <c r="R120" s="56"/>
      <c r="S120" s="58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 s="49" t="s">
        <v>483</v>
      </c>
    </row>
    <row r="121" spans="1:36" s="47" customFormat="1" ht="15" thickBot="1">
      <c r="A121" s="66"/>
      <c r="B121" s="66"/>
      <c r="C121" s="40" t="s">
        <v>484</v>
      </c>
      <c r="D121" s="45">
        <v>4</v>
      </c>
      <c r="E121" s="45" t="str">
        <f t="shared" si="12"/>
        <v>3:0</v>
      </c>
      <c r="F121" s="40" t="s">
        <v>51</v>
      </c>
      <c r="G121" s="40" t="s">
        <v>51</v>
      </c>
      <c r="H121" s="40" t="s">
        <v>540</v>
      </c>
      <c r="I121" s="43" t="s">
        <v>36</v>
      </c>
      <c r="J121" s="41" t="s">
        <v>35</v>
      </c>
      <c r="K121" s="44" t="s">
        <v>6</v>
      </c>
      <c r="L121" s="40"/>
      <c r="M121" s="56"/>
      <c r="N121" s="56"/>
      <c r="O121" s="56"/>
      <c r="P121" s="56"/>
      <c r="Q121" s="56"/>
      <c r="R121" s="56"/>
      <c r="S121" s="58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 s="49" t="s">
        <v>485</v>
      </c>
    </row>
    <row r="122" spans="1:36" s="47" customFormat="1">
      <c r="A122" s="60" t="s">
        <v>486</v>
      </c>
      <c r="B122" s="62">
        <v>34</v>
      </c>
      <c r="C122" s="42" t="s">
        <v>47</v>
      </c>
      <c r="D122" s="64" t="str">
        <f>bitConcat(F123:F133)</f>
        <v>32'b00001000100010001000100010001000</v>
      </c>
      <c r="E122" s="65"/>
      <c r="F122" s="65"/>
      <c r="G122" s="65"/>
      <c r="H122" s="51" t="s">
        <v>42</v>
      </c>
      <c r="I122" s="51"/>
      <c r="J122" s="51" t="str">
        <f>bitConcat(G123:G133)</f>
        <v>32'b00001000100010001000100010001000</v>
      </c>
      <c r="K122" s="51"/>
      <c r="L122" s="52"/>
      <c r="M122" s="55" t="str">
        <f>DEC2HEX(_xlfn.BITLSHIFT(O122,7)+4*P122)</f>
        <v>5B4</v>
      </c>
      <c r="N122" s="55"/>
      <c r="O122" s="55">
        <v>11</v>
      </c>
      <c r="P122" s="55">
        <v>13</v>
      </c>
      <c r="Q122" s="55" t="str">
        <f>DEC2HEX(_xlfn.BITLSHIFT(O122,5)+P122)</f>
        <v>16D</v>
      </c>
      <c r="R122" s="55" t="str">
        <f>BIN2HEX(LEFT(RIGHT(D122,32),4))&amp;BIN2HEX(LEFT(RIGHT(D122,28),4))&amp;BIN2HEX(LEFT(RIGHT(D122,24),4))&amp;BIN2HEX(LEFT(RIGHT(D122,20),4))&amp;BIN2HEX(LEFT(RIGHT(D122,16),4))&amp;BIN2HEX(LEFT(RIGHT(D122,12),4))&amp;BIN2HEX(LEFT(RIGHT(D122,8),4))&amp;BIN2HEX(LEFT(RIGHT(D122,4),4))</f>
        <v>08888888</v>
      </c>
      <c r="S122" s="55" t="str">
        <f>BIN2HEX(LEFT(RIGHT(J122,32),4))&amp;BIN2HEX(LEFT(RIGHT(J122,28),4))&amp;BIN2HEX(LEFT(RIGHT(J122,24),4))&amp;BIN2HEX(LEFT(RIGHT(J122,20),4))&amp;BIN2HEX(LEFT(RIGHT(J122,16),4))&amp;BIN2HEX(LEFT(RIGHT(J122,12),4))&amp;BIN2HEX(LEFT(RIGHT(J122,8),4))&amp;BIN2HEX(LEFT(RIGHT(J122,4),4))</f>
        <v>08888888</v>
      </c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6" s="47" customFormat="1">
      <c r="A123" s="61"/>
      <c r="B123" s="63"/>
      <c r="C123" s="40" t="s">
        <v>487</v>
      </c>
      <c r="D123" s="45">
        <v>1</v>
      </c>
      <c r="E123" s="45" t="str">
        <f>IF(D123&gt;1,(31)&amp;":"&amp;(31-D123+1),(31-D123+1)&amp;":"&amp;(31-D123+1))</f>
        <v>31:31</v>
      </c>
      <c r="F123" s="40" t="s">
        <v>7</v>
      </c>
      <c r="G123" s="40" t="s">
        <v>7</v>
      </c>
      <c r="H123" s="40" t="s">
        <v>369</v>
      </c>
      <c r="I123" s="43" t="s">
        <v>36</v>
      </c>
      <c r="J123" s="41" t="s">
        <v>35</v>
      </c>
      <c r="K123" s="44" t="s">
        <v>6</v>
      </c>
      <c r="L123" s="40"/>
      <c r="M123" s="56"/>
      <c r="N123" s="56"/>
      <c r="O123" s="56"/>
      <c r="P123" s="56"/>
      <c r="Q123" s="56"/>
      <c r="R123" s="56"/>
      <c r="S123" s="56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 s="49" t="s">
        <v>488</v>
      </c>
    </row>
    <row r="124" spans="1:36" s="47" customFormat="1">
      <c r="A124" s="61"/>
      <c r="B124" s="63"/>
      <c r="C124" s="40" t="s">
        <v>489</v>
      </c>
      <c r="D124" s="45">
        <v>1</v>
      </c>
      <c r="E124" s="45" t="str">
        <f t="shared" ref="E124:E133" si="13">(MID(str_cnvt(E123),SEARCH(":",str_cnvt(E123))+1,2)-1) &amp; ":" &amp; (MID(str_cnvt(E123),SEARCH(":",str_cnvt(E123))+1,2)-D124)</f>
        <v>30:30</v>
      </c>
      <c r="F124" s="40" t="s">
        <v>7</v>
      </c>
      <c r="G124" s="40" t="s">
        <v>7</v>
      </c>
      <c r="H124" s="40" t="s">
        <v>369</v>
      </c>
      <c r="I124" s="43" t="s">
        <v>36</v>
      </c>
      <c r="J124" s="41" t="s">
        <v>35</v>
      </c>
      <c r="K124" s="44" t="s">
        <v>6</v>
      </c>
      <c r="L124" s="40"/>
      <c r="M124" s="56"/>
      <c r="N124" s="56"/>
      <c r="O124" s="56"/>
      <c r="P124" s="56"/>
      <c r="Q124" s="56"/>
      <c r="R124" s="56"/>
      <c r="S124" s="56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 s="49" t="s">
        <v>490</v>
      </c>
    </row>
    <row r="125" spans="1:36" s="47" customFormat="1">
      <c r="A125" s="61"/>
      <c r="B125" s="63"/>
      <c r="C125" s="40" t="s">
        <v>491</v>
      </c>
      <c r="D125" s="45">
        <v>1</v>
      </c>
      <c r="E125" s="45" t="str">
        <f t="shared" si="13"/>
        <v>29:29</v>
      </c>
      <c r="F125" s="40" t="s">
        <v>7</v>
      </c>
      <c r="G125" s="40" t="s">
        <v>7</v>
      </c>
      <c r="H125" s="40" t="s">
        <v>369</v>
      </c>
      <c r="I125" s="43" t="s">
        <v>36</v>
      </c>
      <c r="J125" s="41" t="s">
        <v>35</v>
      </c>
      <c r="K125" s="44" t="s">
        <v>6</v>
      </c>
      <c r="L125" s="40"/>
      <c r="M125" s="56"/>
      <c r="N125" s="56"/>
      <c r="O125" s="56"/>
      <c r="P125" s="56"/>
      <c r="Q125" s="56"/>
      <c r="R125" s="56"/>
      <c r="S125" s="56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 s="49" t="s">
        <v>492</v>
      </c>
    </row>
    <row r="126" spans="1:36" s="47" customFormat="1">
      <c r="A126" s="61"/>
      <c r="B126" s="63"/>
      <c r="C126" s="40" t="s">
        <v>493</v>
      </c>
      <c r="D126" s="45">
        <v>1</v>
      </c>
      <c r="E126" s="45" t="str">
        <f t="shared" si="13"/>
        <v>28:28</v>
      </c>
      <c r="F126" s="40" t="s">
        <v>7</v>
      </c>
      <c r="G126" s="40" t="s">
        <v>7</v>
      </c>
      <c r="H126" s="40" t="s">
        <v>369</v>
      </c>
      <c r="I126" s="43" t="s">
        <v>36</v>
      </c>
      <c r="J126" s="41" t="s">
        <v>35</v>
      </c>
      <c r="K126" s="44" t="s">
        <v>6</v>
      </c>
      <c r="L126" s="40"/>
      <c r="M126" s="56"/>
      <c r="N126" s="56"/>
      <c r="O126" s="56"/>
      <c r="P126" s="56"/>
      <c r="Q126" s="56"/>
      <c r="R126" s="56"/>
      <c r="S126" s="5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 s="49" t="s">
        <v>494</v>
      </c>
    </row>
    <row r="127" spans="1:36" s="47" customFormat="1">
      <c r="A127" s="61"/>
      <c r="B127" s="63"/>
      <c r="C127" s="40" t="s">
        <v>495</v>
      </c>
      <c r="D127" s="45">
        <v>4</v>
      </c>
      <c r="E127" s="45" t="str">
        <f t="shared" si="13"/>
        <v>27:24</v>
      </c>
      <c r="F127" s="40" t="s">
        <v>51</v>
      </c>
      <c r="G127" s="40" t="s">
        <v>51</v>
      </c>
      <c r="H127" s="40" t="s">
        <v>523</v>
      </c>
      <c r="I127" s="43" t="s">
        <v>36</v>
      </c>
      <c r="J127" s="41" t="s">
        <v>35</v>
      </c>
      <c r="K127" s="44" t="s">
        <v>6</v>
      </c>
      <c r="L127" s="40"/>
      <c r="M127" s="56"/>
      <c r="N127" s="56"/>
      <c r="O127" s="56"/>
      <c r="P127" s="56"/>
      <c r="Q127" s="56"/>
      <c r="R127" s="56"/>
      <c r="S127" s="56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 s="49" t="s">
        <v>496</v>
      </c>
    </row>
    <row r="128" spans="1:36" s="47" customFormat="1">
      <c r="A128" s="61"/>
      <c r="B128" s="63"/>
      <c r="C128" s="40" t="s">
        <v>497</v>
      </c>
      <c r="D128" s="45">
        <v>4</v>
      </c>
      <c r="E128" s="45" t="str">
        <f t="shared" si="13"/>
        <v>23:20</v>
      </c>
      <c r="F128" s="40" t="s">
        <v>51</v>
      </c>
      <c r="G128" s="40" t="s">
        <v>51</v>
      </c>
      <c r="H128" s="40" t="s">
        <v>523</v>
      </c>
      <c r="I128" s="43" t="s">
        <v>36</v>
      </c>
      <c r="J128" s="41" t="s">
        <v>35</v>
      </c>
      <c r="K128" s="44" t="s">
        <v>6</v>
      </c>
      <c r="L128" s="40"/>
      <c r="M128" s="56"/>
      <c r="N128" s="56"/>
      <c r="O128" s="56"/>
      <c r="P128" s="56"/>
      <c r="Q128" s="56"/>
      <c r="R128" s="56"/>
      <c r="S128" s="56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 s="49" t="s">
        <v>498</v>
      </c>
    </row>
    <row r="129" spans="1:36" s="47" customFormat="1">
      <c r="A129" s="61"/>
      <c r="B129" s="63"/>
      <c r="C129" s="40" t="s">
        <v>499</v>
      </c>
      <c r="D129" s="45">
        <v>4</v>
      </c>
      <c r="E129" s="45" t="str">
        <f t="shared" si="13"/>
        <v>19:16</v>
      </c>
      <c r="F129" s="40" t="s">
        <v>51</v>
      </c>
      <c r="G129" s="40" t="s">
        <v>51</v>
      </c>
      <c r="H129" s="40" t="s">
        <v>523</v>
      </c>
      <c r="I129" s="43" t="s">
        <v>36</v>
      </c>
      <c r="J129" s="41" t="s">
        <v>35</v>
      </c>
      <c r="K129" s="44" t="s">
        <v>6</v>
      </c>
      <c r="L129" s="40"/>
      <c r="M129" s="56"/>
      <c r="N129" s="56"/>
      <c r="O129" s="56"/>
      <c r="P129" s="56"/>
      <c r="Q129" s="56"/>
      <c r="R129" s="56"/>
      <c r="S129" s="56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 s="49" t="s">
        <v>500</v>
      </c>
    </row>
    <row r="130" spans="1:36" s="47" customFormat="1">
      <c r="A130" s="61"/>
      <c r="B130" s="63"/>
      <c r="C130" s="40" t="s">
        <v>501</v>
      </c>
      <c r="D130" s="45">
        <v>4</v>
      </c>
      <c r="E130" s="45" t="str">
        <f t="shared" si="13"/>
        <v>15:12</v>
      </c>
      <c r="F130" s="40" t="s">
        <v>51</v>
      </c>
      <c r="G130" s="40" t="s">
        <v>51</v>
      </c>
      <c r="H130" s="40" t="s">
        <v>523</v>
      </c>
      <c r="I130" s="43" t="s">
        <v>36</v>
      </c>
      <c r="J130" s="41" t="s">
        <v>35</v>
      </c>
      <c r="K130" s="44" t="s">
        <v>6</v>
      </c>
      <c r="L130" s="40"/>
      <c r="M130" s="56"/>
      <c r="N130" s="56"/>
      <c r="O130" s="56"/>
      <c r="P130" s="56"/>
      <c r="Q130" s="56"/>
      <c r="R130" s="56"/>
      <c r="S130" s="56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 s="49" t="s">
        <v>502</v>
      </c>
    </row>
    <row r="131" spans="1:36" s="47" customFormat="1">
      <c r="A131" s="61"/>
      <c r="B131" s="63"/>
      <c r="C131" s="40" t="s">
        <v>503</v>
      </c>
      <c r="D131" s="45">
        <v>4</v>
      </c>
      <c r="E131" s="45" t="str">
        <f t="shared" si="13"/>
        <v>11:8</v>
      </c>
      <c r="F131" s="40" t="s">
        <v>51</v>
      </c>
      <c r="G131" s="40" t="s">
        <v>51</v>
      </c>
      <c r="H131" s="40" t="s">
        <v>523</v>
      </c>
      <c r="I131" s="43" t="s">
        <v>36</v>
      </c>
      <c r="J131" s="41" t="s">
        <v>35</v>
      </c>
      <c r="K131" s="44" t="s">
        <v>6</v>
      </c>
      <c r="L131" s="40"/>
      <c r="M131" s="56"/>
      <c r="N131" s="56"/>
      <c r="O131" s="56"/>
      <c r="P131" s="56"/>
      <c r="Q131" s="56"/>
      <c r="R131" s="56"/>
      <c r="S131" s="56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 s="49" t="s">
        <v>504</v>
      </c>
    </row>
    <row r="132" spans="1:36" s="47" customFormat="1">
      <c r="A132" s="61"/>
      <c r="B132" s="63"/>
      <c r="C132" s="40" t="s">
        <v>505</v>
      </c>
      <c r="D132" s="45">
        <v>4</v>
      </c>
      <c r="E132" s="45" t="str">
        <f t="shared" si="13"/>
        <v>7:4</v>
      </c>
      <c r="F132" s="40" t="s">
        <v>51</v>
      </c>
      <c r="G132" s="40" t="s">
        <v>51</v>
      </c>
      <c r="H132" s="40" t="s">
        <v>523</v>
      </c>
      <c r="I132" s="43" t="s">
        <v>36</v>
      </c>
      <c r="J132" s="41" t="s">
        <v>35</v>
      </c>
      <c r="K132" s="44" t="s">
        <v>6</v>
      </c>
      <c r="L132" s="40"/>
      <c r="M132" s="56"/>
      <c r="N132" s="56"/>
      <c r="O132" s="56"/>
      <c r="P132" s="56"/>
      <c r="Q132" s="56"/>
      <c r="R132" s="56"/>
      <c r="S132" s="56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 s="49" t="s">
        <v>506</v>
      </c>
    </row>
    <row r="133" spans="1:36" s="47" customFormat="1" ht="15" thickBot="1">
      <c r="A133" s="61"/>
      <c r="B133" s="63"/>
      <c r="C133" s="40" t="s">
        <v>507</v>
      </c>
      <c r="D133" s="45">
        <v>4</v>
      </c>
      <c r="E133" s="45" t="str">
        <f t="shared" si="13"/>
        <v>3:0</v>
      </c>
      <c r="F133" s="40" t="s">
        <v>51</v>
      </c>
      <c r="G133" s="40" t="s">
        <v>51</v>
      </c>
      <c r="H133" s="40" t="s">
        <v>523</v>
      </c>
      <c r="I133" s="43" t="s">
        <v>36</v>
      </c>
      <c r="J133" s="41" t="s">
        <v>35</v>
      </c>
      <c r="K133" s="44" t="s">
        <v>6</v>
      </c>
      <c r="L133" s="40"/>
      <c r="M133" s="56"/>
      <c r="N133" s="56"/>
      <c r="O133" s="56"/>
      <c r="P133" s="56"/>
      <c r="Q133" s="56"/>
      <c r="R133" s="56"/>
      <c r="S133" s="56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 s="49" t="s">
        <v>508</v>
      </c>
    </row>
    <row r="134" spans="1:36" s="47" customFormat="1">
      <c r="A134" s="66" t="s">
        <v>191</v>
      </c>
      <c r="B134" s="66">
        <v>38</v>
      </c>
      <c r="C134" s="42" t="s">
        <v>47</v>
      </c>
      <c r="D134" s="64" t="str">
        <f>bitConcat(F135:F135)</f>
        <v>32'b00000000000000000000000000000000</v>
      </c>
      <c r="E134" s="65"/>
      <c r="F134" s="65"/>
      <c r="G134" s="65"/>
      <c r="H134" s="51" t="s">
        <v>42</v>
      </c>
      <c r="I134" s="51"/>
      <c r="J134" s="51" t="str">
        <f>bitConcat(G135:G135)</f>
        <v>32'b00000000000000000000000000000000</v>
      </c>
      <c r="K134" s="51"/>
      <c r="L134" s="52"/>
      <c r="M134" s="53" t="str">
        <f>DEC2HEX(_xlfn.BITLSHIFT(O134,7)+4*P134)</f>
        <v>5B8</v>
      </c>
      <c r="N134" s="53"/>
      <c r="O134" s="53">
        <v>11</v>
      </c>
      <c r="P134" s="53">
        <v>14</v>
      </c>
      <c r="Q134" s="53" t="str">
        <f>DEC2HEX(_xlfn.BITLSHIFT(O134,5)+P134)</f>
        <v>16E</v>
      </c>
      <c r="R134" s="53" t="str">
        <f>BIN2HEX(LEFT(RIGHT(D134,32),4))&amp;BIN2HEX(LEFT(RIGHT(D134,28),4))&amp;BIN2HEX(LEFT(RIGHT(D134,24),4))&amp;BIN2HEX(LEFT(RIGHT(D134,20),4))&amp;BIN2HEX(LEFT(RIGHT(D134,16),4))&amp;BIN2HEX(LEFT(RIGHT(D134,12),4))&amp;BIN2HEX(LEFT(RIGHT(D134,8),4))&amp;BIN2HEX(LEFT(RIGHT(D134,4),4))</f>
        <v>00000000</v>
      </c>
      <c r="S134" s="53" t="str">
        <f>BIN2HEX(LEFT(RIGHT(J134,32),4))&amp;BIN2HEX(LEFT(RIGHT(J134,28),4))&amp;BIN2HEX(LEFT(RIGHT(J134,24),4))&amp;BIN2HEX(LEFT(RIGHT(J134,20),4))&amp;BIN2HEX(LEFT(RIGHT(J134,16),4))&amp;BIN2HEX(LEFT(RIGHT(J134,12),4))&amp;BIN2HEX(LEFT(RIGHT(J134,8),4))&amp;BIN2HEX(LEFT(RIGHT(J134,4),4))</f>
        <v>00000000</v>
      </c>
      <c r="AI134" s="46"/>
      <c r="AJ134" s="46"/>
    </row>
    <row r="135" spans="1:36" s="47" customFormat="1" ht="15" thickBot="1">
      <c r="A135" s="66"/>
      <c r="B135" s="66"/>
      <c r="C135" s="40" t="s">
        <v>52</v>
      </c>
      <c r="D135" s="45">
        <v>32</v>
      </c>
      <c r="E135" s="45" t="str">
        <f>IF(D135&gt;1,(31)&amp;":"&amp;(31-D135+1),(31-D135+1)&amp;":"&amp;(31-D135+1))</f>
        <v>31:0</v>
      </c>
      <c r="F135" s="40" t="s">
        <v>49</v>
      </c>
      <c r="G135" s="40" t="s">
        <v>49</v>
      </c>
      <c r="H135" s="40" t="s">
        <v>53</v>
      </c>
      <c r="I135" s="43" t="s">
        <v>36</v>
      </c>
      <c r="J135" s="41" t="s">
        <v>35</v>
      </c>
      <c r="K135" s="44" t="s">
        <v>6</v>
      </c>
      <c r="L135" s="40"/>
      <c r="M135" s="58"/>
      <c r="N135" s="58"/>
      <c r="O135" s="58"/>
      <c r="P135" s="58"/>
      <c r="Q135" s="58"/>
      <c r="R135" s="58"/>
      <c r="S135" s="58"/>
      <c r="AI135" s="46"/>
      <c r="AJ135" s="46"/>
    </row>
    <row r="136" spans="1:36" s="47" customFormat="1">
      <c r="A136" s="66" t="s">
        <v>62</v>
      </c>
      <c r="B136" s="66" t="s">
        <v>172</v>
      </c>
      <c r="C136" s="42" t="s">
        <v>47</v>
      </c>
      <c r="D136" s="64" t="str">
        <f>bitConcat(F137:F137)</f>
        <v>32'b00000000000000000000000000000000</v>
      </c>
      <c r="E136" s="65"/>
      <c r="F136" s="65"/>
      <c r="G136" s="65"/>
      <c r="H136" s="51" t="s">
        <v>42</v>
      </c>
      <c r="I136" s="51"/>
      <c r="J136" s="51" t="str">
        <f>bitConcat(G137:G137)</f>
        <v>32'b00000000000000000000000000000000</v>
      </c>
      <c r="K136" s="51"/>
      <c r="L136" s="52"/>
      <c r="M136" s="53" t="str">
        <f>DEC2HEX(_xlfn.BITLSHIFT(O136,7)+4*P136)</f>
        <v>5BC</v>
      </c>
      <c r="N136" s="53"/>
      <c r="O136" s="53">
        <v>11</v>
      </c>
      <c r="P136" s="53">
        <v>15</v>
      </c>
      <c r="Q136" s="53" t="str">
        <f>DEC2HEX(_xlfn.BITLSHIFT(O136,5)+P136)</f>
        <v>16F</v>
      </c>
      <c r="R136" s="53" t="str">
        <f>BIN2HEX(LEFT(RIGHT(D136,32),4))&amp;BIN2HEX(LEFT(RIGHT(D136,28),4))&amp;BIN2HEX(LEFT(RIGHT(D136,24),4))&amp;BIN2HEX(LEFT(RIGHT(D136,20),4))&amp;BIN2HEX(LEFT(RIGHT(D136,16),4))&amp;BIN2HEX(LEFT(RIGHT(D136,12),4))&amp;BIN2HEX(LEFT(RIGHT(D136,8),4))&amp;BIN2HEX(LEFT(RIGHT(D136,4),4))</f>
        <v>00000000</v>
      </c>
      <c r="S136" s="53" t="str">
        <f>BIN2HEX(LEFT(RIGHT(J136,32),4))&amp;BIN2HEX(LEFT(RIGHT(J136,28),4))&amp;BIN2HEX(LEFT(RIGHT(J136,24),4))&amp;BIN2HEX(LEFT(RIGHT(J136,20),4))&amp;BIN2HEX(LEFT(RIGHT(J136,16),4))&amp;BIN2HEX(LEFT(RIGHT(J136,12),4))&amp;BIN2HEX(LEFT(RIGHT(J136,8),4))&amp;BIN2HEX(LEFT(RIGHT(J136,4),4))</f>
        <v>00000000</v>
      </c>
      <c r="AI136" s="46"/>
      <c r="AJ136" s="46"/>
    </row>
    <row r="137" spans="1:36" s="47" customFormat="1" ht="15" thickBot="1">
      <c r="A137" s="66"/>
      <c r="B137" s="66"/>
      <c r="C137" s="40" t="s">
        <v>52</v>
      </c>
      <c r="D137" s="45">
        <v>32</v>
      </c>
      <c r="E137" s="45" t="str">
        <f>IF(D137&gt;1,(31)&amp;":"&amp;(31-D137+1),(31-D137+1)&amp;":"&amp;(31-D137+1))</f>
        <v>31:0</v>
      </c>
      <c r="F137" s="40" t="s">
        <v>49</v>
      </c>
      <c r="G137" s="40" t="s">
        <v>49</v>
      </c>
      <c r="H137" s="40" t="s">
        <v>53</v>
      </c>
      <c r="I137" s="43" t="s">
        <v>36</v>
      </c>
      <c r="J137" s="41" t="s">
        <v>35</v>
      </c>
      <c r="K137" s="44" t="s">
        <v>6</v>
      </c>
      <c r="L137" s="40"/>
      <c r="M137" s="58"/>
      <c r="N137" s="58"/>
      <c r="O137" s="58"/>
      <c r="P137" s="58"/>
      <c r="Q137" s="58"/>
      <c r="R137" s="58"/>
      <c r="S137" s="58"/>
      <c r="AI137" s="46"/>
      <c r="AJ137" s="46"/>
    </row>
    <row r="138" spans="1:36" s="47" customFormat="1">
      <c r="A138" s="66" t="s">
        <v>155</v>
      </c>
      <c r="B138" s="66">
        <v>40</v>
      </c>
      <c r="C138" s="42" t="s">
        <v>47</v>
      </c>
      <c r="D138" s="64" t="str">
        <f>bitConcat(F139:F139)</f>
        <v>32'b00000000000000000000000000000000</v>
      </c>
      <c r="E138" s="65"/>
      <c r="F138" s="65"/>
      <c r="G138" s="65"/>
      <c r="H138" s="51" t="s">
        <v>42</v>
      </c>
      <c r="I138" s="51"/>
      <c r="J138" s="51" t="str">
        <f>bitConcat(G139:G139)</f>
        <v>32'b00000000000000000000000000000000</v>
      </c>
      <c r="K138" s="51"/>
      <c r="L138" s="52"/>
      <c r="M138" s="53" t="str">
        <f>DEC2HEX(_xlfn.BITLSHIFT(O138,7)+4*P138)</f>
        <v>5C0</v>
      </c>
      <c r="N138" s="53"/>
      <c r="O138" s="53">
        <v>11</v>
      </c>
      <c r="P138" s="53">
        <v>16</v>
      </c>
      <c r="Q138" s="53" t="str">
        <f>DEC2HEX(_xlfn.BITLSHIFT(O138,5)+P138)</f>
        <v>170</v>
      </c>
      <c r="R138" s="53" t="str">
        <f>BIN2HEX(LEFT(RIGHT(D138,32),4))&amp;BIN2HEX(LEFT(RIGHT(D138,28),4))&amp;BIN2HEX(LEFT(RIGHT(D138,24),4))&amp;BIN2HEX(LEFT(RIGHT(D138,20),4))&amp;BIN2HEX(LEFT(RIGHT(D138,16),4))&amp;BIN2HEX(LEFT(RIGHT(D138,12),4))&amp;BIN2HEX(LEFT(RIGHT(D138,8),4))&amp;BIN2HEX(LEFT(RIGHT(D138,4),4))</f>
        <v>00000000</v>
      </c>
      <c r="S138" s="53" t="str">
        <f>BIN2HEX(LEFT(RIGHT(J138,32),4))&amp;BIN2HEX(LEFT(RIGHT(J138,28),4))&amp;BIN2HEX(LEFT(RIGHT(J138,24),4))&amp;BIN2HEX(LEFT(RIGHT(J138,20),4))&amp;BIN2HEX(LEFT(RIGHT(J138,16),4))&amp;BIN2HEX(LEFT(RIGHT(J138,12),4))&amp;BIN2HEX(LEFT(RIGHT(J138,8),4))&amp;BIN2HEX(LEFT(RIGHT(J138,4),4))</f>
        <v>00000000</v>
      </c>
      <c r="AI138" s="46"/>
      <c r="AJ138" s="46"/>
    </row>
    <row r="139" spans="1:36" s="47" customFormat="1" ht="15" thickBot="1">
      <c r="A139" s="66"/>
      <c r="B139" s="66"/>
      <c r="C139" s="40" t="s">
        <v>52</v>
      </c>
      <c r="D139" s="45">
        <v>32</v>
      </c>
      <c r="E139" s="45" t="str">
        <f>IF(D139&gt;1,(31)&amp;":"&amp;(31-D139+1),(31-D139+1)&amp;":"&amp;(31-D139+1))</f>
        <v>31:0</v>
      </c>
      <c r="F139" s="40" t="s">
        <v>49</v>
      </c>
      <c r="G139" s="40" t="s">
        <v>49</v>
      </c>
      <c r="H139" s="40" t="s">
        <v>53</v>
      </c>
      <c r="I139" s="43" t="s">
        <v>36</v>
      </c>
      <c r="J139" s="41" t="s">
        <v>35</v>
      </c>
      <c r="K139" s="44" t="s">
        <v>6</v>
      </c>
      <c r="L139" s="40"/>
      <c r="M139" s="58"/>
      <c r="N139" s="58"/>
      <c r="O139" s="58"/>
      <c r="P139" s="58"/>
      <c r="Q139" s="58"/>
      <c r="R139" s="58"/>
      <c r="S139" s="58"/>
      <c r="AI139" s="46"/>
      <c r="AJ139" s="46"/>
    </row>
    <row r="140" spans="1:36" ht="15" customHeight="1" thickBot="1">
      <c r="A140" s="81" t="s">
        <v>54</v>
      </c>
      <c r="B140" s="81">
        <v>44</v>
      </c>
      <c r="C140" s="30" t="s">
        <v>43</v>
      </c>
      <c r="D140" s="72" t="str">
        <f>bitConcat(F141:F143)</f>
        <v>32'b00000000000000000000000000000000</v>
      </c>
      <c r="E140" s="73"/>
      <c r="F140" s="74"/>
      <c r="G140" s="74"/>
      <c r="H140" s="75" t="s">
        <v>44</v>
      </c>
      <c r="I140" s="76" t="str">
        <f>bitConcat(G141:G159)</f>
        <v>More Than 32 bit Were defined (139)</v>
      </c>
      <c r="J140" s="77" t="str">
        <f>bitConcat(G141:G143)</f>
        <v>32'b00000000000000000000000000000000</v>
      </c>
      <c r="K140" s="75"/>
      <c r="L140" s="76"/>
      <c r="M140" s="69" t="str">
        <f>DEC2HEX(_xlfn.BITLSHIFT(O140,7)+4*P140)</f>
        <v>5C4</v>
      </c>
      <c r="N140" s="69"/>
      <c r="O140" s="69">
        <v>11</v>
      </c>
      <c r="P140" s="69">
        <v>17</v>
      </c>
      <c r="Q140" s="69" t="str">
        <f>DEC2HEX(_xlfn.BITLSHIFT(O140,5)+P140)</f>
        <v>171</v>
      </c>
      <c r="R140" s="69" t="str">
        <f>BIN2HEX(LEFT(RIGHT(D140,32),4))&amp;BIN2HEX(LEFT(RIGHT(D140,28),4))&amp;BIN2HEX(LEFT(RIGHT(D140,24),4))&amp;BIN2HEX(LEFT(RIGHT(D140,20),4))&amp;BIN2HEX(LEFT(RIGHT(D140,16),4))&amp;BIN2HEX(LEFT(RIGHT(D140,12),4))&amp;BIN2HEX(LEFT(RIGHT(D140,8),4))&amp;BIN2HEX(LEFT(RIGHT(D140,4),4))</f>
        <v>00000000</v>
      </c>
      <c r="S140" s="69" t="str">
        <f>BIN2HEX(LEFT(RIGHT(J140,32),4))&amp;BIN2HEX(LEFT(RIGHT(J140,28),4))&amp;BIN2HEX(LEFT(RIGHT(J140,24),4))&amp;BIN2HEX(LEFT(RIGHT(J140,20),4))&amp;BIN2HEX(LEFT(RIGHT(J140,16),4))&amp;BIN2HEX(LEFT(RIGHT(J140,12),4))&amp;BIN2HEX(LEFT(RIGHT(J140,8),4))&amp;BIN2HEX(LEFT(RIGHT(J140,4),4))</f>
        <v>00000000</v>
      </c>
      <c r="AJ140" s="32" t="s">
        <v>222</v>
      </c>
    </row>
    <row r="141" spans="1:36">
      <c r="A141" s="82"/>
      <c r="B141" s="82"/>
      <c r="C141" s="31" t="s">
        <v>57</v>
      </c>
      <c r="D141" s="38">
        <v>20</v>
      </c>
      <c r="E141" s="38" t="str">
        <f>IF(D141&gt;1,(31)&amp;":"&amp;(31-D141+1),(31-D141+1)&amp;":"&amp;(31-D141+1))</f>
        <v>31:12</v>
      </c>
      <c r="F141" s="26" t="s">
        <v>48</v>
      </c>
      <c r="G141" s="39" t="s">
        <v>48</v>
      </c>
      <c r="H141" s="24" t="s">
        <v>59</v>
      </c>
      <c r="I141" s="21" t="s">
        <v>36</v>
      </c>
      <c r="J141" s="22" t="s">
        <v>35</v>
      </c>
      <c r="K141" s="23" t="s">
        <v>6</v>
      </c>
      <c r="L141" s="16"/>
      <c r="M141" s="70"/>
      <c r="N141" s="70"/>
      <c r="O141" s="70"/>
      <c r="P141" s="70"/>
      <c r="Q141" s="70"/>
      <c r="R141" s="70"/>
      <c r="S141" s="70"/>
      <c r="AI141" s="32" t="s">
        <v>193</v>
      </c>
    </row>
    <row r="142" spans="1:36" s="32" customFormat="1">
      <c r="A142" s="82"/>
      <c r="B142" s="82"/>
      <c r="C142" s="31" t="s">
        <v>55</v>
      </c>
      <c r="D142" s="38">
        <v>10</v>
      </c>
      <c r="E142" s="38" t="str">
        <f t="shared" ref="E142" si="14">(MID(str_cnvt(E141),SEARCH(":",str_cnvt(E141))+1,2)-1) &amp; ":" &amp; (MID(str_cnvt(E141),SEARCH(":",str_cnvt(E141))+1,2)-D142)</f>
        <v>11:2</v>
      </c>
      <c r="F142" s="39" t="s">
        <v>61</v>
      </c>
      <c r="G142" s="39" t="s">
        <v>61</v>
      </c>
      <c r="H142" s="24" t="s">
        <v>552</v>
      </c>
      <c r="I142" s="35" t="s">
        <v>36</v>
      </c>
      <c r="J142" s="36" t="s">
        <v>35</v>
      </c>
      <c r="K142" s="37" t="s">
        <v>6</v>
      </c>
      <c r="L142" s="34"/>
      <c r="M142" s="70"/>
      <c r="N142" s="70"/>
      <c r="O142" s="70"/>
      <c r="P142" s="70"/>
      <c r="Q142" s="70"/>
      <c r="R142" s="70"/>
      <c r="S142" s="70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:36" ht="15" thickBot="1">
      <c r="A143" s="82"/>
      <c r="B143" s="82"/>
      <c r="C143" s="31" t="s">
        <v>56</v>
      </c>
      <c r="D143" s="38">
        <v>2</v>
      </c>
      <c r="E143" s="38" t="str">
        <f>(MID(str_cnvt(E141),SEARCH(":",str_cnvt(E141))+1,2)-1) &amp; ":" &amp; (MID(str_cnvt(E141),SEARCH(":",str_cnvt(E141))+1,2)-D143)</f>
        <v>11:10</v>
      </c>
      <c r="F143" s="39" t="s">
        <v>60</v>
      </c>
      <c r="G143" s="39" t="s">
        <v>60</v>
      </c>
      <c r="H143" s="24" t="s">
        <v>58</v>
      </c>
      <c r="I143" s="21" t="s">
        <v>36</v>
      </c>
      <c r="J143" s="22" t="s">
        <v>35</v>
      </c>
      <c r="K143" s="23" t="s">
        <v>6</v>
      </c>
      <c r="L143" s="16"/>
      <c r="M143" s="70"/>
      <c r="N143" s="70"/>
      <c r="O143" s="70"/>
      <c r="P143" s="70"/>
      <c r="Q143" s="70"/>
      <c r="R143" s="70"/>
      <c r="S143" s="70"/>
      <c r="AI143" s="32" t="s">
        <v>194</v>
      </c>
    </row>
    <row r="144" spans="1:36" s="47" customFormat="1">
      <c r="A144" s="66" t="s">
        <v>156</v>
      </c>
      <c r="B144" s="66">
        <v>48</v>
      </c>
      <c r="C144" s="42" t="s">
        <v>47</v>
      </c>
      <c r="D144" s="64" t="str">
        <f>bitConcat(F145:F145)</f>
        <v>32'b00000000000000000000000000000000</v>
      </c>
      <c r="E144" s="65"/>
      <c r="F144" s="65"/>
      <c r="G144" s="65"/>
      <c r="H144" s="51" t="s">
        <v>42</v>
      </c>
      <c r="I144" s="51"/>
      <c r="J144" s="51" t="str">
        <f>bitConcat(G145:G145)</f>
        <v>32'b00000000000000000000000000000000</v>
      </c>
      <c r="K144" s="51"/>
      <c r="L144" s="52"/>
      <c r="M144" s="53" t="str">
        <f>DEC2HEX(_xlfn.BITLSHIFT(O144,7)+4*P144)</f>
        <v>5C8</v>
      </c>
      <c r="N144" s="53"/>
      <c r="O144" s="53">
        <v>11</v>
      </c>
      <c r="P144" s="53">
        <v>18</v>
      </c>
      <c r="Q144" s="53" t="str">
        <f>DEC2HEX(_xlfn.BITLSHIFT(O144,5)+P144)</f>
        <v>172</v>
      </c>
      <c r="R144" s="53" t="str">
        <f>BIN2HEX(LEFT(RIGHT(D144,32),4))&amp;BIN2HEX(LEFT(RIGHT(D144,28),4))&amp;BIN2HEX(LEFT(RIGHT(D144,24),4))&amp;BIN2HEX(LEFT(RIGHT(D144,20),4))&amp;BIN2HEX(LEFT(RIGHT(D144,16),4))&amp;BIN2HEX(LEFT(RIGHT(D144,12),4))&amp;BIN2HEX(LEFT(RIGHT(D144,8),4))&amp;BIN2HEX(LEFT(RIGHT(D144,4),4))</f>
        <v>00000000</v>
      </c>
      <c r="S144" s="53" t="str">
        <f>BIN2HEX(LEFT(RIGHT(J144,32),4))&amp;BIN2HEX(LEFT(RIGHT(J144,28),4))&amp;BIN2HEX(LEFT(RIGHT(J144,24),4))&amp;BIN2HEX(LEFT(RIGHT(J144,20),4))&amp;BIN2HEX(LEFT(RIGHT(J144,16),4))&amp;BIN2HEX(LEFT(RIGHT(J144,12),4))&amp;BIN2HEX(LEFT(RIGHT(J144,8),4))&amp;BIN2HEX(LEFT(RIGHT(J144,4),4))</f>
        <v>00000000</v>
      </c>
      <c r="AI144" s="46"/>
      <c r="AJ144" s="46"/>
    </row>
    <row r="145" spans="1:37" s="47" customFormat="1" ht="15" thickBot="1">
      <c r="A145" s="66"/>
      <c r="B145" s="66"/>
      <c r="C145" s="40" t="s">
        <v>52</v>
      </c>
      <c r="D145" s="45">
        <v>32</v>
      </c>
      <c r="E145" s="45" t="str">
        <f>IF(D145&gt;1,(31)&amp;":"&amp;(31-D145+1),(31-D145+1)&amp;":"&amp;(31-D145+1))</f>
        <v>31:0</v>
      </c>
      <c r="F145" s="40" t="s">
        <v>49</v>
      </c>
      <c r="G145" s="40" t="s">
        <v>49</v>
      </c>
      <c r="H145" s="40" t="s">
        <v>53</v>
      </c>
      <c r="I145" s="43" t="s">
        <v>36</v>
      </c>
      <c r="J145" s="41" t="s">
        <v>35</v>
      </c>
      <c r="K145" s="44" t="s">
        <v>6</v>
      </c>
      <c r="L145" s="40"/>
      <c r="M145" s="58"/>
      <c r="N145" s="58"/>
      <c r="O145" s="58"/>
      <c r="P145" s="58"/>
      <c r="Q145" s="58"/>
      <c r="R145" s="58"/>
      <c r="S145" s="58"/>
      <c r="AI145" s="46"/>
      <c r="AJ145" s="46"/>
    </row>
    <row r="146" spans="1:37" ht="15" thickBot="1">
      <c r="A146" s="78" t="s">
        <v>158</v>
      </c>
      <c r="B146" s="78" t="s">
        <v>173</v>
      </c>
      <c r="C146" s="30" t="s">
        <v>43</v>
      </c>
      <c r="D146" s="72" t="str">
        <f>bitConcat(F147:F153)</f>
        <v>32'b00000000000000000000000000000000</v>
      </c>
      <c r="E146" s="73"/>
      <c r="F146" s="74"/>
      <c r="G146" s="74"/>
      <c r="H146" s="75" t="s">
        <v>44</v>
      </c>
      <c r="I146" s="76" t="str">
        <f>bitConcat(G146:G153)</f>
        <v>32'b00000000000000000000000000000000</v>
      </c>
      <c r="J146" s="77" t="str">
        <f>bitConcat(G147:G153)</f>
        <v>32'b00000000000000000000000000000000</v>
      </c>
      <c r="K146" s="75"/>
      <c r="L146" s="76"/>
      <c r="M146" s="69" t="str">
        <f>DEC2HEX(_xlfn.BITLSHIFT(O146,7)+4*P146)</f>
        <v>5CC</v>
      </c>
      <c r="N146" s="69"/>
      <c r="O146" s="69">
        <v>11</v>
      </c>
      <c r="P146" s="69">
        <v>19</v>
      </c>
      <c r="Q146" s="69" t="str">
        <f>DEC2HEX(_xlfn.BITLSHIFT(O146,5)+P146)</f>
        <v>173</v>
      </c>
      <c r="R146" s="69" t="str">
        <f>BIN2HEX(LEFT(RIGHT(D146,32),4))&amp;BIN2HEX(LEFT(RIGHT(D146,28),4))&amp;BIN2HEX(LEFT(RIGHT(D146,24),4))&amp;BIN2HEX(LEFT(RIGHT(D146,20),4))&amp;BIN2HEX(LEFT(RIGHT(D146,16),4))&amp;BIN2HEX(LEFT(RIGHT(D146,12),4))&amp;BIN2HEX(LEFT(RIGHT(D146,8),4))&amp;BIN2HEX(LEFT(RIGHT(D146,4),4))</f>
        <v>00000000</v>
      </c>
      <c r="S146" s="69" t="str">
        <f>BIN2HEX(LEFT(RIGHT(J146,32),4))&amp;BIN2HEX(LEFT(RIGHT(J146,28),4))&amp;BIN2HEX(LEFT(RIGHT(J146,24),4))&amp;BIN2HEX(LEFT(RIGHT(J146,20),4))&amp;BIN2HEX(LEFT(RIGHT(J146,16),4))&amp;BIN2HEX(LEFT(RIGHT(J146,12),4))&amp;BIN2HEX(LEFT(RIGHT(J146,8),4))&amp;BIN2HEX(LEFT(RIGHT(J146,4),4))</f>
        <v>00000000</v>
      </c>
    </row>
    <row r="147" spans="1:37" ht="15.75" customHeight="1">
      <c r="A147" s="79"/>
      <c r="B147" s="79"/>
      <c r="C147" s="31" t="s">
        <v>165</v>
      </c>
      <c r="D147" s="38">
        <v>1</v>
      </c>
      <c r="E147" s="38" t="str">
        <f>IF(D147&gt;1,(31)&amp;":"&amp;(31-D147+1),(31-D147+1)&amp;":"&amp;(31-D147+1))</f>
        <v>31:31</v>
      </c>
      <c r="F147" s="39" t="s">
        <v>7</v>
      </c>
      <c r="G147" s="39" t="s">
        <v>7</v>
      </c>
      <c r="H147" s="40" t="s">
        <v>168</v>
      </c>
      <c r="I147" s="35" t="s">
        <v>36</v>
      </c>
      <c r="J147" s="36" t="s">
        <v>35</v>
      </c>
      <c r="K147" s="37" t="s">
        <v>6</v>
      </c>
      <c r="L147" s="34"/>
      <c r="M147" s="70"/>
      <c r="N147" s="70"/>
      <c r="O147" s="70"/>
      <c r="P147" s="70"/>
      <c r="Q147" s="70"/>
      <c r="R147" s="70"/>
      <c r="S147" s="70"/>
      <c r="AI147" s="32" t="s">
        <v>219</v>
      </c>
      <c r="AJ147" s="32"/>
      <c r="AK147" s="32"/>
    </row>
    <row r="148" spans="1:37">
      <c r="A148" s="79"/>
      <c r="B148" s="79"/>
      <c r="C148" s="31" t="s">
        <v>164</v>
      </c>
      <c r="D148" s="38">
        <v>3</v>
      </c>
      <c r="E148" s="38" t="str">
        <f t="shared" ref="E148:E153" si="15">(MID(str_cnvt(E147),SEARCH(":",str_cnvt(E147))+1,2)-1) &amp; ":" &amp; (MID(str_cnvt(E147),SEARCH(":",str_cnvt(E147))+1,2)-D148)</f>
        <v>30:28</v>
      </c>
      <c r="F148" s="39" t="s">
        <v>169</v>
      </c>
      <c r="G148" s="39" t="s">
        <v>169</v>
      </c>
      <c r="H148" s="40" t="s">
        <v>567</v>
      </c>
      <c r="I148" s="35" t="s">
        <v>36</v>
      </c>
      <c r="J148" s="36" t="s">
        <v>35</v>
      </c>
      <c r="K148" s="37" t="s">
        <v>6</v>
      </c>
      <c r="L148" s="34"/>
      <c r="M148" s="70"/>
      <c r="N148" s="70"/>
      <c r="O148" s="70"/>
      <c r="P148" s="70"/>
      <c r="Q148" s="70"/>
      <c r="R148" s="70"/>
      <c r="S148" s="70"/>
      <c r="AI148" s="32" t="s">
        <v>256</v>
      </c>
    </row>
    <row r="149" spans="1:37" ht="15" customHeight="1">
      <c r="A149" s="79"/>
      <c r="B149" s="79"/>
      <c r="C149" s="31" t="s">
        <v>163</v>
      </c>
      <c r="D149" s="38">
        <v>3</v>
      </c>
      <c r="E149" s="38" t="str">
        <f t="shared" si="15"/>
        <v>27:25</v>
      </c>
      <c r="F149" s="39" t="s">
        <v>169</v>
      </c>
      <c r="G149" s="39" t="s">
        <v>169</v>
      </c>
      <c r="H149" s="40" t="s">
        <v>567</v>
      </c>
      <c r="I149" s="35" t="s">
        <v>36</v>
      </c>
      <c r="J149" s="36" t="s">
        <v>35</v>
      </c>
      <c r="K149" s="37" t="s">
        <v>6</v>
      </c>
      <c r="L149" s="34"/>
      <c r="M149" s="70"/>
      <c r="N149" s="70"/>
      <c r="O149" s="70"/>
      <c r="P149" s="70"/>
      <c r="Q149" s="70"/>
      <c r="R149" s="70"/>
      <c r="S149" s="70"/>
      <c r="AI149" s="32" t="s">
        <v>257</v>
      </c>
    </row>
    <row r="150" spans="1:37">
      <c r="A150" s="79"/>
      <c r="B150" s="79"/>
      <c r="C150" s="31" t="s">
        <v>162</v>
      </c>
      <c r="D150" s="38">
        <v>1</v>
      </c>
      <c r="E150" s="38" t="str">
        <f t="shared" si="15"/>
        <v>24:24</v>
      </c>
      <c r="F150" s="39" t="s">
        <v>7</v>
      </c>
      <c r="G150" s="39" t="s">
        <v>7</v>
      </c>
      <c r="H150" s="40" t="s">
        <v>167</v>
      </c>
      <c r="I150" s="35" t="s">
        <v>36</v>
      </c>
      <c r="J150" s="36" t="s">
        <v>35</v>
      </c>
      <c r="K150" s="37" t="s">
        <v>6</v>
      </c>
      <c r="L150" s="34"/>
      <c r="M150" s="70"/>
      <c r="N150" s="70"/>
      <c r="O150" s="70"/>
      <c r="P150" s="70"/>
      <c r="Q150" s="70"/>
      <c r="R150" s="70"/>
      <c r="S150" s="70"/>
      <c r="AI150" s="32" t="s">
        <v>220</v>
      </c>
    </row>
    <row r="151" spans="1:37">
      <c r="A151" s="79"/>
      <c r="B151" s="79"/>
      <c r="C151" s="31" t="s">
        <v>161</v>
      </c>
      <c r="D151" s="38">
        <v>7</v>
      </c>
      <c r="E151" s="38" t="str">
        <f t="shared" si="15"/>
        <v>23:17</v>
      </c>
      <c r="F151" s="39" t="s">
        <v>89</v>
      </c>
      <c r="G151" s="39" t="s">
        <v>89</v>
      </c>
      <c r="H151" s="40" t="s">
        <v>569</v>
      </c>
      <c r="I151" s="35" t="s">
        <v>36</v>
      </c>
      <c r="J151" s="36" t="s">
        <v>35</v>
      </c>
      <c r="K151" s="37" t="s">
        <v>6</v>
      </c>
      <c r="L151" s="34"/>
      <c r="M151" s="70"/>
      <c r="N151" s="70"/>
      <c r="O151" s="70"/>
      <c r="P151" s="70"/>
      <c r="Q151" s="70"/>
      <c r="R151" s="70"/>
      <c r="S151" s="70"/>
      <c r="AI151" s="32" t="s">
        <v>258</v>
      </c>
    </row>
    <row r="152" spans="1:37">
      <c r="A152" s="79"/>
      <c r="B152" s="79"/>
      <c r="C152" s="31" t="s">
        <v>160</v>
      </c>
      <c r="D152" s="38">
        <v>2</v>
      </c>
      <c r="E152" s="38" t="str">
        <f t="shared" si="15"/>
        <v>16:15</v>
      </c>
      <c r="F152" s="39" t="s">
        <v>60</v>
      </c>
      <c r="G152" s="39" t="s">
        <v>60</v>
      </c>
      <c r="H152" s="40" t="s">
        <v>568</v>
      </c>
      <c r="I152" s="35" t="s">
        <v>36</v>
      </c>
      <c r="J152" s="36" t="s">
        <v>35</v>
      </c>
      <c r="K152" s="37" t="s">
        <v>6</v>
      </c>
      <c r="L152" s="34"/>
      <c r="M152" s="70"/>
      <c r="N152" s="70"/>
      <c r="O152" s="70"/>
      <c r="P152" s="70"/>
      <c r="Q152" s="70"/>
      <c r="R152" s="70"/>
      <c r="S152" s="70"/>
      <c r="AI152" s="32" t="s">
        <v>259</v>
      </c>
    </row>
    <row r="153" spans="1:37" ht="15" thickBot="1">
      <c r="A153" s="80"/>
      <c r="B153" s="80"/>
      <c r="C153" s="31" t="s">
        <v>159</v>
      </c>
      <c r="D153" s="38">
        <v>15</v>
      </c>
      <c r="E153" s="38" t="str">
        <f t="shared" si="15"/>
        <v>14:0</v>
      </c>
      <c r="F153" s="39" t="s">
        <v>170</v>
      </c>
      <c r="G153" s="39" t="s">
        <v>170</v>
      </c>
      <c r="H153" s="40" t="s">
        <v>166</v>
      </c>
      <c r="I153" s="35" t="s">
        <v>36</v>
      </c>
      <c r="J153" s="36" t="s">
        <v>35</v>
      </c>
      <c r="K153" s="37" t="s">
        <v>6</v>
      </c>
      <c r="L153" s="34"/>
      <c r="M153" s="71"/>
      <c r="N153" s="71"/>
      <c r="O153" s="71"/>
      <c r="P153" s="71"/>
      <c r="Q153" s="71"/>
      <c r="R153" s="71"/>
      <c r="S153" s="71"/>
      <c r="AI153" s="32" t="s">
        <v>260</v>
      </c>
    </row>
    <row r="154" spans="1:37" s="47" customFormat="1">
      <c r="A154" s="66" t="s">
        <v>177</v>
      </c>
      <c r="B154" s="66">
        <v>50</v>
      </c>
      <c r="C154" s="42" t="s">
        <v>47</v>
      </c>
      <c r="D154" s="64" t="str">
        <f>bitConcat(F155:F155)</f>
        <v>32'b00000000000000000000000000000000</v>
      </c>
      <c r="E154" s="65"/>
      <c r="F154" s="65"/>
      <c r="G154" s="65"/>
      <c r="H154" s="51" t="s">
        <v>42</v>
      </c>
      <c r="I154" s="51"/>
      <c r="J154" s="51" t="str">
        <f>bitConcat(G155:G155)</f>
        <v>32'b00000000000000000000000000000000</v>
      </c>
      <c r="K154" s="51"/>
      <c r="L154" s="52"/>
      <c r="M154" s="53" t="str">
        <f>DEC2HEX(_xlfn.BITLSHIFT(O154,7)+4*P154)</f>
        <v>5D0</v>
      </c>
      <c r="N154" s="53"/>
      <c r="O154" s="53">
        <v>11</v>
      </c>
      <c r="P154" s="53">
        <v>20</v>
      </c>
      <c r="Q154" s="53" t="str">
        <f>DEC2HEX(_xlfn.BITLSHIFT(O154,5)+P154)</f>
        <v>174</v>
      </c>
      <c r="R154" s="53" t="str">
        <f>BIN2HEX(LEFT(RIGHT(D154,32),4))&amp;BIN2HEX(LEFT(RIGHT(D154,28),4))&amp;BIN2HEX(LEFT(RIGHT(D154,24),4))&amp;BIN2HEX(LEFT(RIGHT(D154,20),4))&amp;BIN2HEX(LEFT(RIGHT(D154,16),4))&amp;BIN2HEX(LEFT(RIGHT(D154,12),4))&amp;BIN2HEX(LEFT(RIGHT(D154,8),4))&amp;BIN2HEX(LEFT(RIGHT(D154,4),4))</f>
        <v>00000000</v>
      </c>
      <c r="S154" s="53" t="str">
        <f>BIN2HEX(LEFT(RIGHT(J154,32),4))&amp;BIN2HEX(LEFT(RIGHT(J154,28),4))&amp;BIN2HEX(LEFT(RIGHT(J154,24),4))&amp;BIN2HEX(LEFT(RIGHT(J154,20),4))&amp;BIN2HEX(LEFT(RIGHT(J154,16),4))&amp;BIN2HEX(LEFT(RIGHT(J154,12),4))&amp;BIN2HEX(LEFT(RIGHT(J154,8),4))&amp;BIN2HEX(LEFT(RIGHT(J154,4),4))</f>
        <v>00000000</v>
      </c>
      <c r="AI154" s="46"/>
      <c r="AJ154" s="46"/>
    </row>
    <row r="155" spans="1:37" s="47" customFormat="1" ht="15" thickBot="1">
      <c r="A155" s="66"/>
      <c r="B155" s="66"/>
      <c r="C155" s="40" t="s">
        <v>52</v>
      </c>
      <c r="D155" s="45">
        <v>32</v>
      </c>
      <c r="E155" s="45" t="str">
        <f>IF(D155&gt;1,(31)&amp;":"&amp;(31-D155+1),(31-D155+1)&amp;":"&amp;(31-D155+1))</f>
        <v>31:0</v>
      </c>
      <c r="F155" s="40" t="s">
        <v>49</v>
      </c>
      <c r="G155" s="40" t="s">
        <v>49</v>
      </c>
      <c r="H155" s="40" t="s">
        <v>53</v>
      </c>
      <c r="I155" s="43" t="s">
        <v>36</v>
      </c>
      <c r="J155" s="41" t="s">
        <v>35</v>
      </c>
      <c r="K155" s="44" t="s">
        <v>6</v>
      </c>
      <c r="L155" s="40"/>
      <c r="M155" s="58"/>
      <c r="N155" s="58"/>
      <c r="O155" s="58"/>
      <c r="P155" s="58"/>
      <c r="Q155" s="58"/>
      <c r="R155" s="58"/>
      <c r="S155" s="58"/>
      <c r="AI155" s="46"/>
      <c r="AJ155" s="46"/>
    </row>
    <row r="156" spans="1:37" ht="15" thickBot="1">
      <c r="A156" s="78" t="s">
        <v>63</v>
      </c>
      <c r="B156" s="78">
        <v>54</v>
      </c>
      <c r="C156" s="30" t="s">
        <v>43</v>
      </c>
      <c r="D156" s="72" t="str">
        <f>bitConcat(F157:F163)</f>
        <v>32'b01000010000100001000010000100000</v>
      </c>
      <c r="E156" s="73"/>
      <c r="F156" s="74"/>
      <c r="G156" s="74"/>
      <c r="H156" s="75" t="s">
        <v>44</v>
      </c>
      <c r="I156" s="76" t="str">
        <f>bitConcat(G157:G165)</f>
        <v>More Than 32 bit Were defined (37)</v>
      </c>
      <c r="J156" s="77" t="str">
        <f>bitConcat(G157:G163)</f>
        <v>32'b01000010000100001000010000100000</v>
      </c>
      <c r="K156" s="75"/>
      <c r="L156" s="76"/>
      <c r="M156" s="69" t="str">
        <f>DEC2HEX(_xlfn.BITLSHIFT(O156,7)+4*P156)</f>
        <v>5D4</v>
      </c>
      <c r="N156" s="69"/>
      <c r="O156" s="69">
        <v>11</v>
      </c>
      <c r="P156" s="69">
        <v>21</v>
      </c>
      <c r="Q156" s="69" t="str">
        <f>DEC2HEX(_xlfn.BITLSHIFT(O156,5)+P156)</f>
        <v>175</v>
      </c>
      <c r="R156" s="69" t="str">
        <f>BIN2HEX(LEFT(RIGHT(D156,32),4))&amp;BIN2HEX(LEFT(RIGHT(D156,28),4))&amp;BIN2HEX(LEFT(RIGHT(D156,24),4))&amp;BIN2HEX(LEFT(RIGHT(D156,20),4))&amp;BIN2HEX(LEFT(RIGHT(D156,16),4))&amp;BIN2HEX(LEFT(RIGHT(D156,12),4))&amp;BIN2HEX(LEFT(RIGHT(D156,8),4))&amp;BIN2HEX(LEFT(RIGHT(D156,4),4))</f>
        <v>42108420</v>
      </c>
      <c r="S156" s="69" t="str">
        <f>BIN2HEX(LEFT(RIGHT(J156,32),4))&amp;BIN2HEX(LEFT(RIGHT(J156,28),4))&amp;BIN2HEX(LEFT(RIGHT(J156,24),4))&amp;BIN2HEX(LEFT(RIGHT(J156,20),4))&amp;BIN2HEX(LEFT(RIGHT(J156,16),4))&amp;BIN2HEX(LEFT(RIGHT(J156,12),4))&amp;BIN2HEX(LEFT(RIGHT(J156,8),4))&amp;BIN2HEX(LEFT(RIGHT(J156,4),4))</f>
        <v>42108420</v>
      </c>
    </row>
    <row r="157" spans="1:37">
      <c r="A157" s="79"/>
      <c r="B157" s="79"/>
      <c r="C157" s="31" t="s">
        <v>70</v>
      </c>
      <c r="D157" s="38">
        <v>1</v>
      </c>
      <c r="E157" s="38" t="str">
        <f>IF(D157&gt;1,(31)&amp;":"&amp;(31-D157+1),(31-D157+1)&amp;":"&amp;(31-D157+1))</f>
        <v>31:31</v>
      </c>
      <c r="F157" s="39" t="s">
        <v>7</v>
      </c>
      <c r="G157" s="39" t="s">
        <v>7</v>
      </c>
      <c r="H157" s="24" t="s">
        <v>71</v>
      </c>
      <c r="I157" s="35" t="s">
        <v>36</v>
      </c>
      <c r="J157" s="36" t="s">
        <v>35</v>
      </c>
      <c r="K157" s="37" t="s">
        <v>6</v>
      </c>
      <c r="L157" s="34"/>
      <c r="M157" s="70"/>
      <c r="N157" s="70"/>
      <c r="O157" s="70"/>
      <c r="P157" s="70"/>
      <c r="Q157" s="70"/>
      <c r="R157" s="70"/>
      <c r="S157" s="70"/>
      <c r="AI157" s="32" t="s">
        <v>195</v>
      </c>
    </row>
    <row r="158" spans="1:37">
      <c r="A158" s="79"/>
      <c r="B158" s="79"/>
      <c r="C158" s="31" t="s">
        <v>69</v>
      </c>
      <c r="D158" s="38">
        <v>5</v>
      </c>
      <c r="E158" s="38" t="str">
        <f t="shared" ref="E158:E163" si="16">(MID(str_cnvt(E157),SEARCH(":",str_cnvt(E157))+1,2)-1) &amp; ":" &amp; (MID(str_cnvt(E157),SEARCH(":",str_cnvt(E157))+1,2)-D158)</f>
        <v>30:26</v>
      </c>
      <c r="F158" s="39" t="s">
        <v>184</v>
      </c>
      <c r="G158" s="39" t="s">
        <v>184</v>
      </c>
      <c r="H158" s="24" t="s">
        <v>555</v>
      </c>
      <c r="I158" s="35" t="s">
        <v>36</v>
      </c>
      <c r="J158" s="36" t="s">
        <v>35</v>
      </c>
      <c r="K158" s="37" t="s">
        <v>6</v>
      </c>
      <c r="L158" s="34"/>
      <c r="M158" s="70"/>
      <c r="N158" s="70"/>
      <c r="O158" s="70"/>
      <c r="P158" s="70"/>
      <c r="Q158" s="70"/>
      <c r="R158" s="70"/>
      <c r="S158" s="70"/>
      <c r="AI158" s="32" t="s">
        <v>196</v>
      </c>
    </row>
    <row r="159" spans="1:37" ht="15.75" customHeight="1">
      <c r="A159" s="79"/>
      <c r="B159" s="79"/>
      <c r="C159" s="31" t="s">
        <v>68</v>
      </c>
      <c r="D159" s="38">
        <v>5</v>
      </c>
      <c r="E159" s="38" t="str">
        <f t="shared" si="16"/>
        <v>25:21</v>
      </c>
      <c r="F159" s="39" t="s">
        <v>184</v>
      </c>
      <c r="G159" s="39" t="s">
        <v>184</v>
      </c>
      <c r="H159" s="24" t="s">
        <v>556</v>
      </c>
      <c r="I159" s="35" t="s">
        <v>36</v>
      </c>
      <c r="J159" s="36" t="s">
        <v>35</v>
      </c>
      <c r="K159" s="37" t="s">
        <v>6</v>
      </c>
      <c r="L159" s="34"/>
      <c r="M159" s="70"/>
      <c r="N159" s="70"/>
      <c r="O159" s="70"/>
      <c r="P159" s="70"/>
      <c r="Q159" s="70"/>
      <c r="R159" s="70"/>
      <c r="S159" s="70"/>
      <c r="AI159" s="32" t="s">
        <v>197</v>
      </c>
    </row>
    <row r="160" spans="1:37">
      <c r="A160" s="79"/>
      <c r="B160" s="79"/>
      <c r="C160" s="31" t="s">
        <v>67</v>
      </c>
      <c r="D160" s="38">
        <v>5</v>
      </c>
      <c r="E160" s="38" t="str">
        <f t="shared" si="16"/>
        <v>20:16</v>
      </c>
      <c r="F160" s="39" t="s">
        <v>184</v>
      </c>
      <c r="G160" s="39" t="s">
        <v>184</v>
      </c>
      <c r="H160" s="24" t="s">
        <v>557</v>
      </c>
      <c r="I160" s="35" t="s">
        <v>36</v>
      </c>
      <c r="J160" s="36" t="s">
        <v>35</v>
      </c>
      <c r="K160" s="37" t="s">
        <v>6</v>
      </c>
      <c r="L160" s="34"/>
      <c r="M160" s="70"/>
      <c r="N160" s="70"/>
      <c r="O160" s="70"/>
      <c r="P160" s="70"/>
      <c r="Q160" s="70"/>
      <c r="R160" s="70"/>
      <c r="S160" s="70"/>
      <c r="AI160" s="32" t="s">
        <v>198</v>
      </c>
      <c r="AJ160" s="33"/>
      <c r="AK160" s="33"/>
    </row>
    <row r="161" spans="1:37">
      <c r="A161" s="79"/>
      <c r="B161" s="79"/>
      <c r="C161" s="31" t="s">
        <v>66</v>
      </c>
      <c r="D161" s="38">
        <v>5</v>
      </c>
      <c r="E161" s="38" t="str">
        <f t="shared" si="16"/>
        <v>15:11</v>
      </c>
      <c r="F161" s="39" t="s">
        <v>184</v>
      </c>
      <c r="G161" s="39" t="s">
        <v>184</v>
      </c>
      <c r="H161" s="24" t="s">
        <v>558</v>
      </c>
      <c r="I161" s="35" t="s">
        <v>36</v>
      </c>
      <c r="J161" s="36" t="s">
        <v>35</v>
      </c>
      <c r="K161" s="37" t="s">
        <v>6</v>
      </c>
      <c r="L161" s="34"/>
      <c r="M161" s="70"/>
      <c r="N161" s="70"/>
      <c r="O161" s="70"/>
      <c r="P161" s="70"/>
      <c r="Q161" s="70"/>
      <c r="R161" s="70"/>
      <c r="S161" s="70"/>
      <c r="AI161" s="32" t="s">
        <v>199</v>
      </c>
      <c r="AJ161" s="33"/>
      <c r="AK161" s="33"/>
    </row>
    <row r="162" spans="1:37">
      <c r="A162" s="79"/>
      <c r="B162" s="79"/>
      <c r="C162" s="31" t="s">
        <v>65</v>
      </c>
      <c r="D162" s="38">
        <v>5</v>
      </c>
      <c r="E162" s="38" t="str">
        <f t="shared" si="16"/>
        <v>10:6</v>
      </c>
      <c r="F162" s="39" t="s">
        <v>184</v>
      </c>
      <c r="G162" s="39" t="s">
        <v>184</v>
      </c>
      <c r="H162" s="24" t="s">
        <v>554</v>
      </c>
      <c r="I162" s="35" t="s">
        <v>36</v>
      </c>
      <c r="J162" s="36" t="s">
        <v>35</v>
      </c>
      <c r="K162" s="37" t="s">
        <v>6</v>
      </c>
      <c r="L162" s="34"/>
      <c r="M162" s="70"/>
      <c r="N162" s="70"/>
      <c r="O162" s="70"/>
      <c r="P162" s="70"/>
      <c r="Q162" s="70"/>
      <c r="R162" s="70"/>
      <c r="S162" s="70"/>
      <c r="AI162" s="32" t="s">
        <v>200</v>
      </c>
      <c r="AJ162" s="33"/>
      <c r="AK162" s="33"/>
    </row>
    <row r="163" spans="1:37" ht="15" thickBot="1">
      <c r="A163" s="80"/>
      <c r="B163" s="80"/>
      <c r="C163" s="31" t="s">
        <v>64</v>
      </c>
      <c r="D163" s="38">
        <v>6</v>
      </c>
      <c r="E163" s="38" t="str">
        <f t="shared" si="16"/>
        <v>5:0</v>
      </c>
      <c r="F163" s="39" t="s">
        <v>185</v>
      </c>
      <c r="G163" s="39" t="s">
        <v>185</v>
      </c>
      <c r="H163" s="24" t="s">
        <v>553</v>
      </c>
      <c r="I163" s="35" t="s">
        <v>36</v>
      </c>
      <c r="J163" s="36" t="s">
        <v>35</v>
      </c>
      <c r="K163" s="37" t="s">
        <v>6</v>
      </c>
      <c r="L163" s="34"/>
      <c r="M163" s="71"/>
      <c r="N163" s="71"/>
      <c r="O163" s="71"/>
      <c r="P163" s="71"/>
      <c r="Q163" s="71"/>
      <c r="R163" s="71"/>
      <c r="S163" s="71"/>
      <c r="AI163" s="32" t="s">
        <v>201</v>
      </c>
    </row>
    <row r="164" spans="1:37" ht="15" thickBot="1">
      <c r="A164" s="78" t="s">
        <v>72</v>
      </c>
      <c r="B164" s="78">
        <v>58</v>
      </c>
      <c r="C164" s="30" t="s">
        <v>43</v>
      </c>
      <c r="D164" s="72" t="str">
        <f>bitConcat(F165:F170)</f>
        <v>32'b10000100001000010000100000100000</v>
      </c>
      <c r="E164" s="73"/>
      <c r="F164" s="74"/>
      <c r="G164" s="74"/>
      <c r="H164" s="75" t="s">
        <v>44</v>
      </c>
      <c r="I164" s="76" t="str">
        <f>bitConcat(G165:G173)</f>
        <v>More Than 32 bit Were defined (39)</v>
      </c>
      <c r="J164" s="77" t="str">
        <f>bitConcat(G165:G170)</f>
        <v>32'b10000100001000010000100000100000</v>
      </c>
      <c r="K164" s="75"/>
      <c r="L164" s="76"/>
      <c r="M164" s="69" t="str">
        <f>DEC2HEX(_xlfn.BITLSHIFT(O164,7)+4*P164)</f>
        <v>5D8</v>
      </c>
      <c r="N164" s="69"/>
      <c r="O164" s="69">
        <v>11</v>
      </c>
      <c r="P164" s="69">
        <v>22</v>
      </c>
      <c r="Q164" s="69" t="str">
        <f>DEC2HEX(_xlfn.BITLSHIFT(O164,5)+P164)</f>
        <v>176</v>
      </c>
      <c r="R164" s="69" t="str">
        <f>BIN2HEX(LEFT(RIGHT(D164,32),4))&amp;BIN2HEX(LEFT(RIGHT(D164,28),4))&amp;BIN2HEX(LEFT(RIGHT(D164,24),4))&amp;BIN2HEX(LEFT(RIGHT(D164,20),4))&amp;BIN2HEX(LEFT(RIGHT(D164,16),4))&amp;BIN2HEX(LEFT(RIGHT(D164,12),4))&amp;BIN2HEX(LEFT(RIGHT(D164,8),4))&amp;BIN2HEX(LEFT(RIGHT(D164,4),4))</f>
        <v>84210820</v>
      </c>
      <c r="S164" s="69" t="str">
        <f>BIN2HEX(LEFT(RIGHT(J164,32),4))&amp;BIN2HEX(LEFT(RIGHT(J164,28),4))&amp;BIN2HEX(LEFT(RIGHT(J164,24),4))&amp;BIN2HEX(LEFT(RIGHT(J164,20),4))&amp;BIN2HEX(LEFT(RIGHT(J164,16),4))&amp;BIN2HEX(LEFT(RIGHT(J164,12),4))&amp;BIN2HEX(LEFT(RIGHT(J164,8),4))&amp;BIN2HEX(LEFT(RIGHT(J164,4),4))</f>
        <v>84210820</v>
      </c>
    </row>
    <row r="165" spans="1:37">
      <c r="A165" s="79"/>
      <c r="B165" s="79"/>
      <c r="C165" s="31" t="s">
        <v>79</v>
      </c>
      <c r="D165" s="38">
        <v>5</v>
      </c>
      <c r="E165" s="38" t="str">
        <f>IF(D165&gt;1,(31)&amp;":"&amp;(31-D165+1),(31-D165+1)&amp;":"&amp;(31-D165+1))</f>
        <v>31:27</v>
      </c>
      <c r="F165" s="39" t="s">
        <v>184</v>
      </c>
      <c r="G165" s="39" t="s">
        <v>184</v>
      </c>
      <c r="H165" s="24" t="s">
        <v>559</v>
      </c>
      <c r="I165" s="35" t="s">
        <v>36</v>
      </c>
      <c r="J165" s="36" t="s">
        <v>35</v>
      </c>
      <c r="K165" s="37" t="s">
        <v>6</v>
      </c>
      <c r="L165" s="34"/>
      <c r="M165" s="70"/>
      <c r="N165" s="70"/>
      <c r="O165" s="70"/>
      <c r="P165" s="70"/>
      <c r="Q165" s="70"/>
      <c r="R165" s="70"/>
      <c r="S165" s="70"/>
      <c r="AI165" s="32" t="s">
        <v>223</v>
      </c>
    </row>
    <row r="166" spans="1:37">
      <c r="A166" s="79"/>
      <c r="B166" s="79"/>
      <c r="C166" s="31" t="s">
        <v>78</v>
      </c>
      <c r="D166" s="38">
        <v>5</v>
      </c>
      <c r="E166" s="38" t="str">
        <f t="shared" ref="E166:E170" si="17">(MID(str_cnvt(E165),SEARCH(":",str_cnvt(E165))+1,2)-1) &amp; ":" &amp; (MID(str_cnvt(E165),SEARCH(":",str_cnvt(E165))+1,2)-D166)</f>
        <v>26:22</v>
      </c>
      <c r="F166" s="39" t="s">
        <v>184</v>
      </c>
      <c r="G166" s="39" t="s">
        <v>184</v>
      </c>
      <c r="H166" s="24" t="s">
        <v>560</v>
      </c>
      <c r="I166" s="35" t="s">
        <v>36</v>
      </c>
      <c r="J166" s="36" t="s">
        <v>35</v>
      </c>
      <c r="K166" s="37" t="s">
        <v>6</v>
      </c>
      <c r="L166" s="34"/>
      <c r="M166" s="70"/>
      <c r="N166" s="70"/>
      <c r="O166" s="70"/>
      <c r="P166" s="70"/>
      <c r="Q166" s="70"/>
      <c r="R166" s="70"/>
      <c r="S166" s="70"/>
      <c r="AI166" s="32" t="s">
        <v>224</v>
      </c>
    </row>
    <row r="167" spans="1:37">
      <c r="A167" s="79"/>
      <c r="B167" s="79"/>
      <c r="C167" s="31" t="s">
        <v>77</v>
      </c>
      <c r="D167" s="38">
        <v>5</v>
      </c>
      <c r="E167" s="38" t="str">
        <f t="shared" si="17"/>
        <v>21:17</v>
      </c>
      <c r="F167" s="39" t="s">
        <v>184</v>
      </c>
      <c r="G167" s="39" t="s">
        <v>184</v>
      </c>
      <c r="H167" s="24" t="s">
        <v>561</v>
      </c>
      <c r="I167" s="35" t="s">
        <v>36</v>
      </c>
      <c r="J167" s="36" t="s">
        <v>35</v>
      </c>
      <c r="K167" s="37" t="s">
        <v>6</v>
      </c>
      <c r="L167" s="34"/>
      <c r="M167" s="70"/>
      <c r="N167" s="70"/>
      <c r="O167" s="70"/>
      <c r="P167" s="70"/>
      <c r="Q167" s="70"/>
      <c r="R167" s="70"/>
      <c r="S167" s="70"/>
      <c r="AI167" s="32" t="s">
        <v>225</v>
      </c>
    </row>
    <row r="168" spans="1:37">
      <c r="A168" s="79"/>
      <c r="B168" s="79"/>
      <c r="C168" s="31" t="s">
        <v>76</v>
      </c>
      <c r="D168" s="38">
        <v>5</v>
      </c>
      <c r="E168" s="38" t="str">
        <f t="shared" si="17"/>
        <v>16:12</v>
      </c>
      <c r="F168" s="39" t="s">
        <v>184</v>
      </c>
      <c r="G168" s="39" t="s">
        <v>184</v>
      </c>
      <c r="H168" s="24" t="s">
        <v>562</v>
      </c>
      <c r="I168" s="35" t="s">
        <v>36</v>
      </c>
      <c r="J168" s="36" t="s">
        <v>35</v>
      </c>
      <c r="K168" s="37" t="s">
        <v>6</v>
      </c>
      <c r="L168" s="34"/>
      <c r="M168" s="70"/>
      <c r="N168" s="70"/>
      <c r="O168" s="70"/>
      <c r="P168" s="70"/>
      <c r="Q168" s="70"/>
      <c r="R168" s="70"/>
      <c r="S168" s="70"/>
      <c r="AI168" s="32" t="s">
        <v>226</v>
      </c>
    </row>
    <row r="169" spans="1:37">
      <c r="A169" s="79"/>
      <c r="B169" s="79"/>
      <c r="C169" s="31" t="s">
        <v>75</v>
      </c>
      <c r="D169" s="38">
        <v>6</v>
      </c>
      <c r="E169" s="38" t="str">
        <f t="shared" si="17"/>
        <v>11:6</v>
      </c>
      <c r="F169" s="39" t="s">
        <v>185</v>
      </c>
      <c r="G169" s="39" t="s">
        <v>185</v>
      </c>
      <c r="H169" s="24" t="s">
        <v>563</v>
      </c>
      <c r="I169" s="35" t="s">
        <v>36</v>
      </c>
      <c r="J169" s="36" t="s">
        <v>35</v>
      </c>
      <c r="K169" s="37" t="s">
        <v>6</v>
      </c>
      <c r="L169" s="34"/>
      <c r="M169" s="70"/>
      <c r="N169" s="70"/>
      <c r="O169" s="70"/>
      <c r="P169" s="70"/>
      <c r="Q169" s="70"/>
      <c r="R169" s="70"/>
      <c r="S169" s="70"/>
      <c r="AI169" s="32" t="s">
        <v>227</v>
      </c>
    </row>
    <row r="170" spans="1:37" ht="15" thickBot="1">
      <c r="A170" s="80"/>
      <c r="B170" s="80"/>
      <c r="C170" s="31" t="s">
        <v>74</v>
      </c>
      <c r="D170" s="38">
        <v>6</v>
      </c>
      <c r="E170" s="38" t="str">
        <f t="shared" si="17"/>
        <v>5:0</v>
      </c>
      <c r="F170" s="39" t="s">
        <v>185</v>
      </c>
      <c r="G170" s="39" t="s">
        <v>185</v>
      </c>
      <c r="H170" s="24" t="s">
        <v>564</v>
      </c>
      <c r="I170" s="35" t="s">
        <v>36</v>
      </c>
      <c r="J170" s="36" t="s">
        <v>35</v>
      </c>
      <c r="K170" s="37" t="s">
        <v>6</v>
      </c>
      <c r="L170" s="34"/>
      <c r="M170" s="71"/>
      <c r="N170" s="71"/>
      <c r="O170" s="71"/>
      <c r="P170" s="71"/>
      <c r="Q170" s="71"/>
      <c r="R170" s="71"/>
      <c r="S170" s="71"/>
      <c r="AI170" s="32" t="s">
        <v>228</v>
      </c>
    </row>
    <row r="171" spans="1:37" ht="15" thickBot="1">
      <c r="A171" s="78" t="s">
        <v>80</v>
      </c>
      <c r="B171" s="78" t="s">
        <v>174</v>
      </c>
      <c r="C171" s="30" t="s">
        <v>43</v>
      </c>
      <c r="D171" s="72" t="str">
        <f>bitConcat(F172:F178)</f>
        <v>32'b00001000110110110010111010001000</v>
      </c>
      <c r="E171" s="73"/>
      <c r="F171" s="74"/>
      <c r="G171" s="74"/>
      <c r="H171" s="75" t="s">
        <v>44</v>
      </c>
      <c r="I171" s="76" t="str">
        <f>bitConcat(G172:G180)</f>
        <v>More Than 32 bit Were defined (33)</v>
      </c>
      <c r="J171" s="77" t="str">
        <f>bitConcat(G172:G178)</f>
        <v>32'b00001000110110110010111010001000</v>
      </c>
      <c r="K171" s="75"/>
      <c r="L171" s="76"/>
      <c r="M171" s="83" t="str">
        <f>DEC2HEX(_xlfn.BITLSHIFT(O171,7)+4*P171)</f>
        <v>5DC</v>
      </c>
      <c r="N171" s="83"/>
      <c r="O171" s="83">
        <v>11</v>
      </c>
      <c r="P171" s="83">
        <v>23</v>
      </c>
      <c r="Q171" s="83" t="str">
        <f>DEC2HEX(_xlfn.BITLSHIFT(O171,5)+P171)</f>
        <v>177</v>
      </c>
      <c r="R171" s="83" t="str">
        <f>BIN2HEX(LEFT(RIGHT(D171,32),4))&amp;BIN2HEX(LEFT(RIGHT(D171,28),4))&amp;BIN2HEX(LEFT(RIGHT(D171,24),4))&amp;BIN2HEX(LEFT(RIGHT(D171,20),4))&amp;BIN2HEX(LEFT(RIGHT(D171,16),4))&amp;BIN2HEX(LEFT(RIGHT(D171,12),4))&amp;BIN2HEX(LEFT(RIGHT(D171,8),4))&amp;BIN2HEX(LEFT(RIGHT(D171,4),4))</f>
        <v>08DB2E88</v>
      </c>
      <c r="S171" s="69" t="str">
        <f>BIN2HEX(LEFT(RIGHT(J171,32),4))&amp;BIN2HEX(LEFT(RIGHT(J171,28),4))&amp;BIN2HEX(LEFT(RIGHT(J171,24),4))&amp;BIN2HEX(LEFT(RIGHT(J171,20),4))&amp;BIN2HEX(LEFT(RIGHT(J171,16),4))&amp;BIN2HEX(LEFT(RIGHT(J171,12),4))&amp;BIN2HEX(LEFT(RIGHT(J171,8),4))&amp;BIN2HEX(LEFT(RIGHT(J171,4),4))</f>
        <v>08DB2E88</v>
      </c>
    </row>
    <row r="172" spans="1:37">
      <c r="A172" s="79"/>
      <c r="B172" s="79"/>
      <c r="C172" s="31" t="s">
        <v>87</v>
      </c>
      <c r="D172" s="38">
        <v>4</v>
      </c>
      <c r="E172" s="38" t="str">
        <f>IF(D172&gt;1,(31)&amp;":"&amp;(31-D172+1),(31-D172+1)&amp;":"&amp;(31-D172+1))</f>
        <v>31:28</v>
      </c>
      <c r="F172" s="38" t="s">
        <v>127</v>
      </c>
      <c r="G172" s="38" t="s">
        <v>127</v>
      </c>
      <c r="H172" s="24" t="s">
        <v>59</v>
      </c>
      <c r="I172" s="35" t="s">
        <v>36</v>
      </c>
      <c r="J172" s="36" t="s">
        <v>35</v>
      </c>
      <c r="K172" s="37" t="s">
        <v>6</v>
      </c>
      <c r="L172" s="34"/>
      <c r="M172" s="84"/>
      <c r="N172" s="84"/>
      <c r="O172" s="84"/>
      <c r="P172" s="84"/>
      <c r="Q172" s="84"/>
      <c r="R172" s="84"/>
      <c r="S172" s="70"/>
      <c r="AI172" s="32" t="s">
        <v>202</v>
      </c>
    </row>
    <row r="173" spans="1:37" ht="15.75" customHeight="1">
      <c r="A173" s="79"/>
      <c r="B173" s="79"/>
      <c r="C173" s="31" t="s">
        <v>86</v>
      </c>
      <c r="D173" s="38">
        <v>3</v>
      </c>
      <c r="E173" s="38" t="str">
        <f t="shared" ref="E173:E178" si="18">(MID(str_cnvt(E172),SEARCH(":",str_cnvt(E172))+1,2)-1) &amp; ":" &amp; (MID(str_cnvt(E172),SEARCH(":",str_cnvt(E172))+1,2)-D173)</f>
        <v>27:25</v>
      </c>
      <c r="F173" s="38" t="s">
        <v>90</v>
      </c>
      <c r="G173" s="38" t="s">
        <v>90</v>
      </c>
      <c r="H173" s="24" t="s">
        <v>565</v>
      </c>
      <c r="I173" s="35" t="s">
        <v>36</v>
      </c>
      <c r="J173" s="36" t="s">
        <v>35</v>
      </c>
      <c r="K173" s="37" t="s">
        <v>6</v>
      </c>
      <c r="L173" s="34"/>
      <c r="M173" s="84"/>
      <c r="N173" s="84"/>
      <c r="O173" s="84"/>
      <c r="P173" s="84"/>
      <c r="Q173" s="84"/>
      <c r="R173" s="84"/>
      <c r="S173" s="70"/>
      <c r="AI173" s="32" t="s">
        <v>229</v>
      </c>
    </row>
    <row r="174" spans="1:37">
      <c r="A174" s="79"/>
      <c r="B174" s="79"/>
      <c r="C174" s="31" t="s">
        <v>85</v>
      </c>
      <c r="D174" s="38">
        <v>6</v>
      </c>
      <c r="E174" s="38" t="str">
        <f t="shared" si="18"/>
        <v>24:19</v>
      </c>
      <c r="F174" s="38" t="s">
        <v>511</v>
      </c>
      <c r="G174" s="38" t="s">
        <v>511</v>
      </c>
      <c r="H174" s="24" t="s">
        <v>512</v>
      </c>
      <c r="I174" s="35" t="s">
        <v>36</v>
      </c>
      <c r="J174" s="36" t="s">
        <v>35</v>
      </c>
      <c r="K174" s="37" t="s">
        <v>6</v>
      </c>
      <c r="L174" s="34"/>
      <c r="M174" s="84"/>
      <c r="N174" s="84"/>
      <c r="O174" s="84"/>
      <c r="P174" s="84"/>
      <c r="Q174" s="84"/>
      <c r="R174" s="84"/>
      <c r="S174" s="70"/>
      <c r="AI174" s="32" t="s">
        <v>230</v>
      </c>
    </row>
    <row r="175" spans="1:37">
      <c r="A175" s="79"/>
      <c r="B175" s="79"/>
      <c r="C175" s="31" t="s">
        <v>84</v>
      </c>
      <c r="D175" s="38">
        <v>6</v>
      </c>
      <c r="E175" s="38" t="str">
        <f t="shared" si="18"/>
        <v>18:13</v>
      </c>
      <c r="F175" s="38" t="s">
        <v>513</v>
      </c>
      <c r="G175" s="38" t="s">
        <v>513</v>
      </c>
      <c r="H175" s="24" t="s">
        <v>514</v>
      </c>
      <c r="I175" s="35" t="s">
        <v>36</v>
      </c>
      <c r="J175" s="36" t="s">
        <v>35</v>
      </c>
      <c r="K175" s="37" t="s">
        <v>6</v>
      </c>
      <c r="L175" s="34"/>
      <c r="M175" s="84"/>
      <c r="N175" s="84"/>
      <c r="O175" s="84"/>
      <c r="P175" s="84"/>
      <c r="Q175" s="84"/>
      <c r="R175" s="84"/>
      <c r="S175" s="70"/>
      <c r="AI175" s="32" t="s">
        <v>231</v>
      </c>
    </row>
    <row r="176" spans="1:37">
      <c r="A176" s="79"/>
      <c r="B176" s="79"/>
      <c r="C176" s="31" t="s">
        <v>83</v>
      </c>
      <c r="D176" s="38">
        <v>5</v>
      </c>
      <c r="E176" s="38" t="str">
        <f t="shared" si="18"/>
        <v>12:8</v>
      </c>
      <c r="F176" s="38" t="s">
        <v>515</v>
      </c>
      <c r="G176" s="38" t="s">
        <v>515</v>
      </c>
      <c r="H176" s="24" t="s">
        <v>516</v>
      </c>
      <c r="I176" s="35" t="s">
        <v>36</v>
      </c>
      <c r="J176" s="36" t="s">
        <v>35</v>
      </c>
      <c r="K176" s="37" t="s">
        <v>6</v>
      </c>
      <c r="L176" s="34"/>
      <c r="M176" s="84"/>
      <c r="N176" s="84"/>
      <c r="O176" s="84"/>
      <c r="P176" s="84"/>
      <c r="Q176" s="84"/>
      <c r="R176" s="84"/>
      <c r="S176" s="70"/>
      <c r="AI176" s="32" t="s">
        <v>232</v>
      </c>
    </row>
    <row r="177" spans="1:35">
      <c r="A177" s="79"/>
      <c r="B177" s="79"/>
      <c r="C177" s="31" t="s">
        <v>82</v>
      </c>
      <c r="D177" s="38">
        <v>4</v>
      </c>
      <c r="E177" s="38" t="str">
        <f t="shared" si="18"/>
        <v>7:4</v>
      </c>
      <c r="F177" s="38" t="s">
        <v>51</v>
      </c>
      <c r="G177" s="38" t="s">
        <v>51</v>
      </c>
      <c r="H177" s="24" t="s">
        <v>88</v>
      </c>
      <c r="I177" s="35" t="s">
        <v>36</v>
      </c>
      <c r="J177" s="36" t="s">
        <v>35</v>
      </c>
      <c r="K177" s="37" t="s">
        <v>6</v>
      </c>
      <c r="L177" s="34"/>
      <c r="M177" s="84"/>
      <c r="N177" s="84"/>
      <c r="O177" s="84"/>
      <c r="P177" s="84"/>
      <c r="Q177" s="84"/>
      <c r="R177" s="84"/>
      <c r="S177" s="70"/>
      <c r="AI177" s="32" t="s">
        <v>233</v>
      </c>
    </row>
    <row r="178" spans="1:35" ht="15" thickBot="1">
      <c r="A178" s="80"/>
      <c r="B178" s="80"/>
      <c r="C178" s="31" t="s">
        <v>81</v>
      </c>
      <c r="D178" s="38">
        <v>4</v>
      </c>
      <c r="E178" s="38" t="str">
        <f t="shared" si="18"/>
        <v>3:0</v>
      </c>
      <c r="F178" s="38" t="s">
        <v>51</v>
      </c>
      <c r="G178" s="38" t="s">
        <v>51</v>
      </c>
      <c r="H178" s="24" t="s">
        <v>566</v>
      </c>
      <c r="I178" s="35" t="s">
        <v>36</v>
      </c>
      <c r="J178" s="36" t="s">
        <v>35</v>
      </c>
      <c r="K178" s="37" t="s">
        <v>6</v>
      </c>
      <c r="L178" s="34"/>
      <c r="M178" s="85"/>
      <c r="N178" s="85"/>
      <c r="O178" s="85"/>
      <c r="P178" s="85"/>
      <c r="Q178" s="85"/>
      <c r="R178" s="85"/>
      <c r="S178" s="71"/>
      <c r="AI178" s="32" t="s">
        <v>234</v>
      </c>
    </row>
    <row r="179" spans="1:35" ht="15" thickBot="1">
      <c r="A179" s="78" t="s">
        <v>91</v>
      </c>
      <c r="B179" s="78">
        <v>60</v>
      </c>
      <c r="C179" s="30" t="s">
        <v>43</v>
      </c>
      <c r="D179" s="72" t="str">
        <f>bitConcat(F180:F201)</f>
        <v>32'b11111111110000000000000000000000</v>
      </c>
      <c r="E179" s="73"/>
      <c r="F179" s="74"/>
      <c r="G179" s="74"/>
      <c r="H179" s="75" t="s">
        <v>44</v>
      </c>
      <c r="I179" s="76" t="str">
        <f>bitConcat(G180:G188)</f>
        <v>Less Than 32 bit Were defined (15)</v>
      </c>
      <c r="J179" s="77" t="str">
        <f>bitConcat(G180:G201)</f>
        <v>32'b11111111110000000000000000000000</v>
      </c>
      <c r="K179" s="75"/>
      <c r="L179" s="76"/>
      <c r="M179" s="69" t="str">
        <f>DEC2HEX(_xlfn.BITLSHIFT(O179,7)+4*P179)</f>
        <v>5E0</v>
      </c>
      <c r="N179" s="69"/>
      <c r="O179" s="69">
        <v>11</v>
      </c>
      <c r="P179" s="69">
        <v>24</v>
      </c>
      <c r="Q179" s="69" t="str">
        <f>DEC2HEX(_xlfn.BITLSHIFT(O179,5)+P179)</f>
        <v>178</v>
      </c>
      <c r="R179" s="69" t="str">
        <f>BIN2HEX(LEFT(RIGHT(D179,32),4))&amp;BIN2HEX(LEFT(RIGHT(D179,28),4))&amp;BIN2HEX(LEFT(RIGHT(D179,24),4))&amp;BIN2HEX(LEFT(RIGHT(D179,20),4))&amp;BIN2HEX(LEFT(RIGHT(D179,16),4))&amp;BIN2HEX(LEFT(RIGHT(D179,12),4))&amp;BIN2HEX(LEFT(RIGHT(D179,8),4))&amp;BIN2HEX(LEFT(RIGHT(D179,4),4))</f>
        <v>FFC00000</v>
      </c>
      <c r="S179" s="69" t="str">
        <f>BIN2HEX(LEFT(RIGHT(J179,32),4))&amp;BIN2HEX(LEFT(RIGHT(J179,28),4))&amp;BIN2HEX(LEFT(RIGHT(J179,24),4))&amp;BIN2HEX(LEFT(RIGHT(J179,20),4))&amp;BIN2HEX(LEFT(RIGHT(J179,16),4))&amp;BIN2HEX(LEFT(RIGHT(J179,12),4))&amp;BIN2HEX(LEFT(RIGHT(J179,8),4))&amp;BIN2HEX(LEFT(RIGHT(J179,4),4))</f>
        <v>FFC00000</v>
      </c>
      <c r="AI179" s="32"/>
    </row>
    <row r="180" spans="1:35">
      <c r="A180" s="79"/>
      <c r="B180" s="79"/>
      <c r="C180" s="31" t="s">
        <v>113</v>
      </c>
      <c r="D180" s="38">
        <v>1</v>
      </c>
      <c r="E180" s="38" t="str">
        <f>IF(D180&gt;1,(31)&amp;":"&amp;(31-D180+1),(31-D180+1)&amp;":"&amp;(31-D180+1))</f>
        <v>31:31</v>
      </c>
      <c r="F180" s="39" t="s">
        <v>50</v>
      </c>
      <c r="G180" s="39" t="s">
        <v>50</v>
      </c>
      <c r="H180" s="24" t="s">
        <v>125</v>
      </c>
      <c r="I180" s="35" t="s">
        <v>36</v>
      </c>
      <c r="J180" s="36" t="s">
        <v>35</v>
      </c>
      <c r="K180" s="37" t="s">
        <v>6</v>
      </c>
      <c r="L180" s="34"/>
      <c r="M180" s="70"/>
      <c r="N180" s="70"/>
      <c r="O180" s="70"/>
      <c r="P180" s="70"/>
      <c r="Q180" s="70"/>
      <c r="R180" s="70"/>
      <c r="S180" s="70"/>
      <c r="AI180" s="32" t="s">
        <v>203</v>
      </c>
    </row>
    <row r="181" spans="1:35">
      <c r="A181" s="79"/>
      <c r="B181" s="79"/>
      <c r="C181" s="31" t="s">
        <v>112</v>
      </c>
      <c r="D181" s="38">
        <v>1</v>
      </c>
      <c r="E181" s="38" t="str">
        <f t="shared" ref="E181:E201" si="19">(MID(str_cnvt(E180),SEARCH(":",str_cnvt(E180))+1,2)-1) &amp; ":" &amp; (MID(str_cnvt(E180),SEARCH(":",str_cnvt(E180))+1,2)-D181)</f>
        <v>30:30</v>
      </c>
      <c r="F181" s="39" t="s">
        <v>50</v>
      </c>
      <c r="G181" s="39" t="s">
        <v>50</v>
      </c>
      <c r="H181" s="24" t="s">
        <v>124</v>
      </c>
      <c r="I181" s="35" t="s">
        <v>36</v>
      </c>
      <c r="J181" s="36" t="s">
        <v>35</v>
      </c>
      <c r="K181" s="37" t="s">
        <v>6</v>
      </c>
      <c r="L181" s="34"/>
      <c r="M181" s="70"/>
      <c r="N181" s="70"/>
      <c r="O181" s="70"/>
      <c r="P181" s="70"/>
      <c r="Q181" s="70"/>
      <c r="R181" s="70"/>
      <c r="S181" s="70"/>
      <c r="AI181" s="32" t="s">
        <v>204</v>
      </c>
    </row>
    <row r="182" spans="1:35">
      <c r="A182" s="79"/>
      <c r="B182" s="79"/>
      <c r="C182" s="31" t="s">
        <v>111</v>
      </c>
      <c r="D182" s="38">
        <v>1</v>
      </c>
      <c r="E182" s="38" t="str">
        <f t="shared" si="19"/>
        <v>29:29</v>
      </c>
      <c r="F182" s="39" t="s">
        <v>50</v>
      </c>
      <c r="G182" s="39" t="s">
        <v>50</v>
      </c>
      <c r="H182" s="24" t="s">
        <v>123</v>
      </c>
      <c r="I182" s="35" t="s">
        <v>36</v>
      </c>
      <c r="J182" s="36" t="s">
        <v>35</v>
      </c>
      <c r="K182" s="37" t="s">
        <v>6</v>
      </c>
      <c r="L182" s="34"/>
      <c r="M182" s="70"/>
      <c r="N182" s="70"/>
      <c r="O182" s="70"/>
      <c r="P182" s="70"/>
      <c r="Q182" s="70"/>
      <c r="R182" s="70"/>
      <c r="S182" s="70"/>
      <c r="AI182" s="32" t="s">
        <v>205</v>
      </c>
    </row>
    <row r="183" spans="1:35">
      <c r="A183" s="79"/>
      <c r="B183" s="79"/>
      <c r="C183" s="31" t="s">
        <v>110</v>
      </c>
      <c r="D183" s="38">
        <v>1</v>
      </c>
      <c r="E183" s="38" t="str">
        <f t="shared" si="19"/>
        <v>28:28</v>
      </c>
      <c r="F183" s="39" t="s">
        <v>50</v>
      </c>
      <c r="G183" s="39" t="s">
        <v>50</v>
      </c>
      <c r="H183" s="24" t="s">
        <v>122</v>
      </c>
      <c r="I183" s="35" t="s">
        <v>36</v>
      </c>
      <c r="J183" s="36" t="s">
        <v>35</v>
      </c>
      <c r="K183" s="37" t="s">
        <v>6</v>
      </c>
      <c r="L183" s="34"/>
      <c r="M183" s="70"/>
      <c r="N183" s="70"/>
      <c r="O183" s="70"/>
      <c r="P183" s="70"/>
      <c r="Q183" s="70"/>
      <c r="R183" s="70"/>
      <c r="S183" s="70"/>
      <c r="AI183" s="32" t="s">
        <v>206</v>
      </c>
    </row>
    <row r="184" spans="1:35" ht="15" customHeight="1">
      <c r="A184" s="79"/>
      <c r="B184" s="79"/>
      <c r="C184" s="31" t="s">
        <v>109</v>
      </c>
      <c r="D184" s="38">
        <v>2</v>
      </c>
      <c r="E184" s="38" t="str">
        <f t="shared" si="19"/>
        <v>27:26</v>
      </c>
      <c r="F184" s="39" t="s">
        <v>126</v>
      </c>
      <c r="G184" s="39" t="s">
        <v>126</v>
      </c>
      <c r="H184" s="24" t="s">
        <v>121</v>
      </c>
      <c r="I184" s="35" t="s">
        <v>36</v>
      </c>
      <c r="J184" s="36" t="s">
        <v>35</v>
      </c>
      <c r="K184" s="37" t="s">
        <v>6</v>
      </c>
      <c r="L184" s="34"/>
      <c r="M184" s="70"/>
      <c r="N184" s="70"/>
      <c r="O184" s="70"/>
      <c r="P184" s="70"/>
      <c r="Q184" s="70"/>
      <c r="R184" s="70"/>
      <c r="S184" s="70"/>
      <c r="AI184" s="32" t="s">
        <v>235</v>
      </c>
    </row>
    <row r="185" spans="1:35">
      <c r="A185" s="79"/>
      <c r="B185" s="79"/>
      <c r="C185" s="31" t="s">
        <v>108</v>
      </c>
      <c r="D185" s="38">
        <v>2</v>
      </c>
      <c r="E185" s="38" t="str">
        <f t="shared" si="19"/>
        <v>25:24</v>
      </c>
      <c r="F185" s="39" t="s">
        <v>126</v>
      </c>
      <c r="G185" s="39" t="s">
        <v>126</v>
      </c>
      <c r="H185" s="24" t="s">
        <v>120</v>
      </c>
      <c r="I185" s="35" t="s">
        <v>36</v>
      </c>
      <c r="J185" s="36" t="s">
        <v>35</v>
      </c>
      <c r="K185" s="37" t="s">
        <v>6</v>
      </c>
      <c r="L185" s="34"/>
      <c r="M185" s="70"/>
      <c r="N185" s="70"/>
      <c r="O185" s="70"/>
      <c r="P185" s="70"/>
      <c r="Q185" s="70"/>
      <c r="R185" s="70"/>
      <c r="S185" s="70"/>
      <c r="AI185" s="32" t="s">
        <v>236</v>
      </c>
    </row>
    <row r="186" spans="1:35">
      <c r="A186" s="79"/>
      <c r="B186" s="79"/>
      <c r="C186" s="31" t="s">
        <v>107</v>
      </c>
      <c r="D186" s="38">
        <v>2</v>
      </c>
      <c r="E186" s="38" t="str">
        <f t="shared" si="19"/>
        <v>23:22</v>
      </c>
      <c r="F186" s="39" t="s">
        <v>126</v>
      </c>
      <c r="G186" s="39" t="s">
        <v>126</v>
      </c>
      <c r="H186" s="24" t="s">
        <v>119</v>
      </c>
      <c r="I186" s="35" t="s">
        <v>36</v>
      </c>
      <c r="J186" s="36" t="s">
        <v>35</v>
      </c>
      <c r="K186" s="37" t="s">
        <v>6</v>
      </c>
      <c r="L186" s="34"/>
      <c r="M186" s="70"/>
      <c r="N186" s="70"/>
      <c r="O186" s="70"/>
      <c r="P186" s="70"/>
      <c r="Q186" s="70"/>
      <c r="R186" s="70"/>
      <c r="S186" s="70"/>
      <c r="AI186" s="32" t="s">
        <v>237</v>
      </c>
    </row>
    <row r="187" spans="1:35" ht="15.75" customHeight="1">
      <c r="A187" s="79"/>
      <c r="B187" s="79"/>
      <c r="C187" s="31" t="s">
        <v>106</v>
      </c>
      <c r="D187" s="38">
        <v>1</v>
      </c>
      <c r="E187" s="38" t="str">
        <f t="shared" si="19"/>
        <v>21:21</v>
      </c>
      <c r="F187" s="39" t="s">
        <v>7</v>
      </c>
      <c r="G187" s="39" t="s">
        <v>7</v>
      </c>
      <c r="H187" s="24" t="s">
        <v>106</v>
      </c>
      <c r="I187" s="35" t="s">
        <v>36</v>
      </c>
      <c r="J187" s="36" t="s">
        <v>35</v>
      </c>
      <c r="K187" s="37" t="s">
        <v>6</v>
      </c>
      <c r="L187" s="34"/>
      <c r="M187" s="70"/>
      <c r="N187" s="70"/>
      <c r="O187" s="70"/>
      <c r="P187" s="70"/>
      <c r="Q187" s="70"/>
      <c r="R187" s="70"/>
      <c r="S187" s="70"/>
      <c r="AI187" s="32" t="s">
        <v>207</v>
      </c>
    </row>
    <row r="188" spans="1:35">
      <c r="A188" s="79"/>
      <c r="B188" s="79"/>
      <c r="C188" s="31" t="s">
        <v>105</v>
      </c>
      <c r="D188" s="38">
        <v>4</v>
      </c>
      <c r="E188" s="38" t="str">
        <f t="shared" si="19"/>
        <v>20:17</v>
      </c>
      <c r="F188" s="39" t="s">
        <v>127</v>
      </c>
      <c r="G188" s="39" t="s">
        <v>127</v>
      </c>
      <c r="H188" s="24" t="s">
        <v>118</v>
      </c>
      <c r="I188" s="35" t="s">
        <v>36</v>
      </c>
      <c r="J188" s="36" t="s">
        <v>35</v>
      </c>
      <c r="K188" s="37" t="s">
        <v>6</v>
      </c>
      <c r="L188" s="34"/>
      <c r="M188" s="70"/>
      <c r="N188" s="70"/>
      <c r="O188" s="70"/>
      <c r="P188" s="70"/>
      <c r="Q188" s="70"/>
      <c r="R188" s="70"/>
      <c r="S188" s="70"/>
      <c r="AI188" s="32" t="s">
        <v>238</v>
      </c>
    </row>
    <row r="189" spans="1:35">
      <c r="A189" s="79"/>
      <c r="B189" s="79"/>
      <c r="C189" s="31" t="s">
        <v>104</v>
      </c>
      <c r="D189" s="38">
        <v>1</v>
      </c>
      <c r="E189" s="38" t="str">
        <f t="shared" si="19"/>
        <v>16:16</v>
      </c>
      <c r="F189" s="39" t="s">
        <v>7</v>
      </c>
      <c r="G189" s="39" t="s">
        <v>7</v>
      </c>
      <c r="H189" s="24" t="s">
        <v>104</v>
      </c>
      <c r="I189" s="35" t="s">
        <v>36</v>
      </c>
      <c r="J189" s="36" t="s">
        <v>35</v>
      </c>
      <c r="K189" s="37" t="s">
        <v>6</v>
      </c>
      <c r="L189" s="34"/>
      <c r="M189" s="70"/>
      <c r="N189" s="70"/>
      <c r="O189" s="70"/>
      <c r="P189" s="70"/>
      <c r="Q189" s="70"/>
      <c r="R189" s="70"/>
      <c r="S189" s="70"/>
      <c r="AI189" s="32" t="s">
        <v>208</v>
      </c>
    </row>
    <row r="190" spans="1:35">
      <c r="A190" s="79"/>
      <c r="B190" s="79"/>
      <c r="C190" s="31" t="s">
        <v>103</v>
      </c>
      <c r="D190" s="38">
        <v>1</v>
      </c>
      <c r="E190" s="38" t="str">
        <f t="shared" si="19"/>
        <v>15:15</v>
      </c>
      <c r="F190" s="39" t="s">
        <v>7</v>
      </c>
      <c r="G190" s="39" t="s">
        <v>7</v>
      </c>
      <c r="H190" s="24" t="s">
        <v>103</v>
      </c>
      <c r="I190" s="35" t="s">
        <v>36</v>
      </c>
      <c r="J190" s="36" t="s">
        <v>35</v>
      </c>
      <c r="K190" s="37" t="s">
        <v>6</v>
      </c>
      <c r="L190" s="34"/>
      <c r="M190" s="70"/>
      <c r="N190" s="70"/>
      <c r="O190" s="70"/>
      <c r="P190" s="70"/>
      <c r="Q190" s="70"/>
      <c r="R190" s="70"/>
      <c r="S190" s="70"/>
      <c r="AI190" s="32" t="s">
        <v>209</v>
      </c>
    </row>
    <row r="191" spans="1:35">
      <c r="A191" s="79"/>
      <c r="B191" s="79"/>
      <c r="C191" s="31" t="s">
        <v>102</v>
      </c>
      <c r="D191" s="38">
        <v>1</v>
      </c>
      <c r="E191" s="38" t="str">
        <f t="shared" si="19"/>
        <v>14:14</v>
      </c>
      <c r="F191" s="39" t="s">
        <v>7</v>
      </c>
      <c r="G191" s="39" t="s">
        <v>7</v>
      </c>
      <c r="H191" s="24" t="s">
        <v>102</v>
      </c>
      <c r="I191" s="35" t="s">
        <v>36</v>
      </c>
      <c r="J191" s="36" t="s">
        <v>35</v>
      </c>
      <c r="K191" s="37" t="s">
        <v>6</v>
      </c>
      <c r="L191" s="34"/>
      <c r="M191" s="70"/>
      <c r="N191" s="70"/>
      <c r="O191" s="70"/>
      <c r="P191" s="70"/>
      <c r="Q191" s="70"/>
      <c r="R191" s="70"/>
      <c r="S191" s="70"/>
      <c r="AI191" s="32" t="s">
        <v>210</v>
      </c>
    </row>
    <row r="192" spans="1:35">
      <c r="A192" s="79"/>
      <c r="B192" s="79"/>
      <c r="C192" s="31" t="s">
        <v>101</v>
      </c>
      <c r="D192" s="38">
        <v>1</v>
      </c>
      <c r="E192" s="38" t="str">
        <f t="shared" si="19"/>
        <v>13:13</v>
      </c>
      <c r="F192" s="39" t="s">
        <v>7</v>
      </c>
      <c r="G192" s="39" t="s">
        <v>7</v>
      </c>
      <c r="H192" s="24" t="s">
        <v>101</v>
      </c>
      <c r="I192" s="35" t="s">
        <v>36</v>
      </c>
      <c r="J192" s="36" t="s">
        <v>35</v>
      </c>
      <c r="K192" s="37" t="s">
        <v>6</v>
      </c>
      <c r="L192" s="34"/>
      <c r="M192" s="70"/>
      <c r="N192" s="70"/>
      <c r="O192" s="70"/>
      <c r="P192" s="70"/>
      <c r="Q192" s="70"/>
      <c r="R192" s="70"/>
      <c r="S192" s="70"/>
      <c r="AI192" s="32" t="s">
        <v>211</v>
      </c>
    </row>
    <row r="193" spans="1:35">
      <c r="A193" s="79"/>
      <c r="B193" s="79"/>
      <c r="C193" s="31" t="s">
        <v>100</v>
      </c>
      <c r="D193" s="38">
        <v>1</v>
      </c>
      <c r="E193" s="38" t="str">
        <f t="shared" si="19"/>
        <v>12:12</v>
      </c>
      <c r="F193" s="39" t="s">
        <v>7</v>
      </c>
      <c r="G193" s="39" t="s">
        <v>7</v>
      </c>
      <c r="H193" s="24" t="s">
        <v>100</v>
      </c>
      <c r="I193" s="35" t="s">
        <v>36</v>
      </c>
      <c r="J193" s="36" t="s">
        <v>35</v>
      </c>
      <c r="K193" s="37" t="s">
        <v>6</v>
      </c>
      <c r="L193" s="34"/>
      <c r="M193" s="70"/>
      <c r="N193" s="70"/>
      <c r="O193" s="70"/>
      <c r="P193" s="70"/>
      <c r="Q193" s="70"/>
      <c r="R193" s="70"/>
      <c r="S193" s="70"/>
      <c r="AI193" s="32" t="s">
        <v>212</v>
      </c>
    </row>
    <row r="194" spans="1:35">
      <c r="A194" s="79"/>
      <c r="B194" s="79"/>
      <c r="C194" s="31" t="s">
        <v>99</v>
      </c>
      <c r="D194" s="38">
        <v>2</v>
      </c>
      <c r="E194" s="38" t="str">
        <f t="shared" si="19"/>
        <v>11:10</v>
      </c>
      <c r="F194" s="39" t="s">
        <v>60</v>
      </c>
      <c r="G194" s="39" t="s">
        <v>60</v>
      </c>
      <c r="H194" s="24" t="s">
        <v>117</v>
      </c>
      <c r="I194" s="35" t="s">
        <v>36</v>
      </c>
      <c r="J194" s="36" t="s">
        <v>35</v>
      </c>
      <c r="K194" s="37" t="s">
        <v>6</v>
      </c>
      <c r="L194" s="34"/>
      <c r="M194" s="70"/>
      <c r="N194" s="70"/>
      <c r="O194" s="70"/>
      <c r="P194" s="70"/>
      <c r="Q194" s="70"/>
      <c r="R194" s="70"/>
      <c r="S194" s="70"/>
      <c r="AI194" s="32" t="s">
        <v>239</v>
      </c>
    </row>
    <row r="195" spans="1:35">
      <c r="A195" s="79"/>
      <c r="B195" s="79"/>
      <c r="C195" s="31" t="s">
        <v>98</v>
      </c>
      <c r="D195" s="38">
        <v>2</v>
      </c>
      <c r="E195" s="38" t="str">
        <f t="shared" si="19"/>
        <v>9:8</v>
      </c>
      <c r="F195" s="39" t="s">
        <v>60</v>
      </c>
      <c r="G195" s="39" t="s">
        <v>60</v>
      </c>
      <c r="H195" s="24" t="s">
        <v>116</v>
      </c>
      <c r="I195" s="35" t="s">
        <v>36</v>
      </c>
      <c r="J195" s="36" t="s">
        <v>35</v>
      </c>
      <c r="K195" s="37" t="s">
        <v>6</v>
      </c>
      <c r="L195" s="34"/>
      <c r="M195" s="70"/>
      <c r="N195" s="70"/>
      <c r="O195" s="70"/>
      <c r="P195" s="70"/>
      <c r="Q195" s="70"/>
      <c r="R195" s="70"/>
      <c r="S195" s="70"/>
      <c r="AI195" s="32" t="s">
        <v>240</v>
      </c>
    </row>
    <row r="196" spans="1:35">
      <c r="A196" s="79"/>
      <c r="B196" s="79"/>
      <c r="C196" s="31" t="s">
        <v>97</v>
      </c>
      <c r="D196" s="38">
        <v>2</v>
      </c>
      <c r="E196" s="38" t="str">
        <f t="shared" si="19"/>
        <v>7:6</v>
      </c>
      <c r="F196" s="39" t="s">
        <v>60</v>
      </c>
      <c r="G196" s="39" t="s">
        <v>60</v>
      </c>
      <c r="H196" s="24" t="s">
        <v>115</v>
      </c>
      <c r="I196" s="35" t="s">
        <v>36</v>
      </c>
      <c r="J196" s="36" t="s">
        <v>35</v>
      </c>
      <c r="K196" s="37" t="s">
        <v>6</v>
      </c>
      <c r="L196" s="34"/>
      <c r="M196" s="70"/>
      <c r="N196" s="70"/>
      <c r="O196" s="70"/>
      <c r="P196" s="70"/>
      <c r="Q196" s="70"/>
      <c r="R196" s="70"/>
      <c r="S196" s="70"/>
      <c r="AI196" s="32" t="s">
        <v>241</v>
      </c>
    </row>
    <row r="197" spans="1:35">
      <c r="A197" s="79"/>
      <c r="B197" s="79"/>
      <c r="C197" s="31" t="s">
        <v>96</v>
      </c>
      <c r="D197" s="38">
        <v>2</v>
      </c>
      <c r="E197" s="38" t="str">
        <f t="shared" si="19"/>
        <v>5:4</v>
      </c>
      <c r="F197" s="39" t="s">
        <v>60</v>
      </c>
      <c r="G197" s="39" t="s">
        <v>60</v>
      </c>
      <c r="H197" s="24" t="s">
        <v>114</v>
      </c>
      <c r="I197" s="35" t="s">
        <v>36</v>
      </c>
      <c r="J197" s="36" t="s">
        <v>35</v>
      </c>
      <c r="K197" s="37" t="s">
        <v>6</v>
      </c>
      <c r="L197" s="34"/>
      <c r="M197" s="70"/>
      <c r="N197" s="70"/>
      <c r="O197" s="70"/>
      <c r="P197" s="70"/>
      <c r="Q197" s="70"/>
      <c r="R197" s="70"/>
      <c r="S197" s="70"/>
      <c r="AI197" s="32" t="s">
        <v>242</v>
      </c>
    </row>
    <row r="198" spans="1:35" ht="15" customHeight="1">
      <c r="A198" s="79"/>
      <c r="B198" s="79"/>
      <c r="C198" s="31" t="s">
        <v>95</v>
      </c>
      <c r="D198" s="38">
        <v>1</v>
      </c>
      <c r="E198" s="38" t="str">
        <f t="shared" si="19"/>
        <v>3:3</v>
      </c>
      <c r="F198" s="39" t="s">
        <v>7</v>
      </c>
      <c r="G198" s="39" t="s">
        <v>7</v>
      </c>
      <c r="H198" s="24" t="s">
        <v>95</v>
      </c>
      <c r="I198" s="35" t="s">
        <v>36</v>
      </c>
      <c r="J198" s="36" t="s">
        <v>35</v>
      </c>
      <c r="K198" s="37" t="s">
        <v>6</v>
      </c>
      <c r="L198" s="34"/>
      <c r="M198" s="70"/>
      <c r="N198" s="70"/>
      <c r="O198" s="70"/>
      <c r="P198" s="70"/>
      <c r="Q198" s="70"/>
      <c r="R198" s="70"/>
      <c r="S198" s="70"/>
      <c r="AI198" s="32" t="s">
        <v>213</v>
      </c>
    </row>
    <row r="199" spans="1:35">
      <c r="A199" s="79"/>
      <c r="B199" s="79"/>
      <c r="C199" s="31" t="s">
        <v>94</v>
      </c>
      <c r="D199" s="38">
        <v>1</v>
      </c>
      <c r="E199" s="38" t="str">
        <f t="shared" si="19"/>
        <v>2:2</v>
      </c>
      <c r="F199" s="39" t="s">
        <v>7</v>
      </c>
      <c r="G199" s="39" t="s">
        <v>7</v>
      </c>
      <c r="H199" s="24" t="s">
        <v>94</v>
      </c>
      <c r="I199" s="35" t="s">
        <v>36</v>
      </c>
      <c r="J199" s="36" t="s">
        <v>35</v>
      </c>
      <c r="K199" s="37" t="s">
        <v>6</v>
      </c>
      <c r="L199" s="34"/>
      <c r="M199" s="70"/>
      <c r="N199" s="70"/>
      <c r="O199" s="70"/>
      <c r="P199" s="70"/>
      <c r="Q199" s="70"/>
      <c r="R199" s="70"/>
      <c r="S199" s="70"/>
      <c r="AI199" s="32" t="s">
        <v>214</v>
      </c>
    </row>
    <row r="200" spans="1:35">
      <c r="A200" s="79"/>
      <c r="B200" s="79"/>
      <c r="C200" s="31" t="s">
        <v>93</v>
      </c>
      <c r="D200" s="38">
        <v>1</v>
      </c>
      <c r="E200" s="38" t="str">
        <f t="shared" si="19"/>
        <v>1:1</v>
      </c>
      <c r="F200" s="39" t="s">
        <v>7</v>
      </c>
      <c r="G200" s="39" t="s">
        <v>7</v>
      </c>
      <c r="H200" s="24" t="s">
        <v>93</v>
      </c>
      <c r="I200" s="35" t="s">
        <v>36</v>
      </c>
      <c r="J200" s="36" t="s">
        <v>35</v>
      </c>
      <c r="K200" s="37" t="s">
        <v>6</v>
      </c>
      <c r="L200" s="34"/>
      <c r="M200" s="70"/>
      <c r="N200" s="70"/>
      <c r="O200" s="70"/>
      <c r="P200" s="70"/>
      <c r="Q200" s="70"/>
      <c r="R200" s="70"/>
      <c r="S200" s="70"/>
      <c r="AI200" s="32" t="s">
        <v>215</v>
      </c>
    </row>
    <row r="201" spans="1:35" ht="15.75" customHeight="1" thickBot="1">
      <c r="A201" s="80"/>
      <c r="B201" s="80"/>
      <c r="C201" s="31" t="s">
        <v>92</v>
      </c>
      <c r="D201" s="38">
        <v>1</v>
      </c>
      <c r="E201" s="38" t="str">
        <f t="shared" si="19"/>
        <v>0:0</v>
      </c>
      <c r="F201" s="39" t="s">
        <v>7</v>
      </c>
      <c r="G201" s="39" t="s">
        <v>7</v>
      </c>
      <c r="H201" s="24" t="s">
        <v>92</v>
      </c>
      <c r="I201" s="35" t="s">
        <v>36</v>
      </c>
      <c r="J201" s="36" t="s">
        <v>35</v>
      </c>
      <c r="K201" s="37" t="s">
        <v>6</v>
      </c>
      <c r="L201" s="34"/>
      <c r="M201" s="71"/>
      <c r="N201" s="71"/>
      <c r="O201" s="71"/>
      <c r="P201" s="71"/>
      <c r="Q201" s="71"/>
      <c r="R201" s="71"/>
      <c r="S201" s="71"/>
      <c r="AI201" s="32" t="s">
        <v>216</v>
      </c>
    </row>
    <row r="202" spans="1:35" ht="15" customHeight="1" thickBot="1">
      <c r="A202" s="78" t="s">
        <v>143</v>
      </c>
      <c r="B202" s="81">
        <v>64</v>
      </c>
      <c r="C202" s="30" t="s">
        <v>43</v>
      </c>
      <c r="D202" s="72" t="str">
        <f>bitConcat(F203:F217)</f>
        <v>32'b00000000000000000111111111111111</v>
      </c>
      <c r="E202" s="73"/>
      <c r="F202" s="74"/>
      <c r="G202" s="74"/>
      <c r="H202" s="75" t="s">
        <v>44</v>
      </c>
      <c r="I202" s="76" t="str">
        <f>bitConcat(G203:G211)</f>
        <v>Less Than 32 bit Were defined (26)</v>
      </c>
      <c r="J202" s="77" t="str">
        <f>bitConcat(G203:G217)</f>
        <v>32'b00000000000000000111111111111111</v>
      </c>
      <c r="K202" s="75"/>
      <c r="L202" s="76"/>
      <c r="M202" s="69" t="str">
        <f>DEC2HEX(_xlfn.BITLSHIFT(O202,7)+4*P202)</f>
        <v>5E4</v>
      </c>
      <c r="N202" s="69"/>
      <c r="O202" s="69">
        <v>11</v>
      </c>
      <c r="P202" s="69">
        <v>25</v>
      </c>
      <c r="Q202" s="69" t="str">
        <f>DEC2HEX(_xlfn.BITLSHIFT(O202,5)+P202)</f>
        <v>179</v>
      </c>
      <c r="R202" s="69" t="str">
        <f>BIN2HEX(LEFT(RIGHT(D202,32),4))&amp;BIN2HEX(LEFT(RIGHT(D202,28),4))&amp;BIN2HEX(LEFT(RIGHT(D202,24),4))&amp;BIN2HEX(LEFT(RIGHT(D202,20),4))&amp;BIN2HEX(LEFT(RIGHT(D202,16),4))&amp;BIN2HEX(LEFT(RIGHT(D202,12),4))&amp;BIN2HEX(LEFT(RIGHT(D202,8),4))&amp;BIN2HEX(LEFT(RIGHT(D202,4),4))</f>
        <v>00007FFF</v>
      </c>
      <c r="S202" s="69" t="str">
        <f>BIN2HEX(LEFT(RIGHT(J202,32),4))&amp;BIN2HEX(LEFT(RIGHT(J202,28),4))&amp;BIN2HEX(LEFT(RIGHT(J202,24),4))&amp;BIN2HEX(LEFT(RIGHT(J202,20),4))&amp;BIN2HEX(LEFT(RIGHT(J202,16),4))&amp;BIN2HEX(LEFT(RIGHT(J202,12),4))&amp;BIN2HEX(LEFT(RIGHT(J202,8),4))&amp;BIN2HEX(LEFT(RIGHT(J202,4),4))</f>
        <v>00007FFF</v>
      </c>
    </row>
    <row r="203" spans="1:35">
      <c r="A203" s="79"/>
      <c r="B203" s="82"/>
      <c r="C203" s="31" t="s">
        <v>142</v>
      </c>
      <c r="D203" s="38">
        <v>17</v>
      </c>
      <c r="E203" s="38" t="str">
        <f>IF(D203&gt;1,(31)&amp;":"&amp;(31-D203+1),(31-D203+1)&amp;":"&amp;(31-D203+1))</f>
        <v>31:15</v>
      </c>
      <c r="F203" s="39" t="s">
        <v>154</v>
      </c>
      <c r="G203" s="39" t="s">
        <v>154</v>
      </c>
      <c r="H203" s="24" t="s">
        <v>153</v>
      </c>
      <c r="I203" s="35" t="s">
        <v>36</v>
      </c>
      <c r="J203" s="36" t="s">
        <v>35</v>
      </c>
      <c r="K203" s="37" t="s">
        <v>6</v>
      </c>
      <c r="L203" s="34"/>
      <c r="M203" s="70"/>
      <c r="N203" s="70"/>
      <c r="O203" s="70"/>
      <c r="P203" s="70"/>
      <c r="Q203" s="70"/>
      <c r="R203" s="70"/>
      <c r="S203" s="70"/>
      <c r="AI203" s="32" t="s">
        <v>218</v>
      </c>
    </row>
    <row r="204" spans="1:35">
      <c r="A204" s="79"/>
      <c r="B204" s="82"/>
      <c r="C204" s="31" t="s">
        <v>141</v>
      </c>
      <c r="D204" s="38">
        <v>1</v>
      </c>
      <c r="E204" s="38" t="str">
        <f t="shared" ref="E204:E217" si="20">(MID(str_cnvt(E203),SEARCH(":",str_cnvt(E203))+1,2)-1) &amp; ":" &amp; (MID(str_cnvt(E203),SEARCH(":",str_cnvt(E203))+1,2)-D204)</f>
        <v>14:14</v>
      </c>
      <c r="F204" s="39" t="s">
        <v>50</v>
      </c>
      <c r="G204" s="39" t="s">
        <v>50</v>
      </c>
      <c r="H204" s="24" t="s">
        <v>186</v>
      </c>
      <c r="I204" s="35" t="s">
        <v>36</v>
      </c>
      <c r="J204" s="36" t="s">
        <v>35</v>
      </c>
      <c r="K204" s="37" t="s">
        <v>6</v>
      </c>
      <c r="L204" s="34"/>
      <c r="M204" s="70"/>
      <c r="N204" s="70"/>
      <c r="O204" s="70"/>
      <c r="P204" s="70"/>
      <c r="Q204" s="70"/>
      <c r="R204" s="70"/>
      <c r="S204" s="70"/>
      <c r="AI204" s="32" t="s">
        <v>217</v>
      </c>
    </row>
    <row r="205" spans="1:35">
      <c r="A205" s="79"/>
      <c r="B205" s="82"/>
      <c r="C205" s="31" t="s">
        <v>140</v>
      </c>
      <c r="D205" s="38">
        <v>2</v>
      </c>
      <c r="E205" s="38" t="str">
        <f t="shared" si="20"/>
        <v>13:12</v>
      </c>
      <c r="F205" s="39" t="s">
        <v>126</v>
      </c>
      <c r="G205" s="39" t="s">
        <v>126</v>
      </c>
      <c r="H205" s="24" t="s">
        <v>152</v>
      </c>
      <c r="I205" s="35" t="s">
        <v>36</v>
      </c>
      <c r="J205" s="36" t="s">
        <v>35</v>
      </c>
      <c r="K205" s="37" t="s">
        <v>6</v>
      </c>
      <c r="L205" s="34"/>
      <c r="M205" s="70"/>
      <c r="N205" s="70"/>
      <c r="O205" s="70"/>
      <c r="P205" s="70"/>
      <c r="Q205" s="70"/>
      <c r="R205" s="70"/>
      <c r="S205" s="70"/>
      <c r="AI205" s="32" t="s">
        <v>243</v>
      </c>
    </row>
    <row r="206" spans="1:35">
      <c r="A206" s="79"/>
      <c r="B206" s="82"/>
      <c r="C206" s="31" t="s">
        <v>139</v>
      </c>
      <c r="D206" s="38">
        <v>1</v>
      </c>
      <c r="E206" s="38" t="str">
        <f t="shared" si="20"/>
        <v>11:11</v>
      </c>
      <c r="F206" s="39" t="s">
        <v>50</v>
      </c>
      <c r="G206" s="39" t="s">
        <v>50</v>
      </c>
      <c r="H206" s="24" t="s">
        <v>151</v>
      </c>
      <c r="I206" s="35" t="s">
        <v>36</v>
      </c>
      <c r="J206" s="36" t="s">
        <v>35</v>
      </c>
      <c r="K206" s="37" t="s">
        <v>6</v>
      </c>
      <c r="L206" s="34"/>
      <c r="M206" s="70"/>
      <c r="N206" s="70"/>
      <c r="O206" s="70"/>
      <c r="P206" s="70"/>
      <c r="Q206" s="70"/>
      <c r="R206" s="70"/>
      <c r="S206" s="70"/>
      <c r="AI206" s="32" t="s">
        <v>244</v>
      </c>
    </row>
    <row r="207" spans="1:35">
      <c r="A207" s="79"/>
      <c r="B207" s="82"/>
      <c r="C207" s="31" t="s">
        <v>138</v>
      </c>
      <c r="D207" s="38">
        <v>1</v>
      </c>
      <c r="E207" s="38" t="str">
        <f t="shared" si="20"/>
        <v>10:10</v>
      </c>
      <c r="F207" s="39" t="s">
        <v>50</v>
      </c>
      <c r="G207" s="39" t="s">
        <v>50</v>
      </c>
      <c r="H207" s="24" t="s">
        <v>150</v>
      </c>
      <c r="I207" s="35" t="s">
        <v>36</v>
      </c>
      <c r="J207" s="36" t="s">
        <v>35</v>
      </c>
      <c r="K207" s="37" t="s">
        <v>6</v>
      </c>
      <c r="L207" s="34"/>
      <c r="M207" s="70"/>
      <c r="N207" s="70"/>
      <c r="O207" s="70"/>
      <c r="P207" s="70"/>
      <c r="Q207" s="70"/>
      <c r="R207" s="70"/>
      <c r="S207" s="70"/>
      <c r="AI207" s="32" t="s">
        <v>245</v>
      </c>
    </row>
    <row r="208" spans="1:35">
      <c r="A208" s="79"/>
      <c r="B208" s="82"/>
      <c r="C208" s="31" t="s">
        <v>137</v>
      </c>
      <c r="D208" s="38">
        <v>1</v>
      </c>
      <c r="E208" s="38" t="str">
        <f t="shared" si="20"/>
        <v>9:9</v>
      </c>
      <c r="F208" s="39" t="s">
        <v>50</v>
      </c>
      <c r="G208" s="39" t="s">
        <v>50</v>
      </c>
      <c r="H208" s="24" t="s">
        <v>149</v>
      </c>
      <c r="I208" s="35" t="s">
        <v>36</v>
      </c>
      <c r="J208" s="36" t="s">
        <v>35</v>
      </c>
      <c r="K208" s="37" t="s">
        <v>6</v>
      </c>
      <c r="L208" s="34"/>
      <c r="M208" s="70"/>
      <c r="N208" s="70"/>
      <c r="O208" s="70"/>
      <c r="P208" s="70"/>
      <c r="Q208" s="70"/>
      <c r="R208" s="70"/>
      <c r="S208" s="70"/>
      <c r="AI208" s="32" t="s">
        <v>246</v>
      </c>
    </row>
    <row r="209" spans="1:36">
      <c r="A209" s="79"/>
      <c r="B209" s="82"/>
      <c r="C209" s="31" t="s">
        <v>136</v>
      </c>
      <c r="D209" s="38">
        <v>1</v>
      </c>
      <c r="E209" s="38" t="str">
        <f t="shared" si="20"/>
        <v>8:8</v>
      </c>
      <c r="F209" s="39" t="s">
        <v>50</v>
      </c>
      <c r="G209" s="39" t="s">
        <v>50</v>
      </c>
      <c r="H209" s="24" t="s">
        <v>148</v>
      </c>
      <c r="I209" s="35" t="s">
        <v>36</v>
      </c>
      <c r="J209" s="36" t="s">
        <v>35</v>
      </c>
      <c r="K209" s="37" t="s">
        <v>6</v>
      </c>
      <c r="L209" s="34"/>
      <c r="M209" s="70"/>
      <c r="N209" s="70"/>
      <c r="O209" s="70"/>
      <c r="P209" s="70"/>
      <c r="Q209" s="70"/>
      <c r="R209" s="70"/>
      <c r="S209" s="70"/>
      <c r="AI209" s="32" t="s">
        <v>247</v>
      </c>
    </row>
    <row r="210" spans="1:36">
      <c r="A210" s="79"/>
      <c r="B210" s="82"/>
      <c r="C210" s="31" t="s">
        <v>135</v>
      </c>
      <c r="D210" s="38">
        <v>1</v>
      </c>
      <c r="E210" s="38" t="str">
        <f t="shared" si="20"/>
        <v>7:7</v>
      </c>
      <c r="F210" s="39" t="s">
        <v>50</v>
      </c>
      <c r="G210" s="39" t="s">
        <v>50</v>
      </c>
      <c r="H210" s="24" t="s">
        <v>147</v>
      </c>
      <c r="I210" s="35" t="s">
        <v>36</v>
      </c>
      <c r="J210" s="36" t="s">
        <v>35</v>
      </c>
      <c r="K210" s="37" t="s">
        <v>6</v>
      </c>
      <c r="L210" s="34"/>
      <c r="M210" s="70"/>
      <c r="N210" s="70"/>
      <c r="O210" s="70"/>
      <c r="P210" s="70"/>
      <c r="Q210" s="70"/>
      <c r="R210" s="70"/>
      <c r="S210" s="70"/>
      <c r="AI210" s="32" t="s">
        <v>248</v>
      </c>
    </row>
    <row r="211" spans="1:36">
      <c r="A211" s="79"/>
      <c r="B211" s="82"/>
      <c r="C211" s="31" t="s">
        <v>134</v>
      </c>
      <c r="D211" s="38">
        <v>1</v>
      </c>
      <c r="E211" s="38" t="str">
        <f t="shared" si="20"/>
        <v>6:6</v>
      </c>
      <c r="F211" s="39" t="s">
        <v>50</v>
      </c>
      <c r="G211" s="39" t="s">
        <v>50</v>
      </c>
      <c r="H211" s="24" t="s">
        <v>146</v>
      </c>
      <c r="I211" s="35" t="s">
        <v>36</v>
      </c>
      <c r="J211" s="36" t="s">
        <v>35</v>
      </c>
      <c r="K211" s="37" t="s">
        <v>6</v>
      </c>
      <c r="L211" s="34"/>
      <c r="M211" s="70"/>
      <c r="N211" s="70"/>
      <c r="O211" s="70"/>
      <c r="P211" s="70"/>
      <c r="Q211" s="70"/>
      <c r="R211" s="70"/>
      <c r="S211" s="70"/>
      <c r="AI211" s="32" t="s">
        <v>249</v>
      </c>
    </row>
    <row r="212" spans="1:36">
      <c r="A212" s="79"/>
      <c r="B212" s="82"/>
      <c r="C212" s="31" t="s">
        <v>133</v>
      </c>
      <c r="D212" s="38">
        <v>1</v>
      </c>
      <c r="E212" s="38" t="str">
        <f t="shared" si="20"/>
        <v>5:5</v>
      </c>
      <c r="F212" s="39" t="s">
        <v>50</v>
      </c>
      <c r="G212" s="39" t="s">
        <v>50</v>
      </c>
      <c r="H212" s="24" t="s">
        <v>187</v>
      </c>
      <c r="I212" s="35" t="s">
        <v>36</v>
      </c>
      <c r="J212" s="36" t="s">
        <v>35</v>
      </c>
      <c r="K212" s="37" t="s">
        <v>6</v>
      </c>
      <c r="L212" s="34"/>
      <c r="M212" s="70"/>
      <c r="N212" s="70"/>
      <c r="O212" s="70"/>
      <c r="P212" s="70"/>
      <c r="Q212" s="70"/>
      <c r="R212" s="70"/>
      <c r="S212" s="70"/>
      <c r="AI212" s="32" t="s">
        <v>250</v>
      </c>
    </row>
    <row r="213" spans="1:36">
      <c r="A213" s="79"/>
      <c r="B213" s="82"/>
      <c r="C213" s="31" t="s">
        <v>132</v>
      </c>
      <c r="D213" s="38">
        <v>1</v>
      </c>
      <c r="E213" s="38" t="str">
        <f t="shared" si="20"/>
        <v>4:4</v>
      </c>
      <c r="F213" s="39" t="s">
        <v>50</v>
      </c>
      <c r="G213" s="39" t="s">
        <v>50</v>
      </c>
      <c r="H213" s="24" t="s">
        <v>188</v>
      </c>
      <c r="I213" s="35" t="s">
        <v>36</v>
      </c>
      <c r="J213" s="36" t="s">
        <v>35</v>
      </c>
      <c r="K213" s="37" t="s">
        <v>6</v>
      </c>
      <c r="L213" s="34"/>
      <c r="M213" s="70"/>
      <c r="N213" s="70"/>
      <c r="O213" s="70"/>
      <c r="P213" s="70"/>
      <c r="Q213" s="70"/>
      <c r="R213" s="70"/>
      <c r="S213" s="70"/>
      <c r="AI213" s="32" t="s">
        <v>251</v>
      </c>
    </row>
    <row r="214" spans="1:36">
      <c r="A214" s="79"/>
      <c r="B214" s="82"/>
      <c r="C214" s="31" t="s">
        <v>131</v>
      </c>
      <c r="D214" s="38">
        <v>1</v>
      </c>
      <c r="E214" s="38" t="str">
        <f t="shared" si="20"/>
        <v>3:3</v>
      </c>
      <c r="F214" s="39" t="s">
        <v>50</v>
      </c>
      <c r="G214" s="39" t="s">
        <v>50</v>
      </c>
      <c r="H214" s="24" t="s">
        <v>189</v>
      </c>
      <c r="I214" s="35" t="s">
        <v>36</v>
      </c>
      <c r="J214" s="36" t="s">
        <v>35</v>
      </c>
      <c r="K214" s="37" t="s">
        <v>6</v>
      </c>
      <c r="L214" s="34"/>
      <c r="M214" s="70"/>
      <c r="N214" s="70"/>
      <c r="O214" s="70"/>
      <c r="P214" s="70"/>
      <c r="Q214" s="70"/>
      <c r="R214" s="70"/>
      <c r="S214" s="70"/>
      <c r="AI214" s="32" t="s">
        <v>252</v>
      </c>
    </row>
    <row r="215" spans="1:36" ht="15.75" customHeight="1">
      <c r="A215" s="79"/>
      <c r="B215" s="82"/>
      <c r="C215" s="31" t="s">
        <v>130</v>
      </c>
      <c r="D215" s="38">
        <v>1</v>
      </c>
      <c r="E215" s="38" t="str">
        <f t="shared" si="20"/>
        <v>2:2</v>
      </c>
      <c r="F215" s="39" t="s">
        <v>50</v>
      </c>
      <c r="G215" s="39" t="s">
        <v>50</v>
      </c>
      <c r="H215" s="24" t="s">
        <v>190</v>
      </c>
      <c r="I215" s="35" t="s">
        <v>36</v>
      </c>
      <c r="J215" s="36" t="s">
        <v>35</v>
      </c>
      <c r="K215" s="37" t="s">
        <v>6</v>
      </c>
      <c r="L215" s="34"/>
      <c r="M215" s="70"/>
      <c r="N215" s="70"/>
      <c r="O215" s="70"/>
      <c r="P215" s="70"/>
      <c r="Q215" s="70"/>
      <c r="R215" s="70"/>
      <c r="S215" s="70"/>
      <c r="AI215" s="32" t="s">
        <v>253</v>
      </c>
    </row>
    <row r="216" spans="1:36">
      <c r="A216" s="79"/>
      <c r="B216" s="82"/>
      <c r="C216" s="31" t="s">
        <v>129</v>
      </c>
      <c r="D216" s="38">
        <v>1</v>
      </c>
      <c r="E216" s="38" t="str">
        <f t="shared" si="20"/>
        <v>1:1</v>
      </c>
      <c r="F216" s="39" t="s">
        <v>50</v>
      </c>
      <c r="G216" s="39" t="s">
        <v>50</v>
      </c>
      <c r="H216" s="24" t="s">
        <v>145</v>
      </c>
      <c r="I216" s="35" t="s">
        <v>36</v>
      </c>
      <c r="J216" s="36" t="s">
        <v>35</v>
      </c>
      <c r="K216" s="37" t="s">
        <v>6</v>
      </c>
      <c r="L216" s="34"/>
      <c r="M216" s="70"/>
      <c r="N216" s="70"/>
      <c r="O216" s="70"/>
      <c r="P216" s="70"/>
      <c r="Q216" s="70"/>
      <c r="R216" s="70"/>
      <c r="S216" s="70"/>
      <c r="AI216" s="32" t="s">
        <v>254</v>
      </c>
    </row>
    <row r="217" spans="1:36" ht="15" thickBot="1">
      <c r="A217" s="80"/>
      <c r="B217" s="86"/>
      <c r="C217" s="31" t="s">
        <v>128</v>
      </c>
      <c r="D217" s="38">
        <v>1</v>
      </c>
      <c r="E217" s="38" t="str">
        <f t="shared" si="20"/>
        <v>0:0</v>
      </c>
      <c r="F217" s="39" t="s">
        <v>50</v>
      </c>
      <c r="G217" s="39" t="s">
        <v>50</v>
      </c>
      <c r="H217" s="24" t="s">
        <v>144</v>
      </c>
      <c r="I217" s="35" t="s">
        <v>36</v>
      </c>
      <c r="J217" s="36" t="s">
        <v>35</v>
      </c>
      <c r="K217" s="37" t="s">
        <v>6</v>
      </c>
      <c r="L217" s="34"/>
      <c r="M217" s="71"/>
      <c r="N217" s="71"/>
      <c r="O217" s="71"/>
      <c r="P217" s="71"/>
      <c r="Q217" s="71"/>
      <c r="R217" s="71"/>
      <c r="S217" s="71"/>
      <c r="AI217" s="32" t="s">
        <v>255</v>
      </c>
    </row>
    <row r="218" spans="1:36" s="47" customFormat="1" ht="14.4" customHeight="1">
      <c r="A218" s="67" t="s">
        <v>183</v>
      </c>
      <c r="B218" s="67">
        <v>68</v>
      </c>
      <c r="C218" s="42" t="s">
        <v>47</v>
      </c>
      <c r="D218" s="64" t="str">
        <f>bitConcat(F219:F219)</f>
        <v>32'b00000000000000000000000000000000</v>
      </c>
      <c r="E218" s="65"/>
      <c r="F218" s="65"/>
      <c r="G218" s="65"/>
      <c r="H218" s="48" t="s">
        <v>42</v>
      </c>
      <c r="I218" s="48"/>
      <c r="J218" s="51" t="str">
        <f>bitConcat(G219:G219)</f>
        <v>32'b00000000000000000000000000000000</v>
      </c>
      <c r="K218" s="51"/>
      <c r="L218" s="52"/>
      <c r="M218" s="53" t="str">
        <f>DEC2HEX(_xlfn.BITLSHIFT(O218,7)+4*P218)</f>
        <v>5E8</v>
      </c>
      <c r="N218" s="53"/>
      <c r="O218" s="53">
        <v>11</v>
      </c>
      <c r="P218" s="53">
        <v>26</v>
      </c>
      <c r="Q218" s="53" t="str">
        <f>DEC2HEX(_xlfn.BITLSHIFT(O218,5)+P218)</f>
        <v>17A</v>
      </c>
      <c r="R218" s="53" t="str">
        <f>BIN2HEX(LEFT(RIGHT(D218,32),4))&amp;BIN2HEX(LEFT(RIGHT(D218,28),4))&amp;BIN2HEX(LEFT(RIGHT(D218,24),4))&amp;BIN2HEX(LEFT(RIGHT(D218,20),4))&amp;BIN2HEX(LEFT(RIGHT(D218,16),4))&amp;BIN2HEX(LEFT(RIGHT(D218,12),4))&amp;BIN2HEX(LEFT(RIGHT(D218,8),4))&amp;BIN2HEX(LEFT(RIGHT(D218,4),4))</f>
        <v>00000000</v>
      </c>
      <c r="S218" s="53" t="str">
        <f>BIN2HEX(LEFT(RIGHT(J218,32),4))&amp;BIN2HEX(LEFT(RIGHT(J218,28),4))&amp;BIN2HEX(LEFT(RIGHT(J218,24),4))&amp;BIN2HEX(LEFT(RIGHT(J218,20),4))&amp;BIN2HEX(LEFT(RIGHT(J218,16),4))&amp;BIN2HEX(LEFT(RIGHT(J218,12),4))&amp;BIN2HEX(LEFT(RIGHT(J218,8),4))&amp;BIN2HEX(LEFT(RIGHT(J218,4),4))</f>
        <v>00000000</v>
      </c>
      <c r="AI218" s="46"/>
      <c r="AJ218" s="46"/>
    </row>
    <row r="219" spans="1:36" s="47" customFormat="1" ht="15" thickBot="1">
      <c r="A219" s="68"/>
      <c r="B219" s="68"/>
      <c r="C219" s="40" t="s">
        <v>52</v>
      </c>
      <c r="D219" s="45">
        <v>32</v>
      </c>
      <c r="E219" s="45" t="str">
        <f>IF(D219&gt;1,(31)&amp;":"&amp;(31-D219+1),(31-D219+1)&amp;":"&amp;(31-D219+1))</f>
        <v>31:0</v>
      </c>
      <c r="F219" s="40" t="s">
        <v>49</v>
      </c>
      <c r="G219" s="40" t="s">
        <v>49</v>
      </c>
      <c r="H219" s="40" t="s">
        <v>53</v>
      </c>
      <c r="I219" s="43" t="s">
        <v>36</v>
      </c>
      <c r="J219" s="41" t="s">
        <v>35</v>
      </c>
      <c r="K219" s="44" t="s">
        <v>6</v>
      </c>
      <c r="L219" s="40"/>
      <c r="M219" s="54"/>
      <c r="N219" s="54"/>
      <c r="O219" s="54"/>
      <c r="P219" s="54"/>
      <c r="Q219" s="54"/>
      <c r="R219" s="54"/>
      <c r="S219" s="54"/>
      <c r="AI219" s="46"/>
      <c r="AJ219" s="46"/>
    </row>
    <row r="220" spans="1:36" s="47" customFormat="1" ht="14.4" customHeight="1">
      <c r="A220" s="67" t="s">
        <v>178</v>
      </c>
      <c r="B220" s="67" t="s">
        <v>175</v>
      </c>
      <c r="C220" s="42" t="s">
        <v>47</v>
      </c>
      <c r="D220" s="64" t="str">
        <f>bitConcat(F221:F221)</f>
        <v>32'b00000000000000000000000000000000</v>
      </c>
      <c r="E220" s="65"/>
      <c r="F220" s="65"/>
      <c r="G220" s="65"/>
      <c r="H220" s="48" t="s">
        <v>42</v>
      </c>
      <c r="I220" s="48"/>
      <c r="J220" s="51" t="str">
        <f>bitConcat(G221:G221)</f>
        <v>32'b00000000000000000000000000000000</v>
      </c>
      <c r="K220" s="51"/>
      <c r="L220" s="52"/>
      <c r="M220" s="53" t="str">
        <f>DEC2HEX(_xlfn.BITLSHIFT(O220,7)+4*P220)</f>
        <v>5EC</v>
      </c>
      <c r="N220" s="53"/>
      <c r="O220" s="53">
        <v>11</v>
      </c>
      <c r="P220" s="53">
        <v>27</v>
      </c>
      <c r="Q220" s="53" t="str">
        <f>DEC2HEX(_xlfn.BITLSHIFT(O220,5)+P220)</f>
        <v>17B</v>
      </c>
      <c r="R220" s="53" t="str">
        <f>BIN2HEX(LEFT(RIGHT(D220,32),4))&amp;BIN2HEX(LEFT(RIGHT(D220,28),4))&amp;BIN2HEX(LEFT(RIGHT(D220,24),4))&amp;BIN2HEX(LEFT(RIGHT(D220,20),4))&amp;BIN2HEX(LEFT(RIGHT(D220,16),4))&amp;BIN2HEX(LEFT(RIGHT(D220,12),4))&amp;BIN2HEX(LEFT(RIGHT(D220,8),4))&amp;BIN2HEX(LEFT(RIGHT(D220,4),4))</f>
        <v>00000000</v>
      </c>
      <c r="S220" s="53" t="str">
        <f>BIN2HEX(LEFT(RIGHT(J220,32),4))&amp;BIN2HEX(LEFT(RIGHT(J220,28),4))&amp;BIN2HEX(LEFT(RIGHT(J220,24),4))&amp;BIN2HEX(LEFT(RIGHT(J220,20),4))&amp;BIN2HEX(LEFT(RIGHT(J220,16),4))&amp;BIN2HEX(LEFT(RIGHT(J220,12),4))&amp;BIN2HEX(LEFT(RIGHT(J220,8),4))&amp;BIN2HEX(LEFT(RIGHT(J220,4),4))</f>
        <v>00000000</v>
      </c>
      <c r="AI220" s="46"/>
      <c r="AJ220" s="46"/>
    </row>
    <row r="221" spans="1:36" s="47" customFormat="1" ht="15" thickBot="1">
      <c r="A221" s="68"/>
      <c r="B221" s="68"/>
      <c r="C221" s="40" t="s">
        <v>52</v>
      </c>
      <c r="D221" s="45">
        <v>32</v>
      </c>
      <c r="E221" s="45" t="str">
        <f>IF(D221&gt;1,(31)&amp;":"&amp;(31-D221+1),(31-D221+1)&amp;":"&amp;(31-D221+1))</f>
        <v>31:0</v>
      </c>
      <c r="F221" s="40" t="s">
        <v>49</v>
      </c>
      <c r="G221" s="40" t="s">
        <v>49</v>
      </c>
      <c r="H221" s="40" t="s">
        <v>53</v>
      </c>
      <c r="I221" s="43" t="s">
        <v>36</v>
      </c>
      <c r="J221" s="41" t="s">
        <v>35</v>
      </c>
      <c r="K221" s="44" t="s">
        <v>6</v>
      </c>
      <c r="L221" s="40"/>
      <c r="M221" s="54"/>
      <c r="N221" s="54"/>
      <c r="O221" s="54"/>
      <c r="P221" s="54"/>
      <c r="Q221" s="54"/>
      <c r="R221" s="54"/>
      <c r="S221" s="54"/>
      <c r="AI221" s="46"/>
      <c r="AJ221" s="46"/>
    </row>
    <row r="222" spans="1:36" s="47" customFormat="1" ht="14.4" customHeight="1">
      <c r="A222" s="67" t="s">
        <v>179</v>
      </c>
      <c r="B222" s="67">
        <v>70</v>
      </c>
      <c r="C222" s="42" t="s">
        <v>47</v>
      </c>
      <c r="D222" s="64" t="str">
        <f>bitConcat(F223:F223)</f>
        <v>32'b00000000000000000000000000000000</v>
      </c>
      <c r="E222" s="65"/>
      <c r="F222" s="65"/>
      <c r="G222" s="65"/>
      <c r="H222" s="48" t="s">
        <v>42</v>
      </c>
      <c r="I222" s="48"/>
      <c r="J222" s="51" t="str">
        <f>bitConcat(G223:G223)</f>
        <v>32'b00000000000000000000000000000000</v>
      </c>
      <c r="K222" s="51"/>
      <c r="L222" s="52"/>
      <c r="M222" s="53" t="str">
        <f>DEC2HEX(_xlfn.BITLSHIFT(O222,7)+4*P222)</f>
        <v>5F0</v>
      </c>
      <c r="N222" s="53"/>
      <c r="O222" s="53">
        <v>11</v>
      </c>
      <c r="P222" s="53">
        <v>28</v>
      </c>
      <c r="Q222" s="53" t="str">
        <f>DEC2HEX(_xlfn.BITLSHIFT(O222,5)+P222)</f>
        <v>17C</v>
      </c>
      <c r="R222" s="53" t="str">
        <f>BIN2HEX(LEFT(RIGHT(D222,32),4))&amp;BIN2HEX(LEFT(RIGHT(D222,28),4))&amp;BIN2HEX(LEFT(RIGHT(D222,24),4))&amp;BIN2HEX(LEFT(RIGHT(D222,20),4))&amp;BIN2HEX(LEFT(RIGHT(D222,16),4))&amp;BIN2HEX(LEFT(RIGHT(D222,12),4))&amp;BIN2HEX(LEFT(RIGHT(D222,8),4))&amp;BIN2HEX(LEFT(RIGHT(D222,4),4))</f>
        <v>00000000</v>
      </c>
      <c r="S222" s="53" t="str">
        <f>BIN2HEX(LEFT(RIGHT(J222,32),4))&amp;BIN2HEX(LEFT(RIGHT(J222,28),4))&amp;BIN2HEX(LEFT(RIGHT(J222,24),4))&amp;BIN2HEX(LEFT(RIGHT(J222,20),4))&amp;BIN2HEX(LEFT(RIGHT(J222,16),4))&amp;BIN2HEX(LEFT(RIGHT(J222,12),4))&amp;BIN2HEX(LEFT(RIGHT(J222,8),4))&amp;BIN2HEX(LEFT(RIGHT(J222,4),4))</f>
        <v>00000000</v>
      </c>
      <c r="AI222" s="46"/>
      <c r="AJ222" s="46"/>
    </row>
    <row r="223" spans="1:36" s="47" customFormat="1" ht="15" thickBot="1">
      <c r="A223" s="68"/>
      <c r="B223" s="68"/>
      <c r="C223" s="40" t="s">
        <v>52</v>
      </c>
      <c r="D223" s="45">
        <v>32</v>
      </c>
      <c r="E223" s="45" t="str">
        <f>IF(D223&gt;1,(31)&amp;":"&amp;(31-D223+1),(31-D223+1)&amp;":"&amp;(31-D223+1))</f>
        <v>31:0</v>
      </c>
      <c r="F223" s="40" t="s">
        <v>49</v>
      </c>
      <c r="G223" s="40" t="s">
        <v>49</v>
      </c>
      <c r="H223" s="40" t="s">
        <v>53</v>
      </c>
      <c r="I223" s="43" t="s">
        <v>36</v>
      </c>
      <c r="J223" s="41" t="s">
        <v>35</v>
      </c>
      <c r="K223" s="44" t="s">
        <v>6</v>
      </c>
      <c r="L223" s="40"/>
      <c r="M223" s="54"/>
      <c r="N223" s="54"/>
      <c r="O223" s="54"/>
      <c r="P223" s="54"/>
      <c r="Q223" s="54"/>
      <c r="R223" s="54"/>
      <c r="S223" s="54"/>
      <c r="AI223" s="46"/>
      <c r="AJ223" s="46"/>
    </row>
    <row r="224" spans="1:36" s="47" customFormat="1">
      <c r="A224" s="67" t="s">
        <v>180</v>
      </c>
      <c r="B224" s="67">
        <v>74</v>
      </c>
      <c r="C224" s="42" t="s">
        <v>47</v>
      </c>
      <c r="D224" s="64" t="str">
        <f>bitConcat(F225:F225)</f>
        <v>32'b00000000000000000000000000000000</v>
      </c>
      <c r="E224" s="65"/>
      <c r="F224" s="65"/>
      <c r="G224" s="65"/>
      <c r="H224" s="51" t="s">
        <v>42</v>
      </c>
      <c r="I224" s="51"/>
      <c r="J224" s="51" t="str">
        <f>bitConcat(G225:G225)</f>
        <v>32'b00000000000000000000000000000000</v>
      </c>
      <c r="K224" s="51"/>
      <c r="L224" s="52"/>
      <c r="M224" s="53" t="str">
        <f>DEC2HEX(_xlfn.BITLSHIFT(O224,7)+4*P224)</f>
        <v>5F4</v>
      </c>
      <c r="N224" s="53"/>
      <c r="O224" s="53">
        <v>11</v>
      </c>
      <c r="P224" s="53">
        <v>29</v>
      </c>
      <c r="Q224" s="53" t="str">
        <f>DEC2HEX(_xlfn.BITLSHIFT(O224,5)+P224)</f>
        <v>17D</v>
      </c>
      <c r="R224" s="53" t="str">
        <f>BIN2HEX(LEFT(RIGHT(D224,32),4))&amp;BIN2HEX(LEFT(RIGHT(D224,28),4))&amp;BIN2HEX(LEFT(RIGHT(D224,24),4))&amp;BIN2HEX(LEFT(RIGHT(D224,20),4))&amp;BIN2HEX(LEFT(RIGHT(D224,16),4))&amp;BIN2HEX(LEFT(RIGHT(D224,12),4))&amp;BIN2HEX(LEFT(RIGHT(D224,8),4))&amp;BIN2HEX(LEFT(RIGHT(D224,4),4))</f>
        <v>00000000</v>
      </c>
      <c r="S224" s="53" t="str">
        <f>BIN2HEX(LEFT(RIGHT(J224,32),4))&amp;BIN2HEX(LEFT(RIGHT(J224,28),4))&amp;BIN2HEX(LEFT(RIGHT(J224,24),4))&amp;BIN2HEX(LEFT(RIGHT(J224,20),4))&amp;BIN2HEX(LEFT(RIGHT(J224,16),4))&amp;BIN2HEX(LEFT(RIGHT(J224,12),4))&amp;BIN2HEX(LEFT(RIGHT(J224,8),4))&amp;BIN2HEX(LEFT(RIGHT(J224,4),4))</f>
        <v>00000000</v>
      </c>
      <c r="AI224" s="46"/>
      <c r="AJ224" s="46"/>
    </row>
    <row r="225" spans="1:36" s="47" customFormat="1" ht="15" thickBot="1">
      <c r="A225" s="68"/>
      <c r="B225" s="68"/>
      <c r="C225" s="40" t="s">
        <v>52</v>
      </c>
      <c r="D225" s="45">
        <v>32</v>
      </c>
      <c r="E225" s="45" t="str">
        <f>IF(D225&gt;1,(31)&amp;":"&amp;(31-D225+1),(31-D225+1)&amp;":"&amp;(31-D225+1))</f>
        <v>31:0</v>
      </c>
      <c r="F225" s="40" t="s">
        <v>49</v>
      </c>
      <c r="G225" s="40" t="s">
        <v>49</v>
      </c>
      <c r="H225" s="40" t="s">
        <v>53</v>
      </c>
      <c r="I225" s="43" t="s">
        <v>36</v>
      </c>
      <c r="J225" s="41" t="s">
        <v>35</v>
      </c>
      <c r="K225" s="44" t="s">
        <v>6</v>
      </c>
      <c r="L225" s="40"/>
      <c r="M225" s="54"/>
      <c r="N225" s="54"/>
      <c r="O225" s="54"/>
      <c r="P225" s="54"/>
      <c r="Q225" s="54"/>
      <c r="R225" s="54"/>
      <c r="S225" s="54"/>
      <c r="AI225" s="46"/>
      <c r="AJ225" s="46"/>
    </row>
    <row r="226" spans="1:36" s="47" customFormat="1">
      <c r="A226" s="67" t="s">
        <v>181</v>
      </c>
      <c r="B226" s="67">
        <v>78</v>
      </c>
      <c r="C226" s="42" t="s">
        <v>47</v>
      </c>
      <c r="D226" s="64" t="str">
        <f>bitConcat(F227:F227)</f>
        <v>32'b00000000000000000000000000000000</v>
      </c>
      <c r="E226" s="65"/>
      <c r="F226" s="65"/>
      <c r="G226" s="65"/>
      <c r="H226" s="51" t="s">
        <v>42</v>
      </c>
      <c r="I226" s="51"/>
      <c r="J226" s="51" t="str">
        <f>bitConcat(G227:G227)</f>
        <v>32'b00000000000000000000000000000000</v>
      </c>
      <c r="K226" s="51"/>
      <c r="L226" s="52"/>
      <c r="M226" s="53" t="str">
        <f>DEC2HEX(_xlfn.BITLSHIFT(O226,7)+4*P226)</f>
        <v>5F8</v>
      </c>
      <c r="N226" s="53"/>
      <c r="O226" s="53">
        <v>11</v>
      </c>
      <c r="P226" s="53">
        <v>30</v>
      </c>
      <c r="Q226" s="53" t="str">
        <f>DEC2HEX(_xlfn.BITLSHIFT(O226,5)+P226)</f>
        <v>17E</v>
      </c>
      <c r="R226" s="53" t="str">
        <f>BIN2HEX(LEFT(RIGHT(D226,32),4))&amp;BIN2HEX(LEFT(RIGHT(D226,28),4))&amp;BIN2HEX(LEFT(RIGHT(D226,24),4))&amp;BIN2HEX(LEFT(RIGHT(D226,20),4))&amp;BIN2HEX(LEFT(RIGHT(D226,16),4))&amp;BIN2HEX(LEFT(RIGHT(D226,12),4))&amp;BIN2HEX(LEFT(RIGHT(D226,8),4))&amp;BIN2HEX(LEFT(RIGHT(D226,4),4))</f>
        <v>00000000</v>
      </c>
      <c r="S226" s="53" t="str">
        <f>BIN2HEX(LEFT(RIGHT(J226,32),4))&amp;BIN2HEX(LEFT(RIGHT(J226,28),4))&amp;BIN2HEX(LEFT(RIGHT(J226,24),4))&amp;BIN2HEX(LEFT(RIGHT(J226,20),4))&amp;BIN2HEX(LEFT(RIGHT(J226,16),4))&amp;BIN2HEX(LEFT(RIGHT(J226,12),4))&amp;BIN2HEX(LEFT(RIGHT(J226,8),4))&amp;BIN2HEX(LEFT(RIGHT(J226,4),4))</f>
        <v>00000000</v>
      </c>
      <c r="AI226" s="46"/>
      <c r="AJ226" s="46"/>
    </row>
    <row r="227" spans="1:36" s="47" customFormat="1" ht="15" thickBot="1">
      <c r="A227" s="68"/>
      <c r="B227" s="68"/>
      <c r="C227" s="40" t="s">
        <v>52</v>
      </c>
      <c r="D227" s="45">
        <v>32</v>
      </c>
      <c r="E227" s="45" t="str">
        <f>IF(D227&gt;1,(31)&amp;":"&amp;(31-D227+1),(31-D227+1)&amp;":"&amp;(31-D227+1))</f>
        <v>31:0</v>
      </c>
      <c r="F227" s="40" t="s">
        <v>49</v>
      </c>
      <c r="G227" s="40" t="s">
        <v>49</v>
      </c>
      <c r="H227" s="40" t="s">
        <v>53</v>
      </c>
      <c r="I227" s="43" t="s">
        <v>36</v>
      </c>
      <c r="J227" s="41" t="s">
        <v>35</v>
      </c>
      <c r="K227" s="44" t="s">
        <v>6</v>
      </c>
      <c r="L227" s="40"/>
      <c r="M227" s="54"/>
      <c r="N227" s="54"/>
      <c r="O227" s="54"/>
      <c r="P227" s="54"/>
      <c r="Q227" s="54"/>
      <c r="R227" s="54"/>
      <c r="S227" s="54"/>
      <c r="AI227" s="46"/>
      <c r="AJ227" s="46"/>
    </row>
    <row r="228" spans="1:36" s="47" customFormat="1">
      <c r="A228" s="67" t="s">
        <v>182</v>
      </c>
      <c r="B228" s="67" t="s">
        <v>176</v>
      </c>
      <c r="C228" s="42" t="s">
        <v>47</v>
      </c>
      <c r="D228" s="64" t="str">
        <f>bitConcat(F229:F229)</f>
        <v>32'b00000000000000000000000000000000</v>
      </c>
      <c r="E228" s="65"/>
      <c r="F228" s="65"/>
      <c r="G228" s="65"/>
      <c r="H228" s="51" t="s">
        <v>42</v>
      </c>
      <c r="I228" s="51"/>
      <c r="J228" s="51" t="str">
        <f>bitConcat(G229:G229)</f>
        <v>32'b00000000000000000000000000000000</v>
      </c>
      <c r="K228" s="51"/>
      <c r="L228" s="52"/>
      <c r="M228" s="53" t="str">
        <f>DEC2HEX(_xlfn.BITLSHIFT(O228,7)+4*P228)</f>
        <v>5FC</v>
      </c>
      <c r="N228" s="53"/>
      <c r="O228" s="53">
        <v>11</v>
      </c>
      <c r="P228" s="53">
        <v>31</v>
      </c>
      <c r="Q228" s="53" t="str">
        <f>DEC2HEX(_xlfn.BITLSHIFT(O228,5)+P228)</f>
        <v>17F</v>
      </c>
      <c r="R228" s="53" t="str">
        <f>BIN2HEX(LEFT(RIGHT(D228,32),4))&amp;BIN2HEX(LEFT(RIGHT(D228,28),4))&amp;BIN2HEX(LEFT(RIGHT(D228,24),4))&amp;BIN2HEX(LEFT(RIGHT(D228,20),4))&amp;BIN2HEX(LEFT(RIGHT(D228,16),4))&amp;BIN2HEX(LEFT(RIGHT(D228,12),4))&amp;BIN2HEX(LEFT(RIGHT(D228,8),4))&amp;BIN2HEX(LEFT(RIGHT(D228,4),4))</f>
        <v>00000000</v>
      </c>
      <c r="S228" s="53" t="str">
        <f>BIN2HEX(LEFT(RIGHT(J228,32),4))&amp;BIN2HEX(LEFT(RIGHT(J228,28),4))&amp;BIN2HEX(LEFT(RIGHT(J228,24),4))&amp;BIN2HEX(LEFT(RIGHT(J228,20),4))&amp;BIN2HEX(LEFT(RIGHT(J228,16),4))&amp;BIN2HEX(LEFT(RIGHT(J228,12),4))&amp;BIN2HEX(LEFT(RIGHT(J228,8),4))&amp;BIN2HEX(LEFT(RIGHT(J228,4),4))</f>
        <v>00000000</v>
      </c>
      <c r="AI228" s="46"/>
      <c r="AJ228" s="46"/>
    </row>
    <row r="229" spans="1:36" s="47" customFormat="1">
      <c r="A229" s="68"/>
      <c r="B229" s="68"/>
      <c r="C229" s="40" t="s">
        <v>52</v>
      </c>
      <c r="D229" s="45">
        <v>32</v>
      </c>
      <c r="E229" s="45" t="str">
        <f>IF(D229&gt;1,(31)&amp;":"&amp;(31-D229+1),(31-D229+1)&amp;":"&amp;(31-D229+1))</f>
        <v>31:0</v>
      </c>
      <c r="F229" s="40" t="s">
        <v>49</v>
      </c>
      <c r="G229" s="40" t="s">
        <v>49</v>
      </c>
      <c r="H229" s="40" t="s">
        <v>53</v>
      </c>
      <c r="I229" s="43" t="s">
        <v>36</v>
      </c>
      <c r="J229" s="41" t="s">
        <v>35</v>
      </c>
      <c r="K229" s="44" t="s">
        <v>6</v>
      </c>
      <c r="L229" s="40"/>
      <c r="M229" s="58"/>
      <c r="N229" s="58"/>
      <c r="O229" s="58"/>
      <c r="P229" s="58"/>
      <c r="Q229" s="58"/>
      <c r="R229" s="58"/>
      <c r="S229" s="58"/>
      <c r="AI229" s="46"/>
      <c r="AJ229" s="46"/>
    </row>
  </sheetData>
  <autoFilter ref="A1:L11" xr:uid="{00000000-0009-0000-0000-000000000000}"/>
  <customSheetViews>
    <customSheetView guid="{2BBBE5B5-B14C-4BF7-9B95-9EEB3666FF3B}">
      <pane ySplit="1" topLeftCell="A2" activePane="bottomLeft" state="frozen"/>
      <selection pane="bottomLeft" activeCell="J10" sqref="J10"/>
      <pageMargins left="0.7" right="0.7" top="0.75" bottom="0.75" header="0.51180555555555551" footer="0.51180555555555551"/>
      <pageSetup firstPageNumber="0" orientation="portrait" horizontalDpi="300" verticalDpi="300" r:id="rId1"/>
      <headerFooter alignWithMargins="0"/>
    </customSheetView>
  </customSheetViews>
  <mergeCells count="381">
    <mergeCell ref="D224:G224"/>
    <mergeCell ref="H224:I224"/>
    <mergeCell ref="J224:L224"/>
    <mergeCell ref="Q228:Q229"/>
    <mergeCell ref="R228:R229"/>
    <mergeCell ref="S228:S229"/>
    <mergeCell ref="D228:G228"/>
    <mergeCell ref="H228:I228"/>
    <mergeCell ref="J228:L228"/>
    <mergeCell ref="M228:M229"/>
    <mergeCell ref="N228:N229"/>
    <mergeCell ref="O228:O229"/>
    <mergeCell ref="P228:P229"/>
    <mergeCell ref="P218:P219"/>
    <mergeCell ref="Q218:Q219"/>
    <mergeCell ref="R218:R219"/>
    <mergeCell ref="S218:S219"/>
    <mergeCell ref="P220:P221"/>
    <mergeCell ref="Q220:Q221"/>
    <mergeCell ref="R220:R221"/>
    <mergeCell ref="S220:S221"/>
    <mergeCell ref="M226:M227"/>
    <mergeCell ref="N226:N227"/>
    <mergeCell ref="O226:O227"/>
    <mergeCell ref="P226:P227"/>
    <mergeCell ref="Q226:Q227"/>
    <mergeCell ref="R226:R227"/>
    <mergeCell ref="S226:S227"/>
    <mergeCell ref="P154:P155"/>
    <mergeCell ref="M138:M139"/>
    <mergeCell ref="N138:N139"/>
    <mergeCell ref="O138:O139"/>
    <mergeCell ref="P138:P139"/>
    <mergeCell ref="Q138:Q139"/>
    <mergeCell ref="R138:R139"/>
    <mergeCell ref="S138:S139"/>
    <mergeCell ref="Q154:Q155"/>
    <mergeCell ref="R154:R155"/>
    <mergeCell ref="S154:S155"/>
    <mergeCell ref="S136:S137"/>
    <mergeCell ref="A146:A153"/>
    <mergeCell ref="B146:B153"/>
    <mergeCell ref="D146:G146"/>
    <mergeCell ref="H146:I146"/>
    <mergeCell ref="J146:L146"/>
    <mergeCell ref="M146:M153"/>
    <mergeCell ref="N146:N153"/>
    <mergeCell ref="O146:O153"/>
    <mergeCell ref="P146:P153"/>
    <mergeCell ref="Q146:Q153"/>
    <mergeCell ref="R146:R153"/>
    <mergeCell ref="S146:S153"/>
    <mergeCell ref="A138:A139"/>
    <mergeCell ref="B138:B139"/>
    <mergeCell ref="D138:G138"/>
    <mergeCell ref="H138:I138"/>
    <mergeCell ref="J138:L138"/>
    <mergeCell ref="A136:A137"/>
    <mergeCell ref="B136:B137"/>
    <mergeCell ref="Q140:Q143"/>
    <mergeCell ref="R140:R143"/>
    <mergeCell ref="S140:S143"/>
    <mergeCell ref="P202:P217"/>
    <mergeCell ref="Q202:Q217"/>
    <mergeCell ref="R202:R217"/>
    <mergeCell ref="S202:S217"/>
    <mergeCell ref="A134:A135"/>
    <mergeCell ref="B134:B135"/>
    <mergeCell ref="D134:G134"/>
    <mergeCell ref="H134:I134"/>
    <mergeCell ref="J134:L134"/>
    <mergeCell ref="M134:M135"/>
    <mergeCell ref="N134:N135"/>
    <mergeCell ref="O134:O135"/>
    <mergeCell ref="P134:P135"/>
    <mergeCell ref="Q134:Q135"/>
    <mergeCell ref="R134:R135"/>
    <mergeCell ref="S134:S135"/>
    <mergeCell ref="A202:A217"/>
    <mergeCell ref="B202:B217"/>
    <mergeCell ref="M136:M137"/>
    <mergeCell ref="N136:N137"/>
    <mergeCell ref="O136:O137"/>
    <mergeCell ref="P136:P137"/>
    <mergeCell ref="Q136:Q137"/>
    <mergeCell ref="R136:R137"/>
    <mergeCell ref="R156:R163"/>
    <mergeCell ref="S156:S163"/>
    <mergeCell ref="Q171:Q178"/>
    <mergeCell ref="R171:R178"/>
    <mergeCell ref="S171:S178"/>
    <mergeCell ref="D171:G171"/>
    <mergeCell ref="H171:I171"/>
    <mergeCell ref="J171:L171"/>
    <mergeCell ref="D164:G164"/>
    <mergeCell ref="H164:I164"/>
    <mergeCell ref="J164:L164"/>
    <mergeCell ref="M171:M178"/>
    <mergeCell ref="N171:N178"/>
    <mergeCell ref="O171:O178"/>
    <mergeCell ref="M164:M170"/>
    <mergeCell ref="N164:N170"/>
    <mergeCell ref="O164:O170"/>
    <mergeCell ref="P164:P170"/>
    <mergeCell ref="Q164:Q170"/>
    <mergeCell ref="R164:R170"/>
    <mergeCell ref="S164:S170"/>
    <mergeCell ref="P171:P178"/>
    <mergeCell ref="A171:A178"/>
    <mergeCell ref="B171:B178"/>
    <mergeCell ref="Q144:Q145"/>
    <mergeCell ref="D156:G156"/>
    <mergeCell ref="H156:I156"/>
    <mergeCell ref="J156:L156"/>
    <mergeCell ref="A156:A163"/>
    <mergeCell ref="B156:B163"/>
    <mergeCell ref="M156:M163"/>
    <mergeCell ref="N156:N163"/>
    <mergeCell ref="O156:O163"/>
    <mergeCell ref="P156:P163"/>
    <mergeCell ref="Q156:Q163"/>
    <mergeCell ref="A164:A170"/>
    <mergeCell ref="B164:B170"/>
    <mergeCell ref="A154:A155"/>
    <mergeCell ref="B154:B155"/>
    <mergeCell ref="D154:G154"/>
    <mergeCell ref="H154:I154"/>
    <mergeCell ref="J154:L154"/>
    <mergeCell ref="M154:M155"/>
    <mergeCell ref="N154:N155"/>
    <mergeCell ref="O154:O155"/>
    <mergeCell ref="P144:P145"/>
    <mergeCell ref="D179:G179"/>
    <mergeCell ref="A179:A201"/>
    <mergeCell ref="B179:B201"/>
    <mergeCell ref="H179:I179"/>
    <mergeCell ref="N140:N143"/>
    <mergeCell ref="O140:O143"/>
    <mergeCell ref="P140:P143"/>
    <mergeCell ref="J179:L179"/>
    <mergeCell ref="D136:G136"/>
    <mergeCell ref="H136:I136"/>
    <mergeCell ref="J136:L136"/>
    <mergeCell ref="M179:M201"/>
    <mergeCell ref="N179:N201"/>
    <mergeCell ref="O179:O201"/>
    <mergeCell ref="P179:P201"/>
    <mergeCell ref="A140:A143"/>
    <mergeCell ref="B140:B143"/>
    <mergeCell ref="M140:M143"/>
    <mergeCell ref="A144:A145"/>
    <mergeCell ref="B144:B145"/>
    <mergeCell ref="D144:G144"/>
    <mergeCell ref="H144:I144"/>
    <mergeCell ref="N144:N145"/>
    <mergeCell ref="O144:O145"/>
    <mergeCell ref="D140:G140"/>
    <mergeCell ref="H140:I140"/>
    <mergeCell ref="J140:L140"/>
    <mergeCell ref="R144:R145"/>
    <mergeCell ref="S144:S145"/>
    <mergeCell ref="J144:L144"/>
    <mergeCell ref="M144:M145"/>
    <mergeCell ref="A224:A225"/>
    <mergeCell ref="B224:B225"/>
    <mergeCell ref="N222:N223"/>
    <mergeCell ref="O222:O223"/>
    <mergeCell ref="P222:P223"/>
    <mergeCell ref="Q222:Q223"/>
    <mergeCell ref="R222:R223"/>
    <mergeCell ref="S222:S223"/>
    <mergeCell ref="A218:A219"/>
    <mergeCell ref="B218:B219"/>
    <mergeCell ref="B220:B221"/>
    <mergeCell ref="B222:B223"/>
    <mergeCell ref="A220:A221"/>
    <mergeCell ref="A222:A223"/>
    <mergeCell ref="D218:G218"/>
    <mergeCell ref="D220:G220"/>
    <mergeCell ref="D222:G222"/>
    <mergeCell ref="A226:A227"/>
    <mergeCell ref="B226:B227"/>
    <mergeCell ref="A228:A229"/>
    <mergeCell ref="B228:B229"/>
    <mergeCell ref="Q179:Q201"/>
    <mergeCell ref="R179:R201"/>
    <mergeCell ref="S179:S201"/>
    <mergeCell ref="M202:M217"/>
    <mergeCell ref="D226:G226"/>
    <mergeCell ref="H226:I226"/>
    <mergeCell ref="J226:L226"/>
    <mergeCell ref="M224:M225"/>
    <mergeCell ref="N224:N225"/>
    <mergeCell ref="O224:O225"/>
    <mergeCell ref="P224:P225"/>
    <mergeCell ref="Q224:Q225"/>
    <mergeCell ref="R224:R225"/>
    <mergeCell ref="S224:S225"/>
    <mergeCell ref="D202:G202"/>
    <mergeCell ref="H202:I202"/>
    <mergeCell ref="J202:L202"/>
    <mergeCell ref="N202:N217"/>
    <mergeCell ref="O220:O221"/>
    <mergeCell ref="M222:M223"/>
    <mergeCell ref="A11:A19"/>
    <mergeCell ref="B11:B19"/>
    <mergeCell ref="A38:A46"/>
    <mergeCell ref="B38:B46"/>
    <mergeCell ref="D38:G38"/>
    <mergeCell ref="H38:I38"/>
    <mergeCell ref="J38:L38"/>
    <mergeCell ref="A47:A55"/>
    <mergeCell ref="B47:B55"/>
    <mergeCell ref="D47:G47"/>
    <mergeCell ref="H47:I47"/>
    <mergeCell ref="J47:L47"/>
    <mergeCell ref="M2:M10"/>
    <mergeCell ref="N2:N10"/>
    <mergeCell ref="O2:O10"/>
    <mergeCell ref="P2:P10"/>
    <mergeCell ref="A20:A28"/>
    <mergeCell ref="B20:B28"/>
    <mergeCell ref="A29:A37"/>
    <mergeCell ref="B29:B37"/>
    <mergeCell ref="D29:G29"/>
    <mergeCell ref="H29:I29"/>
    <mergeCell ref="J29:L29"/>
    <mergeCell ref="D20:G20"/>
    <mergeCell ref="H20:I20"/>
    <mergeCell ref="J20:L20"/>
    <mergeCell ref="O29:O37"/>
    <mergeCell ref="P29:P37"/>
    <mergeCell ref="D2:G2"/>
    <mergeCell ref="H2:I2"/>
    <mergeCell ref="J2:L2"/>
    <mergeCell ref="A2:A10"/>
    <mergeCell ref="B2:B10"/>
    <mergeCell ref="D11:G11"/>
    <mergeCell ref="H11:I11"/>
    <mergeCell ref="J11:L11"/>
    <mergeCell ref="H56:I56"/>
    <mergeCell ref="J56:L56"/>
    <mergeCell ref="A56:A67"/>
    <mergeCell ref="B56:B67"/>
    <mergeCell ref="A68:A76"/>
    <mergeCell ref="B68:B76"/>
    <mergeCell ref="D68:G68"/>
    <mergeCell ref="H68:I68"/>
    <mergeCell ref="J68:L68"/>
    <mergeCell ref="D56:G56"/>
    <mergeCell ref="A77:A85"/>
    <mergeCell ref="B77:B85"/>
    <mergeCell ref="D77:G77"/>
    <mergeCell ref="H77:I77"/>
    <mergeCell ref="J77:L77"/>
    <mergeCell ref="A86:A94"/>
    <mergeCell ref="B86:B94"/>
    <mergeCell ref="A95:A103"/>
    <mergeCell ref="B95:B103"/>
    <mergeCell ref="D95:G95"/>
    <mergeCell ref="H95:I95"/>
    <mergeCell ref="J95:L95"/>
    <mergeCell ref="D86:G86"/>
    <mergeCell ref="H86:I86"/>
    <mergeCell ref="J86:L86"/>
    <mergeCell ref="A104:A112"/>
    <mergeCell ref="B104:B112"/>
    <mergeCell ref="D104:G104"/>
    <mergeCell ref="H104:I104"/>
    <mergeCell ref="J104:L104"/>
    <mergeCell ref="A113:A121"/>
    <mergeCell ref="B113:B121"/>
    <mergeCell ref="D113:G113"/>
    <mergeCell ref="H113:I113"/>
    <mergeCell ref="J113:L113"/>
    <mergeCell ref="A122:A133"/>
    <mergeCell ref="B122:B133"/>
    <mergeCell ref="D122:G122"/>
    <mergeCell ref="H122:I122"/>
    <mergeCell ref="J122:L122"/>
    <mergeCell ref="Q2:Q10"/>
    <mergeCell ref="R2:R10"/>
    <mergeCell ref="S2:S10"/>
    <mergeCell ref="M11:M19"/>
    <mergeCell ref="N11:N19"/>
    <mergeCell ref="O11:O19"/>
    <mergeCell ref="P11:P19"/>
    <mergeCell ref="Q11:Q19"/>
    <mergeCell ref="R11:R19"/>
    <mergeCell ref="S11:S19"/>
    <mergeCell ref="M20:M28"/>
    <mergeCell ref="N20:N28"/>
    <mergeCell ref="O20:O28"/>
    <mergeCell ref="P20:P28"/>
    <mergeCell ref="Q20:Q28"/>
    <mergeCell ref="R20:R28"/>
    <mergeCell ref="S20:S28"/>
    <mergeCell ref="M29:M37"/>
    <mergeCell ref="N29:N37"/>
    <mergeCell ref="S95:S103"/>
    <mergeCell ref="M56:M67"/>
    <mergeCell ref="N56:N67"/>
    <mergeCell ref="O56:O67"/>
    <mergeCell ref="P56:P67"/>
    <mergeCell ref="Q56:Q67"/>
    <mergeCell ref="R56:R67"/>
    <mergeCell ref="S56:S67"/>
    <mergeCell ref="Q29:Q37"/>
    <mergeCell ref="R29:R37"/>
    <mergeCell ref="S29:S37"/>
    <mergeCell ref="M38:M46"/>
    <mergeCell ref="N38:N46"/>
    <mergeCell ref="O38:O46"/>
    <mergeCell ref="P38:P46"/>
    <mergeCell ref="Q38:Q46"/>
    <mergeCell ref="R38:R46"/>
    <mergeCell ref="S38:S46"/>
    <mergeCell ref="M47:M55"/>
    <mergeCell ref="N47:N55"/>
    <mergeCell ref="O47:O55"/>
    <mergeCell ref="P47:P55"/>
    <mergeCell ref="Q47:Q55"/>
    <mergeCell ref="R47:R55"/>
    <mergeCell ref="S47:S55"/>
    <mergeCell ref="M68:M76"/>
    <mergeCell ref="N68:N76"/>
    <mergeCell ref="O68:O76"/>
    <mergeCell ref="P68:P76"/>
    <mergeCell ref="Q68:Q76"/>
    <mergeCell ref="R68:R76"/>
    <mergeCell ref="S68:S76"/>
    <mergeCell ref="M77:M85"/>
    <mergeCell ref="N77:N85"/>
    <mergeCell ref="O77:O85"/>
    <mergeCell ref="P77:P85"/>
    <mergeCell ref="Q77:Q85"/>
    <mergeCell ref="R77:R85"/>
    <mergeCell ref="S77:S85"/>
    <mergeCell ref="P113:P121"/>
    <mergeCell ref="Q113:Q121"/>
    <mergeCell ref="R113:R121"/>
    <mergeCell ref="S113:S121"/>
    <mergeCell ref="M86:M94"/>
    <mergeCell ref="N86:N94"/>
    <mergeCell ref="O86:O94"/>
    <mergeCell ref="P86:P94"/>
    <mergeCell ref="Q86:Q94"/>
    <mergeCell ref="R86:R94"/>
    <mergeCell ref="S86:S94"/>
    <mergeCell ref="M95:M103"/>
    <mergeCell ref="N95:N103"/>
    <mergeCell ref="O95:O103"/>
    <mergeCell ref="P95:P103"/>
    <mergeCell ref="Q95:Q103"/>
    <mergeCell ref="R95:R103"/>
    <mergeCell ref="P122:P133"/>
    <mergeCell ref="Q122:Q133"/>
    <mergeCell ref="R122:R133"/>
    <mergeCell ref="S122:S133"/>
    <mergeCell ref="M104:M112"/>
    <mergeCell ref="N104:N112"/>
    <mergeCell ref="O104:O112"/>
    <mergeCell ref="P104:P112"/>
    <mergeCell ref="Q104:Q112"/>
    <mergeCell ref="R104:R112"/>
    <mergeCell ref="S104:S112"/>
    <mergeCell ref="O113:O121"/>
    <mergeCell ref="M113:M121"/>
    <mergeCell ref="N113:N121"/>
    <mergeCell ref="J218:L218"/>
    <mergeCell ref="J220:L220"/>
    <mergeCell ref="J222:L222"/>
    <mergeCell ref="M218:M219"/>
    <mergeCell ref="N218:N219"/>
    <mergeCell ref="O218:O219"/>
    <mergeCell ref="M220:M221"/>
    <mergeCell ref="N220:N221"/>
    <mergeCell ref="M122:M133"/>
    <mergeCell ref="N122:N133"/>
    <mergeCell ref="O122:O133"/>
    <mergeCell ref="O202:O217"/>
  </mergeCells>
  <phoneticPr fontId="29" type="noConversion"/>
  <dataValidations disablePrompts="1" xWindow="475" yWindow="579" count="6">
    <dataValidation type="list" allowBlank="1" showInputMessage="1" showErrorMessage="1" sqref="I123:I133 I145 I157:I163 I165:I170 I172:I178 I180:I201 I203:I217 I135 I137 I147:I153 I139 I155 I219 I221 I223 I225 I227 I229 I12:I19 I3:I10 I21:I28 I30:I37 I39:I46 I48:I55 I57:I67 I69:I76 I78:I85 I87:I94 I96:I103 I105:I112 I114:I121 I141:I143" xr:uid="{00000000-0002-0000-0000-000000000000}">
      <formula1>"WR,RO"</formula1>
    </dataValidation>
    <dataValidation type="list" allowBlank="1" showErrorMessage="1" sqref="I1" xr:uid="{00000000-0002-0000-0000-000001000000}">
      <formula1>"WR,RO"</formula1>
    </dataValidation>
    <dataValidation type="list" allowBlank="1" showInputMessage="1" showErrorMessage="1" sqref="K123:K133 K145 K157:K163 K165:K170 K172:K178 K180:K201 K203:K217 K135 K137 K147:K153 K139 K155 K219 K221 K223 K225 K227 K229 K12:K19 K3:K10 K21:K28 K30:K37 K39:K46 K48:K55 K57:K67 K69:K76 K78:K85 K87:K94 K96:K103 K105:K112 K114:K121 K141:K143" xr:uid="{00000000-0002-0000-0000-000002000000}">
      <formula1>BOOLEAN</formula1>
    </dataValidation>
    <dataValidation allowBlank="1" showInputMessage="1" showErrorMessage="1" prompt="8 bit Hexa number between 0x0 and 0xff. Offset within register space for block" sqref="B1 M1:S1" xr:uid="{00000000-0002-0000-0000-000003000000}">
      <formula1>0</formula1>
      <formula2>0</formula2>
    </dataValidation>
    <dataValidation allowBlank="1" showInputMessage="1" sqref="F1:G1" xr:uid="{00000000-0002-0000-0000-000004000000}"/>
    <dataValidation type="list" allowBlank="1" sqref="J157:J163 J165:J170 J172:J178 J180:J201 J147:J155 J1:J139 J203:J229 J141:J145" xr:uid="{00000000-0002-0000-0000-000005000000}">
      <formula1>"Default, Soft Strap, Hard Strap, Fuse"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H15"/>
  <sheetViews>
    <sheetView workbookViewId="0">
      <selection activeCell="A10" sqref="A10"/>
    </sheetView>
  </sheetViews>
  <sheetFormatPr defaultRowHeight="14.4"/>
  <cols>
    <col min="1" max="1" width="13.44140625" customWidth="1"/>
  </cols>
  <sheetData>
    <row r="9" spans="1:8">
      <c r="D9" t="s">
        <v>17</v>
      </c>
    </row>
    <row r="10" spans="1:8">
      <c r="A10" t="s">
        <v>5</v>
      </c>
      <c r="C10" t="s">
        <v>15</v>
      </c>
      <c r="D10" t="s">
        <v>18</v>
      </c>
      <c r="F10" t="s">
        <v>11</v>
      </c>
      <c r="H10" t="s">
        <v>8</v>
      </c>
    </row>
    <row r="11" spans="1:8">
      <c r="A11" t="s">
        <v>20</v>
      </c>
      <c r="C11" t="s">
        <v>16</v>
      </c>
      <c r="D11" t="s">
        <v>19</v>
      </c>
      <c r="F11" t="s">
        <v>12</v>
      </c>
      <c r="H11" t="s">
        <v>6</v>
      </c>
    </row>
    <row r="12" spans="1:8">
      <c r="A12" t="s">
        <v>9</v>
      </c>
      <c r="C12" t="s">
        <v>13</v>
      </c>
    </row>
    <row r="13" spans="1:8">
      <c r="A13" t="s">
        <v>10</v>
      </c>
    </row>
    <row r="14" spans="1:8">
      <c r="A14" t="s">
        <v>14</v>
      </c>
    </row>
    <row r="15" spans="1:8">
      <c r="A15" t="s">
        <v>22</v>
      </c>
    </row>
  </sheetData>
  <customSheetViews>
    <customSheetView guid="{2BBBE5B5-B14C-4BF7-9B95-9EEB3666FF3B}" state="hidden">
      <selection activeCell="D22" sqref="D22"/>
      <pageMargins left="0.7" right="0.7" top="0.75" bottom="0.75" header="0.51180555555555551" footer="0.51180555555555551"/>
      <pageSetup firstPageNumber="0" orientation="portrait" horizontalDpi="300" verticalDpi="300"/>
      <headerFooter alignWithMargins="0"/>
    </customSheetView>
  </customSheetView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6"/>
  <sheetViews>
    <sheetView workbookViewId="0">
      <selection activeCell="A40" sqref="A40"/>
    </sheetView>
  </sheetViews>
  <sheetFormatPr defaultRowHeight="14.4"/>
  <cols>
    <col min="1" max="1" width="9.5546875" bestFit="1" customWidth="1"/>
    <col min="2" max="2" width="14" bestFit="1" customWidth="1"/>
  </cols>
  <sheetData>
    <row r="1" spans="1:8" ht="15" thickBot="1">
      <c r="A1" s="9" t="s">
        <v>27</v>
      </c>
      <c r="B1" s="11" t="s">
        <v>28</v>
      </c>
      <c r="C1" s="10"/>
      <c r="D1" s="11"/>
      <c r="E1" s="10"/>
      <c r="F1" s="11"/>
      <c r="G1" s="10"/>
      <c r="H1" s="11"/>
    </row>
    <row r="2" spans="1:8">
      <c r="A2" s="6" t="s">
        <v>25</v>
      </c>
      <c r="B2" s="4" t="s">
        <v>30</v>
      </c>
      <c r="C2" s="3"/>
      <c r="D2" s="4"/>
      <c r="E2" s="3"/>
      <c r="F2" s="4"/>
      <c r="G2" s="3"/>
      <c r="H2" s="4"/>
    </row>
    <row r="3" spans="1:8">
      <c r="A3" s="6" t="s">
        <v>26</v>
      </c>
      <c r="B3" s="4" t="s">
        <v>29</v>
      </c>
      <c r="C3" s="3"/>
      <c r="D3" s="4"/>
      <c r="E3" s="3"/>
      <c r="F3" s="4"/>
      <c r="G3" s="3"/>
      <c r="H3" s="4"/>
    </row>
    <row r="4" spans="1:8">
      <c r="A4" s="6"/>
      <c r="B4" s="4" t="s">
        <v>31</v>
      </c>
      <c r="C4" s="3"/>
      <c r="D4" s="4"/>
      <c r="E4" s="3"/>
      <c r="F4" s="4"/>
      <c r="G4" s="3"/>
      <c r="H4" s="4"/>
    </row>
    <row r="5" spans="1:8">
      <c r="A5" s="6"/>
      <c r="B5" s="4" t="s">
        <v>32</v>
      </c>
      <c r="C5" s="3"/>
      <c r="D5" s="4"/>
      <c r="E5" s="3"/>
      <c r="F5" s="4"/>
      <c r="G5" s="3"/>
      <c r="H5" s="4"/>
    </row>
    <row r="6" spans="1:8">
      <c r="A6" s="6"/>
      <c r="B6" s="4"/>
      <c r="C6" s="3"/>
      <c r="D6" s="4"/>
      <c r="E6" s="3"/>
      <c r="F6" s="4"/>
      <c r="G6" s="3"/>
      <c r="H6" s="4"/>
    </row>
    <row r="7" spans="1:8">
      <c r="A7" s="6"/>
      <c r="B7" s="4"/>
      <c r="C7" s="3"/>
      <c r="D7" s="4"/>
      <c r="E7" s="3"/>
      <c r="F7" s="4"/>
      <c r="G7" s="3"/>
      <c r="H7" s="4"/>
    </row>
    <row r="8" spans="1:8">
      <c r="A8" s="6"/>
      <c r="B8" s="4"/>
      <c r="C8" s="3"/>
      <c r="D8" s="4"/>
      <c r="E8" s="3"/>
      <c r="F8" s="4"/>
      <c r="G8" s="3"/>
      <c r="H8" s="4"/>
    </row>
    <row r="9" spans="1:8">
      <c r="A9" s="6"/>
      <c r="B9" s="4"/>
      <c r="C9" s="3"/>
      <c r="D9" s="4"/>
      <c r="E9" s="3"/>
      <c r="F9" s="4"/>
      <c r="G9" s="3"/>
      <c r="H9" s="4"/>
    </row>
    <row r="10" spans="1:8">
      <c r="A10" s="6"/>
      <c r="B10" s="4"/>
      <c r="C10" s="3"/>
      <c r="D10" s="4"/>
      <c r="E10" s="3"/>
      <c r="F10" s="4"/>
      <c r="G10" s="3"/>
      <c r="H10" s="4"/>
    </row>
    <row r="11" spans="1:8">
      <c r="A11" s="6"/>
      <c r="B11" s="4"/>
      <c r="C11" s="3"/>
      <c r="D11" s="4"/>
      <c r="E11" s="3"/>
      <c r="F11" s="4"/>
      <c r="G11" s="3"/>
      <c r="H11" s="4"/>
    </row>
    <row r="12" spans="1:8">
      <c r="A12" s="6"/>
      <c r="B12" s="4"/>
      <c r="C12" s="3"/>
      <c r="D12" s="4"/>
      <c r="E12" s="3"/>
      <c r="F12" s="4"/>
      <c r="G12" s="3"/>
      <c r="H12" s="4"/>
    </row>
    <row r="13" spans="1:8">
      <c r="A13" s="6"/>
      <c r="B13" s="4"/>
      <c r="C13" s="3"/>
      <c r="D13" s="4"/>
      <c r="E13" s="3"/>
      <c r="F13" s="4"/>
      <c r="G13" s="3"/>
      <c r="H13" s="4"/>
    </row>
    <row r="14" spans="1:8">
      <c r="A14" s="6"/>
      <c r="B14" s="4"/>
      <c r="C14" s="3"/>
      <c r="D14" s="4"/>
      <c r="E14" s="3"/>
      <c r="F14" s="4"/>
      <c r="G14" s="3"/>
      <c r="H14" s="4"/>
    </row>
    <row r="15" spans="1:8">
      <c r="A15" s="6"/>
      <c r="B15" s="4"/>
      <c r="C15" s="3"/>
      <c r="D15" s="4"/>
      <c r="E15" s="3"/>
      <c r="F15" s="4"/>
      <c r="G15" s="3"/>
      <c r="H15" s="4"/>
    </row>
    <row r="16" spans="1:8">
      <c r="A16" s="6"/>
      <c r="B16" s="4"/>
      <c r="C16" s="3"/>
      <c r="D16" s="4"/>
      <c r="E16" s="3"/>
      <c r="F16" s="4"/>
      <c r="G16" s="3"/>
      <c r="H16" s="4"/>
    </row>
    <row r="17" spans="1:8">
      <c r="A17" s="6"/>
      <c r="B17" s="4"/>
      <c r="C17" s="3"/>
      <c r="D17" s="4"/>
      <c r="E17" s="3"/>
      <c r="F17" s="4"/>
      <c r="G17" s="3"/>
      <c r="H17" s="4"/>
    </row>
    <row r="18" spans="1:8">
      <c r="A18" s="6"/>
      <c r="B18" s="4"/>
      <c r="C18" s="3"/>
      <c r="D18" s="4"/>
      <c r="E18" s="3"/>
      <c r="F18" s="4"/>
      <c r="G18" s="3"/>
      <c r="H18" s="4"/>
    </row>
    <row r="19" spans="1:8">
      <c r="A19" s="6"/>
      <c r="B19" s="4"/>
      <c r="C19" s="3"/>
      <c r="D19" s="4"/>
      <c r="E19" s="3"/>
      <c r="F19" s="4"/>
      <c r="G19" s="3"/>
      <c r="H19" s="4"/>
    </row>
    <row r="20" spans="1:8">
      <c r="A20" s="6"/>
      <c r="B20" s="4"/>
      <c r="C20" s="3"/>
      <c r="D20" s="4"/>
      <c r="E20" s="3"/>
      <c r="F20" s="4"/>
      <c r="G20" s="3"/>
      <c r="H20" s="4"/>
    </row>
    <row r="21" spans="1:8">
      <c r="A21" s="6"/>
      <c r="B21" s="4"/>
      <c r="C21" s="3"/>
      <c r="D21" s="4"/>
      <c r="E21" s="3"/>
      <c r="F21" s="4"/>
      <c r="G21" s="3"/>
      <c r="H21" s="4"/>
    </row>
    <row r="22" spans="1:8">
      <c r="A22" s="6"/>
      <c r="B22" s="4"/>
      <c r="C22" s="3"/>
      <c r="D22" s="4"/>
      <c r="E22" s="3"/>
      <c r="F22" s="4"/>
      <c r="G22" s="3"/>
      <c r="H22" s="4"/>
    </row>
    <row r="23" spans="1:8">
      <c r="A23" s="6"/>
      <c r="B23" s="4"/>
      <c r="C23" s="3"/>
      <c r="D23" s="4"/>
      <c r="E23" s="3"/>
      <c r="F23" s="4"/>
      <c r="G23" s="3"/>
      <c r="H23" s="4"/>
    </row>
    <row r="24" spans="1:8">
      <c r="A24" s="6"/>
      <c r="B24" s="4"/>
      <c r="C24" s="3"/>
      <c r="D24" s="4"/>
      <c r="E24" s="3"/>
      <c r="F24" s="4"/>
      <c r="G24" s="3"/>
      <c r="H24" s="4"/>
    </row>
    <row r="25" spans="1:8">
      <c r="A25" s="6"/>
      <c r="B25" s="4"/>
      <c r="C25" s="3"/>
      <c r="D25" s="4"/>
      <c r="E25" s="3"/>
      <c r="F25" s="4"/>
      <c r="G25" s="3"/>
      <c r="H25" s="4"/>
    </row>
    <row r="26" spans="1:8" ht="15" thickBot="1">
      <c r="A26" s="7"/>
      <c r="B26" s="5"/>
      <c r="C26" s="8"/>
      <c r="D26" s="5"/>
      <c r="E26" s="8"/>
      <c r="F26" s="5"/>
      <c r="G26" s="8"/>
      <c r="H26" s="5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43C0F9E50B914A96F8D271432EBC33" ma:contentTypeVersion="0" ma:contentTypeDescription="Create a new document." ma:contentTypeScope="" ma:versionID="5e835c43eb47666319830cdb216a14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FEDBEE-D3F8-4B1A-80EF-A24D04DB9439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6C059C-0B93-40BB-9822-6178BB3A15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4EE478-C465-497B-9ECD-59BED9051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SERDES_LANE_ANA_RX2</vt:lpstr>
      <vt:lpstr>Sheet2</vt:lpstr>
      <vt:lpstr>lists</vt:lpstr>
      <vt:lpstr>BLOCK_NAMES</vt:lpstr>
      <vt:lpstr>BOOLEAN</vt:lpstr>
      <vt:lpstr>DEFAULT_TYPE</vt:lpstr>
      <vt:lpstr>hw_type</vt:lpstr>
      <vt:lpstr>hwclr</vt:lpstr>
      <vt:lpstr>hwtype</vt:lpstr>
      <vt:lpstr>REG_TYPE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 Tov, Chanan</dc:creator>
  <cp:keywords>CTPClassification=CTP_IC:VisualMarkings=, CTPClassification=CTP_IC</cp:keywords>
  <cp:lastModifiedBy>Kovshov, Marina</cp:lastModifiedBy>
  <dcterms:created xsi:type="dcterms:W3CDTF">2011-12-18T09:45:58Z</dcterms:created>
  <dcterms:modified xsi:type="dcterms:W3CDTF">2020-09-21T05:47:23Z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e64fa95f-be54-4f56-9ab7-e4f362cb0be7</vt:lpwstr>
  </property>
  <property fmtid="{D5CDD505-2E9C-101B-9397-08002B2CF9AE}" pid="3" name="CTP_BU">
    <vt:lpwstr>MIXED SIGNAL IP SOL GROUP</vt:lpwstr>
  </property>
  <property fmtid="{D5CDD505-2E9C-101B-9397-08002B2CF9AE}" pid="4" name="CTP_TimeStamp">
    <vt:lpwstr>2020-07-26 05:02:53Z</vt:lpwstr>
  </property>
  <property fmtid="{D5CDD505-2E9C-101B-9397-08002B2CF9AE}" pid="5" name="ContentTypeId">
    <vt:lpwstr>0x010100A843C0F9E50B914A96F8D271432EBC33</vt:lpwstr>
  </property>
  <property fmtid="{D5CDD505-2E9C-101B-9397-08002B2CF9AE}" pid="6" name="CTPClassification">
    <vt:lpwstr>CTP_IC</vt:lpwstr>
  </property>
  <property fmtid="{D5CDD505-2E9C-101B-9397-08002B2CF9AE}" pid="7" name="MSIP_Label_9aa06179-68b3-4e2b-b09b-a2424735516b_Enabled">
    <vt:lpwstr>True</vt:lpwstr>
  </property>
  <property fmtid="{D5CDD505-2E9C-101B-9397-08002B2CF9AE}" pid="8" name="MSIP_Label_9aa06179-68b3-4e2b-b09b-a2424735516b_SiteId">
    <vt:lpwstr>46c98d88-e344-4ed4-8496-4ed7712e255d</vt:lpwstr>
  </property>
  <property fmtid="{D5CDD505-2E9C-101B-9397-08002B2CF9AE}" pid="9" name="MSIP_Label_9aa06179-68b3-4e2b-b09b-a2424735516b_Owner">
    <vt:lpwstr>marina.kovshov@intel.com</vt:lpwstr>
  </property>
  <property fmtid="{D5CDD505-2E9C-101B-9397-08002B2CF9AE}" pid="10" name="MSIP_Label_9aa06179-68b3-4e2b-b09b-a2424735516b_SetDate">
    <vt:lpwstr>2020-09-09T13:11:51.7224594Z</vt:lpwstr>
  </property>
  <property fmtid="{D5CDD505-2E9C-101B-9397-08002B2CF9AE}" pid="11" name="MSIP_Label_9aa06179-68b3-4e2b-b09b-a2424735516b_Name">
    <vt:lpwstr>Intel Confidential</vt:lpwstr>
  </property>
  <property fmtid="{D5CDD505-2E9C-101B-9397-08002B2CF9AE}" pid="12" name="MSIP_Label_9aa06179-68b3-4e2b-b09b-a2424735516b_Application">
    <vt:lpwstr>Microsoft Azure Information Protection</vt:lpwstr>
  </property>
  <property fmtid="{D5CDD505-2E9C-101B-9397-08002B2CF9AE}" pid="13" name="MSIP_Label_9aa06179-68b3-4e2b-b09b-a2424735516b_ActionId">
    <vt:lpwstr>b95464e0-dffe-4f61-ab00-e5a17a373728</vt:lpwstr>
  </property>
  <property fmtid="{D5CDD505-2E9C-101B-9397-08002B2CF9AE}" pid="14" name="MSIP_Label_9aa06179-68b3-4e2b-b09b-a2424735516b_Extended_MSFT_Method">
    <vt:lpwstr>Automatic</vt:lpwstr>
  </property>
  <property fmtid="{D5CDD505-2E9C-101B-9397-08002B2CF9AE}" pid="15" name="Sensitivity">
    <vt:lpwstr>Intel Confidential</vt:lpwstr>
  </property>
</Properties>
</file>