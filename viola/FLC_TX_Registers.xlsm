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ovshov\Desktop\soconline\"/>
    </mc:Choice>
  </mc:AlternateContent>
  <xr:revisionPtr revIDLastSave="0" documentId="13_ncr:1_{D2F5F13B-BE98-4E3D-8F6B-3F88C4170861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TX" sheetId="26" r:id="rId1"/>
    <sheet name="Sheet2" sheetId="2" state="hidden" r:id="rId2"/>
    <sheet name="lists" sheetId="19" state="hidden" r:id="rId3"/>
  </sheets>
  <functionGroups builtInGroupCount="19"/>
  <externalReferences>
    <externalReference r:id="rId4"/>
  </externalReferences>
  <definedNames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5" i="26" l="1"/>
  <c r="E73" i="26"/>
  <c r="E71" i="26"/>
  <c r="E77" i="26"/>
  <c r="E65" i="26"/>
  <c r="E59" i="26"/>
  <c r="E53" i="26"/>
  <c r="E45" i="26"/>
  <c r="E37" i="26"/>
  <c r="E29" i="26"/>
  <c r="E21" i="26"/>
  <c r="E11" i="26"/>
  <c r="E3" i="26"/>
  <c r="E79" i="26"/>
  <c r="E80" i="26"/>
  <c r="E81" i="26"/>
  <c r="E82" i="26"/>
  <c r="E83" i="26"/>
  <c r="E78" i="26"/>
  <c r="E67" i="26"/>
  <c r="E68" i="26"/>
  <c r="E69" i="26"/>
  <c r="E66" i="26"/>
  <c r="E61" i="26"/>
  <c r="E62" i="26"/>
  <c r="E63" i="26"/>
  <c r="E60" i="26"/>
  <c r="E55" i="26"/>
  <c r="E56" i="26"/>
  <c r="E57" i="26"/>
  <c r="E54" i="26"/>
  <c r="E47" i="26"/>
  <c r="E48" i="26"/>
  <c r="E49" i="26"/>
  <c r="E50" i="26"/>
  <c r="E51" i="26" s="1"/>
  <c r="E46" i="26"/>
  <c r="E39" i="26"/>
  <c r="E40" i="26"/>
  <c r="E41" i="26"/>
  <c r="E42" i="26"/>
  <c r="E43" i="26" s="1"/>
  <c r="E38" i="26"/>
  <c r="E31" i="26"/>
  <c r="E32" i="26"/>
  <c r="E33" i="26"/>
  <c r="E34" i="26"/>
  <c r="E35" i="26"/>
  <c r="E30" i="26"/>
  <c r="E23" i="26"/>
  <c r="E24" i="26"/>
  <c r="E25" i="26"/>
  <c r="E26" i="26"/>
  <c r="E27" i="26" s="1"/>
  <c r="E22" i="26"/>
  <c r="E13" i="26"/>
  <c r="E14" i="26"/>
  <c r="E15" i="26"/>
  <c r="E16" i="26"/>
  <c r="E17" i="26" s="1"/>
  <c r="E18" i="26" s="1"/>
  <c r="E19" i="26" s="1"/>
  <c r="E12" i="26"/>
  <c r="E5" i="26"/>
  <c r="E6" i="26" s="1"/>
  <c r="E7" i="26" s="1"/>
  <c r="E8" i="26" s="1"/>
  <c r="E9" i="26"/>
  <c r="E4" i="26"/>
  <c r="P58" i="26" l="1"/>
  <c r="P52" i="26"/>
  <c r="P44" i="26"/>
  <c r="P36" i="26"/>
  <c r="P28" i="26"/>
  <c r="P20" i="26"/>
  <c r="P10" i="26"/>
  <c r="P2" i="26"/>
  <c r="P76" i="26" l="1"/>
  <c r="L76" i="26"/>
  <c r="P74" i="26"/>
  <c r="L74" i="26"/>
  <c r="P72" i="26"/>
  <c r="L72" i="26"/>
  <c r="P70" i="26"/>
  <c r="L70" i="26"/>
  <c r="P64" i="26"/>
  <c r="L64" i="26"/>
  <c r="L58" i="26"/>
  <c r="L52" i="26"/>
  <c r="L44" i="26"/>
  <c r="L36" i="26"/>
  <c r="L28" i="26"/>
  <c r="L20" i="26"/>
  <c r="L10" i="26"/>
  <c r="L2" i="26"/>
  <c r="C20" i="26"/>
  <c r="C70" i="26"/>
  <c r="C36" i="26"/>
  <c r="C64" i="26"/>
  <c r="C74" i="26"/>
  <c r="C58" i="26"/>
  <c r="C44" i="26"/>
  <c r="C72" i="26"/>
  <c r="C2" i="26"/>
  <c r="C10" i="26"/>
  <c r="C28" i="26"/>
  <c r="C52" i="26"/>
  <c r="C76" i="26"/>
  <c r="Q76" i="26" l="1"/>
  <c r="Q74" i="26"/>
  <c r="Q72" i="26"/>
  <c r="Q70" i="26"/>
  <c r="Q64" i="26"/>
  <c r="Q58" i="26"/>
  <c r="Q52" i="26"/>
  <c r="Q44" i="26"/>
  <c r="Q36" i="26"/>
  <c r="Q28" i="26"/>
  <c r="Q20" i="26"/>
  <c r="Q10" i="26"/>
  <c r="Q2" i="26"/>
</calcChain>
</file>

<file path=xl/sharedStrings.xml><?xml version="1.0" encoding="utf-8"?>
<sst xmlns="http://schemas.openxmlformats.org/spreadsheetml/2006/main" count="472" uniqueCount="172">
  <si>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</si>
  <si>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</si>
  <si>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</si>
  <si>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</si>
  <si>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</si>
  <si>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</si>
  <si>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</si>
  <si>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</si>
  <si>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</si>
  <si>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</si>
  <si>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</si>
  <si>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</si>
  <si>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</si>
  <si>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</si>
  <si>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</si>
  <si>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</si>
  <si>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</si>
  <si>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</si>
  <si>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</si>
  <si>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</si>
  <si>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</si>
  <si>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</si>
  <si>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</si>
  <si>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</si>
  <si>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</si>
  <si>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</si>
  <si>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</si>
  <si>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</si>
  <si>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</si>
  <si>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</si>
  <si>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</si>
  <si>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</si>
  <si>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</si>
  <si>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Default value</t>
  </si>
  <si>
    <t>Reg Name</t>
  </si>
  <si>
    <t>Sus Well</t>
  </si>
  <si>
    <t>Default</t>
  </si>
  <si>
    <t>RW</t>
  </si>
  <si>
    <t>1'b1</t>
  </si>
  <si>
    <t>Reg Soconline Offset</t>
  </si>
  <si>
    <t>user define</t>
  </si>
  <si>
    <t>2'b0</t>
  </si>
  <si>
    <t xml:space="preserve">Domain </t>
  </si>
  <si>
    <t>decoder pin</t>
  </si>
  <si>
    <t>5'b0</t>
  </si>
  <si>
    <t>4'b0</t>
  </si>
  <si>
    <t>SA ADDRESS</t>
  </si>
  <si>
    <t>Default Value(HEX)</t>
  </si>
  <si>
    <t>8'b0</t>
  </si>
  <si>
    <t>32'b0</t>
  </si>
  <si>
    <t>reg2_spare</t>
  </si>
  <si>
    <t>4'b1111</t>
  </si>
  <si>
    <t>3'b010</t>
  </si>
  <si>
    <t>reg3_spare</t>
  </si>
  <si>
    <t>reg4_spare</t>
  </si>
  <si>
    <t>nocon</t>
  </si>
  <si>
    <t>C</t>
  </si>
  <si>
    <t>1C</t>
  </si>
  <si>
    <t>2C</t>
  </si>
  <si>
    <t>spare</t>
  </si>
  <si>
    <t>5'b10000</t>
  </si>
  <si>
    <t>4'b1100</t>
  </si>
  <si>
    <t>TXCORE_reg0</t>
  </si>
  <si>
    <t>reg_tx_biasctrl_bin0</t>
  </si>
  <si>
    <t>5'b01101</t>
  </si>
  <si>
    <t>reg_tx_biasctrl_bin1</t>
  </si>
  <si>
    <t>reg_tx_biasctrl_bin2</t>
  </si>
  <si>
    <t>reg_tx_biasctrl_bin3</t>
  </si>
  <si>
    <t>reg_tx_biasctrl_therm</t>
  </si>
  <si>
    <t>reg_tx_vcas_mux</t>
  </si>
  <si>
    <t>reg_tx_vrbias_ctrl</t>
  </si>
  <si>
    <t>3'b001</t>
  </si>
  <si>
    <t>TXCORE_reg1</t>
  </si>
  <si>
    <t>reg_tx_bias_config</t>
  </si>
  <si>
    <t>reg_tx_bias_input_ctrl</t>
  </si>
  <si>
    <t>reg_tx_biasctrl_cm</t>
  </si>
  <si>
    <t>reg_tx_biasctrl_leaker</t>
  </si>
  <si>
    <t>reg_tx_lkrcaliben</t>
  </si>
  <si>
    <t>reg_tx_pisodivdelay</t>
  </si>
  <si>
    <t>reg_tx_rterm_ctl</t>
  </si>
  <si>
    <t>reg_tx_rterm_disable</t>
  </si>
  <si>
    <t>reg_tx_rterm_onbiastune</t>
  </si>
  <si>
    <t>5'b00100</t>
  </si>
  <si>
    <t>6'b110011</t>
  </si>
  <si>
    <t>4'b0100</t>
  </si>
  <si>
    <t>TX_clk0</t>
  </si>
  <si>
    <t>crs_cbtune0</t>
  </si>
  <si>
    <t>fine_cbtune0</t>
  </si>
  <si>
    <t>crs_cbtune8</t>
  </si>
  <si>
    <t>fine_cbtune8</t>
  </si>
  <si>
    <t>crs_cbtune1</t>
  </si>
  <si>
    <t>fine_cbtune1</t>
  </si>
  <si>
    <t>TX_clk1</t>
  </si>
  <si>
    <t>crs_cbtune9</t>
  </si>
  <si>
    <t>fine_cbtune9</t>
  </si>
  <si>
    <t>crs_cbtune2</t>
  </si>
  <si>
    <t>fine_cbtune2</t>
  </si>
  <si>
    <t>crs_cbtune10</t>
  </si>
  <si>
    <t>fine_cbtune10</t>
  </si>
  <si>
    <t>crs_cbtune3</t>
  </si>
  <si>
    <t>fine_cbtune3</t>
  </si>
  <si>
    <t>crs_cbtune11</t>
  </si>
  <si>
    <t>fine_cbtune11</t>
  </si>
  <si>
    <t>crs_cbtune4</t>
  </si>
  <si>
    <t>fine_cbtune4</t>
  </si>
  <si>
    <t>TX_clk2</t>
  </si>
  <si>
    <t>TX_clk3</t>
  </si>
  <si>
    <t>crs_cbtune12</t>
  </si>
  <si>
    <t>fine_cbtune12</t>
  </si>
  <si>
    <t>crs_cbtune5</t>
  </si>
  <si>
    <t>fine_cbtune5</t>
  </si>
  <si>
    <t>crs_cbtune13</t>
  </si>
  <si>
    <t>fine_cbtune13</t>
  </si>
  <si>
    <t>reg5_spare</t>
  </si>
  <si>
    <t>TX_clk4</t>
  </si>
  <si>
    <t>crs_cbtune6</t>
  </si>
  <si>
    <t>fine_cbtune6</t>
  </si>
  <si>
    <t>crs_cbtune14</t>
  </si>
  <si>
    <t>fine_cbtune14</t>
  </si>
  <si>
    <t>reg6_spare</t>
  </si>
  <si>
    <t>12'b0</t>
  </si>
  <si>
    <t>TX_clk5</t>
  </si>
  <si>
    <t>crs_cbtune7</t>
  </si>
  <si>
    <t>fine_cbtune7</t>
  </si>
  <si>
    <t>crs_cbtune15</t>
  </si>
  <si>
    <t>fine_cbtune15</t>
  </si>
  <si>
    <t>reg7_spare</t>
  </si>
  <si>
    <t>TX_clk</t>
  </si>
  <si>
    <t>reg_ck_div2_en</t>
  </si>
  <si>
    <t>reg_ck_clk14g_en</t>
  </si>
  <si>
    <t>reg_ck_dl_cbtune_en</t>
  </si>
  <si>
    <t>reg_ck_cml2cmos_en</t>
  </si>
  <si>
    <t>reg8_spare</t>
  </si>
  <si>
    <t>22'b0</t>
  </si>
  <si>
    <t>spare0</t>
  </si>
  <si>
    <t>LDO</t>
  </si>
  <si>
    <t>reg_ldo_tmp</t>
  </si>
  <si>
    <t>spare1</t>
  </si>
  <si>
    <t>spare2</t>
  </si>
  <si>
    <t>reg_tx_biasctrl_s</t>
  </si>
  <si>
    <t>reg_tx_biasctrl_lkrin</t>
  </si>
  <si>
    <t>reg_tx_bias_shrt</t>
  </si>
  <si>
    <t>reg_tx_ldo_en</t>
  </si>
  <si>
    <t>reg_tx_ldo_bias_en</t>
  </si>
  <si>
    <t>reg_tx_ldo_25to50u_en</t>
  </si>
  <si>
    <t>reg12_spare</t>
  </si>
  <si>
    <t>current source bias (bin)</t>
  </si>
  <si>
    <t>current source bias (therm)</t>
  </si>
  <si>
    <t>bias to gate active peaking</t>
  </si>
  <si>
    <t>bias to res active peaking</t>
  </si>
  <si>
    <t>bias common (current source)</t>
  </si>
  <si>
    <t>bias cntrol of leaker</t>
  </si>
  <si>
    <t>bias common (leaker)</t>
  </si>
  <si>
    <t>leaker calib en</t>
  </si>
  <si>
    <t>piso div delay</t>
  </si>
  <si>
    <t>rterm control</t>
  </si>
  <si>
    <t>rterm disable</t>
  </si>
  <si>
    <t>rterm on bias value</t>
  </si>
  <si>
    <t>clk buff coarse</t>
  </si>
  <si>
    <t>clkbuff fine</t>
  </si>
  <si>
    <t>divider select</t>
  </si>
  <si>
    <t xml:space="preserve">input current mirrow dac </t>
  </si>
  <si>
    <t>input current diode config</t>
  </si>
  <si>
    <t>ldo enable</t>
  </si>
  <si>
    <t>ldo bias en</t>
  </si>
  <si>
    <t>14g  en</t>
  </si>
  <si>
    <t>clk delay line cap control</t>
  </si>
  <si>
    <t>cml2cmos en</t>
  </si>
  <si>
    <t>amon sel (unconnected)</t>
  </si>
  <si>
    <t xml:space="preserve">driver current source short </t>
  </si>
  <si>
    <t>ldo input  current select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</si>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</sst>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Neo Sans Intel"/>
      <family val="2"/>
    </font>
    <font>
      <b/>
      <sz val="11"/>
      <color theme="5" tint="-0.249977111117893"/>
      <name val="Calibri"/>
      <family val="2"/>
    </font>
    <font>
      <sz val="10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rgb="FFBBF2FD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59">
    <xf numFmtId="0" fontId="0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0" borderId="0"/>
    <xf numFmtId="0" fontId="15" fillId="0" borderId="0"/>
    <xf numFmtId="0" fontId="21" fillId="0" borderId="0"/>
    <xf numFmtId="0" fontId="20" fillId="23" borderId="7" applyNumberForma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4" fillId="24" borderId="0" applyNumberFormat="0" applyBorder="0" applyAlignment="0" applyProtection="0"/>
    <xf numFmtId="0" fontId="25" fillId="25" borderId="12" applyNumberFormat="0" applyAlignment="0" applyProtection="0"/>
    <xf numFmtId="0" fontId="16" fillId="20" borderId="21" applyNumberFormat="0" applyAlignment="0" applyProtection="0"/>
    <xf numFmtId="0" fontId="20" fillId="23" borderId="20" applyNumberFormat="0" applyAlignment="0" applyProtection="0"/>
    <xf numFmtId="0" fontId="18" fillId="0" borderId="26" applyNumberFormat="0" applyFill="0" applyAlignment="0" applyProtection="0"/>
    <xf numFmtId="0" fontId="16" fillId="20" borderId="25" applyNumberFormat="0" applyAlignment="0" applyProtection="0"/>
    <xf numFmtId="0" fontId="20" fillId="23" borderId="24" applyNumberFormat="0" applyAlignment="0" applyProtection="0"/>
    <xf numFmtId="0" fontId="12" fillId="7" borderId="19" applyNumberFormat="0" applyAlignment="0" applyProtection="0"/>
    <xf numFmtId="0" fontId="12" fillId="7" borderId="23" applyNumberFormat="0" applyAlignment="0" applyProtection="0"/>
    <xf numFmtId="0" fontId="5" fillId="20" borderId="19" applyNumberFormat="0" applyAlignment="0" applyProtection="0"/>
    <xf numFmtId="0" fontId="5" fillId="20" borderId="23" applyNumberFormat="0" applyAlignment="0" applyProtection="0"/>
    <xf numFmtId="0" fontId="2" fillId="0" borderId="0"/>
    <xf numFmtId="0" fontId="18" fillId="0" borderId="22" applyNumberFormat="0" applyFill="0" applyAlignment="0" applyProtection="0"/>
    <xf numFmtId="0" fontId="1" fillId="0" borderId="0"/>
  </cellStyleXfs>
  <cellXfs count="52">
    <xf numFmtId="0" fontId="0" fillId="0" borderId="0" xfId="0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3" xfId="0" applyBorder="1"/>
    <xf numFmtId="0" fontId="0" fillId="0" borderId="38" xfId="0" applyBorder="1"/>
    <xf numFmtId="0" fontId="0" fillId="0" borderId="42" xfId="0" applyBorder="1"/>
    <xf numFmtId="0" fontId="0" fillId="0" borderId="39" xfId="0" applyBorder="1"/>
    <xf numFmtId="0" fontId="0" fillId="0" borderId="30" xfId="0" applyBorder="1"/>
    <xf numFmtId="0" fontId="0" fillId="0" borderId="27" xfId="0" applyBorder="1"/>
    <xf numFmtId="49" fontId="22" fillId="0" borderId="42" xfId="0" applyNumberFormat="1" applyFont="1" applyFill="1" applyBorder="1" applyAlignment="1">
      <alignment horizontal="center" vertical="center" wrapText="1"/>
    </xf>
    <xf numFmtId="0" fontId="26" fillId="0" borderId="42" xfId="37" applyFont="1" applyBorder="1" applyAlignment="1">
      <alignment horizontal="center" vertical="center" wrapText="1"/>
    </xf>
    <xf numFmtId="0" fontId="22" fillId="0" borderId="42" xfId="0" applyFont="1" applyBorder="1" applyAlignment="1">
      <alignment horizontal="center" vertical="center" wrapText="1"/>
    </xf>
    <xf numFmtId="0" fontId="22" fillId="26" borderId="40" xfId="0" applyFont="1" applyFill="1" applyBorder="1" applyAlignment="1">
      <alignment horizontal="center" vertical="center" wrapText="1"/>
    </xf>
    <xf numFmtId="0" fontId="22" fillId="26" borderId="30" xfId="0" applyFont="1" applyFill="1" applyBorder="1" applyAlignment="1">
      <alignment horizontal="center" vertical="center" wrapText="1"/>
    </xf>
    <xf numFmtId="0" fontId="22" fillId="26" borderId="42" xfId="0" applyFont="1" applyFill="1" applyBorder="1" applyAlignment="1">
      <alignment horizontal="center" vertical="center" wrapText="1"/>
    </xf>
    <xf numFmtId="0" fontId="22" fillId="26" borderId="44" xfId="0" applyFont="1" applyFill="1" applyBorder="1" applyAlignment="1">
      <alignment horizontal="center" vertical="center" wrapText="1"/>
    </xf>
    <xf numFmtId="0" fontId="22" fillId="26" borderId="45" xfId="0" applyFont="1" applyFill="1" applyBorder="1" applyAlignment="1">
      <alignment horizontal="center" vertical="center" wrapText="1"/>
    </xf>
    <xf numFmtId="0" fontId="0" fillId="0" borderId="41" xfId="0" applyFill="1" applyBorder="1" applyAlignment="1">
      <alignment wrapText="1"/>
    </xf>
    <xf numFmtId="49" fontId="22" fillId="26" borderId="42" xfId="0" applyNumberFormat="1" applyFont="1" applyFill="1" applyBorder="1" applyAlignment="1">
      <alignment horizontal="center" vertical="center" wrapText="1"/>
    </xf>
    <xf numFmtId="0" fontId="22" fillId="26" borderId="48" xfId="0" applyFont="1" applyFill="1" applyBorder="1" applyAlignment="1">
      <alignment horizontal="center" vertical="center" wrapText="1"/>
    </xf>
    <xf numFmtId="0" fontId="22" fillId="26" borderId="29" xfId="0" applyFont="1" applyFill="1" applyBorder="1" applyAlignment="1">
      <alignment horizontal="center" vertical="center" wrapText="1"/>
    </xf>
    <xf numFmtId="0" fontId="23" fillId="27" borderId="27" xfId="36" applyNumberFormat="1" applyFont="1" applyFill="1" applyBorder="1" applyAlignment="1" applyProtection="1">
      <alignment horizontal="center" vertical="center" wrapText="1"/>
    </xf>
    <xf numFmtId="0" fontId="23" fillId="27" borderId="31" xfId="36" applyNumberFormat="1" applyFont="1" applyFill="1" applyBorder="1" applyAlignment="1" applyProtection="1">
      <alignment horizontal="center" vertical="center" wrapText="1"/>
    </xf>
    <xf numFmtId="0" fontId="27" fillId="28" borderId="37" xfId="0" applyFont="1" applyFill="1" applyBorder="1" applyAlignment="1">
      <alignment horizontal="center" vertical="center"/>
    </xf>
    <xf numFmtId="0" fontId="27" fillId="28" borderId="46" xfId="0" applyFont="1" applyFill="1" applyBorder="1" applyAlignment="1">
      <alignment horizontal="center" vertical="center"/>
    </xf>
    <xf numFmtId="0" fontId="27" fillId="28" borderId="39" xfId="0" applyFont="1" applyFill="1" applyBorder="1" applyAlignment="1">
      <alignment horizontal="center" vertical="center"/>
    </xf>
    <xf numFmtId="0" fontId="27" fillId="28" borderId="31" xfId="0" applyFont="1" applyFill="1" applyBorder="1" applyAlignment="1">
      <alignment horizontal="center" vertical="center"/>
    </xf>
    <xf numFmtId="0" fontId="27" fillId="28" borderId="28" xfId="0" applyFont="1" applyFill="1" applyBorder="1" applyAlignment="1">
      <alignment horizontal="center" vertical="center"/>
    </xf>
    <xf numFmtId="0" fontId="27" fillId="28" borderId="27" xfId="0" applyFont="1" applyFill="1" applyBorder="1" applyAlignment="1">
      <alignment horizontal="center" vertical="center"/>
    </xf>
    <xf numFmtId="0" fontId="23" fillId="22" borderId="38" xfId="36" applyNumberFormat="1" applyFont="1" applyBorder="1" applyAlignment="1" applyProtection="1">
      <alignment horizontal="center" vertical="center" wrapText="1"/>
    </xf>
    <xf numFmtId="0" fontId="23" fillId="22" borderId="39" xfId="36" applyNumberFormat="1" applyFont="1" applyBorder="1" applyAlignment="1" applyProtection="1">
      <alignment horizontal="center" vertical="center" wrapText="1"/>
    </xf>
    <xf numFmtId="0" fontId="23" fillId="27" borderId="31" xfId="36" applyNumberFormat="1" applyFont="1" applyFill="1" applyBorder="1" applyAlignment="1" applyProtection="1">
      <alignment horizontal="center" vertical="center" wrapText="1"/>
    </xf>
    <xf numFmtId="0" fontId="23" fillId="27" borderId="28" xfId="36" applyNumberFormat="1" applyFont="1" applyFill="1" applyBorder="1" applyAlignment="1" applyProtection="1">
      <alignment horizontal="center" vertical="center" wrapText="1"/>
    </xf>
    <xf numFmtId="0" fontId="23" fillId="27" borderId="27" xfId="36" applyNumberFormat="1" applyFont="1" applyFill="1" applyBorder="1" applyAlignment="1" applyProtection="1">
      <alignment horizontal="center" vertical="center" wrapText="1"/>
    </xf>
    <xf numFmtId="0" fontId="23" fillId="27" borderId="32" xfId="36" applyNumberFormat="1" applyFont="1" applyFill="1" applyBorder="1" applyAlignment="1" applyProtection="1">
      <alignment horizontal="center" vertical="center" wrapText="1"/>
    </xf>
    <xf numFmtId="0" fontId="23" fillId="27" borderId="35" xfId="36" applyNumberFormat="1" applyFont="1" applyFill="1" applyBorder="1" applyAlignment="1" applyProtection="1">
      <alignment horizontal="center" vertical="center" wrapText="1"/>
    </xf>
    <xf numFmtId="0" fontId="23" fillId="22" borderId="43" xfId="36" applyNumberFormat="1" applyFont="1" applyBorder="1" applyAlignment="1" applyProtection="1">
      <alignment horizontal="center" vertical="center" wrapText="1"/>
    </xf>
    <xf numFmtId="0" fontId="23" fillId="27" borderId="33" xfId="36" applyNumberFormat="1" applyFont="1" applyFill="1" applyBorder="1" applyAlignment="1" applyProtection="1">
      <alignment horizontal="center" vertical="center" wrapText="1"/>
    </xf>
    <xf numFmtId="0" fontId="23" fillId="27" borderId="34" xfId="36" applyNumberFormat="1" applyFont="1" applyFill="1" applyBorder="1" applyAlignment="1" applyProtection="1">
      <alignment horizontal="center" vertical="center" wrapText="1"/>
    </xf>
    <xf numFmtId="0" fontId="23" fillId="27" borderId="36" xfId="36" applyNumberFormat="1" applyFont="1" applyFill="1" applyBorder="1" applyAlignment="1" applyProtection="1">
      <alignment horizontal="center" vertical="center" wrapText="1"/>
    </xf>
    <xf numFmtId="0" fontId="23" fillId="27" borderId="47" xfId="36" applyNumberFormat="1" applyFont="1" applyFill="1" applyBorder="1" applyAlignment="1" applyProtection="1">
      <alignment horizontal="center" vertical="center" wrapText="1"/>
    </xf>
    <xf numFmtId="0" fontId="23" fillId="27" borderId="43" xfId="36" applyNumberFormat="1" applyFont="1" applyFill="1" applyBorder="1" applyAlignment="1" applyProtection="1">
      <alignment horizontal="center" vertical="center" wrapText="1"/>
    </xf>
    <xf numFmtId="0" fontId="22" fillId="26" borderId="42" xfId="0" applyNumberFormat="1" applyFont="1" applyFill="1" applyBorder="1" applyAlignment="1">
      <alignment horizontal="center" vertical="center" wrapText="1"/>
    </xf>
    <xf numFmtId="0" fontId="0" fillId="0" borderId="42" xfId="0" applyNumberFormat="1" applyBorder="1"/>
    <xf numFmtId="0" fontId="0" fillId="0" borderId="0" xfId="0" applyNumberFormat="1"/>
    <xf numFmtId="0" fontId="28" fillId="0" borderId="0" xfId="0" applyFont="1" applyAlignment="1">
      <alignment vertical="center"/>
    </xf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rmal 3 3" xfId="58" xr:uid="{FE9D1D86-7B45-4C7C-BC67-550AFF10726D}"/>
    <cellStyle name="Note" xfId="40" builtinId="10" customBuiltin="1"/>
    <cellStyle name="Note 2" xfId="48" xr:uid="{00000000-0005-0000-0000-00003000000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3" xfId="49" xr:uid="{00000000-0005-0000-0000-000038000000}"/>
    <cellStyle name="Warning Text" xfId="44" builtinId="11" customBuiltin="1"/>
  </cellStyles>
  <dxfs count="0"/>
  <tableStyles count="0" defaultTableStyle="TableStyleMedium2" defaultPivotStyle="PivotStyleLight16"/>
  <colors>
    <mruColors>
      <color rgb="FFBBF2FD"/>
      <color rgb="FF66CCFF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4551B-3DF9-4519-9F56-D6DDC795E0DD}">
  <dimension ref="A1:CM83"/>
  <sheetViews>
    <sheetView tabSelected="1" topLeftCell="D1" workbookViewId="0">
      <selection activeCell="S16" sqref="S16"/>
    </sheetView>
  </sheetViews>
  <sheetFormatPr defaultRowHeight="14.4"/>
  <cols>
    <col min="1" max="1" width="12.33203125" bestFit="1" customWidth="1"/>
    <col min="2" max="2" width="10.33203125" bestFit="1" customWidth="1"/>
    <col min="3" max="3" width="22" bestFit="1" customWidth="1"/>
    <col min="5" max="5" width="8.88671875" style="50"/>
    <col min="6" max="6" width="12.33203125" bestFit="1" customWidth="1"/>
    <col min="7" max="7" width="26" bestFit="1" customWidth="1"/>
    <col min="12" max="12" width="19.5546875" bestFit="1" customWidth="1"/>
    <col min="15" max="15" width="11.33203125" bestFit="1" customWidth="1"/>
    <col min="16" max="16" width="12.88671875" bestFit="1" customWidth="1"/>
    <col min="17" max="17" width="18.44140625" bestFit="1" customWidth="1"/>
    <col min="18" max="18" width="18.33203125" bestFit="1" customWidth="1"/>
  </cols>
  <sheetData>
    <row r="1" spans="1:91" s="23" customFormat="1" ht="13.95" customHeight="1">
      <c r="A1" s="18" t="s">
        <v>34</v>
      </c>
      <c r="B1" s="19" t="s">
        <v>21</v>
      </c>
      <c r="C1" s="19" t="s">
        <v>0</v>
      </c>
      <c r="D1" s="20" t="s">
        <v>1</v>
      </c>
      <c r="E1" s="48" t="s">
        <v>2</v>
      </c>
      <c r="F1" s="24" t="s">
        <v>33</v>
      </c>
      <c r="G1" s="20" t="s">
        <v>3</v>
      </c>
      <c r="H1" s="20" t="s">
        <v>24</v>
      </c>
      <c r="I1" s="20" t="s">
        <v>23</v>
      </c>
      <c r="J1" s="20" t="s">
        <v>35</v>
      </c>
      <c r="K1" s="20" t="s">
        <v>4</v>
      </c>
      <c r="L1" s="21" t="s">
        <v>39</v>
      </c>
      <c r="M1" s="22" t="s">
        <v>40</v>
      </c>
      <c r="N1" s="22" t="s">
        <v>42</v>
      </c>
      <c r="O1" s="25" t="s">
        <v>43</v>
      </c>
      <c r="P1" s="18" t="s">
        <v>46</v>
      </c>
      <c r="Q1" s="26" t="s">
        <v>47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</row>
    <row r="2" spans="1:91" s="10" customFormat="1" ht="14.4" customHeight="1">
      <c r="A2" s="29" t="s">
        <v>62</v>
      </c>
      <c r="B2" s="32">
        <v>0</v>
      </c>
      <c r="C2" s="35" t="str">
        <f>bitConcat(F3:F9)</f>
        <v>32'b01101011010110101101011011100001</v>
      </c>
      <c r="D2" s="35"/>
      <c r="E2" s="35"/>
      <c r="F2" s="35"/>
      <c r="G2" s="35"/>
      <c r="H2" s="35"/>
      <c r="I2" s="35"/>
      <c r="J2" s="35"/>
      <c r="K2" s="36"/>
      <c r="L2" s="37" t="str">
        <f>DEC2HEX(_xlfn.BITLSHIFT(N2,7)+4*O2)</f>
        <v>600</v>
      </c>
      <c r="M2" s="37"/>
      <c r="N2" s="37">
        <v>12</v>
      </c>
      <c r="O2" s="37">
        <v>0</v>
      </c>
      <c r="P2" s="37" t="str">
        <f>DEC2HEX(_xlfn.BITLSHIFT(N2,5)+O2)</f>
        <v>180</v>
      </c>
      <c r="Q2" s="37" t="str">
        <f>BIN2HEX(LEFT(RIGHT(C2,32),4))&amp;BIN2HEX(LEFT(RIGHT(C2,28),4))&amp;BIN2HEX(LEFT(RIGHT(C2,24),4))&amp;BIN2HEX(LEFT(RIGHT(C2,20),4))&amp;BIN2HEX(LEFT(RIGHT(C2,16),4))&amp;BIN2HEX(LEFT(RIGHT(C2,12),4))&amp;BIN2HEX(LEFT(RIGHT(C2,8),4))&amp;BIN2HEX(LEFT(RIGHT(C2,4),4))</f>
        <v>6B5AD6E1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</row>
    <row r="3" spans="1:91" s="10" customFormat="1" ht="15">
      <c r="A3" s="30"/>
      <c r="B3" s="33"/>
      <c r="C3" s="12" t="s">
        <v>63</v>
      </c>
      <c r="D3" s="11">
        <v>5</v>
      </c>
      <c r="E3" s="51" t="str">
        <f>IF(D3&gt;1,(31)&amp;":"&amp;(31-D3+1),(31-D3+1)&amp;":"&amp;(31-D3+1))</f>
        <v>31:27</v>
      </c>
      <c r="F3" s="11" t="s">
        <v>64</v>
      </c>
      <c r="G3" s="11" t="s">
        <v>146</v>
      </c>
      <c r="H3" s="15" t="s">
        <v>37</v>
      </c>
      <c r="I3" s="16" t="s">
        <v>36</v>
      </c>
      <c r="J3" s="17" t="s">
        <v>6</v>
      </c>
      <c r="K3" s="11"/>
      <c r="L3" s="38"/>
      <c r="M3" s="38"/>
      <c r="N3" s="38"/>
      <c r="O3" s="38"/>
      <c r="P3" s="38"/>
      <c r="Q3" s="38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91" s="10" customFormat="1">
      <c r="A4" s="30"/>
      <c r="B4" s="33"/>
      <c r="C4" s="12" t="s">
        <v>65</v>
      </c>
      <c r="D4" s="12">
        <v>5</v>
      </c>
      <c r="E4" s="49" t="str">
        <f t="shared" ref="E4:E9" si="0">(MID(str_cnvt(E3),SEARCH(":",str_cnvt(E3))+1,2)-1) &amp; ":" &amp; (MID(str_cnvt(E3),SEARCH(":",str_cnvt(E3))+1,2)-D4)</f>
        <v>26:22</v>
      </c>
      <c r="F4" s="11" t="s">
        <v>64</v>
      </c>
      <c r="G4" s="11" t="s">
        <v>146</v>
      </c>
      <c r="H4" s="15" t="s">
        <v>37</v>
      </c>
      <c r="I4" s="16" t="s">
        <v>36</v>
      </c>
      <c r="J4" s="17" t="s">
        <v>6</v>
      </c>
      <c r="K4" s="12"/>
      <c r="L4" s="38"/>
      <c r="M4" s="38"/>
      <c r="N4" s="38"/>
      <c r="O4" s="38"/>
      <c r="P4" s="38"/>
      <c r="Q4" s="3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91" s="10" customFormat="1">
      <c r="A5" s="30"/>
      <c r="B5" s="33"/>
      <c r="C5" s="12" t="s">
        <v>66</v>
      </c>
      <c r="D5" s="12">
        <v>5</v>
      </c>
      <c r="E5" s="49" t="str">
        <f t="shared" si="0"/>
        <v>21:17</v>
      </c>
      <c r="F5" s="11" t="s">
        <v>64</v>
      </c>
      <c r="G5" s="11" t="s">
        <v>146</v>
      </c>
      <c r="H5" s="15" t="s">
        <v>37</v>
      </c>
      <c r="I5" s="16" t="s">
        <v>36</v>
      </c>
      <c r="J5" s="17" t="s">
        <v>6</v>
      </c>
      <c r="K5" s="12"/>
      <c r="L5" s="38"/>
      <c r="M5" s="38"/>
      <c r="N5" s="38"/>
      <c r="O5" s="38"/>
      <c r="P5" s="38"/>
      <c r="Q5" s="38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91" s="10" customFormat="1">
      <c r="A6" s="30"/>
      <c r="B6" s="33"/>
      <c r="C6" s="12" t="s">
        <v>67</v>
      </c>
      <c r="D6" s="12">
        <v>5</v>
      </c>
      <c r="E6" s="49" t="str">
        <f t="shared" si="0"/>
        <v>16:12</v>
      </c>
      <c r="F6" s="11" t="s">
        <v>64</v>
      </c>
      <c r="G6" s="11" t="s">
        <v>146</v>
      </c>
      <c r="H6" s="15" t="s">
        <v>37</v>
      </c>
      <c r="I6" s="16" t="s">
        <v>36</v>
      </c>
      <c r="J6" s="17" t="s">
        <v>6</v>
      </c>
      <c r="K6" s="12"/>
      <c r="L6" s="38"/>
      <c r="M6" s="38"/>
      <c r="N6" s="38"/>
      <c r="O6" s="38"/>
      <c r="P6" s="38"/>
      <c r="Q6" s="3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91" s="10" customFormat="1">
      <c r="A7" s="30"/>
      <c r="B7" s="33"/>
      <c r="C7" s="12" t="s">
        <v>68</v>
      </c>
      <c r="D7" s="12">
        <v>5</v>
      </c>
      <c r="E7" s="49" t="str">
        <f t="shared" si="0"/>
        <v>11:7</v>
      </c>
      <c r="F7" s="11" t="s">
        <v>64</v>
      </c>
      <c r="G7" s="11" t="s">
        <v>147</v>
      </c>
      <c r="H7" s="15" t="s">
        <v>37</v>
      </c>
      <c r="I7" s="16" t="s">
        <v>36</v>
      </c>
      <c r="J7" s="17" t="s">
        <v>6</v>
      </c>
      <c r="K7" s="12"/>
      <c r="L7" s="38"/>
      <c r="M7" s="38"/>
      <c r="N7" s="38"/>
      <c r="O7" s="38"/>
      <c r="P7" s="38"/>
      <c r="Q7" s="3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91" s="10" customFormat="1">
      <c r="A8" s="30"/>
      <c r="B8" s="33"/>
      <c r="C8" s="12" t="s">
        <v>69</v>
      </c>
      <c r="D8" s="12">
        <v>4</v>
      </c>
      <c r="E8" s="49" t="str">
        <f t="shared" si="0"/>
        <v>6:3</v>
      </c>
      <c r="F8" s="12" t="s">
        <v>61</v>
      </c>
      <c r="G8" s="12" t="s">
        <v>148</v>
      </c>
      <c r="H8" s="15" t="s">
        <v>37</v>
      </c>
      <c r="I8" s="16" t="s">
        <v>36</v>
      </c>
      <c r="J8" s="17" t="s">
        <v>6</v>
      </c>
      <c r="K8" s="12"/>
      <c r="L8" s="38"/>
      <c r="M8" s="38"/>
      <c r="N8" s="38"/>
      <c r="O8" s="38"/>
      <c r="P8" s="38"/>
      <c r="Q8" s="3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91" s="10" customFormat="1">
      <c r="A9" s="31"/>
      <c r="B9" s="34"/>
      <c r="C9" s="12" t="s">
        <v>70</v>
      </c>
      <c r="D9" s="12">
        <v>3</v>
      </c>
      <c r="E9" s="49" t="str">
        <f t="shared" si="0"/>
        <v>2:0</v>
      </c>
      <c r="F9" s="12" t="s">
        <v>71</v>
      </c>
      <c r="G9" s="12" t="s">
        <v>149</v>
      </c>
      <c r="H9" s="15" t="s">
        <v>37</v>
      </c>
      <c r="I9" s="16" t="s">
        <v>36</v>
      </c>
      <c r="J9" s="17" t="s">
        <v>6</v>
      </c>
      <c r="K9" s="12"/>
      <c r="L9" s="39"/>
      <c r="M9" s="39"/>
      <c r="N9" s="39"/>
      <c r="O9" s="39"/>
      <c r="P9" s="39"/>
      <c r="Q9" s="3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91" s="10" customFormat="1" ht="14.4" customHeight="1">
      <c r="A10" s="29" t="s">
        <v>72</v>
      </c>
      <c r="B10" s="32">
        <v>4</v>
      </c>
      <c r="C10" s="35" t="str">
        <f>bitConcat(F11:F19)</f>
        <v>32'b10000010001000000000011001100100</v>
      </c>
      <c r="D10" s="35"/>
      <c r="E10" s="35"/>
      <c r="F10" s="35"/>
      <c r="G10" s="35"/>
      <c r="H10" s="35"/>
      <c r="I10" s="35"/>
      <c r="J10" s="35"/>
      <c r="K10" s="36"/>
      <c r="L10" s="45" t="str">
        <f>DEC2HEX(_xlfn.BITLSHIFT(N10,7)+4*O10)</f>
        <v>604</v>
      </c>
      <c r="M10" s="45"/>
      <c r="N10" s="45">
        <v>12</v>
      </c>
      <c r="O10" s="45">
        <v>1</v>
      </c>
      <c r="P10" s="45" t="str">
        <f>DEC2HEX(_xlfn.BITLSHIFT(N10,5)+O10)</f>
        <v>181</v>
      </c>
      <c r="Q10" s="37" t="str">
        <f>BIN2HEX(LEFT(RIGHT(C10,32),4))&amp;BIN2HEX(LEFT(RIGHT(C10,28),4))&amp;BIN2HEX(LEFT(RIGHT(C10,24),4))&amp;BIN2HEX(LEFT(RIGHT(C10,20),4))&amp;BIN2HEX(LEFT(RIGHT(C10,16),4))&amp;BIN2HEX(LEFT(RIGHT(C10,12),4))&amp;BIN2HEX(LEFT(RIGHT(C10,8),4))&amp;BIN2HEX(LEFT(RIGHT(C10,4),4))</f>
        <v>82200664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91" s="10" customFormat="1" ht="15">
      <c r="A11" s="30"/>
      <c r="B11" s="33"/>
      <c r="C11" s="12" t="s">
        <v>73</v>
      </c>
      <c r="D11" s="11">
        <v>5</v>
      </c>
      <c r="E11" s="51" t="str">
        <f>IF(D11&gt;1,(31)&amp;":"&amp;(31-D11+1),(31-D11+1)&amp;":"&amp;(31-D11+1))</f>
        <v>31:27</v>
      </c>
      <c r="F11" s="11" t="s">
        <v>60</v>
      </c>
      <c r="G11" s="12" t="s">
        <v>161</v>
      </c>
      <c r="H11" s="15" t="s">
        <v>37</v>
      </c>
      <c r="I11" s="16" t="s">
        <v>36</v>
      </c>
      <c r="J11" s="17" t="s">
        <v>6</v>
      </c>
      <c r="K11" s="11"/>
      <c r="L11" s="46"/>
      <c r="M11" s="46"/>
      <c r="N11" s="46"/>
      <c r="O11" s="46"/>
      <c r="P11" s="46"/>
      <c r="Q11" s="38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91" s="10" customFormat="1">
      <c r="A12" s="30"/>
      <c r="B12" s="33"/>
      <c r="C12" s="12" t="s">
        <v>74</v>
      </c>
      <c r="D12" s="12">
        <v>3</v>
      </c>
      <c r="E12" s="49" t="str">
        <f t="shared" ref="E12:E19" si="1">(MID(str_cnvt(E11),SEARCH(":",str_cnvt(E11))+1,2)-1) &amp; ":" &amp; (MID(str_cnvt(E11),SEARCH(":",str_cnvt(E11))+1,2)-D12)</f>
        <v>26:24</v>
      </c>
      <c r="F12" s="11" t="s">
        <v>52</v>
      </c>
      <c r="G12" s="12" t="s">
        <v>162</v>
      </c>
      <c r="H12" s="15" t="s">
        <v>37</v>
      </c>
      <c r="I12" s="16" t="s">
        <v>36</v>
      </c>
      <c r="J12" s="17" t="s">
        <v>6</v>
      </c>
      <c r="K12" s="12"/>
      <c r="L12" s="46"/>
      <c r="M12" s="46"/>
      <c r="N12" s="46"/>
      <c r="O12" s="46"/>
      <c r="P12" s="46"/>
      <c r="Q12" s="38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91" s="10" customFormat="1">
      <c r="A13" s="30"/>
      <c r="B13" s="33"/>
      <c r="C13" s="12" t="s">
        <v>75</v>
      </c>
      <c r="D13" s="12">
        <v>5</v>
      </c>
      <c r="E13" s="49" t="str">
        <f t="shared" si="1"/>
        <v>23:19</v>
      </c>
      <c r="F13" s="11" t="s">
        <v>82</v>
      </c>
      <c r="G13" s="11" t="s">
        <v>150</v>
      </c>
      <c r="H13" s="15" t="s">
        <v>37</v>
      </c>
      <c r="I13" s="16" t="s">
        <v>36</v>
      </c>
      <c r="J13" s="17" t="s">
        <v>6</v>
      </c>
      <c r="K13" s="12"/>
      <c r="L13" s="46"/>
      <c r="M13" s="46"/>
      <c r="N13" s="46"/>
      <c r="O13" s="46"/>
      <c r="P13" s="46"/>
      <c r="Q13" s="38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0" customFormat="1">
      <c r="A14" s="30"/>
      <c r="B14" s="33"/>
      <c r="C14" s="12" t="s">
        <v>76</v>
      </c>
      <c r="D14" s="12">
        <v>5</v>
      </c>
      <c r="E14" s="49" t="str">
        <f t="shared" si="1"/>
        <v>18:14</v>
      </c>
      <c r="F14" s="11" t="s">
        <v>44</v>
      </c>
      <c r="G14" s="12" t="s">
        <v>151</v>
      </c>
      <c r="H14" s="15" t="s">
        <v>37</v>
      </c>
      <c r="I14" s="16" t="s">
        <v>36</v>
      </c>
      <c r="J14" s="17" t="s">
        <v>6</v>
      </c>
      <c r="K14" s="12"/>
      <c r="L14" s="46"/>
      <c r="M14" s="46"/>
      <c r="N14" s="46"/>
      <c r="O14" s="46"/>
      <c r="P14" s="46"/>
      <c r="Q14" s="38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0" customFormat="1">
      <c r="A15" s="30"/>
      <c r="B15" s="33"/>
      <c r="C15" s="12" t="s">
        <v>77</v>
      </c>
      <c r="D15" s="12">
        <v>1</v>
      </c>
      <c r="E15" s="49" t="str">
        <f t="shared" si="1"/>
        <v>13:13</v>
      </c>
      <c r="F15" s="11" t="s">
        <v>7</v>
      </c>
      <c r="G15" s="12" t="s">
        <v>153</v>
      </c>
      <c r="H15" s="15" t="s">
        <v>37</v>
      </c>
      <c r="I15" s="16" t="s">
        <v>36</v>
      </c>
      <c r="J15" s="17" t="s">
        <v>6</v>
      </c>
      <c r="K15" s="12"/>
      <c r="L15" s="46"/>
      <c r="M15" s="46"/>
      <c r="N15" s="46"/>
      <c r="O15" s="46"/>
      <c r="P15" s="46"/>
      <c r="Q15" s="38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0" customFormat="1">
      <c r="A16" s="30"/>
      <c r="B16" s="33"/>
      <c r="C16" s="12" t="s">
        <v>78</v>
      </c>
      <c r="D16" s="12">
        <v>2</v>
      </c>
      <c r="E16" s="49" t="str">
        <f t="shared" si="1"/>
        <v>12:11</v>
      </c>
      <c r="F16" s="12" t="s">
        <v>41</v>
      </c>
      <c r="G16" s="12" t="s">
        <v>154</v>
      </c>
      <c r="H16" s="15" t="s">
        <v>37</v>
      </c>
      <c r="I16" s="16" t="s">
        <v>36</v>
      </c>
      <c r="J16" s="17" t="s">
        <v>6</v>
      </c>
      <c r="K16" s="12"/>
      <c r="L16" s="46"/>
      <c r="M16" s="46"/>
      <c r="N16" s="46"/>
      <c r="O16" s="46"/>
      <c r="P16" s="46"/>
      <c r="Q16" s="38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0" customFormat="1">
      <c r="A17" s="30"/>
      <c r="B17" s="33"/>
      <c r="C17" s="12" t="s">
        <v>79</v>
      </c>
      <c r="D17" s="12">
        <v>6</v>
      </c>
      <c r="E17" s="49" t="str">
        <f t="shared" si="1"/>
        <v>10:5</v>
      </c>
      <c r="F17" s="12" t="s">
        <v>83</v>
      </c>
      <c r="G17" s="12" t="s">
        <v>155</v>
      </c>
      <c r="H17" s="15" t="s">
        <v>37</v>
      </c>
      <c r="I17" s="16" t="s">
        <v>36</v>
      </c>
      <c r="J17" s="17" t="s">
        <v>6</v>
      </c>
      <c r="K17" s="12"/>
      <c r="L17" s="46"/>
      <c r="M17" s="46"/>
      <c r="N17" s="46"/>
      <c r="O17" s="46"/>
      <c r="P17" s="46"/>
      <c r="Q17" s="38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>
      <c r="A18" s="30"/>
      <c r="B18" s="33"/>
      <c r="C18" s="12" t="s">
        <v>80</v>
      </c>
      <c r="D18" s="12">
        <v>1</v>
      </c>
      <c r="E18" s="49" t="str">
        <f t="shared" si="1"/>
        <v>4:4</v>
      </c>
      <c r="F18" s="11" t="s">
        <v>7</v>
      </c>
      <c r="G18" s="12" t="s">
        <v>156</v>
      </c>
      <c r="H18" s="15" t="s">
        <v>37</v>
      </c>
      <c r="I18" s="16" t="s">
        <v>36</v>
      </c>
      <c r="J18" s="17" t="s">
        <v>6</v>
      </c>
      <c r="K18" s="12"/>
      <c r="L18" s="46"/>
      <c r="M18" s="46"/>
      <c r="N18" s="46"/>
      <c r="O18" s="46"/>
      <c r="P18" s="46"/>
      <c r="Q18" s="38"/>
    </row>
    <row r="19" spans="1:91">
      <c r="A19" s="31"/>
      <c r="B19" s="34"/>
      <c r="C19" s="12" t="s">
        <v>81</v>
      </c>
      <c r="D19" s="12">
        <v>4</v>
      </c>
      <c r="E19" s="49" t="str">
        <f t="shared" si="1"/>
        <v>3:0</v>
      </c>
      <c r="F19" s="11" t="s">
        <v>84</v>
      </c>
      <c r="G19" s="12" t="s">
        <v>157</v>
      </c>
      <c r="H19" s="15" t="s">
        <v>37</v>
      </c>
      <c r="I19" s="16" t="s">
        <v>36</v>
      </c>
      <c r="J19" s="17" t="s">
        <v>6</v>
      </c>
      <c r="K19" s="12"/>
      <c r="L19" s="47"/>
      <c r="M19" s="47"/>
      <c r="N19" s="47"/>
      <c r="O19" s="47"/>
      <c r="P19" s="47"/>
      <c r="Q19" s="39"/>
    </row>
    <row r="20" spans="1:91" s="10" customFormat="1" ht="14.4" customHeight="1">
      <c r="A20" s="29" t="s">
        <v>85</v>
      </c>
      <c r="B20" s="32">
        <v>8</v>
      </c>
      <c r="C20" s="35" t="str">
        <f>bitConcat(F21:F27)</f>
        <v>32'b00000000000000000000000000000000</v>
      </c>
      <c r="D20" s="35"/>
      <c r="E20" s="35"/>
      <c r="F20" s="35"/>
      <c r="G20" s="35"/>
      <c r="H20" s="35"/>
      <c r="I20" s="35"/>
      <c r="J20" s="35"/>
      <c r="K20" s="36"/>
      <c r="L20" s="37" t="str">
        <f>DEC2HEX(_xlfn.BITLSHIFT(N20,7)+4*O20)</f>
        <v>608</v>
      </c>
      <c r="M20" s="37"/>
      <c r="N20" s="37">
        <v>12</v>
      </c>
      <c r="O20" s="37">
        <v>2</v>
      </c>
      <c r="P20" s="37" t="str">
        <f>DEC2HEX(_xlfn.BITLSHIFT(N20,5)+O20)</f>
        <v>182</v>
      </c>
      <c r="Q20" s="37" t="str">
        <f>BIN2HEX(LEFT(RIGHT(C20,32),4))&amp;BIN2HEX(LEFT(RIGHT(C20,28),4))&amp;BIN2HEX(LEFT(RIGHT(C20,24),4))&amp;BIN2HEX(LEFT(RIGHT(C20,20),4))&amp;BIN2HEX(LEFT(RIGHT(C20,16),4))&amp;BIN2HEX(LEFT(RIGHT(C20,12),4))&amp;BIN2HEX(LEFT(RIGHT(C20,8),4))&amp;BIN2HEX(LEFT(RIGHT(C20,4),4))</f>
        <v>00000000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0" customFormat="1" ht="15">
      <c r="A21" s="30"/>
      <c r="B21" s="33"/>
      <c r="C21" s="12" t="s">
        <v>86</v>
      </c>
      <c r="D21" s="11">
        <v>5</v>
      </c>
      <c r="E21" s="51" t="str">
        <f>IF(D21&gt;1,(31)&amp;":"&amp;(31-D21+1),(31-D21+1)&amp;":"&amp;(31-D21+1))</f>
        <v>31:27</v>
      </c>
      <c r="F21" s="11" t="s">
        <v>44</v>
      </c>
      <c r="G21" s="11" t="s">
        <v>158</v>
      </c>
      <c r="H21" s="15" t="s">
        <v>37</v>
      </c>
      <c r="I21" s="16" t="s">
        <v>36</v>
      </c>
      <c r="J21" s="17" t="s">
        <v>6</v>
      </c>
      <c r="K21" s="11"/>
      <c r="L21" s="38"/>
      <c r="M21" s="38"/>
      <c r="N21" s="38"/>
      <c r="O21" s="38"/>
      <c r="P21" s="38"/>
      <c r="Q21" s="38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0" customFormat="1">
      <c r="A22" s="30"/>
      <c r="B22" s="33"/>
      <c r="C22" s="12" t="s">
        <v>87</v>
      </c>
      <c r="D22" s="12">
        <v>5</v>
      </c>
      <c r="E22" s="49" t="str">
        <f t="shared" ref="E22:E27" si="2">(MID(str_cnvt(E21),SEARCH(":",str_cnvt(E21))+1,2)-1) &amp; ":" &amp; (MID(str_cnvt(E21),SEARCH(":",str_cnvt(E21))+1,2)-D22)</f>
        <v>26:22</v>
      </c>
      <c r="F22" s="11" t="s">
        <v>44</v>
      </c>
      <c r="G22" s="12" t="s">
        <v>159</v>
      </c>
      <c r="H22" s="15" t="s">
        <v>37</v>
      </c>
      <c r="I22" s="16" t="s">
        <v>36</v>
      </c>
      <c r="J22" s="17" t="s">
        <v>6</v>
      </c>
      <c r="K22" s="12"/>
      <c r="L22" s="38"/>
      <c r="M22" s="38"/>
      <c r="N22" s="38"/>
      <c r="O22" s="38"/>
      <c r="P22" s="38"/>
      <c r="Q22" s="38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0" customFormat="1">
      <c r="A23" s="30"/>
      <c r="B23" s="33"/>
      <c r="C23" s="12" t="s">
        <v>88</v>
      </c>
      <c r="D23" s="12">
        <v>5</v>
      </c>
      <c r="E23" s="49" t="str">
        <f t="shared" si="2"/>
        <v>21:17</v>
      </c>
      <c r="F23" s="11" t="s">
        <v>44</v>
      </c>
      <c r="G23" s="11" t="s">
        <v>158</v>
      </c>
      <c r="H23" s="15" t="s">
        <v>37</v>
      </c>
      <c r="I23" s="16" t="s">
        <v>36</v>
      </c>
      <c r="J23" s="17" t="s">
        <v>6</v>
      </c>
      <c r="K23" s="12"/>
      <c r="L23" s="38"/>
      <c r="M23" s="38"/>
      <c r="N23" s="38"/>
      <c r="O23" s="38"/>
      <c r="P23" s="38"/>
      <c r="Q23" s="38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0" customFormat="1">
      <c r="A24" s="30"/>
      <c r="B24" s="33"/>
      <c r="C24" s="12" t="s">
        <v>89</v>
      </c>
      <c r="D24" s="12">
        <v>5</v>
      </c>
      <c r="E24" s="49" t="str">
        <f t="shared" si="2"/>
        <v>16:12</v>
      </c>
      <c r="F24" s="11" t="s">
        <v>44</v>
      </c>
      <c r="G24" s="12" t="s">
        <v>159</v>
      </c>
      <c r="H24" s="15" t="s">
        <v>37</v>
      </c>
      <c r="I24" s="16" t="s">
        <v>36</v>
      </c>
      <c r="J24" s="17" t="s">
        <v>6</v>
      </c>
      <c r="K24" s="12"/>
      <c r="L24" s="38"/>
      <c r="M24" s="38"/>
      <c r="N24" s="38"/>
      <c r="O24" s="38"/>
      <c r="P24" s="38"/>
      <c r="Q24" s="38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0" customFormat="1">
      <c r="A25" s="30"/>
      <c r="B25" s="33"/>
      <c r="C25" s="12" t="s">
        <v>90</v>
      </c>
      <c r="D25" s="12">
        <v>5</v>
      </c>
      <c r="E25" s="49" t="str">
        <f t="shared" si="2"/>
        <v>11:7</v>
      </c>
      <c r="F25" s="11" t="s">
        <v>44</v>
      </c>
      <c r="G25" s="11" t="s">
        <v>158</v>
      </c>
      <c r="H25" s="15" t="s">
        <v>37</v>
      </c>
      <c r="I25" s="16" t="s">
        <v>36</v>
      </c>
      <c r="J25" s="17" t="s">
        <v>6</v>
      </c>
      <c r="K25" s="12"/>
      <c r="L25" s="38"/>
      <c r="M25" s="38"/>
      <c r="N25" s="38"/>
      <c r="O25" s="38"/>
      <c r="P25" s="38"/>
      <c r="Q25" s="38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0" customFormat="1">
      <c r="A26" s="30"/>
      <c r="B26" s="33"/>
      <c r="C26" s="12" t="s">
        <v>91</v>
      </c>
      <c r="D26" s="12">
        <v>5</v>
      </c>
      <c r="E26" s="49" t="str">
        <f t="shared" si="2"/>
        <v>6:2</v>
      </c>
      <c r="F26" s="12" t="s">
        <v>44</v>
      </c>
      <c r="G26" s="12" t="s">
        <v>159</v>
      </c>
      <c r="H26" s="15" t="s">
        <v>37</v>
      </c>
      <c r="I26" s="16" t="s">
        <v>36</v>
      </c>
      <c r="J26" s="17" t="s">
        <v>6</v>
      </c>
      <c r="K26" s="12"/>
      <c r="L26" s="38"/>
      <c r="M26" s="38"/>
      <c r="N26" s="38"/>
      <c r="O26" s="38"/>
      <c r="P26" s="38"/>
      <c r="Q26" s="38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0" customFormat="1">
      <c r="A27" s="31"/>
      <c r="B27" s="34"/>
      <c r="C27" s="12" t="s">
        <v>50</v>
      </c>
      <c r="D27" s="12">
        <v>2</v>
      </c>
      <c r="E27" s="49" t="str">
        <f t="shared" si="2"/>
        <v>1:0</v>
      </c>
      <c r="F27" s="12" t="s">
        <v>41</v>
      </c>
      <c r="G27" s="12" t="s">
        <v>59</v>
      </c>
      <c r="H27" s="15" t="s">
        <v>37</v>
      </c>
      <c r="I27" s="16" t="s">
        <v>36</v>
      </c>
      <c r="J27" s="17" t="s">
        <v>6</v>
      </c>
      <c r="K27" s="12"/>
      <c r="L27" s="39"/>
      <c r="M27" s="39"/>
      <c r="N27" s="39"/>
      <c r="O27" s="39"/>
      <c r="P27" s="39"/>
      <c r="Q27" s="39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0" customFormat="1" ht="14.4" customHeight="1">
      <c r="A28" s="29" t="s">
        <v>92</v>
      </c>
      <c r="B28" s="32" t="s">
        <v>56</v>
      </c>
      <c r="C28" s="35" t="str">
        <f>bitConcat(F29:F35)</f>
        <v>32'b00000000000000000000000000000000</v>
      </c>
      <c r="D28" s="35"/>
      <c r="E28" s="35"/>
      <c r="F28" s="35"/>
      <c r="G28" s="35"/>
      <c r="H28" s="35"/>
      <c r="I28" s="35"/>
      <c r="J28" s="35"/>
      <c r="K28" s="36"/>
      <c r="L28" s="37" t="str">
        <f>DEC2HEX(_xlfn.BITLSHIFT(N28,7)+4*O28)</f>
        <v>60C</v>
      </c>
      <c r="M28" s="37"/>
      <c r="N28" s="37">
        <v>12</v>
      </c>
      <c r="O28" s="37">
        <v>3</v>
      </c>
      <c r="P28" s="37" t="str">
        <f>DEC2HEX(_xlfn.BITLSHIFT(N28,5)+O28)</f>
        <v>183</v>
      </c>
      <c r="Q28" s="37" t="str">
        <f>BIN2HEX(LEFT(RIGHT(C28,32),4))&amp;BIN2HEX(LEFT(RIGHT(C28,28),4))&amp;BIN2HEX(LEFT(RIGHT(C28,24),4))&amp;BIN2HEX(LEFT(RIGHT(C28,20),4))&amp;BIN2HEX(LEFT(RIGHT(C28,16),4))&amp;BIN2HEX(LEFT(RIGHT(C28,12),4))&amp;BIN2HEX(LEFT(RIGHT(C28,8),4))&amp;BIN2HEX(LEFT(RIGHT(C28,4),4))</f>
        <v>00000000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0" customFormat="1" ht="15">
      <c r="A29" s="30"/>
      <c r="B29" s="33"/>
      <c r="C29" s="12" t="s">
        <v>93</v>
      </c>
      <c r="D29" s="11">
        <v>5</v>
      </c>
      <c r="E29" s="51" t="str">
        <f>IF(D29&gt;1,(31)&amp;":"&amp;(31-D29+1),(31-D29+1)&amp;":"&amp;(31-D29+1))</f>
        <v>31:27</v>
      </c>
      <c r="F29" s="11" t="s">
        <v>44</v>
      </c>
      <c r="G29" s="11" t="s">
        <v>158</v>
      </c>
      <c r="H29" s="15" t="s">
        <v>37</v>
      </c>
      <c r="I29" s="16" t="s">
        <v>36</v>
      </c>
      <c r="J29" s="17" t="s">
        <v>6</v>
      </c>
      <c r="K29" s="11"/>
      <c r="L29" s="38"/>
      <c r="M29" s="38"/>
      <c r="N29" s="38"/>
      <c r="O29" s="38"/>
      <c r="P29" s="38"/>
      <c r="Q29" s="38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0" customFormat="1">
      <c r="A30" s="30"/>
      <c r="B30" s="33"/>
      <c r="C30" s="12" t="s">
        <v>94</v>
      </c>
      <c r="D30" s="12">
        <v>5</v>
      </c>
      <c r="E30" s="49" t="str">
        <f t="shared" ref="E30:E35" si="3">(MID(str_cnvt(E29),SEARCH(":",str_cnvt(E29))+1,2)-1) &amp; ":" &amp; (MID(str_cnvt(E29),SEARCH(":",str_cnvt(E29))+1,2)-D30)</f>
        <v>26:22</v>
      </c>
      <c r="F30" s="11" t="s">
        <v>44</v>
      </c>
      <c r="G30" s="12" t="s">
        <v>159</v>
      </c>
      <c r="H30" s="15" t="s">
        <v>37</v>
      </c>
      <c r="I30" s="16" t="s">
        <v>36</v>
      </c>
      <c r="J30" s="17" t="s">
        <v>6</v>
      </c>
      <c r="K30" s="12"/>
      <c r="L30" s="38"/>
      <c r="M30" s="38"/>
      <c r="N30" s="38"/>
      <c r="O30" s="38"/>
      <c r="P30" s="38"/>
      <c r="Q30" s="38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0" customFormat="1">
      <c r="A31" s="30"/>
      <c r="B31" s="33"/>
      <c r="C31" s="12" t="s">
        <v>95</v>
      </c>
      <c r="D31" s="12">
        <v>5</v>
      </c>
      <c r="E31" s="49" t="str">
        <f t="shared" si="3"/>
        <v>21:17</v>
      </c>
      <c r="F31" s="11" t="s">
        <v>44</v>
      </c>
      <c r="G31" s="11" t="s">
        <v>158</v>
      </c>
      <c r="H31" s="15" t="s">
        <v>37</v>
      </c>
      <c r="I31" s="16" t="s">
        <v>36</v>
      </c>
      <c r="J31" s="17" t="s">
        <v>6</v>
      </c>
      <c r="K31" s="12"/>
      <c r="L31" s="38"/>
      <c r="M31" s="38"/>
      <c r="N31" s="38"/>
      <c r="O31" s="38"/>
      <c r="P31" s="38"/>
      <c r="Q31" s="38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0" customFormat="1">
      <c r="A32" s="30"/>
      <c r="B32" s="33"/>
      <c r="C32" s="12" t="s">
        <v>96</v>
      </c>
      <c r="D32" s="12">
        <v>5</v>
      </c>
      <c r="E32" s="49" t="str">
        <f t="shared" si="3"/>
        <v>16:12</v>
      </c>
      <c r="F32" s="11" t="s">
        <v>44</v>
      </c>
      <c r="G32" s="12" t="s">
        <v>159</v>
      </c>
      <c r="H32" s="15" t="s">
        <v>37</v>
      </c>
      <c r="I32" s="16" t="s">
        <v>36</v>
      </c>
      <c r="J32" s="17" t="s">
        <v>6</v>
      </c>
      <c r="K32" s="12"/>
      <c r="L32" s="38"/>
      <c r="M32" s="38"/>
      <c r="N32" s="38"/>
      <c r="O32" s="38"/>
      <c r="P32" s="38"/>
      <c r="Q32" s="38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0" customFormat="1">
      <c r="A33" s="30"/>
      <c r="B33" s="33"/>
      <c r="C33" s="12" t="s">
        <v>97</v>
      </c>
      <c r="D33" s="12">
        <v>5</v>
      </c>
      <c r="E33" s="49" t="str">
        <f t="shared" si="3"/>
        <v>11:7</v>
      </c>
      <c r="F33" s="11" t="s">
        <v>44</v>
      </c>
      <c r="G33" s="11" t="s">
        <v>158</v>
      </c>
      <c r="H33" s="15" t="s">
        <v>37</v>
      </c>
      <c r="I33" s="16" t="s">
        <v>36</v>
      </c>
      <c r="J33" s="17" t="s">
        <v>6</v>
      </c>
      <c r="K33" s="12"/>
      <c r="L33" s="38"/>
      <c r="M33" s="38"/>
      <c r="N33" s="38"/>
      <c r="O33" s="38"/>
      <c r="P33" s="38"/>
      <c r="Q33" s="38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0" customFormat="1">
      <c r="A34" s="30"/>
      <c r="B34" s="33"/>
      <c r="C34" s="12" t="s">
        <v>98</v>
      </c>
      <c r="D34" s="12">
        <v>5</v>
      </c>
      <c r="E34" s="49" t="str">
        <f t="shared" si="3"/>
        <v>6:2</v>
      </c>
      <c r="F34" s="12" t="s">
        <v>44</v>
      </c>
      <c r="G34" s="12" t="s">
        <v>159</v>
      </c>
      <c r="H34" s="15" t="s">
        <v>37</v>
      </c>
      <c r="I34" s="16" t="s">
        <v>36</v>
      </c>
      <c r="J34" s="17" t="s">
        <v>6</v>
      </c>
      <c r="K34" s="12"/>
      <c r="L34" s="38"/>
      <c r="M34" s="38"/>
      <c r="N34" s="38"/>
      <c r="O34" s="38"/>
      <c r="P34" s="38"/>
      <c r="Q34" s="38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0" customFormat="1">
      <c r="A35" s="31"/>
      <c r="B35" s="34"/>
      <c r="C35" s="12" t="s">
        <v>53</v>
      </c>
      <c r="D35" s="12">
        <v>2</v>
      </c>
      <c r="E35" s="49" t="str">
        <f t="shared" si="3"/>
        <v>1:0</v>
      </c>
      <c r="F35" s="12" t="s">
        <v>41</v>
      </c>
      <c r="G35" s="12" t="s">
        <v>59</v>
      </c>
      <c r="H35" s="15" t="s">
        <v>37</v>
      </c>
      <c r="I35" s="16" t="s">
        <v>36</v>
      </c>
      <c r="J35" s="17" t="s">
        <v>6</v>
      </c>
      <c r="K35" s="12"/>
      <c r="L35" s="39"/>
      <c r="M35" s="39"/>
      <c r="N35" s="39"/>
      <c r="O35" s="39"/>
      <c r="P35" s="39"/>
      <c r="Q35" s="39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0" customFormat="1" ht="14.4" customHeight="1">
      <c r="A36" s="29" t="s">
        <v>105</v>
      </c>
      <c r="B36" s="32">
        <v>10</v>
      </c>
      <c r="C36" s="35" t="str">
        <f>bitConcat(F37:F43)</f>
        <v>32'b00000000000000000000000000000000</v>
      </c>
      <c r="D36" s="35"/>
      <c r="E36" s="35"/>
      <c r="F36" s="35"/>
      <c r="G36" s="35"/>
      <c r="H36" s="35"/>
      <c r="I36" s="35"/>
      <c r="J36" s="35"/>
      <c r="K36" s="36"/>
      <c r="L36" s="37" t="str">
        <f>DEC2HEX(_xlfn.BITLSHIFT(N36,7)+4*O36)</f>
        <v>610</v>
      </c>
      <c r="M36" s="37"/>
      <c r="N36" s="37">
        <v>12</v>
      </c>
      <c r="O36" s="37">
        <v>4</v>
      </c>
      <c r="P36" s="37" t="str">
        <f>DEC2HEX(_xlfn.BITLSHIFT(N36,5)+O36)</f>
        <v>184</v>
      </c>
      <c r="Q36" s="37" t="str">
        <f>BIN2HEX(LEFT(RIGHT(C36,32),4))&amp;BIN2HEX(LEFT(RIGHT(C36,28),4))&amp;BIN2HEX(LEFT(RIGHT(C36,24),4))&amp;BIN2HEX(LEFT(RIGHT(C36,20),4))&amp;BIN2HEX(LEFT(RIGHT(C36,16),4))&amp;BIN2HEX(LEFT(RIGHT(C36,12),4))&amp;BIN2HEX(LEFT(RIGHT(C36,8),4))&amp;BIN2HEX(LEFT(RIGHT(C36,4),4))</f>
        <v>00000000</v>
      </c>
      <c r="R36"/>
      <c r="S36"/>
      <c r="T36"/>
      <c r="U36"/>
      <c r="V36"/>
      <c r="W36" t="s">
        <v>171</v>
      </c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0" customFormat="1" ht="15">
      <c r="A37" s="30"/>
      <c r="B37" s="33"/>
      <c r="C37" s="12" t="s">
        <v>99</v>
      </c>
      <c r="D37" s="11">
        <v>5</v>
      </c>
      <c r="E37" s="51" t="str">
        <f>IF(D37&gt;1,(31)&amp;":"&amp;(31-D37+1),(31-D37+1)&amp;":"&amp;(31-D37+1))</f>
        <v>31:27</v>
      </c>
      <c r="F37" s="11" t="s">
        <v>44</v>
      </c>
      <c r="G37" s="11" t="s">
        <v>158</v>
      </c>
      <c r="H37" s="15" t="s">
        <v>37</v>
      </c>
      <c r="I37" s="16" t="s">
        <v>36</v>
      </c>
      <c r="J37" s="17" t="s">
        <v>6</v>
      </c>
      <c r="K37" s="11"/>
      <c r="L37" s="38"/>
      <c r="M37" s="38"/>
      <c r="N37" s="38"/>
      <c r="O37" s="38"/>
      <c r="P37" s="38"/>
      <c r="Q37" s="38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0" customFormat="1">
      <c r="A38" s="30"/>
      <c r="B38" s="33"/>
      <c r="C38" s="12" t="s">
        <v>100</v>
      </c>
      <c r="D38" s="12">
        <v>5</v>
      </c>
      <c r="E38" s="49" t="str">
        <f t="shared" ref="E38:E43" si="4">(MID(str_cnvt(E37),SEARCH(":",str_cnvt(E37))+1,2)-1) &amp; ":" &amp; (MID(str_cnvt(E37),SEARCH(":",str_cnvt(E37))+1,2)-D38)</f>
        <v>26:22</v>
      </c>
      <c r="F38" s="11" t="s">
        <v>44</v>
      </c>
      <c r="G38" s="12" t="s">
        <v>159</v>
      </c>
      <c r="H38" s="15" t="s">
        <v>37</v>
      </c>
      <c r="I38" s="16" t="s">
        <v>36</v>
      </c>
      <c r="J38" s="17" t="s">
        <v>6</v>
      </c>
      <c r="K38" s="12"/>
      <c r="L38" s="38"/>
      <c r="M38" s="38"/>
      <c r="N38" s="38"/>
      <c r="O38" s="38"/>
      <c r="P38" s="38"/>
      <c r="Q38" s="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0" customFormat="1">
      <c r="A39" s="30"/>
      <c r="B39" s="33"/>
      <c r="C39" s="12" t="s">
        <v>101</v>
      </c>
      <c r="D39" s="12">
        <v>5</v>
      </c>
      <c r="E39" s="49" t="str">
        <f t="shared" si="4"/>
        <v>21:17</v>
      </c>
      <c r="F39" s="11" t="s">
        <v>44</v>
      </c>
      <c r="G39" s="11" t="s">
        <v>158</v>
      </c>
      <c r="H39" s="15" t="s">
        <v>37</v>
      </c>
      <c r="I39" s="16" t="s">
        <v>36</v>
      </c>
      <c r="J39" s="17" t="s">
        <v>6</v>
      </c>
      <c r="K39" s="12"/>
      <c r="L39" s="38"/>
      <c r="M39" s="38"/>
      <c r="N39" s="38"/>
      <c r="O39" s="38"/>
      <c r="P39" s="38"/>
      <c r="Q39" s="38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0" customFormat="1">
      <c r="A40" s="30"/>
      <c r="B40" s="33"/>
      <c r="C40" s="12" t="s">
        <v>102</v>
      </c>
      <c r="D40" s="12">
        <v>5</v>
      </c>
      <c r="E40" s="49" t="str">
        <f t="shared" si="4"/>
        <v>16:12</v>
      </c>
      <c r="F40" s="11" t="s">
        <v>44</v>
      </c>
      <c r="G40" s="12" t="s">
        <v>159</v>
      </c>
      <c r="H40" s="15" t="s">
        <v>37</v>
      </c>
      <c r="I40" s="16" t="s">
        <v>36</v>
      </c>
      <c r="J40" s="17" t="s">
        <v>6</v>
      </c>
      <c r="K40" s="12"/>
      <c r="L40" s="38"/>
      <c r="M40" s="38"/>
      <c r="N40" s="38"/>
      <c r="O40" s="38"/>
      <c r="P40" s="38"/>
      <c r="Q40" s="3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0" customFormat="1">
      <c r="A41" s="30"/>
      <c r="B41" s="33"/>
      <c r="C41" s="12" t="s">
        <v>103</v>
      </c>
      <c r="D41" s="12">
        <v>5</v>
      </c>
      <c r="E41" s="49" t="str">
        <f t="shared" si="4"/>
        <v>11:7</v>
      </c>
      <c r="F41" s="11" t="s">
        <v>44</v>
      </c>
      <c r="G41" s="11" t="s">
        <v>158</v>
      </c>
      <c r="H41" s="15" t="s">
        <v>37</v>
      </c>
      <c r="I41" s="16" t="s">
        <v>36</v>
      </c>
      <c r="J41" s="17" t="s">
        <v>6</v>
      </c>
      <c r="K41" s="12"/>
      <c r="L41" s="38"/>
      <c r="M41" s="38"/>
      <c r="N41" s="38"/>
      <c r="O41" s="38"/>
      <c r="P41" s="38"/>
      <c r="Q41" s="3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0" customFormat="1">
      <c r="A42" s="30"/>
      <c r="B42" s="33"/>
      <c r="C42" s="12" t="s">
        <v>104</v>
      </c>
      <c r="D42" s="12">
        <v>5</v>
      </c>
      <c r="E42" s="49" t="str">
        <f t="shared" si="4"/>
        <v>6:2</v>
      </c>
      <c r="F42" s="12" t="s">
        <v>44</v>
      </c>
      <c r="G42" s="12" t="s">
        <v>159</v>
      </c>
      <c r="H42" s="15" t="s">
        <v>37</v>
      </c>
      <c r="I42" s="16" t="s">
        <v>36</v>
      </c>
      <c r="J42" s="17" t="s">
        <v>6</v>
      </c>
      <c r="K42" s="12"/>
      <c r="L42" s="38"/>
      <c r="M42" s="38"/>
      <c r="N42" s="38"/>
      <c r="O42" s="38"/>
      <c r="P42" s="38"/>
      <c r="Q42" s="3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0" customFormat="1">
      <c r="A43" s="31"/>
      <c r="B43" s="34"/>
      <c r="C43" s="12" t="s">
        <v>54</v>
      </c>
      <c r="D43" s="12">
        <v>2</v>
      </c>
      <c r="E43" s="49" t="str">
        <f t="shared" si="4"/>
        <v>1:0</v>
      </c>
      <c r="F43" s="12" t="s">
        <v>41</v>
      </c>
      <c r="G43" s="12" t="s">
        <v>59</v>
      </c>
      <c r="H43" s="15" t="s">
        <v>37</v>
      </c>
      <c r="I43" s="16" t="s">
        <v>36</v>
      </c>
      <c r="J43" s="17" t="s">
        <v>6</v>
      </c>
      <c r="K43" s="12"/>
      <c r="L43" s="39"/>
      <c r="M43" s="39"/>
      <c r="N43" s="39"/>
      <c r="O43" s="39"/>
      <c r="P43" s="39"/>
      <c r="Q43" s="39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0" customFormat="1" ht="14.4" customHeight="1">
      <c r="A44" s="29" t="s">
        <v>106</v>
      </c>
      <c r="B44" s="32">
        <v>14</v>
      </c>
      <c r="C44" s="35" t="str">
        <f>bitConcat(F45:F51)</f>
        <v>32'b00000000000000000000000000000000</v>
      </c>
      <c r="D44" s="35"/>
      <c r="E44" s="35"/>
      <c r="F44" s="35"/>
      <c r="G44" s="35"/>
      <c r="H44" s="35"/>
      <c r="I44" s="35"/>
      <c r="J44" s="35"/>
      <c r="K44" s="36"/>
      <c r="L44" s="37" t="str">
        <f>DEC2HEX(_xlfn.BITLSHIFT(N44,7)+4*O44)</f>
        <v>614</v>
      </c>
      <c r="M44" s="37"/>
      <c r="N44" s="37">
        <v>12</v>
      </c>
      <c r="O44" s="37">
        <v>5</v>
      </c>
      <c r="P44" s="37" t="str">
        <f>DEC2HEX(_xlfn.BITLSHIFT(N44,5)+O44)</f>
        <v>185</v>
      </c>
      <c r="Q44" s="37" t="str">
        <f>BIN2HEX(LEFT(RIGHT(C44,32),4))&amp;BIN2HEX(LEFT(RIGHT(C44,28),4))&amp;BIN2HEX(LEFT(RIGHT(C44,24),4))&amp;BIN2HEX(LEFT(RIGHT(C44,20),4))&amp;BIN2HEX(LEFT(RIGHT(C44,16),4))&amp;BIN2HEX(LEFT(RIGHT(C44,12),4))&amp;BIN2HEX(LEFT(RIGHT(C44,8),4))&amp;BIN2HEX(LEFT(RIGHT(C44,4),4))</f>
        <v>00000000</v>
      </c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0" customFormat="1" ht="15">
      <c r="A45" s="30"/>
      <c r="B45" s="33"/>
      <c r="C45" s="12" t="s">
        <v>107</v>
      </c>
      <c r="D45" s="11">
        <v>5</v>
      </c>
      <c r="E45" s="51" t="str">
        <f>IF(D45&gt;1,(31)&amp;":"&amp;(31-D45+1),(31-D45+1)&amp;":"&amp;(31-D45+1))</f>
        <v>31:27</v>
      </c>
      <c r="F45" s="11" t="s">
        <v>44</v>
      </c>
      <c r="G45" s="11" t="s">
        <v>158</v>
      </c>
      <c r="H45" s="15" t="s">
        <v>37</v>
      </c>
      <c r="I45" s="16" t="s">
        <v>36</v>
      </c>
      <c r="J45" s="17" t="s">
        <v>6</v>
      </c>
      <c r="K45" s="11"/>
      <c r="L45" s="38"/>
      <c r="M45" s="38"/>
      <c r="N45" s="38"/>
      <c r="O45" s="38"/>
      <c r="P45" s="38"/>
      <c r="Q45" s="3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0" customFormat="1">
      <c r="A46" s="30"/>
      <c r="B46" s="33"/>
      <c r="C46" s="12" t="s">
        <v>108</v>
      </c>
      <c r="D46" s="12">
        <v>5</v>
      </c>
      <c r="E46" s="49" t="str">
        <f t="shared" ref="E46:E51" si="5">(MID(str_cnvt(E45),SEARCH(":",str_cnvt(E45))+1,2)-1) &amp; ":" &amp; (MID(str_cnvt(E45),SEARCH(":",str_cnvt(E45))+1,2)-D46)</f>
        <v>26:22</v>
      </c>
      <c r="F46" s="11" t="s">
        <v>44</v>
      </c>
      <c r="G46" s="12" t="s">
        <v>159</v>
      </c>
      <c r="H46" s="15" t="s">
        <v>37</v>
      </c>
      <c r="I46" s="16" t="s">
        <v>36</v>
      </c>
      <c r="J46" s="17" t="s">
        <v>6</v>
      </c>
      <c r="K46" s="12"/>
      <c r="L46" s="38"/>
      <c r="M46" s="38"/>
      <c r="N46" s="38"/>
      <c r="O46" s="38"/>
      <c r="P46" s="38"/>
      <c r="Q46" s="38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0" customFormat="1">
      <c r="A47" s="30"/>
      <c r="B47" s="33"/>
      <c r="C47" s="12" t="s">
        <v>109</v>
      </c>
      <c r="D47" s="12">
        <v>5</v>
      </c>
      <c r="E47" s="49" t="str">
        <f t="shared" si="5"/>
        <v>21:17</v>
      </c>
      <c r="F47" s="11" t="s">
        <v>44</v>
      </c>
      <c r="G47" s="11" t="s">
        <v>158</v>
      </c>
      <c r="H47" s="15" t="s">
        <v>37</v>
      </c>
      <c r="I47" s="16" t="s">
        <v>36</v>
      </c>
      <c r="J47" s="17" t="s">
        <v>6</v>
      </c>
      <c r="K47" s="12"/>
      <c r="L47" s="38"/>
      <c r="M47" s="38"/>
      <c r="N47" s="38"/>
      <c r="O47" s="38"/>
      <c r="P47" s="38"/>
      <c r="Q47" s="38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0" customFormat="1">
      <c r="A48" s="30"/>
      <c r="B48" s="33"/>
      <c r="C48" s="12" t="s">
        <v>110</v>
      </c>
      <c r="D48" s="12">
        <v>5</v>
      </c>
      <c r="E48" s="49" t="str">
        <f t="shared" si="5"/>
        <v>16:12</v>
      </c>
      <c r="F48" s="11" t="s">
        <v>44</v>
      </c>
      <c r="G48" s="12" t="s">
        <v>159</v>
      </c>
      <c r="H48" s="15" t="s">
        <v>37</v>
      </c>
      <c r="I48" s="16" t="s">
        <v>36</v>
      </c>
      <c r="J48" s="17" t="s">
        <v>6</v>
      </c>
      <c r="K48" s="12"/>
      <c r="L48" s="38"/>
      <c r="M48" s="38"/>
      <c r="N48" s="38"/>
      <c r="O48" s="38"/>
      <c r="P48" s="38"/>
      <c r="Q48" s="3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0" customFormat="1">
      <c r="A49" s="30"/>
      <c r="B49" s="33"/>
      <c r="C49" s="12" t="s">
        <v>111</v>
      </c>
      <c r="D49" s="12">
        <v>5</v>
      </c>
      <c r="E49" s="49" t="str">
        <f t="shared" si="5"/>
        <v>11:7</v>
      </c>
      <c r="F49" s="11" t="s">
        <v>44</v>
      </c>
      <c r="G49" s="11" t="s">
        <v>158</v>
      </c>
      <c r="H49" s="15" t="s">
        <v>37</v>
      </c>
      <c r="I49" s="16" t="s">
        <v>36</v>
      </c>
      <c r="J49" s="17" t="s">
        <v>6</v>
      </c>
      <c r="K49" s="12"/>
      <c r="L49" s="38"/>
      <c r="M49" s="38"/>
      <c r="N49" s="38"/>
      <c r="O49" s="38"/>
      <c r="P49" s="38"/>
      <c r="Q49" s="38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0" customFormat="1">
      <c r="A50" s="30"/>
      <c r="B50" s="33"/>
      <c r="C50" s="12" t="s">
        <v>112</v>
      </c>
      <c r="D50" s="12">
        <v>5</v>
      </c>
      <c r="E50" s="49" t="str">
        <f t="shared" si="5"/>
        <v>6:2</v>
      </c>
      <c r="F50" s="12" t="s">
        <v>44</v>
      </c>
      <c r="G50" s="12" t="s">
        <v>159</v>
      </c>
      <c r="H50" s="15" t="s">
        <v>37</v>
      </c>
      <c r="I50" s="16" t="s">
        <v>36</v>
      </c>
      <c r="J50" s="17" t="s">
        <v>6</v>
      </c>
      <c r="K50" s="12"/>
      <c r="L50" s="38"/>
      <c r="M50" s="38"/>
      <c r="N50" s="38"/>
      <c r="O50" s="38"/>
      <c r="P50" s="38"/>
      <c r="Q50" s="38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0" customFormat="1">
      <c r="A51" s="31"/>
      <c r="B51" s="34"/>
      <c r="C51" s="12" t="s">
        <v>113</v>
      </c>
      <c r="D51" s="12">
        <v>2</v>
      </c>
      <c r="E51" s="49" t="str">
        <f t="shared" si="5"/>
        <v>1:0</v>
      </c>
      <c r="F51" s="12" t="s">
        <v>41</v>
      </c>
      <c r="G51" s="12" t="s">
        <v>59</v>
      </c>
      <c r="H51" s="15" t="s">
        <v>37</v>
      </c>
      <c r="I51" s="16" t="s">
        <v>36</v>
      </c>
      <c r="J51" s="17" t="s">
        <v>6</v>
      </c>
      <c r="K51" s="12"/>
      <c r="L51" s="39"/>
      <c r="M51" s="39"/>
      <c r="N51" s="39"/>
      <c r="O51" s="39"/>
      <c r="P51" s="39"/>
      <c r="Q51" s="3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0" customFormat="1" ht="14.4" customHeight="1">
      <c r="A52" s="29" t="s">
        <v>114</v>
      </c>
      <c r="B52" s="29">
        <v>18</v>
      </c>
      <c r="C52" s="35" t="str">
        <f>bitConcat(F53:F57)</f>
        <v>32'b00000000000000000000000000000000</v>
      </c>
      <c r="D52" s="35"/>
      <c r="E52" s="35"/>
      <c r="F52" s="35"/>
      <c r="G52" s="35"/>
      <c r="H52" s="35"/>
      <c r="I52" s="35"/>
      <c r="J52" s="35"/>
      <c r="K52" s="36"/>
      <c r="L52" s="37" t="str">
        <f>DEC2HEX(_xlfn.BITLSHIFT(N52,7)+4*O52)</f>
        <v>618</v>
      </c>
      <c r="M52" s="37"/>
      <c r="N52" s="37">
        <v>12</v>
      </c>
      <c r="O52" s="37">
        <v>6</v>
      </c>
      <c r="P52" s="37" t="str">
        <f>DEC2HEX(_xlfn.BITLSHIFT(N52,5)+O52)</f>
        <v>186</v>
      </c>
      <c r="Q52" s="37" t="str">
        <f>BIN2HEX(LEFT(RIGHT(C52,32),4))&amp;BIN2HEX(LEFT(RIGHT(C52,28),4))&amp;BIN2HEX(LEFT(RIGHT(C52,24),4))&amp;BIN2HEX(LEFT(RIGHT(C52,20),4))&amp;BIN2HEX(LEFT(RIGHT(C52,16),4))&amp;BIN2HEX(LEFT(RIGHT(C52,12),4))&amp;BIN2HEX(LEFT(RIGHT(C52,8),4))&amp;BIN2HEX(LEFT(RIGHT(C52,4),4))</f>
        <v>00000000</v>
      </c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0" customFormat="1" ht="15">
      <c r="A53" s="30"/>
      <c r="B53" s="30"/>
      <c r="C53" s="12" t="s">
        <v>115</v>
      </c>
      <c r="D53" s="11">
        <v>5</v>
      </c>
      <c r="E53" s="51" t="str">
        <f>IF(D53&gt;1,(31)&amp;":"&amp;(31-D53+1),(31-D53+1)&amp;":"&amp;(31-D53+1))</f>
        <v>31:27</v>
      </c>
      <c r="F53" s="11" t="s">
        <v>44</v>
      </c>
      <c r="G53" s="11" t="s">
        <v>158</v>
      </c>
      <c r="H53" s="15" t="s">
        <v>37</v>
      </c>
      <c r="I53" s="16" t="s">
        <v>36</v>
      </c>
      <c r="J53" s="17" t="s">
        <v>6</v>
      </c>
      <c r="K53" s="11"/>
      <c r="L53" s="38"/>
      <c r="M53" s="38"/>
      <c r="N53" s="38"/>
      <c r="O53" s="38"/>
      <c r="P53" s="38"/>
      <c r="Q53" s="38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0" customFormat="1">
      <c r="A54" s="30"/>
      <c r="B54" s="30"/>
      <c r="C54" s="12" t="s">
        <v>116</v>
      </c>
      <c r="D54" s="12">
        <v>5</v>
      </c>
      <c r="E54" s="49" t="str">
        <f t="shared" ref="E54:E57" si="6">(MID(str_cnvt(E53),SEARCH(":",str_cnvt(E53))+1,2)-1) &amp; ":" &amp; (MID(str_cnvt(E53),SEARCH(":",str_cnvt(E53))+1,2)-D54)</f>
        <v>26:22</v>
      </c>
      <c r="F54" s="11" t="s">
        <v>44</v>
      </c>
      <c r="G54" s="12" t="s">
        <v>159</v>
      </c>
      <c r="H54" s="15" t="s">
        <v>37</v>
      </c>
      <c r="I54" s="16" t="s">
        <v>36</v>
      </c>
      <c r="J54" s="17" t="s">
        <v>6</v>
      </c>
      <c r="K54" s="12"/>
      <c r="L54" s="38"/>
      <c r="M54" s="38"/>
      <c r="N54" s="38"/>
      <c r="O54" s="38"/>
      <c r="P54" s="38"/>
      <c r="Q54" s="38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0" customFormat="1">
      <c r="A55" s="30"/>
      <c r="B55" s="30"/>
      <c r="C55" s="12" t="s">
        <v>117</v>
      </c>
      <c r="D55" s="12">
        <v>5</v>
      </c>
      <c r="E55" s="49" t="str">
        <f t="shared" si="6"/>
        <v>21:17</v>
      </c>
      <c r="F55" s="11" t="s">
        <v>44</v>
      </c>
      <c r="G55" s="11" t="s">
        <v>158</v>
      </c>
      <c r="H55" s="15" t="s">
        <v>37</v>
      </c>
      <c r="I55" s="16" t="s">
        <v>36</v>
      </c>
      <c r="J55" s="17" t="s">
        <v>6</v>
      </c>
      <c r="K55" s="12"/>
      <c r="L55" s="38"/>
      <c r="M55" s="38"/>
      <c r="N55" s="38"/>
      <c r="O55" s="38"/>
      <c r="P55" s="38"/>
      <c r="Q55" s="38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0" customFormat="1">
      <c r="A56" s="30"/>
      <c r="B56" s="30"/>
      <c r="C56" s="12" t="s">
        <v>118</v>
      </c>
      <c r="D56" s="12">
        <v>5</v>
      </c>
      <c r="E56" s="49" t="str">
        <f t="shared" si="6"/>
        <v>16:12</v>
      </c>
      <c r="F56" s="11" t="s">
        <v>44</v>
      </c>
      <c r="G56" s="12" t="s">
        <v>159</v>
      </c>
      <c r="H56" s="15" t="s">
        <v>37</v>
      </c>
      <c r="I56" s="16" t="s">
        <v>36</v>
      </c>
      <c r="J56" s="17" t="s">
        <v>6</v>
      </c>
      <c r="K56" s="12"/>
      <c r="L56" s="38"/>
      <c r="M56" s="38"/>
      <c r="N56" s="38"/>
      <c r="O56" s="38"/>
      <c r="P56" s="38"/>
      <c r="Q56" s="38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0" customFormat="1">
      <c r="A57" s="31"/>
      <c r="B57" s="31"/>
      <c r="C57" s="12" t="s">
        <v>119</v>
      </c>
      <c r="D57" s="12">
        <v>12</v>
      </c>
      <c r="E57" s="49" t="str">
        <f t="shared" si="6"/>
        <v>11:0</v>
      </c>
      <c r="F57" s="11" t="s">
        <v>120</v>
      </c>
      <c r="G57" s="12" t="s">
        <v>59</v>
      </c>
      <c r="H57" s="15" t="s">
        <v>37</v>
      </c>
      <c r="I57" s="16" t="s">
        <v>36</v>
      </c>
      <c r="J57" s="17" t="s">
        <v>6</v>
      </c>
      <c r="K57" s="12"/>
      <c r="L57" s="39"/>
      <c r="M57" s="39"/>
      <c r="N57" s="39"/>
      <c r="O57" s="39"/>
      <c r="P57" s="39"/>
      <c r="Q57" s="3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0" customFormat="1" ht="14.4" customHeight="1">
      <c r="A58" s="29" t="s">
        <v>121</v>
      </c>
      <c r="B58" s="29" t="s">
        <v>57</v>
      </c>
      <c r="C58" s="35" t="str">
        <f>bitConcat(F59:F63)</f>
        <v>32'b00000000000000000000000000000000</v>
      </c>
      <c r="D58" s="35"/>
      <c r="E58" s="35"/>
      <c r="F58" s="35"/>
      <c r="G58" s="35"/>
      <c r="H58" s="35"/>
      <c r="I58" s="35"/>
      <c r="J58" s="35"/>
      <c r="K58" s="36"/>
      <c r="L58" s="37" t="str">
        <f>DEC2HEX(_xlfn.BITLSHIFT(N58,7)+4*O58)</f>
        <v>61C</v>
      </c>
      <c r="M58" s="37"/>
      <c r="N58" s="37">
        <v>12</v>
      </c>
      <c r="O58" s="37">
        <v>7</v>
      </c>
      <c r="P58" s="37" t="str">
        <f>DEC2HEX(_xlfn.BITLSHIFT(N58,5)+O58)</f>
        <v>187</v>
      </c>
      <c r="Q58" s="37" t="str">
        <f>BIN2HEX(LEFT(RIGHT(C58,32),4))&amp;BIN2HEX(LEFT(RIGHT(C58,28),4))&amp;BIN2HEX(LEFT(RIGHT(C58,24),4))&amp;BIN2HEX(LEFT(RIGHT(C58,20),4))&amp;BIN2HEX(LEFT(RIGHT(C58,16),4))&amp;BIN2HEX(LEFT(RIGHT(C58,12),4))&amp;BIN2HEX(LEFT(RIGHT(C58,8),4))&amp;BIN2HEX(LEFT(RIGHT(C58,4),4))</f>
        <v>00000000</v>
      </c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0" customFormat="1" ht="15">
      <c r="A59" s="30"/>
      <c r="B59" s="30"/>
      <c r="C59" s="12" t="s">
        <v>122</v>
      </c>
      <c r="D59" s="11">
        <v>5</v>
      </c>
      <c r="E59" s="51" t="str">
        <f>IF(D59&gt;1,(31)&amp;":"&amp;(31-D59+1),(31-D59+1)&amp;":"&amp;(31-D59+1))</f>
        <v>31:27</v>
      </c>
      <c r="F59" s="11" t="s">
        <v>44</v>
      </c>
      <c r="G59" s="11" t="s">
        <v>158</v>
      </c>
      <c r="H59" s="15" t="s">
        <v>37</v>
      </c>
      <c r="I59" s="16" t="s">
        <v>36</v>
      </c>
      <c r="J59" s="17" t="s">
        <v>6</v>
      </c>
      <c r="K59" s="11"/>
      <c r="L59" s="38"/>
      <c r="M59" s="38"/>
      <c r="N59" s="38"/>
      <c r="O59" s="38"/>
      <c r="P59" s="38"/>
      <c r="Q59" s="38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0" customFormat="1">
      <c r="A60" s="30"/>
      <c r="B60" s="30"/>
      <c r="C60" s="12" t="s">
        <v>123</v>
      </c>
      <c r="D60" s="12">
        <v>5</v>
      </c>
      <c r="E60" s="49" t="str">
        <f t="shared" ref="E60:E63" si="7">(MID(str_cnvt(E59),SEARCH(":",str_cnvt(E59))+1,2)-1) &amp; ":" &amp; (MID(str_cnvt(E59),SEARCH(":",str_cnvt(E59))+1,2)-D60)</f>
        <v>26:22</v>
      </c>
      <c r="F60" s="11" t="s">
        <v>44</v>
      </c>
      <c r="G60" s="12" t="s">
        <v>159</v>
      </c>
      <c r="H60" s="15" t="s">
        <v>37</v>
      </c>
      <c r="I60" s="16" t="s">
        <v>36</v>
      </c>
      <c r="J60" s="17" t="s">
        <v>6</v>
      </c>
      <c r="K60" s="12"/>
      <c r="L60" s="38"/>
      <c r="M60" s="38"/>
      <c r="N60" s="38"/>
      <c r="O60" s="38"/>
      <c r="P60" s="38"/>
      <c r="Q60" s="38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0" customFormat="1">
      <c r="A61" s="30"/>
      <c r="B61" s="30"/>
      <c r="C61" s="12" t="s">
        <v>124</v>
      </c>
      <c r="D61" s="12">
        <v>5</v>
      </c>
      <c r="E61" s="49" t="str">
        <f t="shared" si="7"/>
        <v>21:17</v>
      </c>
      <c r="F61" s="11" t="s">
        <v>44</v>
      </c>
      <c r="G61" s="11" t="s">
        <v>158</v>
      </c>
      <c r="H61" s="15" t="s">
        <v>37</v>
      </c>
      <c r="I61" s="16" t="s">
        <v>36</v>
      </c>
      <c r="J61" s="17" t="s">
        <v>6</v>
      </c>
      <c r="K61" s="12"/>
      <c r="L61" s="38"/>
      <c r="M61" s="38"/>
      <c r="N61" s="38"/>
      <c r="O61" s="38"/>
      <c r="P61" s="38"/>
      <c r="Q61" s="38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0" customFormat="1">
      <c r="A62" s="30"/>
      <c r="B62" s="30"/>
      <c r="C62" s="12" t="s">
        <v>125</v>
      </c>
      <c r="D62" s="12">
        <v>5</v>
      </c>
      <c r="E62" s="49" t="str">
        <f t="shared" si="7"/>
        <v>16:12</v>
      </c>
      <c r="F62" s="11" t="s">
        <v>44</v>
      </c>
      <c r="G62" s="12" t="s">
        <v>159</v>
      </c>
      <c r="H62" s="15" t="s">
        <v>37</v>
      </c>
      <c r="I62" s="16" t="s">
        <v>36</v>
      </c>
      <c r="J62" s="17" t="s">
        <v>6</v>
      </c>
      <c r="K62" s="12"/>
      <c r="L62" s="38"/>
      <c r="M62" s="38"/>
      <c r="N62" s="38"/>
      <c r="O62" s="38"/>
      <c r="P62" s="38"/>
      <c r="Q62" s="38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0" customFormat="1">
      <c r="A63" s="31"/>
      <c r="B63" s="31"/>
      <c r="C63" s="12" t="s">
        <v>126</v>
      </c>
      <c r="D63" s="12">
        <v>12</v>
      </c>
      <c r="E63" s="49" t="str">
        <f t="shared" si="7"/>
        <v>11:0</v>
      </c>
      <c r="F63" s="11" t="s">
        <v>120</v>
      </c>
      <c r="G63" s="12" t="s">
        <v>59</v>
      </c>
      <c r="H63" s="15" t="s">
        <v>37</v>
      </c>
      <c r="I63" s="16" t="s">
        <v>36</v>
      </c>
      <c r="J63" s="17" t="s">
        <v>6</v>
      </c>
      <c r="K63" s="12"/>
      <c r="L63" s="39"/>
      <c r="M63" s="39"/>
      <c r="N63" s="39"/>
      <c r="O63" s="39"/>
      <c r="P63" s="39"/>
      <c r="Q63" s="39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0" customFormat="1" ht="14.4" customHeight="1">
      <c r="A64" s="29" t="s">
        <v>127</v>
      </c>
      <c r="B64" s="29">
        <v>20</v>
      </c>
      <c r="C64" s="35" t="str">
        <f>bitConcat(F65:F69)</f>
        <v>32'b00001000000000000000000000000000</v>
      </c>
      <c r="D64" s="35"/>
      <c r="E64" s="35"/>
      <c r="F64" s="35"/>
      <c r="G64" s="35"/>
      <c r="H64" s="35"/>
      <c r="I64" s="35"/>
      <c r="J64" s="35"/>
      <c r="K64" s="36"/>
      <c r="L64" s="37" t="str">
        <f>DEC2HEX(_xlfn.BITLSHIFT(N64,7)+4*O64)</f>
        <v>620</v>
      </c>
      <c r="M64" s="37"/>
      <c r="N64" s="37">
        <v>12</v>
      </c>
      <c r="O64" s="37">
        <v>8</v>
      </c>
      <c r="P64" s="37" t="str">
        <f>DEC2HEX(_xlfn.BITLSHIFT(N64,5)+O64*4)</f>
        <v>1A0</v>
      </c>
      <c r="Q64" s="37" t="str">
        <f>BIN2HEX(LEFT(RIGHT(C64,32),4))&amp;BIN2HEX(LEFT(RIGHT(C64,28),4))&amp;BIN2HEX(LEFT(RIGHT(C64,24),4))&amp;BIN2HEX(LEFT(RIGHT(C64,20),4))&amp;BIN2HEX(LEFT(RIGHT(C64,16),4))&amp;BIN2HEX(LEFT(RIGHT(C64,12),4))&amp;BIN2HEX(LEFT(RIGHT(C64,8),4))&amp;BIN2HEX(LEFT(RIGHT(C64,4),4))</f>
        <v>08000000</v>
      </c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0" customFormat="1" ht="15">
      <c r="A65" s="30"/>
      <c r="B65" s="30"/>
      <c r="C65" s="12" t="s">
        <v>128</v>
      </c>
      <c r="D65" s="11">
        <v>4</v>
      </c>
      <c r="E65" s="51" t="str">
        <f>IF(D65&gt;1,(31)&amp;":"&amp;(31-D65+1),(31-D65+1)&amp;":"&amp;(31-D65+1))</f>
        <v>31:28</v>
      </c>
      <c r="F65" s="11" t="s">
        <v>45</v>
      </c>
      <c r="G65" s="11" t="s">
        <v>160</v>
      </c>
      <c r="H65" s="15" t="s">
        <v>37</v>
      </c>
      <c r="I65" s="16" t="s">
        <v>36</v>
      </c>
      <c r="J65" s="17" t="s">
        <v>6</v>
      </c>
      <c r="K65" s="11"/>
      <c r="L65" s="38"/>
      <c r="M65" s="38"/>
      <c r="N65" s="38"/>
      <c r="O65" s="38"/>
      <c r="P65" s="38"/>
      <c r="Q65" s="38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0" customFormat="1">
      <c r="A66" s="30"/>
      <c r="B66" s="30"/>
      <c r="C66" s="12" t="s">
        <v>129</v>
      </c>
      <c r="D66" s="12">
        <v>1</v>
      </c>
      <c r="E66" s="49" t="str">
        <f t="shared" ref="E66:E69" si="8">(MID(str_cnvt(E65),SEARCH(":",str_cnvt(E65))+1,2)-1) &amp; ":" &amp; (MID(str_cnvt(E65),SEARCH(":",str_cnvt(E65))+1,2)-D66)</f>
        <v>27:27</v>
      </c>
      <c r="F66" s="11" t="s">
        <v>38</v>
      </c>
      <c r="G66" s="12" t="s">
        <v>165</v>
      </c>
      <c r="H66" s="15" t="s">
        <v>37</v>
      </c>
      <c r="I66" s="16" t="s">
        <v>36</v>
      </c>
      <c r="J66" s="17" t="s">
        <v>6</v>
      </c>
      <c r="K66" s="12"/>
      <c r="L66" s="38"/>
      <c r="M66" s="38"/>
      <c r="N66" s="38"/>
      <c r="O66" s="38"/>
      <c r="P66" s="38"/>
      <c r="Q66" s="38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0" customFormat="1">
      <c r="A67" s="30"/>
      <c r="B67" s="30"/>
      <c r="C67" s="12" t="s">
        <v>130</v>
      </c>
      <c r="D67" s="12">
        <v>4</v>
      </c>
      <c r="E67" s="49" t="str">
        <f t="shared" si="8"/>
        <v>26:23</v>
      </c>
      <c r="F67" s="11" t="s">
        <v>45</v>
      </c>
      <c r="G67" s="12" t="s">
        <v>166</v>
      </c>
      <c r="H67" s="15" t="s">
        <v>37</v>
      </c>
      <c r="I67" s="16" t="s">
        <v>36</v>
      </c>
      <c r="J67" s="17" t="s">
        <v>6</v>
      </c>
      <c r="K67" s="12"/>
      <c r="L67" s="38"/>
      <c r="M67" s="38"/>
      <c r="N67" s="38"/>
      <c r="O67" s="38"/>
      <c r="P67" s="38"/>
      <c r="Q67" s="38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0" customFormat="1">
      <c r="A68" s="30"/>
      <c r="B68" s="30"/>
      <c r="C68" s="12" t="s">
        <v>131</v>
      </c>
      <c r="D68" s="12">
        <v>1</v>
      </c>
      <c r="E68" s="49" t="str">
        <f t="shared" si="8"/>
        <v>22:22</v>
      </c>
      <c r="F68" s="11" t="s">
        <v>7</v>
      </c>
      <c r="G68" s="12" t="s">
        <v>167</v>
      </c>
      <c r="H68" s="15" t="s">
        <v>37</v>
      </c>
      <c r="I68" s="16" t="s">
        <v>36</v>
      </c>
      <c r="J68" s="17" t="s">
        <v>6</v>
      </c>
      <c r="K68" s="12"/>
      <c r="L68" s="38"/>
      <c r="M68" s="38"/>
      <c r="N68" s="38"/>
      <c r="O68" s="38"/>
      <c r="P68" s="38"/>
      <c r="Q68" s="3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0" customFormat="1" ht="15" thickBot="1">
      <c r="A69" s="31"/>
      <c r="B69" s="31"/>
      <c r="C69" s="12" t="s">
        <v>132</v>
      </c>
      <c r="D69" s="12">
        <v>22</v>
      </c>
      <c r="E69" s="49" t="str">
        <f t="shared" si="8"/>
        <v>21:0</v>
      </c>
      <c r="F69" s="11" t="s">
        <v>133</v>
      </c>
      <c r="G69" s="12" t="s">
        <v>59</v>
      </c>
      <c r="H69" s="15" t="s">
        <v>37</v>
      </c>
      <c r="I69" s="16" t="s">
        <v>36</v>
      </c>
      <c r="J69" s="17" t="s">
        <v>6</v>
      </c>
      <c r="K69" s="12"/>
      <c r="L69" s="39"/>
      <c r="M69" s="39"/>
      <c r="N69" s="39"/>
      <c r="O69" s="39"/>
      <c r="P69" s="39"/>
      <c r="Q69" s="3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>
      <c r="A70" s="29" t="s">
        <v>134</v>
      </c>
      <c r="B70" s="32">
        <v>24</v>
      </c>
      <c r="C70" s="42" t="str">
        <f>bitConcat(F71:F71)</f>
        <v>32'b00000000000000000000000000000000</v>
      </c>
      <c r="D70" s="35"/>
      <c r="E70" s="35"/>
      <c r="F70" s="35"/>
      <c r="G70" s="35"/>
      <c r="H70" s="35"/>
      <c r="I70" s="35"/>
      <c r="J70" s="35"/>
      <c r="K70" s="36"/>
      <c r="L70" s="37" t="str">
        <f>DEC2HEX(_xlfn.BITLSHIFT(N70,7)+4*O70)</f>
        <v>624</v>
      </c>
      <c r="M70" s="28"/>
      <c r="N70" s="37">
        <v>12</v>
      </c>
      <c r="O70" s="37">
        <v>9</v>
      </c>
      <c r="P70" s="43" t="str">
        <f>DEC2HEX(_xlfn.BITLSHIFT(N70,5)+O70*4)</f>
        <v>1A4</v>
      </c>
      <c r="Q70" s="40" t="str">
        <f t="shared" ref="Q70" si="9">BIN2HEX(LEFT(RIGHT(C70,32),4))&amp;BIN2HEX(LEFT(RIGHT(C70,28),4))&amp;BIN2HEX(LEFT(RIGHT(C70,24),4))&amp;BIN2HEX(LEFT(RIGHT(C70,20),4))&amp;BIN2HEX(LEFT(RIGHT(C70,16),4))&amp;BIN2HEX(LEFT(RIGHT(C70,12),4))&amp;BIN2HEX(LEFT(RIGHT(C70,8),4))&amp;BIN2HEX(LEFT(RIGHT(C70,4),4))</f>
        <v>00000000</v>
      </c>
    </row>
    <row r="71" spans="1:91" ht="15.6" thickBot="1">
      <c r="A71" s="31"/>
      <c r="B71" s="34"/>
      <c r="C71" s="13" t="s">
        <v>59</v>
      </c>
      <c r="D71" s="11">
        <v>32</v>
      </c>
      <c r="E71" s="51" t="str">
        <f>IF(D71&gt;1,(31)&amp;":"&amp;(31-D71+1),(31-D71+1)&amp;":"&amp;(31-D71+1))</f>
        <v>31:0</v>
      </c>
      <c r="F71" s="11" t="s">
        <v>49</v>
      </c>
      <c r="G71" s="14" t="s">
        <v>59</v>
      </c>
      <c r="H71" s="15" t="s">
        <v>37</v>
      </c>
      <c r="I71" s="16" t="s">
        <v>36</v>
      </c>
      <c r="J71" s="17" t="s">
        <v>6</v>
      </c>
      <c r="K71" s="14"/>
      <c r="L71" s="39"/>
      <c r="M71" s="27"/>
      <c r="N71" s="39"/>
      <c r="O71" s="39"/>
      <c r="P71" s="44"/>
      <c r="Q71" s="41"/>
    </row>
    <row r="72" spans="1:91">
      <c r="A72" s="29" t="s">
        <v>135</v>
      </c>
      <c r="B72" s="32">
        <v>28</v>
      </c>
      <c r="C72" s="42" t="str">
        <f>bitConcat(F73:F73)</f>
        <v>32'b00000000000000000000000000000000</v>
      </c>
      <c r="D72" s="35"/>
      <c r="E72" s="35"/>
      <c r="F72" s="35"/>
      <c r="G72" s="35"/>
      <c r="H72" s="35"/>
      <c r="I72" s="35"/>
      <c r="J72" s="35"/>
      <c r="K72" s="36"/>
      <c r="L72" s="37" t="str">
        <f>DEC2HEX(_xlfn.BITLSHIFT(N72,7)+4*O72)</f>
        <v>628</v>
      </c>
      <c r="M72" s="28"/>
      <c r="N72" s="37">
        <v>12</v>
      </c>
      <c r="O72" s="37">
        <v>10</v>
      </c>
      <c r="P72" s="43" t="str">
        <f>DEC2HEX(_xlfn.BITLSHIFT(N72,5)+O72*4)</f>
        <v>1A8</v>
      </c>
      <c r="Q72" s="40" t="str">
        <f t="shared" ref="Q72" si="10">BIN2HEX(LEFT(RIGHT(C72,32),4))&amp;BIN2HEX(LEFT(RIGHT(C72,28),4))&amp;BIN2HEX(LEFT(RIGHT(C72,24),4))&amp;BIN2HEX(LEFT(RIGHT(C72,20),4))&amp;BIN2HEX(LEFT(RIGHT(C72,16),4))&amp;BIN2HEX(LEFT(RIGHT(C72,12),4))&amp;BIN2HEX(LEFT(RIGHT(C72,8),4))&amp;BIN2HEX(LEFT(RIGHT(C72,4),4))</f>
        <v>00000000</v>
      </c>
    </row>
    <row r="73" spans="1:91" ht="15.6" thickBot="1">
      <c r="A73" s="31"/>
      <c r="B73" s="34"/>
      <c r="C73" s="13" t="s">
        <v>136</v>
      </c>
      <c r="D73" s="11">
        <v>32</v>
      </c>
      <c r="E73" s="51" t="str">
        <f>IF(D73&gt;1,(31)&amp;":"&amp;(31-D73+1),(31-D73+1)&amp;":"&amp;(31-D73+1))</f>
        <v>31:0</v>
      </c>
      <c r="F73" s="11" t="s">
        <v>49</v>
      </c>
      <c r="G73" s="14" t="s">
        <v>55</v>
      </c>
      <c r="H73" s="15" t="s">
        <v>37</v>
      </c>
      <c r="I73" s="16" t="s">
        <v>36</v>
      </c>
      <c r="J73" s="17" t="s">
        <v>6</v>
      </c>
      <c r="K73" s="14"/>
      <c r="L73" s="39"/>
      <c r="M73" s="27"/>
      <c r="N73" s="39"/>
      <c r="O73" s="39"/>
      <c r="P73" s="44"/>
      <c r="Q73" s="41"/>
    </row>
    <row r="74" spans="1:91">
      <c r="A74" s="29" t="s">
        <v>137</v>
      </c>
      <c r="B74" s="32" t="s">
        <v>58</v>
      </c>
      <c r="C74" s="42" t="str">
        <f>bitConcat(F75:F75)</f>
        <v>32'b00000000000000000000000000000000</v>
      </c>
      <c r="D74" s="35"/>
      <c r="E74" s="35"/>
      <c r="F74" s="35"/>
      <c r="G74" s="35"/>
      <c r="H74" s="35"/>
      <c r="I74" s="35"/>
      <c r="J74" s="35"/>
      <c r="K74" s="36"/>
      <c r="L74" s="37" t="str">
        <f>DEC2HEX(_xlfn.BITLSHIFT(N74,7)+4*O74)</f>
        <v>62C</v>
      </c>
      <c r="M74" s="28"/>
      <c r="N74" s="37">
        <v>12</v>
      </c>
      <c r="O74" s="37">
        <v>11</v>
      </c>
      <c r="P74" s="43" t="str">
        <f>DEC2HEX(_xlfn.BITLSHIFT(N74,5)+O74*4)</f>
        <v>1AC</v>
      </c>
      <c r="Q74" s="40" t="str">
        <f t="shared" ref="Q74" si="11">BIN2HEX(LEFT(RIGHT(C74,32),4))&amp;BIN2HEX(LEFT(RIGHT(C74,28),4))&amp;BIN2HEX(LEFT(RIGHT(C74,24),4))&amp;BIN2HEX(LEFT(RIGHT(C74,20),4))&amp;BIN2HEX(LEFT(RIGHT(C74,16),4))&amp;BIN2HEX(LEFT(RIGHT(C74,12),4))&amp;BIN2HEX(LEFT(RIGHT(C74,8),4))&amp;BIN2HEX(LEFT(RIGHT(C74,4),4))</f>
        <v>00000000</v>
      </c>
    </row>
    <row r="75" spans="1:91" ht="15.6" thickBot="1">
      <c r="A75" s="31"/>
      <c r="B75" s="34"/>
      <c r="C75" s="13" t="s">
        <v>59</v>
      </c>
      <c r="D75" s="11">
        <v>32</v>
      </c>
      <c r="E75" s="51" t="str">
        <f>IF(D75&gt;1,(31)&amp;":"&amp;(31-D75+1),(31-D75+1)&amp;":"&amp;(31-D75+1))</f>
        <v>31:0</v>
      </c>
      <c r="F75" s="11" t="s">
        <v>49</v>
      </c>
      <c r="G75" s="14" t="s">
        <v>59</v>
      </c>
      <c r="H75" s="15" t="s">
        <v>37</v>
      </c>
      <c r="I75" s="16" t="s">
        <v>36</v>
      </c>
      <c r="J75" s="17" t="s">
        <v>6</v>
      </c>
      <c r="K75" s="14"/>
      <c r="L75" s="39"/>
      <c r="M75" s="27"/>
      <c r="N75" s="39"/>
      <c r="O75" s="39"/>
      <c r="P75" s="44"/>
      <c r="Q75" s="41"/>
    </row>
    <row r="76" spans="1:91" s="10" customFormat="1" ht="14.4" customHeight="1">
      <c r="A76" s="29" t="s">
        <v>138</v>
      </c>
      <c r="B76" s="32">
        <v>30</v>
      </c>
      <c r="C76" s="35" t="str">
        <f>bitConcat(F77:F83)</f>
        <v>32'b00000000011011111110000000000000</v>
      </c>
      <c r="D76" s="35"/>
      <c r="E76" s="35"/>
      <c r="F76" s="35"/>
      <c r="G76" s="35"/>
      <c r="H76" s="35"/>
      <c r="I76" s="35"/>
      <c r="J76" s="35"/>
      <c r="K76" s="36"/>
      <c r="L76" s="37" t="str">
        <f>DEC2HEX(_xlfn.BITLSHIFT(N76,7)+4*O76)</f>
        <v>630</v>
      </c>
      <c r="M76" s="37"/>
      <c r="N76" s="37">
        <v>12</v>
      </c>
      <c r="O76" s="37">
        <v>12</v>
      </c>
      <c r="P76" s="37" t="str">
        <f>DEC2HEX(_xlfn.BITLSHIFT(N76,5)+O76*4)</f>
        <v>1B0</v>
      </c>
      <c r="Q76" s="37" t="str">
        <f>BIN2HEX(LEFT(RIGHT(C76,32),4))&amp;BIN2HEX(LEFT(RIGHT(C76,28),4))&amp;BIN2HEX(LEFT(RIGHT(C76,24),4))&amp;BIN2HEX(LEFT(RIGHT(C76,20),4))&amp;BIN2HEX(LEFT(RIGHT(C76,16),4))&amp;BIN2HEX(LEFT(RIGHT(C76,12),4))&amp;BIN2HEX(LEFT(RIGHT(C76,8),4))&amp;BIN2HEX(LEFT(RIGHT(C76,4),4))</f>
        <v>006FE000</v>
      </c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0" customFormat="1" ht="15">
      <c r="A77" s="30"/>
      <c r="B77" s="33"/>
      <c r="C77" s="12" t="s">
        <v>139</v>
      </c>
      <c r="D77" s="11">
        <v>8</v>
      </c>
      <c r="E77" s="51" t="str">
        <f>IF(D77&gt;1,(31)&amp;":"&amp;(31-D77+1),(31-D77+1)&amp;":"&amp;(31-D77+1))</f>
        <v>31:24</v>
      </c>
      <c r="F77" s="11" t="s">
        <v>48</v>
      </c>
      <c r="G77" s="11" t="s">
        <v>168</v>
      </c>
      <c r="H77" s="15" t="s">
        <v>37</v>
      </c>
      <c r="I77" s="16" t="s">
        <v>36</v>
      </c>
      <c r="J77" s="17" t="s">
        <v>6</v>
      </c>
      <c r="K77" s="11"/>
      <c r="L77" s="38"/>
      <c r="M77" s="38"/>
      <c r="N77" s="38"/>
      <c r="O77" s="38"/>
      <c r="P77" s="38"/>
      <c r="Q77" s="38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0" customFormat="1">
      <c r="A78" s="30"/>
      <c r="B78" s="33"/>
      <c r="C78" s="12" t="s">
        <v>140</v>
      </c>
      <c r="D78" s="12">
        <v>5</v>
      </c>
      <c r="E78" s="49" t="str">
        <f t="shared" ref="E78:E83" si="12">(MID(str_cnvt(E77),SEARCH(":",str_cnvt(E77))+1,2)-1) &amp; ":" &amp; (MID(str_cnvt(E77),SEARCH(":",str_cnvt(E77))+1,2)-D78)</f>
        <v>23:19</v>
      </c>
      <c r="F78" s="11" t="s">
        <v>64</v>
      </c>
      <c r="G78" s="11" t="s">
        <v>152</v>
      </c>
      <c r="H78" s="15" t="s">
        <v>37</v>
      </c>
      <c r="I78" s="16" t="s">
        <v>36</v>
      </c>
      <c r="J78" s="17" t="s">
        <v>6</v>
      </c>
      <c r="K78" s="12"/>
      <c r="L78" s="38"/>
      <c r="M78" s="38"/>
      <c r="N78" s="38"/>
      <c r="O78" s="38"/>
      <c r="P78" s="38"/>
      <c r="Q78" s="3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0" customFormat="1">
      <c r="A79" s="30"/>
      <c r="B79" s="33"/>
      <c r="C79" s="12" t="s">
        <v>141</v>
      </c>
      <c r="D79" s="12">
        <v>1</v>
      </c>
      <c r="E79" s="49" t="str">
        <f t="shared" si="12"/>
        <v>18:18</v>
      </c>
      <c r="F79" s="11" t="s">
        <v>38</v>
      </c>
      <c r="G79" s="12" t="s">
        <v>169</v>
      </c>
      <c r="H79" s="15" t="s">
        <v>37</v>
      </c>
      <c r="I79" s="16" t="s">
        <v>36</v>
      </c>
      <c r="J79" s="17" t="s">
        <v>6</v>
      </c>
      <c r="K79" s="12"/>
      <c r="L79" s="38"/>
      <c r="M79" s="38"/>
      <c r="N79" s="38"/>
      <c r="O79" s="38"/>
      <c r="P79" s="38"/>
      <c r="Q79" s="38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0" customFormat="1">
      <c r="A80" s="30"/>
      <c r="B80" s="33"/>
      <c r="C80" s="12" t="s">
        <v>142</v>
      </c>
      <c r="D80" s="12">
        <v>4</v>
      </c>
      <c r="E80" s="49" t="str">
        <f t="shared" si="12"/>
        <v>17:14</v>
      </c>
      <c r="F80" s="11" t="s">
        <v>51</v>
      </c>
      <c r="G80" s="12" t="s">
        <v>163</v>
      </c>
      <c r="H80" s="15" t="s">
        <v>37</v>
      </c>
      <c r="I80" s="16" t="s">
        <v>36</v>
      </c>
      <c r="J80" s="17" t="s">
        <v>6</v>
      </c>
      <c r="K80" s="12"/>
      <c r="L80" s="38"/>
      <c r="M80" s="38"/>
      <c r="N80" s="38"/>
      <c r="O80" s="38"/>
      <c r="P80" s="38"/>
      <c r="Q80" s="38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0" customFormat="1">
      <c r="A81" s="30"/>
      <c r="B81" s="33"/>
      <c r="C81" s="12" t="s">
        <v>143</v>
      </c>
      <c r="D81" s="12">
        <v>1</v>
      </c>
      <c r="E81" s="49" t="str">
        <f t="shared" si="12"/>
        <v>13:13</v>
      </c>
      <c r="F81" s="11" t="s">
        <v>38</v>
      </c>
      <c r="G81" s="12" t="s">
        <v>164</v>
      </c>
      <c r="H81" s="15" t="s">
        <v>37</v>
      </c>
      <c r="I81" s="16" t="s">
        <v>36</v>
      </c>
      <c r="J81" s="17" t="s">
        <v>6</v>
      </c>
      <c r="K81" s="12"/>
      <c r="L81" s="38"/>
      <c r="M81" s="38"/>
      <c r="N81" s="38"/>
      <c r="O81" s="38"/>
      <c r="P81" s="38"/>
      <c r="Q81" s="38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0" customFormat="1">
      <c r="A82" s="30"/>
      <c r="B82" s="33"/>
      <c r="C82" s="12" t="s">
        <v>144</v>
      </c>
      <c r="D82" s="12">
        <v>1</v>
      </c>
      <c r="E82" s="49" t="str">
        <f t="shared" si="12"/>
        <v>12:12</v>
      </c>
      <c r="F82" s="12" t="s">
        <v>7</v>
      </c>
      <c r="G82" s="12" t="s">
        <v>170</v>
      </c>
      <c r="H82" s="15" t="s">
        <v>37</v>
      </c>
      <c r="I82" s="16" t="s">
        <v>36</v>
      </c>
      <c r="J82" s="17" t="s">
        <v>6</v>
      </c>
      <c r="K82" s="12"/>
      <c r="L82" s="38"/>
      <c r="M82" s="38"/>
      <c r="N82" s="38"/>
      <c r="O82" s="38"/>
      <c r="P82" s="38"/>
      <c r="Q82" s="3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0" customFormat="1">
      <c r="A83" s="31"/>
      <c r="B83" s="34"/>
      <c r="C83" s="12" t="s">
        <v>145</v>
      </c>
      <c r="D83" s="12">
        <v>12</v>
      </c>
      <c r="E83" s="49" t="str">
        <f t="shared" si="12"/>
        <v>11:0</v>
      </c>
      <c r="F83" s="12" t="s">
        <v>120</v>
      </c>
      <c r="G83" s="12" t="s">
        <v>59</v>
      </c>
      <c r="H83" s="15" t="s">
        <v>37</v>
      </c>
      <c r="I83" s="16" t="s">
        <v>36</v>
      </c>
      <c r="J83" s="17" t="s">
        <v>6</v>
      </c>
      <c r="K83" s="12"/>
      <c r="L83" s="39"/>
      <c r="M83" s="39"/>
      <c r="N83" s="39"/>
      <c r="O83" s="39"/>
      <c r="P83" s="39"/>
      <c r="Q83" s="39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</sheetData>
  <mergeCells count="114">
    <mergeCell ref="Q2:Q9"/>
    <mergeCell ref="C10:K10"/>
    <mergeCell ref="A2:A9"/>
    <mergeCell ref="B2:B9"/>
    <mergeCell ref="L2:L9"/>
    <mergeCell ref="M2:M9"/>
    <mergeCell ref="N2:N9"/>
    <mergeCell ref="O2:O9"/>
    <mergeCell ref="P2:P9"/>
    <mergeCell ref="C2:K2"/>
    <mergeCell ref="A10:A19"/>
    <mergeCell ref="B10:B19"/>
    <mergeCell ref="L10:L19"/>
    <mergeCell ref="M10:M19"/>
    <mergeCell ref="N10:N19"/>
    <mergeCell ref="O10:O19"/>
    <mergeCell ref="P10:P19"/>
    <mergeCell ref="Q10:Q19"/>
    <mergeCell ref="A20:A27"/>
    <mergeCell ref="B20:B27"/>
    <mergeCell ref="C20:K20"/>
    <mergeCell ref="L20:L27"/>
    <mergeCell ref="M20:M27"/>
    <mergeCell ref="N20:N27"/>
    <mergeCell ref="O20:O27"/>
    <mergeCell ref="P20:P27"/>
    <mergeCell ref="Q20:Q27"/>
    <mergeCell ref="A28:A35"/>
    <mergeCell ref="B28:B35"/>
    <mergeCell ref="C28:K28"/>
    <mergeCell ref="L28:L35"/>
    <mergeCell ref="M28:M35"/>
    <mergeCell ref="N28:N35"/>
    <mergeCell ref="O28:O35"/>
    <mergeCell ref="P28:P35"/>
    <mergeCell ref="Q28:Q35"/>
    <mergeCell ref="A36:A43"/>
    <mergeCell ref="B36:B43"/>
    <mergeCell ref="C36:K36"/>
    <mergeCell ref="L36:L43"/>
    <mergeCell ref="M36:M43"/>
    <mergeCell ref="N36:N43"/>
    <mergeCell ref="O36:O43"/>
    <mergeCell ref="P36:P43"/>
    <mergeCell ref="Q36:Q43"/>
    <mergeCell ref="A44:A51"/>
    <mergeCell ref="B44:B51"/>
    <mergeCell ref="C44:K44"/>
    <mergeCell ref="L44:L51"/>
    <mergeCell ref="M44:M51"/>
    <mergeCell ref="N44:N51"/>
    <mergeCell ref="O44:O51"/>
    <mergeCell ref="P44:P51"/>
    <mergeCell ref="Q44:Q51"/>
    <mergeCell ref="Q52:Q57"/>
    <mergeCell ref="A58:A63"/>
    <mergeCell ref="B58:B63"/>
    <mergeCell ref="C58:K58"/>
    <mergeCell ref="L58:L63"/>
    <mergeCell ref="M58:M63"/>
    <mergeCell ref="N58:N63"/>
    <mergeCell ref="O58:O63"/>
    <mergeCell ref="P58:P63"/>
    <mergeCell ref="Q58:Q63"/>
    <mergeCell ref="A52:A57"/>
    <mergeCell ref="B52:B57"/>
    <mergeCell ref="L52:L57"/>
    <mergeCell ref="M52:M57"/>
    <mergeCell ref="N52:N57"/>
    <mergeCell ref="O52:O57"/>
    <mergeCell ref="P52:P57"/>
    <mergeCell ref="C52:K52"/>
    <mergeCell ref="L70:L71"/>
    <mergeCell ref="A72:A73"/>
    <mergeCell ref="B72:B73"/>
    <mergeCell ref="C72:K72"/>
    <mergeCell ref="L72:L73"/>
    <mergeCell ref="N72:N73"/>
    <mergeCell ref="O64:O69"/>
    <mergeCell ref="P64:P69"/>
    <mergeCell ref="Q64:Q69"/>
    <mergeCell ref="A70:A71"/>
    <mergeCell ref="B70:B71"/>
    <mergeCell ref="C70:K70"/>
    <mergeCell ref="N70:N71"/>
    <mergeCell ref="O70:O71"/>
    <mergeCell ref="P70:P71"/>
    <mergeCell ref="Q70:Q71"/>
    <mergeCell ref="A64:A69"/>
    <mergeCell ref="B64:B69"/>
    <mergeCell ref="C64:K64"/>
    <mergeCell ref="L64:L69"/>
    <mergeCell ref="M64:M69"/>
    <mergeCell ref="N64:N69"/>
    <mergeCell ref="O72:O73"/>
    <mergeCell ref="P72:P73"/>
    <mergeCell ref="Q72:Q73"/>
    <mergeCell ref="A74:A75"/>
    <mergeCell ref="B74:B75"/>
    <mergeCell ref="C74:K74"/>
    <mergeCell ref="L74:L75"/>
    <mergeCell ref="N74:N75"/>
    <mergeCell ref="O74:O75"/>
    <mergeCell ref="P74:P75"/>
    <mergeCell ref="Q74:Q75"/>
    <mergeCell ref="A76:A83"/>
    <mergeCell ref="B76:B83"/>
    <mergeCell ref="C76:K76"/>
    <mergeCell ref="L76:L83"/>
    <mergeCell ref="M76:M83"/>
    <mergeCell ref="N76:N83"/>
    <mergeCell ref="O76:O83"/>
    <mergeCell ref="P76:P83"/>
    <mergeCell ref="Q76:Q83"/>
  </mergeCells>
  <dataValidations xWindow="974" yWindow="737" count="6">
    <dataValidation type="list" allowBlank="1" showInputMessage="1" showErrorMessage="1" sqref="J3:J9 J11:J19 J21:J27 J29:J35 J37:J43 J45:J51 J53:J57 J59:J63 J65:J69 J71 J73 J75 J77:J83" xr:uid="{9F43A84B-0BAC-4F4F-8171-C6EE17DEC7B3}">
      <formula1>BOOLEAN</formula1>
    </dataValidation>
    <dataValidation type="list" allowBlank="1" showInputMessage="1" showErrorMessage="1" sqref="H3:H9 H11:H19 H21:H27 H29:H35 H37:H43 H45:H51 H53:H57 H59:H63 H65:H69 H71 H73 H75 H77:H83" xr:uid="{925F5CB3-858E-4CF7-A56B-6AFB1E67477F}">
      <formula1>"WR,RO"</formula1>
    </dataValidation>
    <dataValidation type="list" allowBlank="1" sqref="I1:I83" xr:uid="{CFB20545-CB13-4279-A9AE-F9DCBE39C648}">
      <formula1>"Default, Soft Strap, Hard Strap, Fuse"</formula1>
    </dataValidation>
    <dataValidation allowBlank="1" showInputMessage="1" sqref="F1:F2 F10 F20 F28 F36 F44 F52 F58 F64 F70 F72 F74 F76" xr:uid="{D1D7C7AE-4B7F-4529-AE76-0B6D4AC5931E}"/>
    <dataValidation allowBlank="1" showInputMessage="1" showErrorMessage="1" prompt="8 bit Hexa number between 0x0 and 0xff. Offset within register space for block" sqref="B1:B2 L1:Q2 B10 L10:Q10 B20 L20:Q20 B28 L28:Q28 B36 L36:Q36 B44 L44:Q44 B52 L52:Q52 B58 L58:Q58 B64 L64:Q64 L70:Q70 L72:Q72 L74:Q74 B76 L76:Q76" xr:uid="{2DB2D057-A2C6-47CE-A731-2231CEE36D5D}">
      <formula1>0</formula1>
      <formula2>0</formula2>
    </dataValidation>
    <dataValidation type="list" allowBlank="1" showErrorMessage="1" sqref="H1" xr:uid="{17438FB6-5C2B-4683-B9E2-A8A83AD7EE20}">
      <formula1>"WR,RO"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H15"/>
  <sheetViews>
    <sheetView workbookViewId="0">
      <selection activeCell="A10" sqref="A10"/>
    </sheetView>
  </sheetViews>
  <sheetFormatPr defaultRowHeight="14.4"/>
  <cols>
    <col min="1" max="1" width="13.441406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6"/>
  <sheetViews>
    <sheetView workbookViewId="0">
      <selection activeCell="A40" sqref="A40"/>
    </sheetView>
  </sheetViews>
  <sheetFormatPr defaultRowHeight="14.4"/>
  <cols>
    <col min="1" max="1" width="9.5546875" bestFit="1" customWidth="1"/>
    <col min="2" max="2" width="14" bestFit="1" customWidth="1"/>
  </cols>
  <sheetData>
    <row r="1" spans="1:8" ht="15" thickBot="1">
      <c r="A1" s="7" t="s">
        <v>27</v>
      </c>
      <c r="B1" s="9" t="s">
        <v>28</v>
      </c>
      <c r="C1" s="8"/>
      <c r="D1" s="9"/>
      <c r="E1" s="8"/>
      <c r="F1" s="9"/>
      <c r="G1" s="8"/>
      <c r="H1" s="9"/>
    </row>
    <row r="2" spans="1:8">
      <c r="A2" s="4" t="s">
        <v>25</v>
      </c>
      <c r="B2" s="2" t="s">
        <v>30</v>
      </c>
      <c r="C2" s="1"/>
      <c r="D2" s="2"/>
      <c r="E2" s="1"/>
      <c r="F2" s="2"/>
      <c r="G2" s="1"/>
      <c r="H2" s="2"/>
    </row>
    <row r="3" spans="1:8">
      <c r="A3" s="4" t="s">
        <v>26</v>
      </c>
      <c r="B3" s="2" t="s">
        <v>29</v>
      </c>
      <c r="C3" s="1"/>
      <c r="D3" s="2"/>
      <c r="E3" s="1"/>
      <c r="F3" s="2"/>
      <c r="G3" s="1"/>
      <c r="H3" s="2"/>
    </row>
    <row r="4" spans="1:8">
      <c r="A4" s="4"/>
      <c r="B4" s="2" t="s">
        <v>31</v>
      </c>
      <c r="C4" s="1"/>
      <c r="D4" s="2"/>
      <c r="E4" s="1"/>
      <c r="F4" s="2"/>
      <c r="G4" s="1"/>
      <c r="H4" s="2"/>
    </row>
    <row r="5" spans="1:8">
      <c r="A5" s="4"/>
      <c r="B5" s="2" t="s">
        <v>32</v>
      </c>
      <c r="C5" s="1"/>
      <c r="D5" s="2"/>
      <c r="E5" s="1"/>
      <c r="F5" s="2"/>
      <c r="G5" s="1"/>
      <c r="H5" s="2"/>
    </row>
    <row r="6" spans="1:8">
      <c r="A6" s="4"/>
      <c r="B6" s="2"/>
      <c r="C6" s="1"/>
      <c r="D6" s="2"/>
      <c r="E6" s="1"/>
      <c r="F6" s="2"/>
      <c r="G6" s="1"/>
      <c r="H6" s="2"/>
    </row>
    <row r="7" spans="1:8">
      <c r="A7" s="4"/>
      <c r="B7" s="2"/>
      <c r="C7" s="1"/>
      <c r="D7" s="2"/>
      <c r="E7" s="1"/>
      <c r="F7" s="2"/>
      <c r="G7" s="1"/>
      <c r="H7" s="2"/>
    </row>
    <row r="8" spans="1:8">
      <c r="A8" s="4"/>
      <c r="B8" s="2"/>
      <c r="C8" s="1"/>
      <c r="D8" s="2"/>
      <c r="E8" s="1"/>
      <c r="F8" s="2"/>
      <c r="G8" s="1"/>
      <c r="H8" s="2"/>
    </row>
    <row r="9" spans="1:8">
      <c r="A9" s="4"/>
      <c r="B9" s="2"/>
      <c r="C9" s="1"/>
      <c r="D9" s="2"/>
      <c r="E9" s="1"/>
      <c r="F9" s="2"/>
      <c r="G9" s="1"/>
      <c r="H9" s="2"/>
    </row>
    <row r="10" spans="1:8">
      <c r="A10" s="4"/>
      <c r="B10" s="2"/>
      <c r="C10" s="1"/>
      <c r="D10" s="2"/>
      <c r="E10" s="1"/>
      <c r="F10" s="2"/>
      <c r="G10" s="1"/>
      <c r="H10" s="2"/>
    </row>
    <row r="11" spans="1:8">
      <c r="A11" s="4"/>
      <c r="B11" s="2"/>
      <c r="C11" s="1"/>
      <c r="D11" s="2"/>
      <c r="E11" s="1"/>
      <c r="F11" s="2"/>
      <c r="G11" s="1"/>
      <c r="H11" s="2"/>
    </row>
    <row r="12" spans="1:8">
      <c r="A12" s="4"/>
      <c r="B12" s="2"/>
      <c r="C12" s="1"/>
      <c r="D12" s="2"/>
      <c r="E12" s="1"/>
      <c r="F12" s="2"/>
      <c r="G12" s="1"/>
      <c r="H12" s="2"/>
    </row>
    <row r="13" spans="1:8">
      <c r="A13" s="4"/>
      <c r="B13" s="2"/>
      <c r="C13" s="1"/>
      <c r="D13" s="2"/>
      <c r="E13" s="1"/>
      <c r="F13" s="2"/>
      <c r="G13" s="1"/>
      <c r="H13" s="2"/>
    </row>
    <row r="14" spans="1:8">
      <c r="A14" s="4"/>
      <c r="B14" s="2"/>
      <c r="C14" s="1"/>
      <c r="D14" s="2"/>
      <c r="E14" s="1"/>
      <c r="F14" s="2"/>
      <c r="G14" s="1"/>
      <c r="H14" s="2"/>
    </row>
    <row r="15" spans="1:8">
      <c r="A15" s="4"/>
      <c r="B15" s="2"/>
      <c r="C15" s="1"/>
      <c r="D15" s="2"/>
      <c r="E15" s="1"/>
      <c r="F15" s="2"/>
      <c r="G15" s="1"/>
      <c r="H15" s="2"/>
    </row>
    <row r="16" spans="1:8">
      <c r="A16" s="4"/>
      <c r="B16" s="2"/>
      <c r="C16" s="1"/>
      <c r="D16" s="2"/>
      <c r="E16" s="1"/>
      <c r="F16" s="2"/>
      <c r="G16" s="1"/>
      <c r="H16" s="2"/>
    </row>
    <row r="17" spans="1:8">
      <c r="A17" s="4"/>
      <c r="B17" s="2"/>
      <c r="C17" s="1"/>
      <c r="D17" s="2"/>
      <c r="E17" s="1"/>
      <c r="F17" s="2"/>
      <c r="G17" s="1"/>
      <c r="H17" s="2"/>
    </row>
    <row r="18" spans="1:8">
      <c r="A18" s="4"/>
      <c r="B18" s="2"/>
      <c r="C18" s="1"/>
      <c r="D18" s="2"/>
      <c r="E18" s="1"/>
      <c r="F18" s="2"/>
      <c r="G18" s="1"/>
      <c r="H18" s="2"/>
    </row>
    <row r="19" spans="1:8">
      <c r="A19" s="4"/>
      <c r="B19" s="2"/>
      <c r="C19" s="1"/>
      <c r="D19" s="2"/>
      <c r="E19" s="1"/>
      <c r="F19" s="2"/>
      <c r="G19" s="1"/>
      <c r="H19" s="2"/>
    </row>
    <row r="20" spans="1:8">
      <c r="A20" s="4"/>
      <c r="B20" s="2"/>
      <c r="C20" s="1"/>
      <c r="D20" s="2"/>
      <c r="E20" s="1"/>
      <c r="F20" s="2"/>
      <c r="G20" s="1"/>
      <c r="H20" s="2"/>
    </row>
    <row r="21" spans="1:8">
      <c r="A21" s="4"/>
      <c r="B21" s="2"/>
      <c r="C21" s="1"/>
      <c r="D21" s="2"/>
      <c r="E21" s="1"/>
      <c r="F21" s="2"/>
      <c r="G21" s="1"/>
      <c r="H21" s="2"/>
    </row>
    <row r="22" spans="1:8">
      <c r="A22" s="4"/>
      <c r="B22" s="2"/>
      <c r="C22" s="1"/>
      <c r="D22" s="2"/>
      <c r="E22" s="1"/>
      <c r="F22" s="2"/>
      <c r="G22" s="1"/>
      <c r="H22" s="2"/>
    </row>
    <row r="23" spans="1:8">
      <c r="A23" s="4"/>
      <c r="B23" s="2"/>
      <c r="C23" s="1"/>
      <c r="D23" s="2"/>
      <c r="E23" s="1"/>
      <c r="F23" s="2"/>
      <c r="G23" s="1"/>
      <c r="H23" s="2"/>
    </row>
    <row r="24" spans="1:8">
      <c r="A24" s="4"/>
      <c r="B24" s="2"/>
      <c r="C24" s="1"/>
      <c r="D24" s="2"/>
      <c r="E24" s="1"/>
      <c r="F24" s="2"/>
      <c r="G24" s="1"/>
      <c r="H24" s="2"/>
    </row>
    <row r="25" spans="1:8">
      <c r="A25" s="4"/>
      <c r="B25" s="2"/>
      <c r="C25" s="1"/>
      <c r="D25" s="2"/>
      <c r="E25" s="1"/>
      <c r="F25" s="2"/>
      <c r="G25" s="1"/>
      <c r="H25" s="2"/>
    </row>
    <row r="26" spans="1:8" ht="15" thickBot="1">
      <c r="A26" s="5"/>
      <c r="B26" s="3"/>
      <c r="C26" s="6"/>
      <c r="D26" s="3"/>
      <c r="E26" s="6"/>
      <c r="F26" s="3"/>
      <c r="G26" s="6"/>
      <c r="H2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FEDBEE-D3F8-4B1A-80EF-A24D04DB9439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TX</vt:lpstr>
      <vt:lpstr>Sheet2</vt:lpstr>
      <vt:lpstr>lists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CTPClassification=CTP_IC, CTPClassification=CTP_NT</cp:keywords>
  <cp:lastModifiedBy>Kovshov, Marina</cp:lastModifiedBy>
  <dcterms:created xsi:type="dcterms:W3CDTF">2011-12-18T09:45:58Z</dcterms:created>
  <dcterms:modified xsi:type="dcterms:W3CDTF">2019-12-18T07:12:52Z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aeb8ad9c-eb55-4ef0-901b-9794312511c1</vt:lpwstr>
  </property>
  <property fmtid="{D5CDD505-2E9C-101B-9397-08002B2CF9AE}" pid="3" name="CTP_BU">
    <vt:lpwstr>NA</vt:lpwstr>
  </property>
  <property fmtid="{D5CDD505-2E9C-101B-9397-08002B2CF9AE}" pid="4" name="CTP_TimeStamp">
    <vt:lpwstr>2019-12-16 09:20:09Z</vt:lpwstr>
  </property>
  <property fmtid="{D5CDD505-2E9C-101B-9397-08002B2CF9AE}" pid="5" name="ContentTypeId">
    <vt:lpwstr>0x010100A843C0F9E50B914A96F8D271432EBC33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