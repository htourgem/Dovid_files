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mkovshov\Desktop\soconline\0p9\"/>
    </mc:Choice>
  </mc:AlternateContent>
  <xr:revisionPtr revIDLastSave="0" documentId="13_ncr:1_{D1DDFD2A-8C43-4120-AE80-5ECCB77C82C6}" xr6:coauthVersionLast="45" xr6:coauthVersionMax="45" xr10:uidLastSave="{00000000-0000-0000-0000-000000000000}"/>
  <bookViews>
    <workbookView xWindow="-108" yWindow="-108" windowWidth="23256" windowHeight="12576" xr2:uid="{00000000-000D-0000-FFFF-FFFF00000000}"/>
  </bookViews>
  <sheets>
    <sheet name="SARDES_LANE_ANA_TX" sheetId="27" r:id="rId1"/>
    <sheet name="empty" sheetId="26" r:id="rId2"/>
    <sheet name="Sheet2" sheetId="2" state="hidden" r:id="rId3"/>
    <sheet name="lists" sheetId="19" state="hidden" r:id="rId4"/>
  </sheets>
  <functionGroups builtInGroupCount="19"/>
  <externalReferences>
    <externalReference r:id="rId5"/>
  </externalReferences>
  <definedNames>
    <definedName name="BLOCK_NAMES">Sheet2!$A$10:$A$14</definedName>
    <definedName name="BOOLEAN">Sheet2!$H$10:$H$11</definedName>
    <definedName name="default">[1]List!$J$1:$J$5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 i="27" l="1"/>
  <c r="D124" i="27"/>
  <c r="J112" i="27"/>
  <c r="D112" i="27"/>
  <c r="E123" i="27"/>
  <c r="J65" i="27"/>
  <c r="D65" i="27"/>
  <c r="D47" i="27"/>
  <c r="D28" i="27"/>
  <c r="D2" i="27"/>
  <c r="I47" i="27"/>
  <c r="J2" i="27"/>
  <c r="J39" i="27"/>
  <c r="I28" i="27"/>
  <c r="D142" i="27"/>
  <c r="I39" i="27"/>
  <c r="I2" i="27"/>
  <c r="D56" i="27"/>
  <c r="D39" i="27"/>
  <c r="J20" i="27"/>
  <c r="I65" i="27"/>
  <c r="I20" i="27"/>
  <c r="D10" i="27"/>
  <c r="J47" i="27"/>
  <c r="J28" i="27"/>
  <c r="D20" i="27"/>
  <c r="I56" i="27"/>
  <c r="I10" i="27"/>
  <c r="J10" i="27"/>
  <c r="J56" i="27"/>
  <c r="S2" i="27" l="1"/>
  <c r="S10" i="27"/>
  <c r="R2" i="27"/>
  <c r="R10" i="27"/>
  <c r="R20" i="27"/>
  <c r="S20" i="27"/>
  <c r="R28" i="27"/>
  <c r="S28" i="27"/>
  <c r="R39" i="27"/>
  <c r="S39" i="27"/>
  <c r="R47" i="27"/>
  <c r="S47" i="27"/>
  <c r="R56" i="27"/>
  <c r="S56" i="27"/>
  <c r="R65" i="27"/>
  <c r="S65" i="27"/>
  <c r="E143" i="27"/>
  <c r="Q142" i="27"/>
  <c r="M142" i="27"/>
  <c r="J142" i="27"/>
  <c r="I142" i="27"/>
  <c r="E144" i="27"/>
  <c r="R142" i="27" l="1"/>
  <c r="S142" i="27"/>
  <c r="E130" i="27"/>
  <c r="Q129" i="27"/>
  <c r="M129" i="27"/>
  <c r="Q124" i="27"/>
  <c r="M124" i="27"/>
  <c r="J124" i="27"/>
  <c r="E145" i="27"/>
  <c r="J129" i="27"/>
  <c r="I129" i="27"/>
  <c r="D129" i="27"/>
  <c r="E131" i="27"/>
  <c r="S129" i="27" l="1"/>
  <c r="R129" i="27"/>
  <c r="S124" i="27"/>
  <c r="E125" i="27"/>
  <c r="E3" i="27"/>
  <c r="E11" i="27"/>
  <c r="E21" i="27"/>
  <c r="E29" i="27"/>
  <c r="E40" i="27"/>
  <c r="E48" i="27"/>
  <c r="E57" i="27"/>
  <c r="E66" i="27"/>
  <c r="E73" i="27"/>
  <c r="E82" i="27"/>
  <c r="E91" i="27"/>
  <c r="E103" i="27"/>
  <c r="E146" i="27"/>
  <c r="I102" i="27"/>
  <c r="I112" i="27"/>
  <c r="E92" i="27"/>
  <c r="E4" i="27"/>
  <c r="E5" i="27" s="1"/>
  <c r="J81" i="27"/>
  <c r="E12" i="27"/>
  <c r="E22" i="27"/>
  <c r="E13" i="27"/>
  <c r="E14" i="27" s="1"/>
  <c r="J72" i="27"/>
  <c r="E83" i="27"/>
  <c r="E58" i="27"/>
  <c r="E104" i="27"/>
  <c r="I90" i="27"/>
  <c r="E67" i="27"/>
  <c r="E105" i="27"/>
  <c r="E23" i="27"/>
  <c r="E132" i="27"/>
  <c r="E133" i="27" s="1"/>
  <c r="D102" i="27"/>
  <c r="E84" i="27"/>
  <c r="E41" i="27"/>
  <c r="E49" i="27"/>
  <c r="I72" i="27"/>
  <c r="D72" i="27"/>
  <c r="E6" i="27"/>
  <c r="I124" i="27"/>
  <c r="D81" i="27"/>
  <c r="I81" i="27"/>
  <c r="E74" i="27"/>
  <c r="J90" i="27"/>
  <c r="E126" i="27"/>
  <c r="D90" i="27"/>
  <c r="E30" i="27"/>
  <c r="E31" i="27" s="1"/>
  <c r="J102" i="27"/>
  <c r="S112" i="27" l="1"/>
  <c r="R124" i="27"/>
  <c r="E113" i="27"/>
  <c r="E32" i="27"/>
  <c r="E33" i="27" s="1"/>
  <c r="E147" i="27"/>
  <c r="E24" i="27"/>
  <c r="E68" i="27"/>
  <c r="E34" i="27"/>
  <c r="E127" i="27"/>
  <c r="E93" i="27"/>
  <c r="E69" i="27"/>
  <c r="E15" i="27"/>
  <c r="E7" i="27"/>
  <c r="E114" i="27"/>
  <c r="E115" i="27" s="1"/>
  <c r="E75" i="27"/>
  <c r="E134" i="27"/>
  <c r="E50" i="27"/>
  <c r="E42" i="27"/>
  <c r="E59" i="27"/>
  <c r="E106" i="27"/>
  <c r="E43" i="27"/>
  <c r="E85" i="27"/>
  <c r="Q28" i="27" l="1"/>
  <c r="M28" i="27"/>
  <c r="Q20" i="27"/>
  <c r="M20" i="27"/>
  <c r="E86" i="27"/>
  <c r="E60" i="27"/>
  <c r="E44" i="27"/>
  <c r="E107" i="27"/>
  <c r="E128" i="27"/>
  <c r="E108" i="27"/>
  <c r="E87" i="27"/>
  <c r="E16" i="27"/>
  <c r="E116" i="27"/>
  <c r="E117" i="27" s="1"/>
  <c r="E94" i="27"/>
  <c r="E76" i="27"/>
  <c r="E77" i="27" s="1"/>
  <c r="E35" i="27"/>
  <c r="E36" i="27" s="1"/>
  <c r="E78" i="27"/>
  <c r="E79" i="27" s="1"/>
  <c r="E25" i="27"/>
  <c r="E26" i="27" s="1"/>
  <c r="E8" i="27"/>
  <c r="E9" i="27"/>
  <c r="E70" i="27"/>
  <c r="E135" i="27"/>
  <c r="E136" i="27" s="1"/>
  <c r="E71" i="27"/>
  <c r="E17" i="27"/>
  <c r="E51" i="27"/>
  <c r="E52" i="27" s="1"/>
  <c r="E148" i="27"/>
  <c r="E149" i="27" s="1"/>
  <c r="E45" i="27"/>
  <c r="E88" i="27"/>
  <c r="Q112" i="27" l="1"/>
  <c r="M112" i="27"/>
  <c r="Q102" i="27"/>
  <c r="M102" i="27"/>
  <c r="Q90" i="27"/>
  <c r="M90" i="27"/>
  <c r="Q81" i="27"/>
  <c r="M81" i="27"/>
  <c r="Q72" i="27"/>
  <c r="M72" i="27"/>
  <c r="Q65" i="27"/>
  <c r="M65" i="27"/>
  <c r="Q56" i="27"/>
  <c r="M56" i="27"/>
  <c r="Q47" i="27"/>
  <c r="M47" i="27"/>
  <c r="Q39" i="27"/>
  <c r="M39" i="27"/>
  <c r="Q10" i="27"/>
  <c r="M10" i="27"/>
  <c r="Q2" i="27"/>
  <c r="E53" i="27"/>
  <c r="E61" i="27"/>
  <c r="E62" i="27" s="1"/>
  <c r="E63" i="27" s="1"/>
  <c r="E109" i="27"/>
  <c r="E46" i="27"/>
  <c r="E80" i="27"/>
  <c r="E89" i="27"/>
  <c r="E64" i="27"/>
  <c r="E118" i="27"/>
  <c r="E27" i="27"/>
  <c r="E137" i="27"/>
  <c r="E18" i="27"/>
  <c r="E150" i="27"/>
  <c r="E95" i="27"/>
  <c r="E96" i="27" s="1"/>
  <c r="E97" i="27" s="1"/>
  <c r="E98" i="27" s="1"/>
  <c r="E99" i="27" s="1"/>
  <c r="E37" i="27"/>
  <c r="E38" i="27" s="1"/>
  <c r="S72" i="27" l="1"/>
  <c r="R81" i="27"/>
  <c r="S90" i="27"/>
  <c r="R102" i="27"/>
  <c r="S81" i="27"/>
  <c r="S102" i="27"/>
  <c r="R72" i="27"/>
  <c r="R90" i="27"/>
  <c r="R112" i="27"/>
  <c r="E54" i="27"/>
  <c r="E55" i="27" s="1"/>
  <c r="E138" i="27"/>
  <c r="E139" i="27"/>
  <c r="E19" i="27"/>
  <c r="E100" i="27"/>
  <c r="E101" i="27" s="1"/>
  <c r="E110" i="27"/>
  <c r="E111" i="27"/>
  <c r="E119" i="27"/>
  <c r="E120" i="27" s="1"/>
  <c r="E151" i="27"/>
  <c r="E152" i="27" s="1"/>
  <c r="E153" i="27" s="1"/>
  <c r="E140" i="27"/>
  <c r="E141" i="27" s="1"/>
  <c r="E121" i="27" l="1"/>
  <c r="E122" i="27" l="1"/>
</calcChain>
</file>

<file path=xl/sharedStrings.xml><?xml version="1.0" encoding="utf-8"?>
<sst xmlns="http://schemas.openxmlformats.org/spreadsheetml/2006/main" count="1099" uniqueCount="393">
  <si>
    <t>Field Name</t>
  </si>
  <si>
    <t>Width</t>
  </si>
  <si>
    <t>Bits</t>
  </si>
  <si>
    <t>Description</t>
  </si>
  <si>
    <t>Need to latch for at-speed scan?</t>
  </si>
  <si>
    <t>COMMON</t>
  </si>
  <si>
    <t>NO</t>
  </si>
  <si>
    <t>1'b0</t>
  </si>
  <si>
    <t>YES</t>
  </si>
  <si>
    <t>FFDIV</t>
  </si>
  <si>
    <t>DEBUF</t>
  </si>
  <si>
    <t>HEX2DEC</t>
  </si>
  <si>
    <t>DEC2HEX</t>
  </si>
  <si>
    <t>PULSE</t>
  </si>
  <si>
    <t>SEBUF</t>
  </si>
  <si>
    <t>wr</t>
  </si>
  <si>
    <t>r</t>
  </si>
  <si>
    <t>hw type</t>
  </si>
  <si>
    <t>hwclr</t>
  </si>
  <si>
    <t>we</t>
  </si>
  <si>
    <t>PHMOD</t>
  </si>
  <si>
    <t>Reg Offset</t>
  </si>
  <si>
    <t>CMU</t>
  </si>
  <si>
    <t>default type</t>
  </si>
  <si>
    <t>Reg Type</t>
  </si>
  <si>
    <t>WR</t>
  </si>
  <si>
    <t>RO</t>
  </si>
  <si>
    <t>REG_TYPE</t>
  </si>
  <si>
    <t>DEFAULT_TYPE</t>
  </si>
  <si>
    <t>soft strap</t>
  </si>
  <si>
    <t>default</t>
  </si>
  <si>
    <t>strap</t>
  </si>
  <si>
    <t>fuse</t>
  </si>
  <si>
    <t>Reg Name</t>
  </si>
  <si>
    <t>Sus Well</t>
  </si>
  <si>
    <t>Default</t>
  </si>
  <si>
    <t>RW</t>
  </si>
  <si>
    <t>1'b1</t>
  </si>
  <si>
    <t>Reg Soconline Offset</t>
  </si>
  <si>
    <t>user define</t>
  </si>
  <si>
    <t>2'b0</t>
  </si>
  <si>
    <t xml:space="preserve">Domain </t>
  </si>
  <si>
    <t>decoder pin</t>
  </si>
  <si>
    <t>5'b0</t>
  </si>
  <si>
    <t>4'b0</t>
  </si>
  <si>
    <t>SA ADDRESS</t>
  </si>
  <si>
    <t>3'b010</t>
  </si>
  <si>
    <t>spare</t>
  </si>
  <si>
    <t>5'b10000</t>
  </si>
  <si>
    <t>4'b1100</t>
  </si>
  <si>
    <t>TXCORE_reg0</t>
  </si>
  <si>
    <t>reg_tx_biasctrl_bin0</t>
  </si>
  <si>
    <t>5'b01101</t>
  </si>
  <si>
    <t>reg_tx_biasctrl_bin1</t>
  </si>
  <si>
    <t>reg_tx_biasctrl_bin2</t>
  </si>
  <si>
    <t>reg_tx_biasctrl_bin3</t>
  </si>
  <si>
    <t>reg_tx_biasctrl_therm</t>
  </si>
  <si>
    <t>reg_tx_vcas_mux</t>
  </si>
  <si>
    <t>TXCORE_reg1</t>
  </si>
  <si>
    <t>reg_tx_bias_config</t>
  </si>
  <si>
    <t>reg_tx_bias_input_ctrl</t>
  </si>
  <si>
    <t>reg_tx_biasctrl_cm</t>
  </si>
  <si>
    <t>reg_tx_biasctrl_leaker</t>
  </si>
  <si>
    <t>reg_tx_lkrcaliben</t>
  </si>
  <si>
    <t>reg_tx_pisodivdelay</t>
  </si>
  <si>
    <t>reg_tx_rterm_ctl</t>
  </si>
  <si>
    <t>reg_tx_rterm_disable</t>
  </si>
  <si>
    <t>reg_tx_rterm_onbiastune</t>
  </si>
  <si>
    <t>5'b00100</t>
  </si>
  <si>
    <t>spare0</t>
  </si>
  <si>
    <t>spare2</t>
  </si>
  <si>
    <t>reg_tx_biasctrl_lkrin</t>
  </si>
  <si>
    <t>reg_tx_bias_shrt</t>
  </si>
  <si>
    <t>reg_tx_ldo_en</t>
  </si>
  <si>
    <t>reg_tx_ldo_bias_en</t>
  </si>
  <si>
    <t>reg_tx_ldo_25to50u_en</t>
  </si>
  <si>
    <t>bias common (current source)</t>
  </si>
  <si>
    <t>bias cntrol of leaker</t>
  </si>
  <si>
    <t>leaker calib en</t>
  </si>
  <si>
    <t>piso div delay</t>
  </si>
  <si>
    <t>rterm control</t>
  </si>
  <si>
    <t>rterm disable</t>
  </si>
  <si>
    <t>rterm on bias value</t>
  </si>
  <si>
    <t xml:space="preserve">input current mirrow dac </t>
  </si>
  <si>
    <t>input current diode config</t>
  </si>
  <si>
    <t>ldo enable</t>
  </si>
  <si>
    <t>ldo bias en</t>
  </si>
  <si>
    <t>ldo input  current select</t>
  </si>
  <si>
    <t>S</t>
  </si>
  <si>
    <t>8C</t>
  </si>
  <si>
    <t>9C</t>
  </si>
  <si>
    <t>A0</t>
  </si>
  <si>
    <t>A4</t>
  </si>
  <si>
    <t>A8</t>
  </si>
  <si>
    <t>AC</t>
  </si>
  <si>
    <t>B0</t>
  </si>
  <si>
    <t>4'b0110</t>
  </si>
  <si>
    <t>6'b111111</t>
  </si>
  <si>
    <t>TXCORE_reg2</t>
  </si>
  <si>
    <t>TXCORE_reg3</t>
  </si>
  <si>
    <t>reg_hsmon_dfx1_sel</t>
  </si>
  <si>
    <t>reg_hsmon_dfx2_sel</t>
  </si>
  <si>
    <t>reg_hsmon_dfx_dfx1_sel</t>
  </si>
  <si>
    <t>reg_hsmon_l2r_r2l_sel</t>
  </si>
  <si>
    <t>reg_hsmon_rx_sel</t>
  </si>
  <si>
    <t>reg_hsmon_lm1_en</t>
  </si>
  <si>
    <t>spare3</t>
  </si>
  <si>
    <t>TXCLK_reg0</t>
  </si>
  <si>
    <t>crstune_ph0start</t>
  </si>
  <si>
    <t>crstune_ph1start</t>
  </si>
  <si>
    <t>crstune_ph2start</t>
  </si>
  <si>
    <t>crstune_ph3start</t>
  </si>
  <si>
    <t>crstune_ph4start</t>
  </si>
  <si>
    <t>crstune_ph5start</t>
  </si>
  <si>
    <t>TXCLK_reg1</t>
  </si>
  <si>
    <t>TXCLK_reg2</t>
  </si>
  <si>
    <t>TXCLK_reg3</t>
  </si>
  <si>
    <t>TXCLK_reg4</t>
  </si>
  <si>
    <t>TXCLK_reg5</t>
  </si>
  <si>
    <t>TXCLK_reg6</t>
  </si>
  <si>
    <t>crstune_ph6start</t>
  </si>
  <si>
    <t>crstune_ph7start</t>
  </si>
  <si>
    <t>crstune_ph0stop</t>
  </si>
  <si>
    <t>crstune_ph1stop</t>
  </si>
  <si>
    <t>crstune_ph2stop</t>
  </si>
  <si>
    <t>crstune_ph3stop</t>
  </si>
  <si>
    <t>6'b0</t>
  </si>
  <si>
    <t>crstune_ph4stop</t>
  </si>
  <si>
    <t>crstune_ph5stop</t>
  </si>
  <si>
    <t>crstune_ph6stop</t>
  </si>
  <si>
    <t>crstune_ph7stop</t>
  </si>
  <si>
    <t>finetune_ph0start</t>
  </si>
  <si>
    <t>finetune_ph1start</t>
  </si>
  <si>
    <t>finetune_ph2start</t>
  </si>
  <si>
    <t>finetune_ph3start</t>
  </si>
  <si>
    <t>finetune_ph4start</t>
  </si>
  <si>
    <t>finetune_ph5start</t>
  </si>
  <si>
    <t>finetune_ph6start</t>
  </si>
  <si>
    <t>finetune_ph7start</t>
  </si>
  <si>
    <t>finetune_ph0stop</t>
  </si>
  <si>
    <t>finetune_ph1stop</t>
  </si>
  <si>
    <t>finetune_ph2stop</t>
  </si>
  <si>
    <t>finetune_ph3stop</t>
  </si>
  <si>
    <t>finetune_ph4stop</t>
  </si>
  <si>
    <t>finetune_ph5stop</t>
  </si>
  <si>
    <t>finetune_ph6stop</t>
  </si>
  <si>
    <t>finetune_ph7stop</t>
  </si>
  <si>
    <t>dl_cbtune</t>
  </si>
  <si>
    <t>dlrep_cbtune</t>
  </si>
  <si>
    <t>bticlken</t>
  </si>
  <si>
    <t>dfxclken</t>
  </si>
  <si>
    <t>dfxclksel</t>
  </si>
  <si>
    <t>dcc_iref0</t>
  </si>
  <si>
    <t>dcc_iref1</t>
  </si>
  <si>
    <t>dcc_iref2</t>
  </si>
  <si>
    <t>dcc_iref3</t>
  </si>
  <si>
    <t>clkdiv1en</t>
  </si>
  <si>
    <t>clkdiv2en</t>
  </si>
  <si>
    <t>clkdiv4en</t>
  </si>
  <si>
    <t>pllen_ovrden</t>
  </si>
  <si>
    <t>pllen_ovrdval</t>
  </si>
  <si>
    <t>TXCLK_reg7</t>
  </si>
  <si>
    <t>TXCLK_reg8</t>
  </si>
  <si>
    <t>3'b0</t>
  </si>
  <si>
    <t>adc_comp_lvlup</t>
  </si>
  <si>
    <t>adc_comp_lvldn</t>
  </si>
  <si>
    <t>adc_comp_lpfless</t>
  </si>
  <si>
    <t>dlrep_earlyclk_sel</t>
  </si>
  <si>
    <t>dlrep_lateclk_sel</t>
  </si>
  <si>
    <t>dl_vhigh_sel</t>
  </si>
  <si>
    <t>dl_vlow_sel</t>
  </si>
  <si>
    <t>dlrep_vhigh_sel</t>
  </si>
  <si>
    <t>txpadrep_sel</t>
  </si>
  <si>
    <t>adc_vhigh_sel</t>
  </si>
  <si>
    <t>adc_vlow_sel</t>
  </si>
  <si>
    <t>adc_clk2logic_sel</t>
  </si>
  <si>
    <t>dlrep_clk2logic_sel</t>
  </si>
  <si>
    <t>dlrep_vlow_sel</t>
  </si>
  <si>
    <t>UI0 start time
Coarse tune control of ph0-start
~250fs delay per code
2LSB are binary coded, rest are Gray coded.
Code is limited to 19</t>
  </si>
  <si>
    <t>UI1 start time
see crstune_ph0start for more details</t>
  </si>
  <si>
    <t>UI2 start time
see crstune_ph0start for more details</t>
  </si>
  <si>
    <t>UI3 start time
see crstune_ph0start for more details</t>
  </si>
  <si>
    <t>UI4 start time
see crstune_ph0start for more details</t>
  </si>
  <si>
    <t>UI5 start time
see crstune_ph0start for more details</t>
  </si>
  <si>
    <t>UI6 start time
see crstune_ph0start for more details</t>
  </si>
  <si>
    <t>UI7 start time
see crstune_ph0start for more details</t>
  </si>
  <si>
    <t>UI3 stop time
see crstune_ph0start for more details</t>
  </si>
  <si>
    <t>UI4 stop time
see crstune_ph0start for more details</t>
  </si>
  <si>
    <t>UI5 stop time
see crstune_ph0start for more details</t>
  </si>
  <si>
    <t>UI6 stop time
see crstune_ph0start for more details</t>
  </si>
  <si>
    <t>UI7 stop time
see crstune_ph0start for more details</t>
  </si>
  <si>
    <t>UI0 stop time
see crstune_ph0start for more details</t>
  </si>
  <si>
    <t>UI1 stop time
see crstune_ph0start for more details</t>
  </si>
  <si>
    <t>UI2 stop time
see crstune_ph0start for more details</t>
  </si>
  <si>
    <t>UI0 start time
Fine tune control of ph0-start
~40fs delay per code
2LSB are binary coded, rest are Gray coded</t>
  </si>
  <si>
    <t>UI1 start time
see finetune_ph0start for more details</t>
  </si>
  <si>
    <t>UI2 start time
see finetune_ph0start for more details</t>
  </si>
  <si>
    <t>UI3 start time
see finetune_ph0start for more details</t>
  </si>
  <si>
    <t>UI4 start time
see finetune_ph0start for more details</t>
  </si>
  <si>
    <t>UI5 start time
see finetune_ph0start for more details</t>
  </si>
  <si>
    <t>UI6 start time
see finetune_ph0start for more details</t>
  </si>
  <si>
    <t>UI7 start time
see finetune_ph0start for more details</t>
  </si>
  <si>
    <t>UI3 stop time
see finetune_ph0start for more details</t>
  </si>
  <si>
    <t>UI4 stop time
see finetune_ph0start for more details</t>
  </si>
  <si>
    <t>UI5 stop time
see finetune_ph0start for more details</t>
  </si>
  <si>
    <t>UI6 stop time
see finetune_ph0start for more details</t>
  </si>
  <si>
    <t>UI7 stop time
see finetune_ph0start for more details</t>
  </si>
  <si>
    <t>UI0 stop time
see finetune_ph0start for more details</t>
  </si>
  <si>
    <t>UI1 stop time
see finetune_ph0start for more details</t>
  </si>
  <si>
    <t>UI2 stop time
see finetune_ph0start for more details</t>
  </si>
  <si>
    <t>Higher code forces higher vcc_dl</t>
  </si>
  <si>
    <t>Higher code forces higher vcc_dlrep</t>
  </si>
  <si>
    <t>set during long disable duration to proparage BTI clock into clock path and prevent assymetric aging
Needed only if clock path LDOs can't be turned off</t>
  </si>
  <si>
    <t>enable qdiv to generate 4 phases of dfx clock
set to 1 to route dfxclk to TX</t>
  </si>
  <si>
    <t>select 4 phases of dfx clock to generate 8 phases
set to 1 to route dfxclk to TX</t>
  </si>
  <si>
    <t>Enables Falcon clocking</t>
  </si>
  <si>
    <t>Enables Barak64ui clocking</t>
  </si>
  <si>
    <t>Enables Barak32ui clocking</t>
  </si>
  <si>
    <t>enables pllen override option. use it only if PLL also uses internal override option. This is to ensurethat TX clocking has the same pllen value as the PLL does (for avoiding reliability issues in cml2cmos)</t>
  </si>
  <si>
    <t>pllen override value</t>
  </si>
  <si>
    <t>reduces common of input signals to ADC comparator by Vgs
See adc_comp_lvlup for more details</t>
  </si>
  <si>
    <t>when 1, LPF resistor is smaller (higher BW). Might help for better ADC accuracy</t>
  </si>
  <si>
    <t>when 1, DLL (delay line replica) locks on TX clock pattern rather than on PLL div2 clock</t>
  </si>
  <si>
    <t>[0] - when 0, adc clock rate is Fdco/16, else Fdco/32
[1] - when 0, adc clock is disabled, else enabled</t>
  </si>
  <si>
    <t>[0] - when 0, dll clock rate is Fdco/16, else Fdco/32
[1] - when 0, dll clock is disabled, else enabled</t>
  </si>
  <si>
    <t>dcmonen</t>
  </si>
  <si>
    <t>Sets vmax for vcc_dl. idl_voutsel[5:0] bus from TX logic would determine vref to vcc_dl LDO between vmax and vmin</t>
  </si>
  <si>
    <t>Sets vmin for vcc_dl</t>
  </si>
  <si>
    <t>Sets vmax for vcc_dlrep. idlrep_voutsel[5:0] bus from TX logic would determine vref to vcc_dlrep LDO between vmax and vmin</t>
  </si>
  <si>
    <t>Sets vmin for vcc_dlrep</t>
  </si>
  <si>
    <t>Sets vmax for ADC vfb. idac_voutsel[5:0] bus from TX logic would determine ADC vfb between vmax and vmin</t>
  </si>
  <si>
    <t>Sets vmin for ADC vfb</t>
  </si>
  <si>
    <t>3'b111</t>
  </si>
  <si>
    <t>3'b100</t>
  </si>
  <si>
    <t>3'b011</t>
  </si>
  <si>
    <t>select for l2r and r2l clk. 1 - from pll, 2- from rx, 0 - clk is 0.</t>
  </si>
  <si>
    <t>select for hsmon. select between (l2r or r2l) and (rx or pll)</t>
  </si>
  <si>
    <t>select for hsmon. Select between r2l or l2r</t>
  </si>
  <si>
    <t>select for hsmon. Select between rxdco or rx local.</t>
  </si>
  <si>
    <t>select for hsmon. Select between rx or pll</t>
  </si>
  <si>
    <t>hsmon lm1 en</t>
  </si>
  <si>
    <t>6'b101111</t>
  </si>
  <si>
    <t>6'b110000</t>
  </si>
  <si>
    <t>DCC Gray code control. 32d is mid value where DC isn’t corrected. Higher code means higher duty cycle. 
Flc - DC of phases 0,2; opposite for phases 5,7 
Barak64ui - DC of phase 0,1
Barak32ui - no impact on DC</t>
  </si>
  <si>
    <t>DCC Gray code control. See dcc_iref0[5:0] for more details
Flc - DC of phases 4,6; opposite for phases 1,3 
Barak64ui - DC of phase 2,3
Barak32ui - no impact on DC</t>
  </si>
  <si>
    <t>DCC Gray code control. See dcc_iref0[5:0] for more details
Barak64ui - DC of phase 4,5
Barak32ui - no impact on DC</t>
  </si>
  <si>
    <t>DCC Gray code control. See dcc_iref0[5:0] for more details
Barak64ui - DC of phase 6,7
Barak32ui - no impact on DC</t>
  </si>
  <si>
    <t>NVM value</t>
  </si>
  <si>
    <t>Reset value</t>
  </si>
  <si>
    <t>NVM Value(HEX)</t>
  </si>
  <si>
    <t>Reset Value(HEX)</t>
  </si>
  <si>
    <t>NVM_value</t>
  </si>
  <si>
    <t>Reset_value</t>
  </si>
  <si>
    <t>spare5</t>
  </si>
  <si>
    <t>dlrep, late clock select:
0 - phase7
1 - phase8
2 - phase9
3 - phase10 
Higher code forces dll loop to higher vcc_dlrepHigher code forces vcc_dlrep to higher voltage
For correct DLL loop polarity:
dlrep_lateclk_sel  |  tx_clocking_ldo_sign
             0,2              |               0  
             1,3              |               1</t>
  </si>
  <si>
    <t>dlrep, early clock select:
0 - phase0
2 - phase2
1,3 - illegal 
Higher code forces dll loop to higher vcc_dlrep</t>
  </si>
  <si>
    <t>spare7</t>
  </si>
  <si>
    <t>13'b0</t>
  </si>
  <si>
    <t>current source bias (bin)</t>
  </si>
  <si>
    <t>current source bias (therm)</t>
  </si>
  <si>
    <t>bias to gate active peaking</t>
  </si>
  <si>
    <t>HDL Path</t>
  </si>
  <si>
    <t>prototype path</t>
  </si>
  <si>
    <t>txanatop.phgen.regdec.xreg.pllen_ovrden</t>
  </si>
  <si>
    <t>txanatop.phgen.regdec.xreg.pllen_ovrdval</t>
  </si>
  <si>
    <t>txanatop.phgen.regdec.xreg.spare5</t>
  </si>
  <si>
    <t>txanatop.phgen.regdec.xreg.adc_comp_lpfless</t>
  </si>
  <si>
    <t>txanatop.phgen.regdec.xreg.adc_comp_lvldn</t>
  </si>
  <si>
    <t>txanatop.phgen.regdec.xreg.adc_comp_lvlup</t>
  </si>
  <si>
    <t>txanatop.phgen.regdec.xreg.txpadrep_sel</t>
  </si>
  <si>
    <t>txanatop.phgen.regdec.xreg.sense_nor2_set0</t>
  </si>
  <si>
    <t>txanatop.phgen.regdec.xreg.spare7</t>
  </si>
  <si>
    <t>txanatop.phgen.regdec.xreg.dcmonen</t>
  </si>
  <si>
    <t>txanatop.phgen.regdec.xreg.adc_vmonsel</t>
  </si>
  <si>
    <t>txanatop.phgen.regdec.xreg.crstune_ph4start[4:0]</t>
  </si>
  <si>
    <t>txanatop.phgen.regdec.xreg.crstune_ph3stop[4:0]</t>
  </si>
  <si>
    <t>txanatop.phgen.regdec.xreg.finetune_ph3stop[5:0]</t>
  </si>
  <si>
    <t>txanatop.phgen.regdec.xreg.dlrep_cbtune[3:0]</t>
  </si>
  <si>
    <t>txanatop.phgen.regdec.xreg.finetune_ph3start[5:0]</t>
  </si>
  <si>
    <t>txanatop.phgen.regdec.xreg.spare4[3:0]</t>
  </si>
  <si>
    <t>txanatop.phgen.regdec.xreg.crstune_ph3start[4:0]</t>
  </si>
  <si>
    <t>txanatop.phgen.regdec.xreg.crstune_ph2stop[4:0]</t>
  </si>
  <si>
    <t>txanatop.phgen.regdec.xreg.finetune_ph2stop[5:0]</t>
  </si>
  <si>
    <t>txanatop.phgen.regdec.xreg.finetune_ph2start[5:0]</t>
  </si>
  <si>
    <t>txanatop.phgen.regdec.xreg.sense_nor2_stop_sel[2:0]</t>
  </si>
  <si>
    <t>txanatop.phgen.regdec.xreg.sense_nor2_startb_sel[2:0]</t>
  </si>
  <si>
    <t>txanatop.phgen.regdec.xreg.sense_nor1_start_sel[2:0]</t>
  </si>
  <si>
    <t>txanatop.phgen.regdec.xreg.crstune_ph2start[4:0]</t>
  </si>
  <si>
    <t>txanatop.phgen.regdec.xreg.crstune_ph1stop[4:0]</t>
  </si>
  <si>
    <t>txanatop.phgen.regdec.xreg.finetune_ph1stop[5:0]</t>
  </si>
  <si>
    <t>txanatop.phgen.regdec.xreg.finetune_ph1start[5:0]</t>
  </si>
  <si>
    <t>txanatop.phgen.regdec.xreg.dlrep_lateclk_sel[1:0]</t>
  </si>
  <si>
    <t>txanatop.phgen.regdec.xreg.dlrep_earlyclk_sel[1:0]</t>
  </si>
  <si>
    <t>txanatop.phgen.regdec.xreg.spare6[1:0]</t>
  </si>
  <si>
    <t>txanatop.phgen.regdec.xreg.crstune_ph1start[4:0]</t>
  </si>
  <si>
    <t>txanatop.phgen.regdec.xreg.crstune_ph0stop[4:0]</t>
  </si>
  <si>
    <t>txanatop.phgen.regdec.xreg.finetune_ph0stop[5:0]</t>
  </si>
  <si>
    <t>txanatop.phgen.regdec.xreg.dlrep_vlow_sel[2:0]</t>
  </si>
  <si>
    <t>txanatop.phgen.regdec.xreg.dlrep_vhigh_sel[2:0]</t>
  </si>
  <si>
    <t>txanatop.phgen.regdec.xreg.dl_vlow_sel[2:0]</t>
  </si>
  <si>
    <t>txanatop.phgen.regdec.xreg.dl_vhigh_sel[2:0]</t>
  </si>
  <si>
    <t>txanatop.phgen.regdec.xreg.finetune_ph0start[5:0]</t>
  </si>
  <si>
    <t>txanatop.phgen.regdec.xreg.crstune_ph0start[4:0]</t>
  </si>
  <si>
    <t>txanatop.phgen.regdec.xreg.dcmon_sel[2:0]</t>
  </si>
  <si>
    <t>txanatop.phgen.regdec.xreg.dlrep_clk2logic_sel[1:0]</t>
  </si>
  <si>
    <t>txanatop.phgen.regdec.xreg.adc_clk2logic_sel[1:0]</t>
  </si>
  <si>
    <t>txanatop.phgen.regdec.xreg.adc_vlow_sel[2:0]</t>
  </si>
  <si>
    <t>txanatop.phgen.regdec.xreg.adc_vhigh_sel[2:0]</t>
  </si>
  <si>
    <t>txanatop.phgen.regdec.xreg.spare8[5:0]</t>
  </si>
  <si>
    <t>reg_tx_biasctrl_therm0</t>
  </si>
  <si>
    <t>reg_tx_biasctrl_therm1</t>
  </si>
  <si>
    <t>reg_tx_biasctrl_therm2</t>
  </si>
  <si>
    <t>reg_tx_biasctrl_therm3</t>
  </si>
  <si>
    <t>reg_tx_biasctrl_therm4</t>
  </si>
  <si>
    <t>reg_tx_biasctrl_therm5</t>
  </si>
  <si>
    <t>sense_dutycycle</t>
  </si>
  <si>
    <t>dc_stop5</t>
  </si>
  <si>
    <t>dc_stop6</t>
  </si>
  <si>
    <t>dc_stop7</t>
  </si>
  <si>
    <t>dc_stop4</t>
  </si>
  <si>
    <t>dc_stop2</t>
  </si>
  <si>
    <t>dc_stop3</t>
  </si>
  <si>
    <t>B4</t>
  </si>
  <si>
    <t>reg_tx_biten</t>
  </si>
  <si>
    <t>reg_tx_data_force</t>
  </si>
  <si>
    <t>reg_tx_data_force_val</t>
  </si>
  <si>
    <t>11'b11111111111</t>
  </si>
  <si>
    <t>11'b0</t>
  </si>
  <si>
    <t>5'b11000</t>
  </si>
  <si>
    <t>5'b11001</t>
  </si>
  <si>
    <t>TXCORE_reg13</t>
  </si>
  <si>
    <t>TXCORE_reg14</t>
  </si>
  <si>
    <t>reg_tx_isnsdata</t>
  </si>
  <si>
    <t>reg_tx_isnssel</t>
  </si>
  <si>
    <t>reg_tx_itermsnsenb</t>
  </si>
  <si>
    <t>reg_tx_amon_sel</t>
  </si>
  <si>
    <t>8'b11111111</t>
  </si>
  <si>
    <t>8'b0</t>
  </si>
  <si>
    <t>reg_tx_cm_calib_en</t>
  </si>
  <si>
    <t>idig_tx_inv_clk_64ui_en</t>
  </si>
  <si>
    <t>reg_tx_cm_ref_sel</t>
  </si>
  <si>
    <t>reg_tx_en_cas_min</t>
  </si>
  <si>
    <t>reg_tx_piso32b_mode</t>
  </si>
  <si>
    <t>reg_tx_ck64_delay_sel</t>
  </si>
  <si>
    <t>reg_tx_ibias_amon_en</t>
  </si>
  <si>
    <t>reg_tx_force_powergood</t>
  </si>
  <si>
    <t>2'b01</t>
  </si>
  <si>
    <t>dc_start0</t>
  </si>
  <si>
    <t>dc_start1</t>
  </si>
  <si>
    <t>dc_start2</t>
  </si>
  <si>
    <t>dc_start3</t>
  </si>
  <si>
    <t>dc_start4</t>
  </si>
  <si>
    <t>dc_start5</t>
  </si>
  <si>
    <t>dc_start6</t>
  </si>
  <si>
    <t>dc_start7</t>
  </si>
  <si>
    <t>dc_stop0</t>
  </si>
  <si>
    <t>dc_stop1</t>
  </si>
  <si>
    <t>spare15</t>
  </si>
  <si>
    <t>B8</t>
  </si>
  <si>
    <t>BC</t>
  </si>
  <si>
    <t>TXCLK_reg15</t>
  </si>
  <si>
    <t>selects which signal goes to ADC (or vmon, if monsel==1):
7 - vref_dl (vref to vcc_dl LDO)
6 - vref_dlrep (vref to vcc_dlrep LDO)
5 - vref_dac (controls ADC vfb)
4 - vcc_dl
3 - vcc_dlrep
2 - vcc_txclk
1 - txpad_lpf (TX PAD after LPF, to measure UI spacing)
0 - duty cycle sense (see sense_dutycycle reg)</t>
  </si>
  <si>
    <t>when 1, the signal that is selected to adc goes also to output pin to DC mon, otherwise highz</t>
  </si>
  <si>
    <t>increases common of input signals to ADC comparator by Vgs
lvlup/lvldn = 0/0 -] comp recieves actual signals (not recommended due to large kickbacks)
lvlup/lvldn = 1/0 -] recommended when measuring voltages below 300mV (sensing start-start or start-stop phases)
lvlup/lvldn = 0/1 -] recommended for measuring LDOs outputs or LDOs vrefs (through vmon mux)
lvlup/lvldn = 1/1 -] recommended for measuring duty cycle of phases</t>
  </si>
  <si>
    <t>see description of dc_start0[2:0]</t>
  </si>
  <si>
    <t>controls duty cycle of Falcon (224G) mode only for each of the phases
[2]: sets direction
[1:0]: sets amount of duty cycle offset to inject, where code=0 means no offset</t>
  </si>
  <si>
    <t>selects between DC voltage of the 16 phases going through LPF that would be measured by ADC
0 - …</t>
  </si>
  <si>
    <t>drv sensor data</t>
  </si>
  <si>
    <t>sel sensor send to phgen adccomp</t>
  </si>
  <si>
    <t>drv replica sns en</t>
  </si>
  <si>
    <t>dcmon sel</t>
  </si>
  <si>
    <t>inv ck64ui send to digtop</t>
  </si>
  <si>
    <t>common calibration en</t>
  </si>
  <si>
    <t>common refernce sel</t>
  </si>
  <si>
    <t xml:space="preserve">en drv replica to have min voltage </t>
  </si>
  <si>
    <t>en 32bit mode</t>
  </si>
  <si>
    <t>sel ck64ui send to digtop</t>
  </si>
  <si>
    <t>enable dcmon</t>
  </si>
  <si>
    <t xml:space="preserve">force en power good </t>
  </si>
  <si>
    <t>bias cntrol of leaker -crsetune</t>
  </si>
  <si>
    <t xml:space="preserve">enable current source </t>
  </si>
  <si>
    <t>force data to en 1 therm</t>
  </si>
  <si>
    <t>force data value for therm3 and bin</t>
  </si>
  <si>
    <t>current source bias (therm0)- finetune</t>
  </si>
  <si>
    <t>current source bias (therm1)- finetune</t>
  </si>
  <si>
    <t>current source bias (therm2)- finetune</t>
  </si>
  <si>
    <t>current source bias (therm3)- finetune</t>
  </si>
  <si>
    <t>current source bias (therm4)- finetune</t>
  </si>
  <si>
    <t>current source bias (therm5)- finetune</t>
  </si>
  <si>
    <t>short bias of different slice - 5 modes</t>
  </si>
  <si>
    <t>2'b10</t>
  </si>
  <si>
    <t>adcmon_sel</t>
  </si>
  <si>
    <t>spare8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</si>
</sst>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8"/>
      <name val="Calibri"/>
      <family val="2"/>
    </font>
    <font>
      <sz val="11"/>
      <color theme="1"/>
      <name val="Calibri"/>
      <family val="2"/>
      <scheme val="minor"/>
    </font>
    <font>
      <b/>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b/>
      <sz val="10"/>
      <name val="Neo Sans Intel"/>
      <family val="2"/>
    </font>
    <font>
      <sz val="8"/>
      <name val="Calibri"/>
      <family val="2"/>
    </font>
  </fonts>
  <fills count="32">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rgb="FFFFC000"/>
        <bgColor indexed="26"/>
      </patternFill>
    </fill>
    <fill>
      <patternFill patternType="solid">
        <fgColor rgb="FFCCECFF"/>
        <bgColor indexed="26"/>
      </patternFill>
    </fill>
    <fill>
      <patternFill patternType="solid">
        <fgColor rgb="FFFFFF00"/>
        <bgColor indexed="64"/>
      </patternFill>
    </fill>
    <fill>
      <patternFill patternType="solid">
        <fgColor theme="9" tint="0.59999389629810485"/>
        <bgColor indexed="64"/>
      </patternFill>
    </fill>
  </fills>
  <borders count="4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bottom/>
      <diagonal/>
    </border>
  </borders>
  <cellStyleXfs count="67">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22" fillId="0" borderId="0"/>
    <xf numFmtId="0" fontId="21" fillId="23" borderId="7" applyNumberForma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25" fillId="24" borderId="0" applyNumberFormat="0" applyBorder="0" applyAlignment="0" applyProtection="0"/>
    <xf numFmtId="0" fontId="26" fillId="25" borderId="12" applyNumberFormat="0" applyAlignment="0" applyProtection="0"/>
    <xf numFmtId="0" fontId="17" fillId="20" borderId="21" applyNumberFormat="0" applyAlignment="0" applyProtection="0"/>
    <xf numFmtId="0" fontId="21" fillId="23" borderId="20" applyNumberFormat="0" applyAlignment="0" applyProtection="0"/>
    <xf numFmtId="0" fontId="19" fillId="0" borderId="26" applyNumberFormat="0" applyFill="0" applyAlignment="0" applyProtection="0"/>
    <xf numFmtId="0" fontId="17" fillId="20" borderId="25" applyNumberFormat="0" applyAlignment="0" applyProtection="0"/>
    <xf numFmtId="0" fontId="21" fillId="23" borderId="24" applyNumberFormat="0" applyAlignment="0" applyProtection="0"/>
    <xf numFmtId="0" fontId="13" fillId="7" borderId="19" applyNumberFormat="0" applyAlignment="0" applyProtection="0"/>
    <xf numFmtId="0" fontId="13" fillId="7" borderId="23" applyNumberFormat="0" applyAlignment="0" applyProtection="0"/>
    <xf numFmtId="0" fontId="6" fillId="20" borderId="19" applyNumberFormat="0" applyAlignment="0" applyProtection="0"/>
    <xf numFmtId="0" fontId="6" fillId="20" borderId="23" applyNumberFormat="0" applyAlignment="0" applyProtection="0"/>
    <xf numFmtId="0" fontId="3" fillId="0" borderId="0"/>
    <xf numFmtId="0" fontId="19" fillId="0" borderId="22" applyNumberFormat="0" applyFill="0" applyAlignment="0" applyProtection="0"/>
    <xf numFmtId="0" fontId="2" fillId="0" borderId="0"/>
    <xf numFmtId="0" fontId="1" fillId="0" borderId="0"/>
    <xf numFmtId="0" fontId="17" fillId="20" borderId="25" applyNumberFormat="0" applyAlignment="0" applyProtection="0"/>
    <xf numFmtId="0" fontId="21" fillId="23" borderId="24" applyNumberFormat="0" applyAlignment="0" applyProtection="0"/>
    <xf numFmtId="0" fontId="13" fillId="7" borderId="23" applyNumberFormat="0" applyAlignment="0" applyProtection="0"/>
    <xf numFmtId="0" fontId="6" fillId="20" borderId="23" applyNumberFormat="0" applyAlignment="0" applyProtection="0"/>
    <xf numFmtId="0" fontId="1" fillId="0" borderId="0"/>
    <xf numFmtId="0" fontId="19" fillId="0" borderId="26" applyNumberFormat="0" applyFill="0" applyAlignment="0" applyProtection="0"/>
    <xf numFmtId="0" fontId="1" fillId="0" borderId="0"/>
  </cellStyleXfs>
  <cellXfs count="64">
    <xf numFmtId="0" fontId="0" fillId="0" borderId="0" xfId="0"/>
    <xf numFmtId="0" fontId="0" fillId="0" borderId="0" xfId="0" applyBorder="1"/>
    <xf numFmtId="0" fontId="0" fillId="0" borderId="14" xfId="0" applyBorder="1"/>
    <xf numFmtId="0" fontId="0" fillId="0" borderId="15" xfId="0" applyBorder="1"/>
    <xf numFmtId="0" fontId="0" fillId="0" borderId="10" xfId="0" applyBorder="1"/>
    <xf numFmtId="0" fontId="0" fillId="0" borderId="11" xfId="0" applyBorder="1"/>
    <xf numFmtId="0" fontId="0" fillId="0" borderId="16" xfId="0" applyBorder="1"/>
    <xf numFmtId="0" fontId="0" fillId="0" borderId="17" xfId="0" applyBorder="1"/>
    <xf numFmtId="0" fontId="0" fillId="0" borderId="18" xfId="0" applyBorder="1"/>
    <xf numFmtId="0" fontId="0" fillId="0" borderId="13" xfId="0" applyBorder="1"/>
    <xf numFmtId="0" fontId="0" fillId="0" borderId="30" xfId="0" applyBorder="1"/>
    <xf numFmtId="0" fontId="0" fillId="0" borderId="32" xfId="0" applyFill="1" applyBorder="1" applyAlignment="1">
      <alignment wrapText="1"/>
    </xf>
    <xf numFmtId="0" fontId="0" fillId="0" borderId="0" xfId="0" applyNumberFormat="1"/>
    <xf numFmtId="0" fontId="0" fillId="0" borderId="28" xfId="0" applyBorder="1" applyAlignment="1">
      <alignment wrapText="1"/>
    </xf>
    <xf numFmtId="0" fontId="0" fillId="0" borderId="0" xfId="0"/>
    <xf numFmtId="0" fontId="0" fillId="0" borderId="0" xfId="0"/>
    <xf numFmtId="0" fontId="0" fillId="0" borderId="28" xfId="0" applyBorder="1"/>
    <xf numFmtId="0" fontId="0" fillId="0" borderId="0" xfId="0"/>
    <xf numFmtId="0" fontId="0" fillId="0" borderId="33" xfId="0" applyBorder="1"/>
    <xf numFmtId="0" fontId="0" fillId="0" borderId="31" xfId="0" applyBorder="1"/>
    <xf numFmtId="49" fontId="23" fillId="0" borderId="33" xfId="0" applyNumberFormat="1" applyFont="1" applyFill="1" applyBorder="1" applyAlignment="1">
      <alignment horizontal="center" vertical="center" wrapText="1"/>
    </xf>
    <xf numFmtId="0" fontId="27" fillId="0" borderId="33" xfId="37" applyFont="1" applyBorder="1" applyAlignment="1">
      <alignment horizontal="center" vertical="center" wrapText="1"/>
    </xf>
    <xf numFmtId="0" fontId="23" fillId="0" borderId="33" xfId="0" applyFont="1" applyBorder="1" applyAlignment="1">
      <alignment horizontal="center" vertical="center" wrapText="1"/>
    </xf>
    <xf numFmtId="0" fontId="0" fillId="0" borderId="33" xfId="0" applyNumberFormat="1" applyBorder="1"/>
    <xf numFmtId="0" fontId="0" fillId="0" borderId="33" xfId="0" applyFill="1" applyBorder="1"/>
    <xf numFmtId="0" fontId="23" fillId="26" borderId="29" xfId="0" applyFont="1" applyFill="1" applyBorder="1" applyAlignment="1">
      <alignment horizontal="center" vertical="center" wrapText="1"/>
    </xf>
    <xf numFmtId="0" fontId="23" fillId="26" borderId="29" xfId="0" applyFont="1" applyFill="1" applyBorder="1" applyAlignment="1">
      <alignment horizontal="left" vertical="center" wrapText="1"/>
    </xf>
    <xf numFmtId="49" fontId="23" fillId="26" borderId="29" xfId="0" applyNumberFormat="1" applyFont="1" applyFill="1" applyBorder="1" applyAlignment="1">
      <alignment horizontal="center" vertical="center" wrapText="1"/>
    </xf>
    <xf numFmtId="49" fontId="23" fillId="26" borderId="29" xfId="0" applyNumberFormat="1" applyFont="1" applyFill="1" applyBorder="1" applyAlignment="1">
      <alignment horizontal="left" vertical="center" wrapText="1"/>
    </xf>
    <xf numFmtId="0" fontId="23" fillId="26" borderId="34" xfId="0" applyFont="1" applyFill="1" applyBorder="1" applyAlignment="1">
      <alignment horizontal="center" vertical="center" wrapText="1"/>
    </xf>
    <xf numFmtId="0" fontId="23" fillId="26" borderId="35" xfId="0" applyFont="1" applyFill="1" applyBorder="1" applyAlignment="1">
      <alignment horizontal="center" vertical="center" wrapText="1"/>
    </xf>
    <xf numFmtId="49" fontId="23" fillId="0" borderId="28" xfId="0" applyNumberFormat="1" applyFont="1" applyBorder="1" applyAlignment="1">
      <alignment horizontal="center" vertical="center" wrapText="1"/>
    </xf>
    <xf numFmtId="0" fontId="27" fillId="0" borderId="28" xfId="37" applyFont="1" applyBorder="1" applyAlignment="1">
      <alignment horizontal="center" vertical="center" wrapText="1"/>
    </xf>
    <xf numFmtId="0" fontId="23" fillId="0" borderId="28" xfId="0" applyFont="1" applyBorder="1" applyAlignment="1">
      <alignment horizontal="center" vertical="center" wrapText="1"/>
    </xf>
    <xf numFmtId="0" fontId="24" fillId="22" borderId="41" xfId="36" applyFont="1" applyBorder="1" applyAlignment="1">
      <alignment horizontal="left" vertical="center" wrapText="1"/>
    </xf>
    <xf numFmtId="0" fontId="23" fillId="26" borderId="35" xfId="0" applyFont="1" applyFill="1" applyBorder="1" applyAlignment="1">
      <alignment horizontal="center" vertical="center"/>
    </xf>
    <xf numFmtId="0" fontId="0" fillId="0" borderId="31" xfId="0" applyBorder="1" applyAlignment="1">
      <alignment wrapText="1"/>
    </xf>
    <xf numFmtId="0" fontId="24" fillId="28" borderId="14" xfId="36" applyFont="1" applyFill="1" applyBorder="1" applyAlignment="1">
      <alignment horizontal="center" vertical="center" wrapText="1"/>
    </xf>
    <xf numFmtId="0" fontId="24" fillId="27" borderId="27" xfId="36" applyFont="1" applyFill="1" applyBorder="1" applyAlignment="1">
      <alignment horizontal="center" vertical="center" wrapText="1"/>
    </xf>
    <xf numFmtId="0" fontId="0" fillId="30" borderId="33" xfId="0" applyFill="1" applyBorder="1"/>
    <xf numFmtId="0" fontId="24" fillId="27" borderId="36" xfId="36" applyFont="1" applyFill="1" applyBorder="1" applyAlignment="1">
      <alignment horizontal="center" vertical="center" wrapText="1"/>
    </xf>
    <xf numFmtId="0" fontId="24" fillId="27" borderId="47" xfId="36" applyFont="1" applyFill="1" applyBorder="1" applyAlignment="1">
      <alignment horizontal="center" vertical="center" wrapText="1"/>
    </xf>
    <xf numFmtId="0" fontId="24" fillId="27" borderId="40" xfId="36" applyFont="1" applyFill="1" applyBorder="1" applyAlignment="1">
      <alignment horizontal="center" vertical="center" wrapText="1"/>
    </xf>
    <xf numFmtId="0" fontId="24" fillId="27" borderId="27" xfId="36" applyFont="1" applyFill="1" applyBorder="1" applyAlignment="1">
      <alignment horizontal="center" vertical="center" wrapText="1"/>
    </xf>
    <xf numFmtId="0" fontId="24" fillId="28" borderId="35" xfId="36" applyFont="1" applyFill="1" applyBorder="1" applyAlignment="1">
      <alignment horizontal="center" vertical="center" wrapText="1"/>
    </xf>
    <xf numFmtId="0" fontId="24" fillId="28" borderId="14" xfId="36" applyFont="1" applyFill="1" applyBorder="1" applyAlignment="1">
      <alignment horizontal="center" vertical="center" wrapText="1"/>
    </xf>
    <xf numFmtId="0" fontId="24" fillId="28" borderId="15" xfId="36" applyFont="1" applyFill="1" applyBorder="1" applyAlignment="1">
      <alignment horizontal="center" vertical="center" wrapText="1"/>
    </xf>
    <xf numFmtId="0" fontId="24" fillId="27" borderId="46" xfId="36" applyFont="1" applyFill="1" applyBorder="1" applyAlignment="1">
      <alignment horizontal="center" vertical="center" wrapText="1"/>
    </xf>
    <xf numFmtId="0" fontId="24" fillId="29" borderId="37" xfId="36" applyFont="1" applyFill="1" applyBorder="1" applyAlignment="1">
      <alignment horizontal="center" vertical="center" wrapText="1"/>
    </xf>
    <xf numFmtId="0" fontId="24" fillId="29" borderId="18" xfId="36" applyFont="1" applyFill="1" applyBorder="1" applyAlignment="1">
      <alignment horizontal="center" vertical="center" wrapText="1"/>
    </xf>
    <xf numFmtId="0" fontId="24" fillId="29" borderId="39" xfId="36" applyFont="1" applyFill="1" applyBorder="1" applyAlignment="1">
      <alignment horizontal="center" vertical="center" wrapText="1"/>
    </xf>
    <xf numFmtId="0" fontId="24" fillId="22" borderId="36" xfId="36" applyFont="1" applyBorder="1" applyAlignment="1">
      <alignment horizontal="center" vertical="center" wrapText="1"/>
    </xf>
    <xf numFmtId="0" fontId="24" fillId="22" borderId="38" xfId="36" applyFont="1" applyBorder="1" applyAlignment="1">
      <alignment horizontal="center" vertical="center" wrapText="1"/>
    </xf>
    <xf numFmtId="0" fontId="24" fillId="27" borderId="44" xfId="36" applyFont="1" applyFill="1" applyBorder="1" applyAlignment="1">
      <alignment horizontal="center" vertical="center" wrapText="1"/>
    </xf>
    <xf numFmtId="0" fontId="24" fillId="28" borderId="45" xfId="36" applyFont="1" applyFill="1" applyBorder="1" applyAlignment="1">
      <alignment horizontal="center" vertical="center" wrapText="1"/>
    </xf>
    <xf numFmtId="0" fontId="24" fillId="28" borderId="42" xfId="36" applyFont="1" applyFill="1" applyBorder="1" applyAlignment="1">
      <alignment horizontal="center" vertical="center" wrapText="1"/>
    </xf>
    <xf numFmtId="0" fontId="24" fillId="28" borderId="31" xfId="36" applyFont="1" applyFill="1" applyBorder="1" applyAlignment="1">
      <alignment horizontal="center" vertical="center" wrapText="1"/>
    </xf>
    <xf numFmtId="0" fontId="24" fillId="28" borderId="43" xfId="36" applyFont="1" applyFill="1" applyBorder="1" applyAlignment="1">
      <alignment horizontal="center" vertical="center" wrapText="1"/>
    </xf>
    <xf numFmtId="0" fontId="0" fillId="31" borderId="31" xfId="0" applyFill="1" applyBorder="1"/>
    <xf numFmtId="0" fontId="0" fillId="31" borderId="33" xfId="0" applyNumberFormat="1" applyFill="1" applyBorder="1"/>
    <xf numFmtId="0" fontId="0" fillId="31" borderId="33" xfId="0" applyFill="1" applyBorder="1"/>
    <xf numFmtId="0" fontId="0" fillId="0" borderId="42" xfId="0" applyBorder="1"/>
    <xf numFmtId="0" fontId="0" fillId="0" borderId="42" xfId="0" applyFill="1" applyBorder="1"/>
    <xf numFmtId="0" fontId="0" fillId="31" borderId="42" xfId="0" applyFill="1" applyBorder="1"/>
  </cellXfs>
  <cellStyles count="67">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2 2" xfId="63" xr:uid="{80183B75-4C4B-473E-8340-2CFFDC481186}"/>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2 2" xfId="62" xr:uid="{A239097D-2DE4-491C-9C85-765CE76BEFEA}"/>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rmal 3 2 2" xfId="64" xr:uid="{C92DCDAB-923E-4FFE-B910-1D4D8C9513DF}"/>
    <cellStyle name="Normal 3 3" xfId="58" xr:uid="{FE9D1D86-7B45-4C7C-BC67-550AFF10726D}"/>
    <cellStyle name="Normal 3 3 2" xfId="66" xr:uid="{39791D1C-4EBD-4422-91C7-0EF0D7D667DA}"/>
    <cellStyle name="Normal 3 4" xfId="59" xr:uid="{99194C46-535D-4990-96C6-4232769B0B5C}"/>
    <cellStyle name="Note" xfId="40" builtinId="10" customBuiltin="1"/>
    <cellStyle name="Note 2" xfId="48" xr:uid="{00000000-0005-0000-0000-000030000000}"/>
    <cellStyle name="Note 2 2" xfId="61" xr:uid="{2F3E7E11-D3C6-4859-ABF1-760E543F944D}"/>
    <cellStyle name="Note 3" xfId="51" xr:uid="{00000000-0005-0000-0000-000031000000}"/>
    <cellStyle name="Output" xfId="41" builtinId="21" customBuiltin="1"/>
    <cellStyle name="Output 2" xfId="47" xr:uid="{00000000-0005-0000-0000-000033000000}"/>
    <cellStyle name="Output 2 2" xfId="60" xr:uid="{9DF4768E-4DA5-45C0-96D5-55039BB0EDF8}"/>
    <cellStyle name="Output 3" xfId="50" xr:uid="{00000000-0005-0000-0000-000034000000}"/>
    <cellStyle name="Title" xfId="42" builtinId="15" customBuiltin="1"/>
    <cellStyle name="Total" xfId="43" builtinId="25" customBuiltin="1"/>
    <cellStyle name="Total 2" xfId="57" xr:uid="{00000000-0005-0000-0000-000037000000}"/>
    <cellStyle name="Total 2 2" xfId="65" xr:uid="{2BDF37E1-9A37-45AF-90D5-784B999E8866}"/>
    <cellStyle name="Total 3" xfId="49" xr:uid="{00000000-0005-0000-0000-000038000000}"/>
    <cellStyle name="Warning Text" xfId="44" builtinId="11" customBuiltin="1"/>
  </cellStyles>
  <dxfs count="0"/>
  <tableStyles count="0" defaultTableStyle="TableStyleMedium2" defaultPivotStyle="PivotStyleLight16"/>
  <colors>
    <mruColors>
      <color rgb="FFBBF2FD"/>
      <color rgb="FF66CCFF"/>
      <color rgb="FF00CCFF"/>
      <color rgb="FFFF9999"/>
      <color rgb="FFFCBCFC"/>
      <color rgb="FFC6FFB9"/>
      <color rgb="FFBEF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9C345-750C-41CB-924A-8967DA7B2703}">
  <dimension ref="A1:AJ153"/>
  <sheetViews>
    <sheetView tabSelected="1" topLeftCell="A100" zoomScale="80" zoomScaleNormal="80" workbookViewId="0">
      <selection activeCell="H124" sqref="H124:I124"/>
    </sheetView>
  </sheetViews>
  <sheetFormatPr defaultRowHeight="14.4"/>
  <cols>
    <col min="1" max="1" width="16.88671875" customWidth="1"/>
    <col min="3" max="3" width="23.33203125" bestFit="1" customWidth="1"/>
    <col min="6" max="6" width="11.109375" customWidth="1"/>
    <col min="7" max="7" width="11.5546875" customWidth="1"/>
    <col min="8" max="8" width="44.77734375" customWidth="1"/>
    <col min="12" max="12" width="29.44140625" customWidth="1"/>
    <col min="13" max="13" width="11.44140625" customWidth="1"/>
    <col min="18" max="18" width="10.44140625" customWidth="1"/>
    <col min="19" max="19" width="10.5546875" customWidth="1"/>
    <col min="21" max="33" width="8.88671875" style="17"/>
    <col min="34" max="34" width="49.6640625" style="17" customWidth="1"/>
    <col min="35" max="35" width="49.6640625" bestFit="1" customWidth="1"/>
    <col min="36" max="36" width="132.21875" bestFit="1" customWidth="1"/>
  </cols>
  <sheetData>
    <row r="1" spans="1:36" ht="23.4" customHeight="1" thickBot="1">
      <c r="A1" s="25" t="s">
        <v>33</v>
      </c>
      <c r="B1" s="25" t="s">
        <v>21</v>
      </c>
      <c r="C1" s="26" t="s">
        <v>0</v>
      </c>
      <c r="D1" s="26" t="s">
        <v>1</v>
      </c>
      <c r="E1" s="27" t="s">
        <v>2</v>
      </c>
      <c r="F1" s="28" t="s">
        <v>247</v>
      </c>
      <c r="G1" s="27" t="s">
        <v>248</v>
      </c>
      <c r="H1" s="25" t="s">
        <v>3</v>
      </c>
      <c r="I1" s="25" t="s">
        <v>24</v>
      </c>
      <c r="J1" s="25" t="s">
        <v>23</v>
      </c>
      <c r="K1" s="25" t="s">
        <v>34</v>
      </c>
      <c r="L1" s="25" t="s">
        <v>4</v>
      </c>
      <c r="M1" s="29" t="s">
        <v>38</v>
      </c>
      <c r="N1" s="30" t="s">
        <v>39</v>
      </c>
      <c r="O1" s="30" t="s">
        <v>41</v>
      </c>
      <c r="P1" s="30" t="s">
        <v>42</v>
      </c>
      <c r="Q1" s="30" t="s">
        <v>45</v>
      </c>
      <c r="R1" s="30" t="s">
        <v>249</v>
      </c>
      <c r="S1" s="30" t="s">
        <v>250</v>
      </c>
      <c r="AH1" s="35"/>
      <c r="AI1" s="35" t="s">
        <v>261</v>
      </c>
      <c r="AJ1" s="30" t="s">
        <v>262</v>
      </c>
    </row>
    <row r="2" spans="1:36" ht="15" thickBot="1">
      <c r="A2" s="44" t="s">
        <v>50</v>
      </c>
      <c r="B2" s="44">
        <v>80</v>
      </c>
      <c r="C2" s="34" t="s">
        <v>251</v>
      </c>
      <c r="D2" s="51" t="str">
        <f>bitConcat(F3:F9)</f>
        <v>32'b01101011010110101101011011100111</v>
      </c>
      <c r="E2" s="52"/>
      <c r="F2" s="52"/>
      <c r="G2" s="52"/>
      <c r="H2" s="49" t="s">
        <v>252</v>
      </c>
      <c r="I2" s="50" t="e">
        <f>bitConcat(#REF!)</f>
        <v>#VALUE!</v>
      </c>
      <c r="J2" s="48" t="str">
        <f>bitConcat(G3:G9)</f>
        <v>32'b01101011010110101101011011100111</v>
      </c>
      <c r="K2" s="49"/>
      <c r="L2" s="50"/>
      <c r="M2" s="42" t="str">
        <f>DEC2HEX(_xlfn.BITLSHIFT(O2,7)+4*P2)</f>
        <v>680</v>
      </c>
      <c r="N2" s="42"/>
      <c r="O2" s="42">
        <v>13</v>
      </c>
      <c r="P2" s="42">
        <v>0</v>
      </c>
      <c r="Q2" s="42" t="str">
        <f>DEC2HEX(_xlfn.BITLSHIFT(O2,5)+P2)</f>
        <v>1A0</v>
      </c>
      <c r="R2" s="42" t="str">
        <f>BIN2HEX(LEFT(RIGHT(D2,32),4))&amp;BIN2HEX(LEFT(RIGHT(D2,28),4))&amp;BIN2HEX(LEFT(RIGHT(D2,24),4))&amp;BIN2HEX(LEFT(RIGHT(D2,20),4))&amp;BIN2HEX(LEFT(RIGHT(D2,16),4))&amp;BIN2HEX(LEFT(RIGHT(D2,12),4))&amp;BIN2HEX(LEFT(RIGHT(D2,8),4))&amp;BIN2HEX(LEFT(RIGHT(D2,4),4))</f>
        <v>6B5AD6E7</v>
      </c>
      <c r="S2" s="42" t="str">
        <f>BIN2HEX(LEFT(RIGHT(J2,32),4))&amp;BIN2HEX(LEFT(RIGHT(J2,28),4))&amp;BIN2HEX(LEFT(RIGHT(J2,24),4))&amp;BIN2HEX(LEFT(RIGHT(J2,20),4))&amp;BIN2HEX(LEFT(RIGHT(J2,16),4))&amp;BIN2HEX(LEFT(RIGHT(J2,12),4))&amp;BIN2HEX(LEFT(RIGHT(J2,8),4))&amp;BIN2HEX(LEFT(RIGHT(J2,4),4))</f>
        <v>6B5AD6E7</v>
      </c>
    </row>
    <row r="3" spans="1:36">
      <c r="A3" s="45"/>
      <c r="B3" s="45"/>
      <c r="C3" s="16" t="s">
        <v>51</v>
      </c>
      <c r="D3" s="18">
        <v>5</v>
      </c>
      <c r="E3" s="23" t="str">
        <f>IF(D3&gt;1,(31)&amp;":"&amp;(31-D3+1),(31-D3+1)&amp;":"&amp;(31-D3+1))</f>
        <v>31:27</v>
      </c>
      <c r="F3" s="18" t="s">
        <v>52</v>
      </c>
      <c r="G3" s="18" t="s">
        <v>52</v>
      </c>
      <c r="H3" s="18" t="s">
        <v>258</v>
      </c>
      <c r="I3" s="31" t="s">
        <v>36</v>
      </c>
      <c r="J3" s="32" t="s">
        <v>35</v>
      </c>
      <c r="K3" s="33" t="s">
        <v>6</v>
      </c>
      <c r="L3" s="13"/>
      <c r="M3" s="43"/>
      <c r="N3" s="43"/>
      <c r="O3" s="43"/>
      <c r="P3" s="43"/>
      <c r="Q3" s="43"/>
      <c r="R3" s="43"/>
      <c r="S3" s="43"/>
    </row>
    <row r="4" spans="1:36">
      <c r="A4" s="45"/>
      <c r="B4" s="45"/>
      <c r="C4" s="19" t="s">
        <v>53</v>
      </c>
      <c r="D4" s="19">
        <v>5</v>
      </c>
      <c r="E4" s="23" t="str">
        <f t="shared" ref="E4:E9" si="0">(MID(str_cnvt(E3),SEARCH(":",str_cnvt(E3))+1,2)-1) &amp; ":" &amp; (MID(str_cnvt(E3),SEARCH(":",str_cnvt(E3))+1,2)-D4)</f>
        <v>26:22</v>
      </c>
      <c r="F4" s="18" t="s">
        <v>52</v>
      </c>
      <c r="G4" s="18" t="s">
        <v>52</v>
      </c>
      <c r="H4" s="18" t="s">
        <v>258</v>
      </c>
      <c r="I4" s="31" t="s">
        <v>36</v>
      </c>
      <c r="J4" s="32" t="s">
        <v>35</v>
      </c>
      <c r="K4" s="33" t="s">
        <v>6</v>
      </c>
      <c r="L4" s="13"/>
      <c r="M4" s="43"/>
      <c r="N4" s="43"/>
      <c r="O4" s="43"/>
      <c r="P4" s="43"/>
      <c r="Q4" s="43"/>
      <c r="R4" s="43"/>
      <c r="S4" s="43"/>
    </row>
    <row r="5" spans="1:36">
      <c r="A5" s="45"/>
      <c r="B5" s="45"/>
      <c r="C5" s="19" t="s">
        <v>54</v>
      </c>
      <c r="D5" s="19">
        <v>5</v>
      </c>
      <c r="E5" s="23" t="str">
        <f t="shared" si="0"/>
        <v>21:17</v>
      </c>
      <c r="F5" s="18" t="s">
        <v>52</v>
      </c>
      <c r="G5" s="18" t="s">
        <v>52</v>
      </c>
      <c r="H5" s="18" t="s">
        <v>258</v>
      </c>
      <c r="I5" s="31" t="s">
        <v>36</v>
      </c>
      <c r="J5" s="32" t="s">
        <v>35</v>
      </c>
      <c r="K5" s="33" t="s">
        <v>6</v>
      </c>
      <c r="L5" s="13"/>
      <c r="M5" s="43"/>
      <c r="N5" s="43"/>
      <c r="O5" s="43"/>
      <c r="P5" s="43"/>
      <c r="Q5" s="43"/>
      <c r="R5" s="43"/>
      <c r="S5" s="43"/>
    </row>
    <row r="6" spans="1:36">
      <c r="A6" s="45"/>
      <c r="B6" s="45"/>
      <c r="C6" s="19" t="s">
        <v>55</v>
      </c>
      <c r="D6" s="19">
        <v>5</v>
      </c>
      <c r="E6" s="23" t="str">
        <f t="shared" si="0"/>
        <v>16:12</v>
      </c>
      <c r="F6" s="18" t="s">
        <v>52</v>
      </c>
      <c r="G6" s="18" t="s">
        <v>52</v>
      </c>
      <c r="H6" s="18" t="s">
        <v>258</v>
      </c>
      <c r="I6" s="31" t="s">
        <v>36</v>
      </c>
      <c r="J6" s="32" t="s">
        <v>35</v>
      </c>
      <c r="K6" s="33" t="s">
        <v>6</v>
      </c>
      <c r="L6" s="13"/>
      <c r="M6" s="43"/>
      <c r="N6" s="43"/>
      <c r="O6" s="43"/>
      <c r="P6" s="43"/>
      <c r="Q6" s="43"/>
      <c r="R6" s="43"/>
      <c r="S6" s="43"/>
    </row>
    <row r="7" spans="1:36">
      <c r="A7" s="45"/>
      <c r="B7" s="45"/>
      <c r="C7" s="19" t="s">
        <v>56</v>
      </c>
      <c r="D7" s="19">
        <v>5</v>
      </c>
      <c r="E7" s="23" t="str">
        <f t="shared" si="0"/>
        <v>11:7</v>
      </c>
      <c r="F7" s="18" t="s">
        <v>52</v>
      </c>
      <c r="G7" s="18" t="s">
        <v>52</v>
      </c>
      <c r="H7" s="18" t="s">
        <v>259</v>
      </c>
      <c r="I7" s="31" t="s">
        <v>36</v>
      </c>
      <c r="J7" s="32" t="s">
        <v>35</v>
      </c>
      <c r="K7" s="33" t="s">
        <v>6</v>
      </c>
      <c r="L7" s="13"/>
      <c r="M7" s="43"/>
      <c r="N7" s="43"/>
      <c r="O7" s="43"/>
      <c r="P7" s="43"/>
      <c r="Q7" s="43"/>
      <c r="R7" s="43"/>
      <c r="S7" s="43"/>
    </row>
    <row r="8" spans="1:36">
      <c r="A8" s="45"/>
      <c r="B8" s="45"/>
      <c r="C8" s="19" t="s">
        <v>57</v>
      </c>
      <c r="D8" s="19">
        <v>4</v>
      </c>
      <c r="E8" s="23" t="str">
        <f t="shared" si="0"/>
        <v>6:3</v>
      </c>
      <c r="F8" s="19" t="s">
        <v>49</v>
      </c>
      <c r="G8" s="19" t="s">
        <v>49</v>
      </c>
      <c r="H8" s="19" t="s">
        <v>260</v>
      </c>
      <c r="I8" s="31" t="s">
        <v>36</v>
      </c>
      <c r="J8" s="32" t="s">
        <v>35</v>
      </c>
      <c r="K8" s="33" t="s">
        <v>6</v>
      </c>
      <c r="L8" s="13"/>
      <c r="M8" s="43"/>
      <c r="N8" s="43"/>
      <c r="O8" s="43"/>
      <c r="P8" s="43"/>
      <c r="Q8" s="43"/>
      <c r="R8" s="43"/>
      <c r="S8" s="43"/>
    </row>
    <row r="9" spans="1:36" ht="15" thickBot="1">
      <c r="A9" s="45"/>
      <c r="B9" s="45"/>
      <c r="C9" s="19" t="s">
        <v>72</v>
      </c>
      <c r="D9" s="19">
        <v>3</v>
      </c>
      <c r="E9" s="23" t="str">
        <f t="shared" si="0"/>
        <v>2:0</v>
      </c>
      <c r="F9" s="19" t="s">
        <v>232</v>
      </c>
      <c r="G9" s="19" t="s">
        <v>232</v>
      </c>
      <c r="H9" s="19" t="s">
        <v>389</v>
      </c>
      <c r="I9" s="31" t="s">
        <v>36</v>
      </c>
      <c r="J9" s="32" t="s">
        <v>35</v>
      </c>
      <c r="K9" s="33" t="s">
        <v>6</v>
      </c>
      <c r="L9" s="13"/>
      <c r="M9" s="43"/>
      <c r="N9" s="43"/>
      <c r="O9" s="43"/>
      <c r="P9" s="43"/>
      <c r="Q9" s="43"/>
      <c r="R9" s="43"/>
      <c r="S9" s="43"/>
    </row>
    <row r="10" spans="1:36" ht="15" customHeight="1" thickBot="1">
      <c r="A10" s="44" t="s">
        <v>58</v>
      </c>
      <c r="B10" s="44">
        <v>84</v>
      </c>
      <c r="C10" s="34" t="s">
        <v>251</v>
      </c>
      <c r="D10" s="51" t="str">
        <f>bitConcat(F11:F19)</f>
        <v>32'b10000010001000000001010111100110</v>
      </c>
      <c r="E10" s="52"/>
      <c r="F10" s="52"/>
      <c r="G10" s="52"/>
      <c r="H10" s="49" t="s">
        <v>252</v>
      </c>
      <c r="I10" s="50" t="e">
        <f>bitConcat(#REF!)</f>
        <v>#VALUE!</v>
      </c>
      <c r="J10" s="48" t="str">
        <f>bitConcat(G11:G19)</f>
        <v>32'b10000010001000000001010111100110</v>
      </c>
      <c r="K10" s="49"/>
      <c r="L10" s="50"/>
      <c r="M10" s="42" t="str">
        <f>DEC2HEX(_xlfn.BITLSHIFT(O10,7)+4*P10)</f>
        <v>684</v>
      </c>
      <c r="N10" s="42"/>
      <c r="O10" s="42">
        <v>13</v>
      </c>
      <c r="P10" s="42">
        <v>1</v>
      </c>
      <c r="Q10" s="42" t="str">
        <f>DEC2HEX(_xlfn.BITLSHIFT(O10,5)+P10)</f>
        <v>1A1</v>
      </c>
      <c r="R10" s="42" t="str">
        <f>BIN2HEX(LEFT(RIGHT(D10,32),4))&amp;BIN2HEX(LEFT(RIGHT(D10,28),4))&amp;BIN2HEX(LEFT(RIGHT(D10,24),4))&amp;BIN2HEX(LEFT(RIGHT(D10,20),4))&amp;BIN2HEX(LEFT(RIGHT(D10,16),4))&amp;BIN2HEX(LEFT(RIGHT(D10,12),4))&amp;BIN2HEX(LEFT(RIGHT(D10,8),4))&amp;BIN2HEX(LEFT(RIGHT(D10,4),4))</f>
        <v>822015E6</v>
      </c>
      <c r="S10" s="42" t="str">
        <f>BIN2HEX(LEFT(RIGHT(J10,32),4))&amp;BIN2HEX(LEFT(RIGHT(J10,28),4))&amp;BIN2HEX(LEFT(RIGHT(J10,24),4))&amp;BIN2HEX(LEFT(RIGHT(J10,20),4))&amp;BIN2HEX(LEFT(RIGHT(J10,16),4))&amp;BIN2HEX(LEFT(RIGHT(J10,12),4))&amp;BIN2HEX(LEFT(RIGHT(J10,8),4))&amp;BIN2HEX(LEFT(RIGHT(J10,4),4))</f>
        <v>822015E6</v>
      </c>
    </row>
    <row r="11" spans="1:36">
      <c r="A11" s="45"/>
      <c r="B11" s="45"/>
      <c r="C11" s="19" t="s">
        <v>59</v>
      </c>
      <c r="D11" s="18">
        <v>5</v>
      </c>
      <c r="E11" s="23" t="str">
        <f>IF(D11&gt;1,(31)&amp;":"&amp;(31-D11+1),(31-D11+1)&amp;":"&amp;(31-D11+1))</f>
        <v>31:27</v>
      </c>
      <c r="F11" s="18" t="s">
        <v>48</v>
      </c>
      <c r="G11" s="18" t="s">
        <v>48</v>
      </c>
      <c r="H11" s="19" t="s">
        <v>83</v>
      </c>
      <c r="I11" s="20" t="s">
        <v>36</v>
      </c>
      <c r="J11" s="21" t="s">
        <v>35</v>
      </c>
      <c r="K11" s="22" t="s">
        <v>6</v>
      </c>
      <c r="L11" s="19"/>
      <c r="M11" s="43"/>
      <c r="N11" s="43"/>
      <c r="O11" s="43"/>
      <c r="P11" s="43"/>
      <c r="Q11" s="43"/>
      <c r="R11" s="43"/>
      <c r="S11" s="43"/>
    </row>
    <row r="12" spans="1:36">
      <c r="A12" s="45"/>
      <c r="B12" s="45"/>
      <c r="C12" s="19" t="s">
        <v>60</v>
      </c>
      <c r="D12" s="19">
        <v>3</v>
      </c>
      <c r="E12" s="23" t="str">
        <f t="shared" ref="E12:E19" si="1">(MID(str_cnvt(E11),SEARCH(":",str_cnvt(E11))+1,2)-1) &amp; ":" &amp; (MID(str_cnvt(E11),SEARCH(":",str_cnvt(E11))+1,2)-D12)</f>
        <v>26:24</v>
      </c>
      <c r="F12" s="18" t="s">
        <v>46</v>
      </c>
      <c r="G12" s="18" t="s">
        <v>46</v>
      </c>
      <c r="H12" s="19" t="s">
        <v>84</v>
      </c>
      <c r="I12" s="20" t="s">
        <v>36</v>
      </c>
      <c r="J12" s="21" t="s">
        <v>35</v>
      </c>
      <c r="K12" s="22" t="s">
        <v>6</v>
      </c>
      <c r="L12" s="19"/>
      <c r="M12" s="43"/>
      <c r="N12" s="43"/>
      <c r="O12" s="43"/>
      <c r="P12" s="43"/>
      <c r="Q12" s="43"/>
      <c r="R12" s="43"/>
      <c r="S12" s="43"/>
    </row>
    <row r="13" spans="1:36">
      <c r="A13" s="45"/>
      <c r="B13" s="45"/>
      <c r="C13" s="19" t="s">
        <v>61</v>
      </c>
      <c r="D13" s="19">
        <v>5</v>
      </c>
      <c r="E13" s="23" t="str">
        <f t="shared" si="1"/>
        <v>23:19</v>
      </c>
      <c r="F13" s="18" t="s">
        <v>68</v>
      </c>
      <c r="G13" s="18" t="s">
        <v>68</v>
      </c>
      <c r="H13" s="18" t="s">
        <v>76</v>
      </c>
      <c r="I13" s="20" t="s">
        <v>36</v>
      </c>
      <c r="J13" s="21" t="s">
        <v>35</v>
      </c>
      <c r="K13" s="22" t="s">
        <v>6</v>
      </c>
      <c r="L13" s="19"/>
      <c r="M13" s="43"/>
      <c r="N13" s="43"/>
      <c r="O13" s="43"/>
      <c r="P13" s="43"/>
      <c r="Q13" s="43"/>
      <c r="R13" s="43"/>
      <c r="S13" s="43"/>
    </row>
    <row r="14" spans="1:36">
      <c r="A14" s="45"/>
      <c r="B14" s="45"/>
      <c r="C14" s="19" t="s">
        <v>62</v>
      </c>
      <c r="D14" s="19">
        <v>5</v>
      </c>
      <c r="E14" s="23" t="str">
        <f t="shared" si="1"/>
        <v>18:14</v>
      </c>
      <c r="F14" s="18" t="s">
        <v>43</v>
      </c>
      <c r="G14" s="18" t="s">
        <v>43</v>
      </c>
      <c r="H14" s="19" t="s">
        <v>77</v>
      </c>
      <c r="I14" s="20" t="s">
        <v>36</v>
      </c>
      <c r="J14" s="21" t="s">
        <v>35</v>
      </c>
      <c r="K14" s="22" t="s">
        <v>6</v>
      </c>
      <c r="L14" s="19"/>
      <c r="M14" s="43"/>
      <c r="N14" s="43"/>
      <c r="O14" s="43"/>
      <c r="P14" s="43"/>
      <c r="Q14" s="43"/>
      <c r="R14" s="43"/>
      <c r="S14" s="43"/>
    </row>
    <row r="15" spans="1:36">
      <c r="A15" s="45"/>
      <c r="B15" s="45"/>
      <c r="C15" s="19" t="s">
        <v>63</v>
      </c>
      <c r="D15" s="19">
        <v>1</v>
      </c>
      <c r="E15" s="23" t="str">
        <f t="shared" si="1"/>
        <v>13:13</v>
      </c>
      <c r="F15" s="18" t="s">
        <v>7</v>
      </c>
      <c r="G15" s="18" t="s">
        <v>7</v>
      </c>
      <c r="H15" s="19" t="s">
        <v>78</v>
      </c>
      <c r="I15" s="20" t="s">
        <v>36</v>
      </c>
      <c r="J15" s="21" t="s">
        <v>35</v>
      </c>
      <c r="K15" s="22" t="s">
        <v>6</v>
      </c>
      <c r="L15" s="19"/>
      <c r="M15" s="43"/>
      <c r="N15" s="43"/>
      <c r="O15" s="43"/>
      <c r="P15" s="43"/>
      <c r="Q15" s="43"/>
      <c r="R15" s="43"/>
      <c r="S15" s="43"/>
    </row>
    <row r="16" spans="1:36">
      <c r="A16" s="45"/>
      <c r="B16" s="45"/>
      <c r="C16" s="19" t="s">
        <v>64</v>
      </c>
      <c r="D16" s="19">
        <v>2</v>
      </c>
      <c r="E16" s="23" t="str">
        <f t="shared" si="1"/>
        <v>12:11</v>
      </c>
      <c r="F16" s="39" t="s">
        <v>390</v>
      </c>
      <c r="G16" s="39" t="s">
        <v>390</v>
      </c>
      <c r="H16" s="19" t="s">
        <v>79</v>
      </c>
      <c r="I16" s="20" t="s">
        <v>36</v>
      </c>
      <c r="J16" s="21" t="s">
        <v>35</v>
      </c>
      <c r="K16" s="22" t="s">
        <v>6</v>
      </c>
      <c r="L16" s="19"/>
      <c r="M16" s="43"/>
      <c r="N16" s="43"/>
      <c r="O16" s="43"/>
      <c r="P16" s="43"/>
      <c r="Q16" s="43"/>
      <c r="R16" s="43"/>
      <c r="S16" s="43"/>
    </row>
    <row r="17" spans="1:19">
      <c r="A17" s="45"/>
      <c r="B17" s="45"/>
      <c r="C17" s="19" t="s">
        <v>65</v>
      </c>
      <c r="D17" s="19">
        <v>6</v>
      </c>
      <c r="E17" s="23" t="str">
        <f t="shared" si="1"/>
        <v>10:5</v>
      </c>
      <c r="F17" s="18" t="s">
        <v>241</v>
      </c>
      <c r="G17" s="18" t="s">
        <v>241</v>
      </c>
      <c r="H17" s="19" t="s">
        <v>80</v>
      </c>
      <c r="I17" s="20" t="s">
        <v>36</v>
      </c>
      <c r="J17" s="21" t="s">
        <v>35</v>
      </c>
      <c r="K17" s="22" t="s">
        <v>6</v>
      </c>
      <c r="L17" s="19"/>
      <c r="M17" s="43"/>
      <c r="N17" s="43"/>
      <c r="O17" s="43"/>
      <c r="P17" s="43"/>
      <c r="Q17" s="43"/>
      <c r="R17" s="43"/>
      <c r="S17" s="43"/>
    </row>
    <row r="18" spans="1:19">
      <c r="A18" s="45"/>
      <c r="B18" s="45"/>
      <c r="C18" s="19" t="s">
        <v>66</v>
      </c>
      <c r="D18" s="19">
        <v>1</v>
      </c>
      <c r="E18" s="23" t="str">
        <f t="shared" si="1"/>
        <v>4:4</v>
      </c>
      <c r="F18" s="18" t="s">
        <v>7</v>
      </c>
      <c r="G18" s="18" t="s">
        <v>7</v>
      </c>
      <c r="H18" s="19" t="s">
        <v>81</v>
      </c>
      <c r="I18" s="20" t="s">
        <v>36</v>
      </c>
      <c r="J18" s="21" t="s">
        <v>35</v>
      </c>
      <c r="K18" s="22" t="s">
        <v>6</v>
      </c>
      <c r="L18" s="19"/>
      <c r="M18" s="43"/>
      <c r="N18" s="43"/>
      <c r="O18" s="43"/>
      <c r="P18" s="43"/>
      <c r="Q18" s="43"/>
      <c r="R18" s="43"/>
      <c r="S18" s="43"/>
    </row>
    <row r="19" spans="1:19" ht="15" thickBot="1">
      <c r="A19" s="45"/>
      <c r="B19" s="45"/>
      <c r="C19" s="19" t="s">
        <v>67</v>
      </c>
      <c r="D19" s="19">
        <v>4</v>
      </c>
      <c r="E19" s="23" t="str">
        <f t="shared" si="1"/>
        <v>3:0</v>
      </c>
      <c r="F19" s="24" t="s">
        <v>96</v>
      </c>
      <c r="G19" s="24" t="s">
        <v>96</v>
      </c>
      <c r="H19" s="19" t="s">
        <v>82</v>
      </c>
      <c r="I19" s="20" t="s">
        <v>36</v>
      </c>
      <c r="J19" s="21" t="s">
        <v>35</v>
      </c>
      <c r="K19" s="22" t="s">
        <v>6</v>
      </c>
      <c r="L19" s="19"/>
      <c r="M19" s="43"/>
      <c r="N19" s="43"/>
      <c r="O19" s="43"/>
      <c r="P19" s="43"/>
      <c r="Q19" s="43"/>
      <c r="R19" s="43"/>
      <c r="S19" s="43"/>
    </row>
    <row r="20" spans="1:19" ht="15" thickBot="1">
      <c r="A20" s="44" t="s">
        <v>98</v>
      </c>
      <c r="B20" s="44">
        <v>88</v>
      </c>
      <c r="C20" s="34" t="s">
        <v>251</v>
      </c>
      <c r="D20" s="51" t="str">
        <f>bitConcat(F21:F27)</f>
        <v>32'b01101011010110101101011010110100</v>
      </c>
      <c r="E20" s="52"/>
      <c r="F20" s="52"/>
      <c r="G20" s="52"/>
      <c r="H20" s="49" t="s">
        <v>252</v>
      </c>
      <c r="I20" s="50" t="e">
        <f>bitConcat(#REF!)</f>
        <v>#VALUE!</v>
      </c>
      <c r="J20" s="48" t="str">
        <f>bitConcat(G21:G27)</f>
        <v>32'b01101011010110101101011010110100</v>
      </c>
      <c r="K20" s="49"/>
      <c r="L20" s="50"/>
      <c r="M20" s="42" t="str">
        <f>DEC2HEX(_xlfn.BITLSHIFT(O20,7)+4*P20)</f>
        <v>688</v>
      </c>
      <c r="N20" s="42"/>
      <c r="O20" s="42">
        <v>13</v>
      </c>
      <c r="P20" s="42">
        <v>2</v>
      </c>
      <c r="Q20" s="42" t="str">
        <f>DEC2HEX(_xlfn.BITLSHIFT(O20,5)+P20)</f>
        <v>1A2</v>
      </c>
      <c r="R20" s="42" t="str">
        <f>BIN2HEX(LEFT(RIGHT(D20,32),4))&amp;BIN2HEX(LEFT(RIGHT(D20,28),4))&amp;BIN2HEX(LEFT(RIGHT(D20,24),4))&amp;BIN2HEX(LEFT(RIGHT(D20,20),4))&amp;BIN2HEX(LEFT(RIGHT(D20,16),4))&amp;BIN2HEX(LEFT(RIGHT(D20,12),4))&amp;BIN2HEX(LEFT(RIGHT(D20,8),4))&amp;BIN2HEX(LEFT(RIGHT(D20,4),4))</f>
        <v>6B5AD6B4</v>
      </c>
      <c r="S20" s="42" t="str">
        <f>BIN2HEX(LEFT(RIGHT(J20,32),4))&amp;BIN2HEX(LEFT(RIGHT(J20,28),4))&amp;BIN2HEX(LEFT(RIGHT(J20,24),4))&amp;BIN2HEX(LEFT(RIGHT(J20,20),4))&amp;BIN2HEX(LEFT(RIGHT(J20,16),4))&amp;BIN2HEX(LEFT(RIGHT(J20,12),4))&amp;BIN2HEX(LEFT(RIGHT(J20,8),4))&amp;BIN2HEX(LEFT(RIGHT(J20,4),4))</f>
        <v>6B5AD6B4</v>
      </c>
    </row>
    <row r="21" spans="1:19">
      <c r="A21" s="45"/>
      <c r="B21" s="45"/>
      <c r="C21" s="19" t="s">
        <v>309</v>
      </c>
      <c r="D21" s="18">
        <v>5</v>
      </c>
      <c r="E21" s="23" t="str">
        <f>IF(D21&gt;1,(31)&amp;":"&amp;(31-D21+1),(31-D21+1)&amp;":"&amp;(31-D21+1))</f>
        <v>31:27</v>
      </c>
      <c r="F21" s="18" t="s">
        <v>52</v>
      </c>
      <c r="G21" s="18" t="s">
        <v>52</v>
      </c>
      <c r="H21" s="18" t="s">
        <v>383</v>
      </c>
      <c r="I21" s="20" t="s">
        <v>36</v>
      </c>
      <c r="J21" s="21" t="s">
        <v>35</v>
      </c>
      <c r="K21" s="22" t="s">
        <v>6</v>
      </c>
      <c r="L21" s="19"/>
      <c r="M21" s="43"/>
      <c r="N21" s="43"/>
      <c r="O21" s="43"/>
      <c r="P21" s="43"/>
      <c r="Q21" s="43"/>
      <c r="R21" s="43"/>
      <c r="S21" s="43"/>
    </row>
    <row r="22" spans="1:19">
      <c r="A22" s="45"/>
      <c r="B22" s="45"/>
      <c r="C22" s="19" t="s">
        <v>310</v>
      </c>
      <c r="D22" s="19">
        <v>5</v>
      </c>
      <c r="E22" s="23" t="str">
        <f t="shared" ref="E22:E27" si="2">(MID(str_cnvt(E21),SEARCH(":",str_cnvt(E21))+1,2)-1) &amp; ":" &amp; (MID(str_cnvt(E21),SEARCH(":",str_cnvt(E21))+1,2)-D22)</f>
        <v>26:22</v>
      </c>
      <c r="F22" s="18" t="s">
        <v>52</v>
      </c>
      <c r="G22" s="18" t="s">
        <v>52</v>
      </c>
      <c r="H22" s="19" t="s">
        <v>384</v>
      </c>
      <c r="I22" s="20" t="s">
        <v>36</v>
      </c>
      <c r="J22" s="21" t="s">
        <v>35</v>
      </c>
      <c r="K22" s="22" t="s">
        <v>6</v>
      </c>
      <c r="L22" s="19"/>
      <c r="M22" s="43"/>
      <c r="N22" s="43"/>
      <c r="O22" s="43"/>
      <c r="P22" s="43"/>
      <c r="Q22" s="43"/>
      <c r="R22" s="43"/>
      <c r="S22" s="43"/>
    </row>
    <row r="23" spans="1:19">
      <c r="A23" s="45"/>
      <c r="B23" s="45"/>
      <c r="C23" s="19" t="s">
        <v>311</v>
      </c>
      <c r="D23" s="18">
        <v>5</v>
      </c>
      <c r="E23" s="23" t="str">
        <f t="shared" si="2"/>
        <v>21:17</v>
      </c>
      <c r="F23" s="18" t="s">
        <v>52</v>
      </c>
      <c r="G23" s="18" t="s">
        <v>52</v>
      </c>
      <c r="H23" s="19" t="s">
        <v>385</v>
      </c>
      <c r="I23" s="20" t="s">
        <v>36</v>
      </c>
      <c r="J23" s="21" t="s">
        <v>35</v>
      </c>
      <c r="K23" s="22" t="s">
        <v>6</v>
      </c>
      <c r="L23" s="19"/>
      <c r="M23" s="43"/>
      <c r="N23" s="43"/>
      <c r="O23" s="43"/>
      <c r="P23" s="43"/>
      <c r="Q23" s="43"/>
      <c r="R23" s="43"/>
      <c r="S23" s="43"/>
    </row>
    <row r="24" spans="1:19">
      <c r="A24" s="45"/>
      <c r="B24" s="45"/>
      <c r="C24" s="19" t="s">
        <v>312</v>
      </c>
      <c r="D24" s="18">
        <v>5</v>
      </c>
      <c r="E24" s="23" t="str">
        <f t="shared" si="2"/>
        <v>16:12</v>
      </c>
      <c r="F24" s="18" t="s">
        <v>52</v>
      </c>
      <c r="G24" s="18" t="s">
        <v>52</v>
      </c>
      <c r="H24" s="19" t="s">
        <v>386</v>
      </c>
      <c r="I24" s="20" t="s">
        <v>36</v>
      </c>
      <c r="J24" s="21" t="s">
        <v>35</v>
      </c>
      <c r="K24" s="22" t="s">
        <v>6</v>
      </c>
      <c r="L24" s="19"/>
      <c r="M24" s="43"/>
      <c r="N24" s="43"/>
      <c r="O24" s="43"/>
      <c r="P24" s="43"/>
      <c r="Q24" s="43"/>
      <c r="R24" s="43"/>
      <c r="S24" s="43"/>
    </row>
    <row r="25" spans="1:19">
      <c r="A25" s="45"/>
      <c r="B25" s="45"/>
      <c r="C25" s="19" t="s">
        <v>313</v>
      </c>
      <c r="D25" s="18">
        <v>5</v>
      </c>
      <c r="E25" s="23" t="str">
        <f t="shared" si="2"/>
        <v>11:7</v>
      </c>
      <c r="F25" s="18" t="s">
        <v>52</v>
      </c>
      <c r="G25" s="18" t="s">
        <v>52</v>
      </c>
      <c r="H25" s="19" t="s">
        <v>387</v>
      </c>
      <c r="I25" s="20" t="s">
        <v>36</v>
      </c>
      <c r="J25" s="21" t="s">
        <v>35</v>
      </c>
      <c r="K25" s="22" t="s">
        <v>6</v>
      </c>
      <c r="L25" s="19"/>
      <c r="M25" s="43"/>
      <c r="N25" s="43"/>
      <c r="O25" s="43"/>
      <c r="P25" s="43"/>
      <c r="Q25" s="43"/>
      <c r="R25" s="43"/>
      <c r="S25" s="43"/>
    </row>
    <row r="26" spans="1:19">
      <c r="A26" s="45"/>
      <c r="B26" s="45"/>
      <c r="C26" s="19" t="s">
        <v>314</v>
      </c>
      <c r="D26" s="18">
        <v>5</v>
      </c>
      <c r="E26" s="23" t="str">
        <f t="shared" si="2"/>
        <v>6:2</v>
      </c>
      <c r="F26" s="18" t="s">
        <v>52</v>
      </c>
      <c r="G26" s="18" t="s">
        <v>52</v>
      </c>
      <c r="H26" s="19" t="s">
        <v>388</v>
      </c>
      <c r="I26" s="20" t="s">
        <v>36</v>
      </c>
      <c r="J26" s="21" t="s">
        <v>35</v>
      </c>
      <c r="K26" s="22" t="s">
        <v>6</v>
      </c>
      <c r="L26" s="19"/>
      <c r="M26" s="43"/>
      <c r="N26" s="43"/>
      <c r="O26" s="43"/>
      <c r="P26" s="43"/>
      <c r="Q26" s="43"/>
      <c r="R26" s="43"/>
      <c r="S26" s="43"/>
    </row>
    <row r="27" spans="1:19" ht="15" thickBot="1">
      <c r="A27" s="45"/>
      <c r="B27" s="45"/>
      <c r="C27" s="19" t="s">
        <v>70</v>
      </c>
      <c r="D27" s="18">
        <v>2</v>
      </c>
      <c r="E27" s="23" t="str">
        <f t="shared" si="2"/>
        <v>1:0</v>
      </c>
      <c r="F27" s="18" t="s">
        <v>40</v>
      </c>
      <c r="G27" s="18" t="s">
        <v>40</v>
      </c>
      <c r="H27" s="19" t="s">
        <v>47</v>
      </c>
      <c r="I27" s="20" t="s">
        <v>36</v>
      </c>
      <c r="J27" s="21" t="s">
        <v>35</v>
      </c>
      <c r="K27" s="22" t="s">
        <v>6</v>
      </c>
      <c r="L27" s="19"/>
      <c r="M27" s="43"/>
      <c r="N27" s="43"/>
      <c r="O27" s="43"/>
      <c r="P27" s="43"/>
      <c r="Q27" s="43"/>
      <c r="R27" s="43"/>
      <c r="S27" s="43"/>
    </row>
    <row r="28" spans="1:19" ht="15" customHeight="1" thickBot="1">
      <c r="A28" s="54" t="s">
        <v>99</v>
      </c>
      <c r="B28" s="44" t="s">
        <v>89</v>
      </c>
      <c r="C28" s="34" t="s">
        <v>251</v>
      </c>
      <c r="D28" s="51" t="str">
        <f>bitConcat(F29:F38)</f>
        <v>32'b00000000000011111110000000000000</v>
      </c>
      <c r="E28" s="52"/>
      <c r="F28" s="52"/>
      <c r="G28" s="52"/>
      <c r="H28" s="49" t="s">
        <v>252</v>
      </c>
      <c r="I28" s="50" t="e">
        <f>bitConcat(#REF!)</f>
        <v>#VALUE!</v>
      </c>
      <c r="J28" s="48" t="str">
        <f>bitConcat(G29:G38)</f>
        <v>32'b00000000000011111110000000000000</v>
      </c>
      <c r="K28" s="49"/>
      <c r="L28" s="50"/>
      <c r="M28" s="42" t="str">
        <f>DEC2HEX(_xlfn.BITLSHIFT(O28,7)+4*P28)</f>
        <v>68C</v>
      </c>
      <c r="N28" s="42"/>
      <c r="O28" s="42">
        <v>13</v>
      </c>
      <c r="P28" s="42">
        <v>3</v>
      </c>
      <c r="Q28" s="42" t="str">
        <f>DEC2HEX(_xlfn.BITLSHIFT(O28,5)+P28)</f>
        <v>1A3</v>
      </c>
      <c r="R28" s="42" t="str">
        <f>BIN2HEX(LEFT(RIGHT(D28,32),4))&amp;BIN2HEX(LEFT(RIGHT(D28,28),4))&amp;BIN2HEX(LEFT(RIGHT(D28,24),4))&amp;BIN2HEX(LEFT(RIGHT(D28,20),4))&amp;BIN2HEX(LEFT(RIGHT(D28,16),4))&amp;BIN2HEX(LEFT(RIGHT(D28,12),4))&amp;BIN2HEX(LEFT(RIGHT(D28,8),4))&amp;BIN2HEX(LEFT(RIGHT(D28,4),4))</f>
        <v>000FE000</v>
      </c>
      <c r="S28" s="42" t="str">
        <f>BIN2HEX(LEFT(RIGHT(J28,32),4))&amp;BIN2HEX(LEFT(RIGHT(J28,28),4))&amp;BIN2HEX(LEFT(RIGHT(J28,24),4))&amp;BIN2HEX(LEFT(RIGHT(J28,20),4))&amp;BIN2HEX(LEFT(RIGHT(J28,16),4))&amp;BIN2HEX(LEFT(RIGHT(J28,12),4))&amp;BIN2HEX(LEFT(RIGHT(J28,8),4))&amp;BIN2HEX(LEFT(RIGHT(J28,4),4))</f>
        <v>000FE000</v>
      </c>
    </row>
    <row r="29" spans="1:19">
      <c r="A29" s="55"/>
      <c r="B29" s="45"/>
      <c r="C29" s="19" t="s">
        <v>100</v>
      </c>
      <c r="D29" s="19">
        <v>2</v>
      </c>
      <c r="E29" s="23" t="str">
        <f>IF(D29&gt;1,(31)&amp;":"&amp;(31-D29+1),(31-D29+1)&amp;":"&amp;(31-D29+1))</f>
        <v>31:30</v>
      </c>
      <c r="F29" s="19" t="s">
        <v>40</v>
      </c>
      <c r="G29" s="19" t="s">
        <v>40</v>
      </c>
      <c r="H29" s="19" t="s">
        <v>239</v>
      </c>
      <c r="I29" s="20" t="s">
        <v>36</v>
      </c>
      <c r="J29" s="21" t="s">
        <v>35</v>
      </c>
      <c r="K29" s="22" t="s">
        <v>6</v>
      </c>
      <c r="L29" s="19"/>
      <c r="M29" s="43"/>
      <c r="N29" s="43"/>
      <c r="O29" s="43"/>
      <c r="P29" s="43"/>
      <c r="Q29" s="43"/>
      <c r="R29" s="43"/>
      <c r="S29" s="43"/>
    </row>
    <row r="30" spans="1:19">
      <c r="A30" s="55"/>
      <c r="B30" s="45"/>
      <c r="C30" s="19" t="s">
        <v>101</v>
      </c>
      <c r="D30" s="19">
        <v>2</v>
      </c>
      <c r="E30" s="23" t="str">
        <f t="shared" ref="E30:E38" si="3">(MID(str_cnvt(E29),SEARCH(":",str_cnvt(E29))+1,2)-1) &amp; ":" &amp; (MID(str_cnvt(E29),SEARCH(":",str_cnvt(E29))+1,2)-D30)</f>
        <v>29:28</v>
      </c>
      <c r="F30" s="19" t="s">
        <v>40</v>
      </c>
      <c r="G30" s="19" t="s">
        <v>40</v>
      </c>
      <c r="H30" s="19" t="s">
        <v>235</v>
      </c>
      <c r="I30" s="20" t="s">
        <v>36</v>
      </c>
      <c r="J30" s="21" t="s">
        <v>35</v>
      </c>
      <c r="K30" s="22" t="s">
        <v>6</v>
      </c>
      <c r="L30" s="19"/>
      <c r="M30" s="43"/>
      <c r="N30" s="43"/>
      <c r="O30" s="43"/>
      <c r="P30" s="43"/>
      <c r="Q30" s="43"/>
      <c r="R30" s="43"/>
      <c r="S30" s="43"/>
    </row>
    <row r="31" spans="1:19">
      <c r="A31" s="55"/>
      <c r="B31" s="45"/>
      <c r="C31" s="19" t="s">
        <v>102</v>
      </c>
      <c r="D31" s="19">
        <v>2</v>
      </c>
      <c r="E31" s="23" t="str">
        <f t="shared" si="3"/>
        <v>27:26</v>
      </c>
      <c r="F31" s="19" t="s">
        <v>40</v>
      </c>
      <c r="G31" s="19" t="s">
        <v>40</v>
      </c>
      <c r="H31" s="19" t="s">
        <v>236</v>
      </c>
      <c r="I31" s="20" t="s">
        <v>36</v>
      </c>
      <c r="J31" s="21" t="s">
        <v>35</v>
      </c>
      <c r="K31" s="22" t="s">
        <v>6</v>
      </c>
      <c r="L31" s="19"/>
      <c r="M31" s="43"/>
      <c r="N31" s="43"/>
      <c r="O31" s="43"/>
      <c r="P31" s="43"/>
      <c r="Q31" s="43"/>
      <c r="R31" s="43"/>
      <c r="S31" s="43"/>
    </row>
    <row r="32" spans="1:19">
      <c r="A32" s="55"/>
      <c r="B32" s="45"/>
      <c r="C32" s="19" t="s">
        <v>103</v>
      </c>
      <c r="D32" s="19">
        <v>2</v>
      </c>
      <c r="E32" s="23" t="str">
        <f t="shared" si="3"/>
        <v>25:24</v>
      </c>
      <c r="F32" s="19" t="s">
        <v>40</v>
      </c>
      <c r="G32" s="19" t="s">
        <v>40</v>
      </c>
      <c r="H32" s="19" t="s">
        <v>237</v>
      </c>
      <c r="I32" s="20" t="s">
        <v>36</v>
      </c>
      <c r="J32" s="21" t="s">
        <v>35</v>
      </c>
      <c r="K32" s="22" t="s">
        <v>6</v>
      </c>
      <c r="L32" s="19"/>
      <c r="M32" s="43"/>
      <c r="N32" s="43"/>
      <c r="O32" s="43"/>
      <c r="P32" s="43"/>
      <c r="Q32" s="43"/>
      <c r="R32" s="43"/>
      <c r="S32" s="43"/>
    </row>
    <row r="33" spans="1:19">
      <c r="A33" s="55"/>
      <c r="B33" s="45"/>
      <c r="C33" s="19" t="s">
        <v>105</v>
      </c>
      <c r="D33" s="19">
        <v>1</v>
      </c>
      <c r="E33" s="23" t="str">
        <f t="shared" si="3"/>
        <v>23:23</v>
      </c>
      <c r="F33" s="19" t="s">
        <v>7</v>
      </c>
      <c r="G33" s="19" t="s">
        <v>7</v>
      </c>
      <c r="H33" s="19" t="s">
        <v>240</v>
      </c>
      <c r="I33" s="20" t="s">
        <v>36</v>
      </c>
      <c r="J33" s="21" t="s">
        <v>35</v>
      </c>
      <c r="K33" s="22" t="s">
        <v>6</v>
      </c>
      <c r="L33" s="19"/>
      <c r="M33" s="43"/>
      <c r="N33" s="43"/>
      <c r="O33" s="43"/>
      <c r="P33" s="43"/>
      <c r="Q33" s="43"/>
      <c r="R33" s="43"/>
      <c r="S33" s="43"/>
    </row>
    <row r="34" spans="1:19">
      <c r="A34" s="55"/>
      <c r="B34" s="45"/>
      <c r="C34" s="19" t="s">
        <v>104</v>
      </c>
      <c r="D34" s="19">
        <v>2</v>
      </c>
      <c r="E34" s="23" t="str">
        <f t="shared" si="3"/>
        <v>22:21</v>
      </c>
      <c r="F34" s="19" t="s">
        <v>40</v>
      </c>
      <c r="G34" s="19" t="s">
        <v>40</v>
      </c>
      <c r="H34" s="19" t="s">
        <v>238</v>
      </c>
      <c r="I34" s="20" t="s">
        <v>36</v>
      </c>
      <c r="J34" s="21" t="s">
        <v>35</v>
      </c>
      <c r="K34" s="22" t="s">
        <v>6</v>
      </c>
      <c r="L34" s="19"/>
      <c r="M34" s="43"/>
      <c r="N34" s="43"/>
      <c r="O34" s="43"/>
      <c r="P34" s="43"/>
      <c r="Q34" s="43"/>
      <c r="R34" s="43"/>
      <c r="S34" s="43"/>
    </row>
    <row r="35" spans="1:19">
      <c r="A35" s="55"/>
      <c r="B35" s="45"/>
      <c r="C35" s="19" t="s">
        <v>75</v>
      </c>
      <c r="D35" s="19">
        <v>1</v>
      </c>
      <c r="E35" s="23" t="str">
        <f t="shared" si="3"/>
        <v>20:20</v>
      </c>
      <c r="F35" s="19" t="s">
        <v>7</v>
      </c>
      <c r="G35" s="19" t="s">
        <v>7</v>
      </c>
      <c r="H35" s="19" t="s">
        <v>87</v>
      </c>
      <c r="I35" s="20" t="s">
        <v>36</v>
      </c>
      <c r="J35" s="21" t="s">
        <v>35</v>
      </c>
      <c r="K35" s="22" t="s">
        <v>6</v>
      </c>
      <c r="L35" s="19"/>
      <c r="M35" s="43"/>
      <c r="N35" s="43"/>
      <c r="O35" s="43"/>
      <c r="P35" s="43"/>
      <c r="Q35" s="43"/>
      <c r="R35" s="43"/>
      <c r="S35" s="43"/>
    </row>
    <row r="36" spans="1:19">
      <c r="A36" s="55"/>
      <c r="B36" s="45"/>
      <c r="C36" s="19" t="s">
        <v>74</v>
      </c>
      <c r="D36" s="19">
        <v>1</v>
      </c>
      <c r="E36" s="23" t="str">
        <f t="shared" si="3"/>
        <v>19:19</v>
      </c>
      <c r="F36" s="19" t="s">
        <v>37</v>
      </c>
      <c r="G36" s="19" t="s">
        <v>37</v>
      </c>
      <c r="H36" s="19" t="s">
        <v>86</v>
      </c>
      <c r="I36" s="20" t="s">
        <v>36</v>
      </c>
      <c r="J36" s="21" t="s">
        <v>35</v>
      </c>
      <c r="K36" s="22" t="s">
        <v>6</v>
      </c>
      <c r="L36" s="19"/>
      <c r="M36" s="43"/>
      <c r="N36" s="43"/>
      <c r="O36" s="43"/>
      <c r="P36" s="43"/>
      <c r="Q36" s="43"/>
      <c r="R36" s="43"/>
      <c r="S36" s="43"/>
    </row>
    <row r="37" spans="1:19">
      <c r="A37" s="55"/>
      <c r="B37" s="45"/>
      <c r="C37" s="19" t="s">
        <v>73</v>
      </c>
      <c r="D37" s="19">
        <v>6</v>
      </c>
      <c r="E37" s="23" t="str">
        <f t="shared" si="3"/>
        <v>18:13</v>
      </c>
      <c r="F37" s="19" t="s">
        <v>97</v>
      </c>
      <c r="G37" s="19" t="s">
        <v>97</v>
      </c>
      <c r="H37" s="19" t="s">
        <v>85</v>
      </c>
      <c r="I37" s="20" t="s">
        <v>36</v>
      </c>
      <c r="J37" s="21" t="s">
        <v>35</v>
      </c>
      <c r="K37" s="22" t="s">
        <v>6</v>
      </c>
      <c r="L37" s="17"/>
      <c r="M37" s="43"/>
      <c r="N37" s="43"/>
      <c r="O37" s="43"/>
      <c r="P37" s="43"/>
      <c r="Q37" s="43"/>
      <c r="R37" s="43"/>
      <c r="S37" s="43"/>
    </row>
    <row r="38" spans="1:19" ht="15" thickBot="1">
      <c r="A38" s="56"/>
      <c r="B38" s="57"/>
      <c r="C38" s="19" t="s">
        <v>106</v>
      </c>
      <c r="D38" s="19">
        <v>13</v>
      </c>
      <c r="E38" s="23" t="str">
        <f t="shared" si="3"/>
        <v>12:0</v>
      </c>
      <c r="F38" s="19" t="s">
        <v>257</v>
      </c>
      <c r="G38" s="19" t="s">
        <v>257</v>
      </c>
      <c r="H38" s="19" t="s">
        <v>47</v>
      </c>
      <c r="I38" s="20" t="s">
        <v>36</v>
      </c>
      <c r="J38" s="21" t="s">
        <v>35</v>
      </c>
      <c r="K38" s="22" t="s">
        <v>6</v>
      </c>
      <c r="L38" s="19"/>
      <c r="M38" s="53"/>
      <c r="N38" s="53"/>
      <c r="O38" s="53"/>
      <c r="P38" s="53"/>
      <c r="Q38" s="53"/>
      <c r="R38" s="53"/>
      <c r="S38" s="53"/>
    </row>
    <row r="39" spans="1:19" ht="15" thickBot="1">
      <c r="A39" s="44" t="s">
        <v>107</v>
      </c>
      <c r="B39" s="44">
        <v>90</v>
      </c>
      <c r="C39" s="34" t="s">
        <v>251</v>
      </c>
      <c r="D39" s="51" t="str">
        <f>bitConcat(F40:F46)</f>
        <v>32'b00000000000000000000001100000000</v>
      </c>
      <c r="E39" s="52"/>
      <c r="F39" s="52"/>
      <c r="G39" s="52"/>
      <c r="H39" s="49" t="s">
        <v>252</v>
      </c>
      <c r="I39" s="50" t="e">
        <f>bitConcat(#REF!)</f>
        <v>#VALUE!</v>
      </c>
      <c r="J39" s="48" t="str">
        <f>bitConcat(G40:G46)</f>
        <v>32'b00000000000000000000001100000000</v>
      </c>
      <c r="K39" s="49"/>
      <c r="L39" s="50"/>
      <c r="M39" s="42" t="str">
        <f>DEC2HEX(_xlfn.BITLSHIFT(O39,7)+4*P39)</f>
        <v>690</v>
      </c>
      <c r="N39" s="42"/>
      <c r="O39" s="42">
        <v>13</v>
      </c>
      <c r="P39" s="42">
        <v>4</v>
      </c>
      <c r="Q39" s="42" t="str">
        <f>DEC2HEX(_xlfn.BITLSHIFT(O39,5)+P39)</f>
        <v>1A4</v>
      </c>
      <c r="R39" s="42" t="str">
        <f>BIN2HEX(LEFT(RIGHT(D39,32),4))&amp;BIN2HEX(LEFT(RIGHT(D39,28),4))&amp;BIN2HEX(LEFT(RIGHT(D39,24),4))&amp;BIN2HEX(LEFT(RIGHT(D39,20),4))&amp;BIN2HEX(LEFT(RIGHT(D39,16),4))&amp;BIN2HEX(LEFT(RIGHT(D39,12),4))&amp;BIN2HEX(LEFT(RIGHT(D39,8),4))&amp;BIN2HEX(LEFT(RIGHT(D39,4),4))</f>
        <v>00000300</v>
      </c>
      <c r="S39" s="42" t="str">
        <f>BIN2HEX(LEFT(RIGHT(J39,32),4))&amp;BIN2HEX(LEFT(RIGHT(J39,28),4))&amp;BIN2HEX(LEFT(RIGHT(J39,24),4))&amp;BIN2HEX(LEFT(RIGHT(J39,20),4))&amp;BIN2HEX(LEFT(RIGHT(J39,16),4))&amp;BIN2HEX(LEFT(RIGHT(J39,12),4))&amp;BIN2HEX(LEFT(RIGHT(J39,8),4))&amp;BIN2HEX(LEFT(RIGHT(J39,4),4))</f>
        <v>00000300</v>
      </c>
    </row>
    <row r="40" spans="1:19">
      <c r="A40" s="45"/>
      <c r="B40" s="45"/>
      <c r="C40" s="19" t="s">
        <v>130</v>
      </c>
      <c r="D40" s="19">
        <v>5</v>
      </c>
      <c r="E40" s="23" t="str">
        <f>IF(D40&gt;1,(31)&amp;":"&amp;(31-D40+1),(31-D40+1)&amp;":"&amp;(31-D40+1))</f>
        <v>31:27</v>
      </c>
      <c r="F40" s="18" t="s">
        <v>43</v>
      </c>
      <c r="G40" s="18" t="s">
        <v>43</v>
      </c>
      <c r="H40" s="19" t="s">
        <v>193</v>
      </c>
      <c r="I40" s="20" t="s">
        <v>36</v>
      </c>
      <c r="J40" s="21" t="s">
        <v>35</v>
      </c>
      <c r="K40" s="22" t="s">
        <v>6</v>
      </c>
      <c r="L40" s="19"/>
      <c r="M40" s="43"/>
      <c r="N40" s="43"/>
      <c r="O40" s="43"/>
      <c r="P40" s="43"/>
      <c r="Q40" s="43"/>
      <c r="R40" s="43"/>
      <c r="S40" s="43"/>
    </row>
    <row r="41" spans="1:19">
      <c r="A41" s="45"/>
      <c r="B41" s="45"/>
      <c r="C41" s="19" t="s">
        <v>146</v>
      </c>
      <c r="D41" s="19">
        <v>6</v>
      </c>
      <c r="E41" s="23" t="str">
        <f t="shared" ref="E41:E46" si="4">(MID(str_cnvt(E40),SEARCH(":",str_cnvt(E40))+1,2)-1) &amp; ":" &amp; (MID(str_cnvt(E40),SEARCH(":",str_cnvt(E40))+1,2)-D41)</f>
        <v>26:21</v>
      </c>
      <c r="F41" s="19" t="s">
        <v>126</v>
      </c>
      <c r="G41" s="19" t="s">
        <v>126</v>
      </c>
      <c r="H41" s="19" t="s">
        <v>209</v>
      </c>
      <c r="I41" s="20" t="s">
        <v>36</v>
      </c>
      <c r="J41" s="21" t="s">
        <v>35</v>
      </c>
      <c r="K41" s="22" t="s">
        <v>6</v>
      </c>
      <c r="L41" s="19"/>
      <c r="M41" s="43"/>
      <c r="N41" s="43"/>
      <c r="O41" s="43"/>
      <c r="P41" s="43"/>
      <c r="Q41" s="43"/>
      <c r="R41" s="43"/>
      <c r="S41" s="43"/>
    </row>
    <row r="42" spans="1:19">
      <c r="A42" s="45"/>
      <c r="B42" s="45"/>
      <c r="C42" s="19" t="s">
        <v>138</v>
      </c>
      <c r="D42" s="19">
        <v>6</v>
      </c>
      <c r="E42" s="23" t="str">
        <f t="shared" si="4"/>
        <v>20:15</v>
      </c>
      <c r="F42" s="19" t="s">
        <v>126</v>
      </c>
      <c r="G42" s="19" t="s">
        <v>126</v>
      </c>
      <c r="H42" s="19" t="s">
        <v>201</v>
      </c>
      <c r="I42" s="20" t="s">
        <v>36</v>
      </c>
      <c r="J42" s="21" t="s">
        <v>35</v>
      </c>
      <c r="K42" s="22" t="s">
        <v>6</v>
      </c>
      <c r="L42" s="19"/>
      <c r="M42" s="43"/>
      <c r="N42" s="43"/>
      <c r="O42" s="43"/>
      <c r="P42" s="43"/>
      <c r="Q42" s="43"/>
      <c r="R42" s="43"/>
      <c r="S42" s="43"/>
    </row>
    <row r="43" spans="1:19">
      <c r="A43" s="45"/>
      <c r="B43" s="45"/>
      <c r="C43" s="19" t="s">
        <v>121</v>
      </c>
      <c r="D43" s="19">
        <v>5</v>
      </c>
      <c r="E43" s="23" t="str">
        <f t="shared" si="4"/>
        <v>14:10</v>
      </c>
      <c r="F43" s="19" t="s">
        <v>43</v>
      </c>
      <c r="G43" s="19" t="s">
        <v>43</v>
      </c>
      <c r="H43" s="19" t="s">
        <v>185</v>
      </c>
      <c r="I43" s="20" t="s">
        <v>36</v>
      </c>
      <c r="J43" s="21" t="s">
        <v>35</v>
      </c>
      <c r="K43" s="22" t="s">
        <v>6</v>
      </c>
      <c r="L43" s="19"/>
      <c r="M43" s="43"/>
      <c r="N43" s="43"/>
      <c r="O43" s="43"/>
      <c r="P43" s="43"/>
      <c r="Q43" s="43"/>
      <c r="R43" s="43"/>
      <c r="S43" s="43"/>
    </row>
    <row r="44" spans="1:19">
      <c r="A44" s="45"/>
      <c r="B44" s="45"/>
      <c r="C44" s="19" t="s">
        <v>152</v>
      </c>
      <c r="D44" s="19">
        <v>6</v>
      </c>
      <c r="E44" s="23" t="str">
        <f t="shared" si="4"/>
        <v>9:4</v>
      </c>
      <c r="F44" s="19" t="s">
        <v>242</v>
      </c>
      <c r="G44" s="19" t="s">
        <v>242</v>
      </c>
      <c r="H44" s="19" t="s">
        <v>243</v>
      </c>
      <c r="I44" s="20" t="s">
        <v>36</v>
      </c>
      <c r="J44" s="21" t="s">
        <v>35</v>
      </c>
      <c r="K44" s="22" t="s">
        <v>6</v>
      </c>
      <c r="L44" s="19"/>
      <c r="M44" s="43"/>
      <c r="N44" s="43"/>
      <c r="O44" s="43"/>
      <c r="P44" s="43"/>
      <c r="Q44" s="43"/>
      <c r="R44" s="43"/>
      <c r="S44" s="43"/>
    </row>
    <row r="45" spans="1:19">
      <c r="A45" s="45"/>
      <c r="B45" s="45"/>
      <c r="C45" s="19" t="s">
        <v>149</v>
      </c>
      <c r="D45" s="19">
        <v>1</v>
      </c>
      <c r="E45" s="23" t="str">
        <f t="shared" si="4"/>
        <v>3:3</v>
      </c>
      <c r="F45" s="19" t="s">
        <v>7</v>
      </c>
      <c r="G45" s="19" t="s">
        <v>7</v>
      </c>
      <c r="H45" s="19" t="s">
        <v>212</v>
      </c>
      <c r="I45" s="20" t="s">
        <v>36</v>
      </c>
      <c r="J45" s="21" t="s">
        <v>35</v>
      </c>
      <c r="K45" s="22" t="s">
        <v>6</v>
      </c>
      <c r="L45" s="19"/>
      <c r="M45" s="43"/>
      <c r="N45" s="43"/>
      <c r="O45" s="43"/>
      <c r="P45" s="43"/>
      <c r="Q45" s="43"/>
      <c r="R45" s="43"/>
      <c r="S45" s="43"/>
    </row>
    <row r="46" spans="1:19" ht="15" thickBot="1">
      <c r="A46" s="46"/>
      <c r="B46" s="46"/>
      <c r="C46" s="19" t="s">
        <v>69</v>
      </c>
      <c r="D46" s="19">
        <v>3</v>
      </c>
      <c r="E46" s="23" t="str">
        <f t="shared" si="4"/>
        <v>2:0</v>
      </c>
      <c r="F46" s="19" t="s">
        <v>163</v>
      </c>
      <c r="G46" s="19" t="s">
        <v>163</v>
      </c>
      <c r="H46" s="19" t="s">
        <v>47</v>
      </c>
      <c r="I46" s="20" t="s">
        <v>36</v>
      </c>
      <c r="J46" s="21" t="s">
        <v>35</v>
      </c>
      <c r="K46" s="22" t="s">
        <v>6</v>
      </c>
      <c r="L46" s="19"/>
      <c r="M46" s="47"/>
      <c r="N46" s="47"/>
      <c r="O46" s="47"/>
      <c r="P46" s="47"/>
      <c r="Q46" s="47"/>
      <c r="R46" s="47"/>
      <c r="S46" s="47"/>
    </row>
    <row r="47" spans="1:19" ht="15" thickBot="1">
      <c r="A47" s="44" t="s">
        <v>114</v>
      </c>
      <c r="B47" s="44">
        <v>94</v>
      </c>
      <c r="C47" s="34" t="s">
        <v>251</v>
      </c>
      <c r="D47" s="51" t="str">
        <f>bitConcat(F48:F55)</f>
        <v>32'b00000000000000000110000010110000</v>
      </c>
      <c r="E47" s="52"/>
      <c r="F47" s="52"/>
      <c r="G47" s="52"/>
      <c r="H47" s="49" t="s">
        <v>252</v>
      </c>
      <c r="I47" s="50" t="e">
        <f>bitConcat(#REF!)</f>
        <v>#VALUE!</v>
      </c>
      <c r="J47" s="48" t="str">
        <f>bitConcat(G48:G55)</f>
        <v>32'b00000000000000000110000010110000</v>
      </c>
      <c r="K47" s="49"/>
      <c r="L47" s="50"/>
      <c r="M47" s="42" t="str">
        <f>DEC2HEX(_xlfn.BITLSHIFT(O47,7)+4*P47)</f>
        <v>694</v>
      </c>
      <c r="N47" s="42"/>
      <c r="O47" s="42">
        <v>13</v>
      </c>
      <c r="P47" s="42">
        <v>5</v>
      </c>
      <c r="Q47" s="42" t="str">
        <f>DEC2HEX(_xlfn.BITLSHIFT(O47,5)+P47)</f>
        <v>1A5</v>
      </c>
      <c r="R47" s="42" t="str">
        <f>BIN2HEX(LEFT(RIGHT(D47,32),4))&amp;BIN2HEX(LEFT(RIGHT(D47,28),4))&amp;BIN2HEX(LEFT(RIGHT(D47,24),4))&amp;BIN2HEX(LEFT(RIGHT(D47,20),4))&amp;BIN2HEX(LEFT(RIGHT(D47,16),4))&amp;BIN2HEX(LEFT(RIGHT(D47,12),4))&amp;BIN2HEX(LEFT(RIGHT(D47,8),4))&amp;BIN2HEX(LEFT(RIGHT(D47,4),4))</f>
        <v>000060B0</v>
      </c>
      <c r="S47" s="42" t="str">
        <f>BIN2HEX(LEFT(RIGHT(J47,32),4))&amp;BIN2HEX(LEFT(RIGHT(J47,28),4))&amp;BIN2HEX(LEFT(RIGHT(J47,24),4))&amp;BIN2HEX(LEFT(RIGHT(J47,20),4))&amp;BIN2HEX(LEFT(RIGHT(J47,16),4))&amp;BIN2HEX(LEFT(RIGHT(J47,12),4))&amp;BIN2HEX(LEFT(RIGHT(J47,8),4))&amp;BIN2HEX(LEFT(RIGHT(J47,4),4))</f>
        <v>000060B0</v>
      </c>
    </row>
    <row r="48" spans="1:19">
      <c r="A48" s="45"/>
      <c r="B48" s="45"/>
      <c r="C48" s="19" t="s">
        <v>129</v>
      </c>
      <c r="D48" s="19">
        <v>5</v>
      </c>
      <c r="E48" s="23" t="str">
        <f>IF(D48&gt;1,(31)&amp;":"&amp;(31-D48+1),(31-D48+1)&amp;":"&amp;(31-D48+1))</f>
        <v>31:27</v>
      </c>
      <c r="F48" s="18" t="s">
        <v>43</v>
      </c>
      <c r="G48" s="18" t="s">
        <v>43</v>
      </c>
      <c r="H48" s="19" t="s">
        <v>192</v>
      </c>
      <c r="I48" s="20" t="s">
        <v>36</v>
      </c>
      <c r="J48" s="21" t="s">
        <v>35</v>
      </c>
      <c r="K48" s="22" t="s">
        <v>6</v>
      </c>
      <c r="L48" s="19"/>
      <c r="M48" s="43"/>
      <c r="N48" s="43"/>
      <c r="O48" s="43"/>
      <c r="P48" s="43"/>
      <c r="Q48" s="43"/>
      <c r="R48" s="43"/>
      <c r="S48" s="43"/>
    </row>
    <row r="49" spans="1:19">
      <c r="A49" s="45"/>
      <c r="B49" s="45"/>
      <c r="C49" s="19" t="s">
        <v>145</v>
      </c>
      <c r="D49" s="19">
        <v>6</v>
      </c>
      <c r="E49" s="23" t="str">
        <f t="shared" ref="E49:E55" si="5">(MID(str_cnvt(E48),SEARCH(":",str_cnvt(E48))+1,2)-1) &amp; ":" &amp; (MID(str_cnvt(E48),SEARCH(":",str_cnvt(E48))+1,2)-D49)</f>
        <v>26:21</v>
      </c>
      <c r="F49" s="18" t="s">
        <v>126</v>
      </c>
      <c r="G49" s="18" t="s">
        <v>126</v>
      </c>
      <c r="H49" s="19" t="s">
        <v>208</v>
      </c>
      <c r="I49" s="20" t="s">
        <v>36</v>
      </c>
      <c r="J49" s="21" t="s">
        <v>35</v>
      </c>
      <c r="K49" s="22" t="s">
        <v>6</v>
      </c>
      <c r="L49" s="19"/>
      <c r="M49" s="43"/>
      <c r="N49" s="43"/>
      <c r="O49" s="43"/>
      <c r="P49" s="43"/>
      <c r="Q49" s="43"/>
      <c r="R49" s="43"/>
      <c r="S49" s="43"/>
    </row>
    <row r="50" spans="1:19">
      <c r="A50" s="45"/>
      <c r="B50" s="45"/>
      <c r="C50" s="19" t="s">
        <v>137</v>
      </c>
      <c r="D50" s="19">
        <v>6</v>
      </c>
      <c r="E50" s="23" t="str">
        <f t="shared" si="5"/>
        <v>20:15</v>
      </c>
      <c r="F50" s="18" t="s">
        <v>126</v>
      </c>
      <c r="G50" s="18" t="s">
        <v>126</v>
      </c>
      <c r="H50" s="19" t="s">
        <v>200</v>
      </c>
      <c r="I50" s="20" t="s">
        <v>36</v>
      </c>
      <c r="J50" s="21" t="s">
        <v>35</v>
      </c>
      <c r="K50" s="22" t="s">
        <v>6</v>
      </c>
      <c r="L50" s="19"/>
      <c r="M50" s="43"/>
      <c r="N50" s="43"/>
      <c r="O50" s="43"/>
      <c r="P50" s="43"/>
      <c r="Q50" s="43"/>
      <c r="R50" s="43"/>
      <c r="S50" s="43"/>
    </row>
    <row r="51" spans="1:19">
      <c r="A51" s="45"/>
      <c r="B51" s="45"/>
      <c r="C51" s="19" t="s">
        <v>153</v>
      </c>
      <c r="D51" s="19">
        <v>6</v>
      </c>
      <c r="E51" s="23" t="str">
        <f t="shared" si="5"/>
        <v>14:9</v>
      </c>
      <c r="F51" s="18" t="s">
        <v>242</v>
      </c>
      <c r="G51" s="18" t="s">
        <v>242</v>
      </c>
      <c r="H51" s="19" t="s">
        <v>244</v>
      </c>
      <c r="I51" s="20" t="s">
        <v>36</v>
      </c>
      <c r="J51" s="21" t="s">
        <v>35</v>
      </c>
      <c r="K51" s="22" t="s">
        <v>6</v>
      </c>
      <c r="L51" s="19"/>
      <c r="M51" s="43"/>
      <c r="N51" s="43"/>
      <c r="O51" s="43"/>
      <c r="P51" s="43"/>
      <c r="Q51" s="43"/>
      <c r="R51" s="43"/>
      <c r="S51" s="43"/>
    </row>
    <row r="52" spans="1:19">
      <c r="A52" s="45"/>
      <c r="B52" s="45"/>
      <c r="C52" s="19" t="s">
        <v>158</v>
      </c>
      <c r="D52" s="19">
        <v>1</v>
      </c>
      <c r="E52" s="23" t="str">
        <f t="shared" si="5"/>
        <v>8:8</v>
      </c>
      <c r="F52" s="18" t="s">
        <v>7</v>
      </c>
      <c r="G52" s="18" t="s">
        <v>7</v>
      </c>
      <c r="H52" s="19" t="s">
        <v>217</v>
      </c>
      <c r="I52" s="20" t="s">
        <v>36</v>
      </c>
      <c r="J52" s="21" t="s">
        <v>35</v>
      </c>
      <c r="K52" s="22" t="s">
        <v>6</v>
      </c>
      <c r="L52" s="19"/>
      <c r="M52" s="43"/>
      <c r="N52" s="43"/>
      <c r="O52" s="43"/>
      <c r="P52" s="43"/>
      <c r="Q52" s="43"/>
      <c r="R52" s="43"/>
      <c r="S52" s="43"/>
    </row>
    <row r="53" spans="1:19">
      <c r="A53" s="45"/>
      <c r="B53" s="45"/>
      <c r="C53" s="19" t="s">
        <v>157</v>
      </c>
      <c r="D53" s="19">
        <v>1</v>
      </c>
      <c r="E53" s="23" t="str">
        <f t="shared" si="5"/>
        <v>7:7</v>
      </c>
      <c r="F53" s="18" t="s">
        <v>37</v>
      </c>
      <c r="G53" s="18" t="s">
        <v>37</v>
      </c>
      <c r="H53" s="19" t="s">
        <v>216</v>
      </c>
      <c r="I53" s="20" t="s">
        <v>36</v>
      </c>
      <c r="J53" s="21" t="s">
        <v>35</v>
      </c>
      <c r="K53" s="22" t="s">
        <v>6</v>
      </c>
      <c r="L53" s="19"/>
      <c r="M53" s="43"/>
      <c r="N53" s="43"/>
      <c r="O53" s="43"/>
      <c r="P53" s="43"/>
      <c r="Q53" s="43"/>
      <c r="R53" s="43"/>
      <c r="S53" s="43"/>
    </row>
    <row r="54" spans="1:19">
      <c r="A54" s="45"/>
      <c r="B54" s="45"/>
      <c r="C54" s="19" t="s">
        <v>156</v>
      </c>
      <c r="D54" s="19">
        <v>1</v>
      </c>
      <c r="E54" s="23" t="str">
        <f t="shared" si="5"/>
        <v>6:6</v>
      </c>
      <c r="F54" s="18" t="s">
        <v>7</v>
      </c>
      <c r="G54" s="18" t="s">
        <v>7</v>
      </c>
      <c r="H54" s="19" t="s">
        <v>215</v>
      </c>
      <c r="I54" s="20" t="s">
        <v>36</v>
      </c>
      <c r="J54" s="21" t="s">
        <v>35</v>
      </c>
      <c r="K54" s="22" t="s">
        <v>6</v>
      </c>
      <c r="L54" s="19"/>
      <c r="M54" s="43"/>
      <c r="N54" s="43"/>
      <c r="O54" s="43"/>
      <c r="P54" s="43"/>
      <c r="Q54" s="43"/>
      <c r="R54" s="43"/>
      <c r="S54" s="43"/>
    </row>
    <row r="55" spans="1:19" ht="15" thickBot="1">
      <c r="A55" s="45"/>
      <c r="B55" s="45"/>
      <c r="C55" s="19" t="s">
        <v>154</v>
      </c>
      <c r="D55" s="19">
        <v>6</v>
      </c>
      <c r="E55" s="23" t="str">
        <f t="shared" si="5"/>
        <v>5:0</v>
      </c>
      <c r="F55" s="18" t="s">
        <v>242</v>
      </c>
      <c r="G55" s="18" t="s">
        <v>242</v>
      </c>
      <c r="H55" s="19" t="s">
        <v>245</v>
      </c>
      <c r="I55" s="20" t="s">
        <v>36</v>
      </c>
      <c r="J55" s="21" t="s">
        <v>35</v>
      </c>
      <c r="K55" s="22" t="s">
        <v>6</v>
      </c>
      <c r="L55" s="19"/>
      <c r="M55" s="43"/>
      <c r="N55" s="43"/>
      <c r="O55" s="43"/>
      <c r="P55" s="43"/>
      <c r="Q55" s="43"/>
      <c r="R55" s="43"/>
      <c r="S55" s="43"/>
    </row>
    <row r="56" spans="1:19" ht="15" thickBot="1">
      <c r="A56" s="44" t="s">
        <v>115</v>
      </c>
      <c r="B56" s="44">
        <v>98</v>
      </c>
      <c r="C56" s="34" t="s">
        <v>251</v>
      </c>
      <c r="D56" s="51" t="str">
        <f>bitConcat(F57:F64)</f>
        <v>32'b00000000000000000000001100000000</v>
      </c>
      <c r="E56" s="52"/>
      <c r="F56" s="52"/>
      <c r="G56" s="52"/>
      <c r="H56" s="49" t="s">
        <v>252</v>
      </c>
      <c r="I56" s="50" t="e">
        <f>bitConcat(#REF!)</f>
        <v>#VALUE!</v>
      </c>
      <c r="J56" s="48" t="str">
        <f>bitConcat(G57:G64)</f>
        <v>32'b00000000000000000000001100000000</v>
      </c>
      <c r="K56" s="49"/>
      <c r="L56" s="50"/>
      <c r="M56" s="42" t="str">
        <f>DEC2HEX(_xlfn.BITLSHIFT(O56,7)+4*P56)</f>
        <v>698</v>
      </c>
      <c r="N56" s="42"/>
      <c r="O56" s="42">
        <v>13</v>
      </c>
      <c r="P56" s="42">
        <v>6</v>
      </c>
      <c r="Q56" s="42" t="str">
        <f>DEC2HEX(_xlfn.BITLSHIFT(O56,5)+P56)</f>
        <v>1A6</v>
      </c>
      <c r="R56" s="42" t="str">
        <f>BIN2HEX(LEFT(RIGHT(D56,32),4))&amp;BIN2HEX(LEFT(RIGHT(D56,28),4))&amp;BIN2HEX(LEFT(RIGHT(D56,24),4))&amp;BIN2HEX(LEFT(RIGHT(D56,20),4))&amp;BIN2HEX(LEFT(RIGHT(D56,16),4))&amp;BIN2HEX(LEFT(RIGHT(D56,12),4))&amp;BIN2HEX(LEFT(RIGHT(D56,8),4))&amp;BIN2HEX(LEFT(RIGHT(D56,4),4))</f>
        <v>00000300</v>
      </c>
      <c r="S56" s="42" t="str">
        <f>BIN2HEX(LEFT(RIGHT(J56,32),4))&amp;BIN2HEX(LEFT(RIGHT(J56,28),4))&amp;BIN2HEX(LEFT(RIGHT(J56,24),4))&amp;BIN2HEX(LEFT(RIGHT(J56,20),4))&amp;BIN2HEX(LEFT(RIGHT(J56,16),4))&amp;BIN2HEX(LEFT(RIGHT(J56,12),4))&amp;BIN2HEX(LEFT(RIGHT(J56,8),4))&amp;BIN2HEX(LEFT(RIGHT(J56,4),4))</f>
        <v>00000300</v>
      </c>
    </row>
    <row r="57" spans="1:19">
      <c r="A57" s="45"/>
      <c r="B57" s="45"/>
      <c r="C57" s="19" t="s">
        <v>120</v>
      </c>
      <c r="D57" s="19">
        <v>5</v>
      </c>
      <c r="E57" s="23" t="str">
        <f>IF(D57&gt;1,(31)&amp;":"&amp;(31-D57+1),(31-D57+1)&amp;":"&amp;(31-D57+1))</f>
        <v>31:27</v>
      </c>
      <c r="F57" s="18" t="s">
        <v>43</v>
      </c>
      <c r="G57" s="18" t="s">
        <v>43</v>
      </c>
      <c r="H57" s="19" t="s">
        <v>184</v>
      </c>
      <c r="I57" s="20" t="s">
        <v>36</v>
      </c>
      <c r="J57" s="21" t="s">
        <v>35</v>
      </c>
      <c r="K57" s="22" t="s">
        <v>6</v>
      </c>
      <c r="L57" s="19"/>
      <c r="M57" s="43"/>
      <c r="N57" s="43"/>
      <c r="O57" s="43"/>
      <c r="P57" s="43"/>
      <c r="Q57" s="43"/>
      <c r="R57" s="43"/>
      <c r="S57" s="43"/>
    </row>
    <row r="58" spans="1:19">
      <c r="A58" s="45"/>
      <c r="B58" s="45"/>
      <c r="C58" s="19" t="s">
        <v>128</v>
      </c>
      <c r="D58" s="19">
        <v>5</v>
      </c>
      <c r="E58" s="23" t="str">
        <f t="shared" ref="E58:E64" si="6">(MID(str_cnvt(E57),SEARCH(":",str_cnvt(E57))+1,2)-1) &amp; ":" &amp; (MID(str_cnvt(E57),SEARCH(":",str_cnvt(E57))+1,2)-D58)</f>
        <v>26:22</v>
      </c>
      <c r="F58" s="18" t="s">
        <v>43</v>
      </c>
      <c r="G58" s="18" t="s">
        <v>43</v>
      </c>
      <c r="H58" s="19" t="s">
        <v>191</v>
      </c>
      <c r="I58" s="20" t="s">
        <v>36</v>
      </c>
      <c r="J58" s="21" t="s">
        <v>35</v>
      </c>
      <c r="K58" s="22" t="s">
        <v>6</v>
      </c>
      <c r="L58" s="19"/>
      <c r="M58" s="43"/>
      <c r="N58" s="43"/>
      <c r="O58" s="43"/>
      <c r="P58" s="43"/>
      <c r="Q58" s="43"/>
      <c r="R58" s="43"/>
      <c r="S58" s="43"/>
    </row>
    <row r="59" spans="1:19">
      <c r="A59" s="45"/>
      <c r="B59" s="45"/>
      <c r="C59" s="19" t="s">
        <v>144</v>
      </c>
      <c r="D59" s="19">
        <v>6</v>
      </c>
      <c r="E59" s="23" t="str">
        <f t="shared" si="6"/>
        <v>21:16</v>
      </c>
      <c r="F59" s="18" t="s">
        <v>126</v>
      </c>
      <c r="G59" s="18" t="s">
        <v>126</v>
      </c>
      <c r="H59" s="19" t="s">
        <v>207</v>
      </c>
      <c r="I59" s="20" t="s">
        <v>36</v>
      </c>
      <c r="J59" s="21" t="s">
        <v>35</v>
      </c>
      <c r="K59" s="22" t="s">
        <v>6</v>
      </c>
      <c r="L59" s="19"/>
      <c r="M59" s="43"/>
      <c r="N59" s="43"/>
      <c r="O59" s="43"/>
      <c r="P59" s="43"/>
      <c r="Q59" s="43"/>
      <c r="R59" s="43"/>
      <c r="S59" s="43"/>
    </row>
    <row r="60" spans="1:19">
      <c r="A60" s="45"/>
      <c r="B60" s="45"/>
      <c r="C60" s="19" t="s">
        <v>136</v>
      </c>
      <c r="D60" s="19">
        <v>6</v>
      </c>
      <c r="E60" s="23" t="str">
        <f t="shared" si="6"/>
        <v>15:10</v>
      </c>
      <c r="F60" s="18" t="s">
        <v>126</v>
      </c>
      <c r="G60" s="18" t="s">
        <v>126</v>
      </c>
      <c r="H60" s="19" t="s">
        <v>199</v>
      </c>
      <c r="I60" s="20" t="s">
        <v>36</v>
      </c>
      <c r="J60" s="21" t="s">
        <v>35</v>
      </c>
      <c r="K60" s="22" t="s">
        <v>6</v>
      </c>
      <c r="L60" s="19"/>
      <c r="M60" s="43"/>
      <c r="N60" s="43"/>
      <c r="O60" s="43"/>
      <c r="P60" s="43"/>
      <c r="Q60" s="43"/>
      <c r="R60" s="43"/>
      <c r="S60" s="43"/>
    </row>
    <row r="61" spans="1:19">
      <c r="A61" s="45"/>
      <c r="B61" s="45"/>
      <c r="C61" s="19" t="s">
        <v>155</v>
      </c>
      <c r="D61" s="19">
        <v>6</v>
      </c>
      <c r="E61" s="23" t="str">
        <f t="shared" si="6"/>
        <v>9:4</v>
      </c>
      <c r="F61" s="18" t="s">
        <v>242</v>
      </c>
      <c r="G61" s="18" t="s">
        <v>242</v>
      </c>
      <c r="H61" s="19" t="s">
        <v>246</v>
      </c>
      <c r="I61" s="20" t="s">
        <v>36</v>
      </c>
      <c r="J61" s="21" t="s">
        <v>35</v>
      </c>
      <c r="K61" s="22" t="s">
        <v>6</v>
      </c>
      <c r="L61" s="19"/>
      <c r="M61" s="43"/>
      <c r="N61" s="43"/>
      <c r="O61" s="43"/>
      <c r="P61" s="43"/>
      <c r="Q61" s="43"/>
      <c r="R61" s="43"/>
      <c r="S61" s="43"/>
    </row>
    <row r="62" spans="1:19">
      <c r="A62" s="45"/>
      <c r="B62" s="45"/>
      <c r="C62" s="19" t="s">
        <v>150</v>
      </c>
      <c r="D62" s="19">
        <v>1</v>
      </c>
      <c r="E62" s="23" t="str">
        <f t="shared" si="6"/>
        <v>3:3</v>
      </c>
      <c r="F62" s="18" t="s">
        <v>7</v>
      </c>
      <c r="G62" s="18" t="s">
        <v>7</v>
      </c>
      <c r="H62" s="19" t="s">
        <v>213</v>
      </c>
      <c r="I62" s="20" t="s">
        <v>36</v>
      </c>
      <c r="J62" s="21" t="s">
        <v>35</v>
      </c>
      <c r="K62" s="22" t="s">
        <v>6</v>
      </c>
      <c r="L62" s="19"/>
      <c r="M62" s="43"/>
      <c r="N62" s="43"/>
      <c r="O62" s="43"/>
      <c r="P62" s="43"/>
      <c r="Q62" s="43"/>
      <c r="R62" s="43"/>
      <c r="S62" s="43"/>
    </row>
    <row r="63" spans="1:19">
      <c r="A63" s="45"/>
      <c r="B63" s="45"/>
      <c r="C63" s="19" t="s">
        <v>151</v>
      </c>
      <c r="D63" s="19">
        <v>1</v>
      </c>
      <c r="E63" s="23" t="str">
        <f t="shared" si="6"/>
        <v>2:2</v>
      </c>
      <c r="F63" s="18" t="s">
        <v>7</v>
      </c>
      <c r="G63" s="18" t="s">
        <v>7</v>
      </c>
      <c r="H63" s="19" t="s">
        <v>214</v>
      </c>
      <c r="I63" s="20" t="s">
        <v>36</v>
      </c>
      <c r="J63" s="21" t="s">
        <v>35</v>
      </c>
      <c r="K63" s="22" t="s">
        <v>6</v>
      </c>
      <c r="L63" s="19"/>
      <c r="M63" s="43"/>
      <c r="N63" s="43"/>
      <c r="O63" s="43"/>
      <c r="P63" s="43"/>
      <c r="Q63" s="43"/>
      <c r="R63" s="43"/>
      <c r="S63" s="43"/>
    </row>
    <row r="64" spans="1:19" ht="15" thickBot="1">
      <c r="A64" s="45"/>
      <c r="B64" s="45"/>
      <c r="C64" s="19" t="s">
        <v>70</v>
      </c>
      <c r="D64" s="19">
        <v>2</v>
      </c>
      <c r="E64" s="23" t="str">
        <f t="shared" si="6"/>
        <v>1:0</v>
      </c>
      <c r="F64" s="18" t="s">
        <v>40</v>
      </c>
      <c r="G64" s="18" t="s">
        <v>40</v>
      </c>
      <c r="H64" s="19" t="s">
        <v>47</v>
      </c>
      <c r="I64" s="20" t="s">
        <v>36</v>
      </c>
      <c r="J64" s="21" t="s">
        <v>35</v>
      </c>
      <c r="K64" s="22" t="s">
        <v>6</v>
      </c>
      <c r="L64" s="19"/>
      <c r="M64" s="43"/>
      <c r="N64" s="43"/>
      <c r="O64" s="43"/>
      <c r="P64" s="43"/>
      <c r="Q64" s="43"/>
      <c r="R64" s="43"/>
      <c r="S64" s="43"/>
    </row>
    <row r="65" spans="1:36" ht="15" thickBot="1">
      <c r="A65" s="44" t="s">
        <v>116</v>
      </c>
      <c r="B65" s="44" t="s">
        <v>90</v>
      </c>
      <c r="C65" s="34" t="s">
        <v>251</v>
      </c>
      <c r="D65" s="51" t="str">
        <f>bitConcat(F66:F71)</f>
        <v>32'b00000000000000000000000000000000</v>
      </c>
      <c r="E65" s="52"/>
      <c r="F65" s="52"/>
      <c r="G65" s="52"/>
      <c r="H65" s="49" t="s">
        <v>252</v>
      </c>
      <c r="I65" s="50" t="e">
        <f>bitConcat(#REF!)</f>
        <v>#VALUE!</v>
      </c>
      <c r="J65" s="48" t="str">
        <f>bitConcat(G66:G71)</f>
        <v>32'b00000000000000000000000000000000</v>
      </c>
      <c r="K65" s="49"/>
      <c r="L65" s="50"/>
      <c r="M65" s="42" t="str">
        <f>DEC2HEX(_xlfn.BITLSHIFT(O65,7)+4*P65)</f>
        <v>69C</v>
      </c>
      <c r="N65" s="42"/>
      <c r="O65" s="42">
        <v>13</v>
      </c>
      <c r="P65" s="42">
        <v>7</v>
      </c>
      <c r="Q65" s="42" t="str">
        <f>DEC2HEX(_xlfn.BITLSHIFT(O65,5)+P65)</f>
        <v>1A7</v>
      </c>
      <c r="R65" s="42" t="str">
        <f>BIN2HEX(LEFT(RIGHT(D65,32),4))&amp;BIN2HEX(LEFT(RIGHT(D65,28),4))&amp;BIN2HEX(LEFT(RIGHT(D65,24),4))&amp;BIN2HEX(LEFT(RIGHT(D65,20),4))&amp;BIN2HEX(LEFT(RIGHT(D65,16),4))&amp;BIN2HEX(LEFT(RIGHT(D65,12),4))&amp;BIN2HEX(LEFT(RIGHT(D65,8),4))&amp;BIN2HEX(LEFT(RIGHT(D65,4),4))</f>
        <v>00000000</v>
      </c>
      <c r="S65" s="42" t="str">
        <f>BIN2HEX(LEFT(RIGHT(J65,32),4))&amp;BIN2HEX(LEFT(RIGHT(J65,28),4))&amp;BIN2HEX(LEFT(RIGHT(J65,24),4))&amp;BIN2HEX(LEFT(RIGHT(J65,20),4))&amp;BIN2HEX(LEFT(RIGHT(J65,16),4))&amp;BIN2HEX(LEFT(RIGHT(J65,12),4))&amp;BIN2HEX(LEFT(RIGHT(J65,8),4))&amp;BIN2HEX(LEFT(RIGHT(J65,4),4))</f>
        <v>00000000</v>
      </c>
    </row>
    <row r="66" spans="1:36">
      <c r="A66" s="45"/>
      <c r="B66" s="45"/>
      <c r="C66" s="19" t="s">
        <v>113</v>
      </c>
      <c r="D66" s="19">
        <v>5</v>
      </c>
      <c r="E66" s="23" t="str">
        <f>IF(D66&gt;1,(31)&amp;":"&amp;(31-D66+1),(31-D66+1)&amp;":"&amp;(31-D66+1))</f>
        <v>31:27</v>
      </c>
      <c r="F66" s="18" t="s">
        <v>43</v>
      </c>
      <c r="G66" s="18" t="s">
        <v>43</v>
      </c>
      <c r="H66" s="19" t="s">
        <v>183</v>
      </c>
      <c r="I66" s="20" t="s">
        <v>36</v>
      </c>
      <c r="J66" s="21" t="s">
        <v>35</v>
      </c>
      <c r="K66" s="22" t="s">
        <v>6</v>
      </c>
      <c r="L66" s="19"/>
      <c r="M66" s="43"/>
      <c r="N66" s="43"/>
      <c r="O66" s="43"/>
      <c r="P66" s="43"/>
      <c r="Q66" s="43"/>
      <c r="R66" s="43"/>
      <c r="S66" s="43"/>
    </row>
    <row r="67" spans="1:36">
      <c r="A67" s="45"/>
      <c r="B67" s="45"/>
      <c r="C67" s="19" t="s">
        <v>127</v>
      </c>
      <c r="D67" s="19">
        <v>5</v>
      </c>
      <c r="E67" s="23" t="str">
        <f>(MID(str_cnvt(E66),SEARCH(":",str_cnvt(E66))+1,2)-1) &amp; ":" &amp; (MID(str_cnvt(E66),SEARCH(":",str_cnvt(E66))+1,2)-D67)</f>
        <v>26:22</v>
      </c>
      <c r="F67" s="18" t="s">
        <v>43</v>
      </c>
      <c r="G67" s="18" t="s">
        <v>43</v>
      </c>
      <c r="H67" s="19" t="s">
        <v>190</v>
      </c>
      <c r="I67" s="20" t="s">
        <v>36</v>
      </c>
      <c r="J67" s="21" t="s">
        <v>35</v>
      </c>
      <c r="K67" s="22" t="s">
        <v>6</v>
      </c>
      <c r="L67" s="19"/>
      <c r="M67" s="43"/>
      <c r="N67" s="43"/>
      <c r="O67" s="43"/>
      <c r="P67" s="43"/>
      <c r="Q67" s="43"/>
      <c r="R67" s="43"/>
      <c r="S67" s="43"/>
    </row>
    <row r="68" spans="1:36">
      <c r="A68" s="45"/>
      <c r="B68" s="45"/>
      <c r="C68" s="19" t="s">
        <v>143</v>
      </c>
      <c r="D68" s="19">
        <v>6</v>
      </c>
      <c r="E68" s="23" t="str">
        <f>(MID(str_cnvt(E67),SEARCH(":",str_cnvt(E67))+1,2)-1) &amp; ":" &amp; (MID(str_cnvt(E67),SEARCH(":",str_cnvt(E67))+1,2)-D68)</f>
        <v>21:16</v>
      </c>
      <c r="F68" s="18" t="s">
        <v>126</v>
      </c>
      <c r="G68" s="18" t="s">
        <v>126</v>
      </c>
      <c r="H68" s="19" t="s">
        <v>206</v>
      </c>
      <c r="I68" s="20" t="s">
        <v>36</v>
      </c>
      <c r="J68" s="21" t="s">
        <v>35</v>
      </c>
      <c r="K68" s="22" t="s">
        <v>6</v>
      </c>
      <c r="L68" s="19"/>
      <c r="M68" s="43"/>
      <c r="N68" s="43"/>
      <c r="O68" s="43"/>
      <c r="P68" s="43"/>
      <c r="Q68" s="43"/>
      <c r="R68" s="43"/>
      <c r="S68" s="43"/>
    </row>
    <row r="69" spans="1:36">
      <c r="A69" s="45"/>
      <c r="B69" s="45"/>
      <c r="C69" s="19" t="s">
        <v>135</v>
      </c>
      <c r="D69" s="19">
        <v>6</v>
      </c>
      <c r="E69" s="23" t="str">
        <f>(MID(str_cnvt(E68),SEARCH(":",str_cnvt(E68))+1,2)-1) &amp; ":" &amp; (MID(str_cnvt(E68),SEARCH(":",str_cnvt(E68))+1,2)-D69)</f>
        <v>15:10</v>
      </c>
      <c r="F69" s="18" t="s">
        <v>126</v>
      </c>
      <c r="G69" s="18" t="s">
        <v>126</v>
      </c>
      <c r="H69" s="19" t="s">
        <v>198</v>
      </c>
      <c r="I69" s="20" t="s">
        <v>36</v>
      </c>
      <c r="J69" s="21" t="s">
        <v>35</v>
      </c>
      <c r="K69" s="22" t="s">
        <v>6</v>
      </c>
      <c r="L69" s="19"/>
      <c r="M69" s="43"/>
      <c r="N69" s="43"/>
      <c r="O69" s="43"/>
      <c r="P69" s="43"/>
      <c r="Q69" s="43"/>
      <c r="R69" s="43"/>
      <c r="S69" s="43"/>
    </row>
    <row r="70" spans="1:36">
      <c r="A70" s="45"/>
      <c r="B70" s="45"/>
      <c r="C70" s="19" t="s">
        <v>147</v>
      </c>
      <c r="D70" s="19">
        <v>4</v>
      </c>
      <c r="E70" s="23" t="str">
        <f>(MID(str_cnvt(E69),SEARCH(":",str_cnvt(E69))+1,2)-1) &amp; ":" &amp; (MID(str_cnvt(E69),SEARCH(":",str_cnvt(E69))+1,2)-D70)</f>
        <v>9:6</v>
      </c>
      <c r="F70" s="18" t="s">
        <v>44</v>
      </c>
      <c r="G70" s="18" t="s">
        <v>44</v>
      </c>
      <c r="H70" s="19" t="s">
        <v>210</v>
      </c>
      <c r="I70" s="20" t="s">
        <v>36</v>
      </c>
      <c r="J70" s="21" t="s">
        <v>35</v>
      </c>
      <c r="K70" s="22" t="s">
        <v>6</v>
      </c>
      <c r="L70" s="19"/>
      <c r="M70" s="43"/>
      <c r="N70" s="43"/>
      <c r="O70" s="43"/>
      <c r="P70" s="43"/>
      <c r="Q70" s="43"/>
      <c r="R70" s="43"/>
      <c r="S70" s="43"/>
    </row>
    <row r="71" spans="1:36" ht="15" thickBot="1">
      <c r="A71" s="45"/>
      <c r="B71" s="45"/>
      <c r="C71" s="19" t="s">
        <v>106</v>
      </c>
      <c r="D71" s="19">
        <v>6</v>
      </c>
      <c r="E71" s="23" t="str">
        <f>(MID(str_cnvt(E70),SEARCH(":",str_cnvt(E70))+1,2)-1) &amp; ":" &amp; (MID(str_cnvt(E70),SEARCH(":",str_cnvt(E70))+1,2)-D71)</f>
        <v>5:0</v>
      </c>
      <c r="F71" s="18" t="s">
        <v>126</v>
      </c>
      <c r="G71" s="18" t="s">
        <v>126</v>
      </c>
      <c r="H71" s="19" t="s">
        <v>47</v>
      </c>
      <c r="I71" s="20" t="s">
        <v>36</v>
      </c>
      <c r="J71" s="21" t="s">
        <v>35</v>
      </c>
      <c r="K71" s="22" t="s">
        <v>6</v>
      </c>
      <c r="L71" s="19"/>
      <c r="M71" s="43"/>
      <c r="N71" s="43"/>
      <c r="O71" s="43"/>
      <c r="P71" s="43"/>
      <c r="Q71" s="43"/>
      <c r="R71" s="43"/>
      <c r="S71" s="43"/>
    </row>
    <row r="72" spans="1:36" ht="15" thickBot="1">
      <c r="A72" s="44" t="s">
        <v>117</v>
      </c>
      <c r="B72" s="44" t="s">
        <v>91</v>
      </c>
      <c r="C72" s="34" t="s">
        <v>251</v>
      </c>
      <c r="D72" s="51" t="str">
        <f>bitConcat(F73:F80)</f>
        <v>32'b00000000000000000000000000000000</v>
      </c>
      <c r="E72" s="52"/>
      <c r="F72" s="52"/>
      <c r="G72" s="52"/>
      <c r="H72" s="49" t="s">
        <v>252</v>
      </c>
      <c r="I72" s="50" t="str">
        <f>bitConcat(G73:G84)</f>
        <v>More Than 32 bit Were defined (48)</v>
      </c>
      <c r="J72" s="48" t="str">
        <f>bitConcat(G73:G80)</f>
        <v>32'b00000000000000000000000000000000</v>
      </c>
      <c r="K72" s="49"/>
      <c r="L72" s="50"/>
      <c r="M72" s="42" t="str">
        <f>DEC2HEX(_xlfn.BITLSHIFT(O72,7)+4*P72)</f>
        <v>6A0</v>
      </c>
      <c r="N72" s="42"/>
      <c r="O72" s="42">
        <v>13</v>
      </c>
      <c r="P72" s="42">
        <v>8</v>
      </c>
      <c r="Q72" s="42" t="str">
        <f>DEC2HEX(_xlfn.BITLSHIFT(O72,5)+P72)</f>
        <v>1A8</v>
      </c>
      <c r="R72" s="42" t="str">
        <f>BIN2HEX(LEFT(RIGHT(D72,32),4))&amp;BIN2HEX(LEFT(RIGHT(D72,28),4))&amp;BIN2HEX(LEFT(RIGHT(D72,24),4))&amp;BIN2HEX(LEFT(RIGHT(D72,20),4))&amp;BIN2HEX(LEFT(RIGHT(D72,16),4))&amp;BIN2HEX(LEFT(RIGHT(D72,12),4))&amp;BIN2HEX(LEFT(RIGHT(D72,8),4))&amp;BIN2HEX(LEFT(RIGHT(D72,4),4))</f>
        <v>00000000</v>
      </c>
      <c r="S72" s="42" t="str">
        <f>BIN2HEX(LEFT(RIGHT(J72,32),4))&amp;BIN2HEX(LEFT(RIGHT(J72,28),4))&amp;BIN2HEX(LEFT(RIGHT(J72,24),4))&amp;BIN2HEX(LEFT(RIGHT(J72,20),4))&amp;BIN2HEX(LEFT(RIGHT(J72,16),4))&amp;BIN2HEX(LEFT(RIGHT(J72,12),4))&amp;BIN2HEX(LEFT(RIGHT(J72,8),4))&amp;BIN2HEX(LEFT(RIGHT(J72,4),4))</f>
        <v>00000000</v>
      </c>
      <c r="AI72" s="17"/>
    </row>
    <row r="73" spans="1:36">
      <c r="A73" s="45"/>
      <c r="B73" s="45"/>
      <c r="C73" s="19" t="s">
        <v>112</v>
      </c>
      <c r="D73" s="19">
        <v>5</v>
      </c>
      <c r="E73" s="23" t="str">
        <f>IF(D73&gt;1,(31)&amp;":"&amp;(31-D73+1),(31-D73+1)&amp;":"&amp;(31-D73+1))</f>
        <v>31:27</v>
      </c>
      <c r="F73" s="18" t="s">
        <v>43</v>
      </c>
      <c r="G73" s="18" t="s">
        <v>43</v>
      </c>
      <c r="H73" s="19" t="s">
        <v>182</v>
      </c>
      <c r="I73" s="20" t="s">
        <v>36</v>
      </c>
      <c r="J73" s="21" t="s">
        <v>35</v>
      </c>
      <c r="K73" s="22" t="s">
        <v>6</v>
      </c>
      <c r="L73" s="19"/>
      <c r="M73" s="43"/>
      <c r="N73" s="43"/>
      <c r="O73" s="43"/>
      <c r="P73" s="43"/>
      <c r="Q73" s="43"/>
      <c r="R73" s="43"/>
      <c r="S73" s="43"/>
      <c r="AI73" s="17" t="s">
        <v>274</v>
      </c>
      <c r="AJ73" s="17"/>
    </row>
    <row r="74" spans="1:36">
      <c r="A74" s="45"/>
      <c r="B74" s="45"/>
      <c r="C74" s="19" t="s">
        <v>125</v>
      </c>
      <c r="D74" s="19">
        <v>5</v>
      </c>
      <c r="E74" s="23" t="str">
        <f t="shared" ref="E74:E80" si="7">(MID(str_cnvt(E73),SEARCH(":",str_cnvt(E73))+1,2)-1) &amp; ":" &amp; (MID(str_cnvt(E73),SEARCH(":",str_cnvt(E73))+1,2)-D74)</f>
        <v>26:22</v>
      </c>
      <c r="F74" s="18" t="s">
        <v>43</v>
      </c>
      <c r="G74" s="18" t="s">
        <v>43</v>
      </c>
      <c r="H74" s="19" t="s">
        <v>189</v>
      </c>
      <c r="I74" s="20" t="s">
        <v>36</v>
      </c>
      <c r="J74" s="21" t="s">
        <v>35</v>
      </c>
      <c r="K74" s="22" t="s">
        <v>6</v>
      </c>
      <c r="L74" s="19"/>
      <c r="M74" s="43"/>
      <c r="N74" s="43"/>
      <c r="O74" s="43"/>
      <c r="P74" s="43"/>
      <c r="Q74" s="43"/>
      <c r="R74" s="43"/>
      <c r="S74" s="43"/>
      <c r="AI74" s="17" t="s">
        <v>275</v>
      </c>
    </row>
    <row r="75" spans="1:36">
      <c r="A75" s="45"/>
      <c r="B75" s="45"/>
      <c r="C75" s="19" t="s">
        <v>142</v>
      </c>
      <c r="D75" s="19">
        <v>6</v>
      </c>
      <c r="E75" s="23" t="str">
        <f t="shared" si="7"/>
        <v>21:16</v>
      </c>
      <c r="F75" s="18" t="s">
        <v>126</v>
      </c>
      <c r="G75" s="18" t="s">
        <v>126</v>
      </c>
      <c r="H75" s="19" t="s">
        <v>205</v>
      </c>
      <c r="I75" s="20" t="s">
        <v>36</v>
      </c>
      <c r="J75" s="21" t="s">
        <v>35</v>
      </c>
      <c r="K75" s="22" t="s">
        <v>6</v>
      </c>
      <c r="L75" s="19"/>
      <c r="M75" s="43"/>
      <c r="N75" s="43"/>
      <c r="O75" s="43"/>
      <c r="P75" s="43"/>
      <c r="Q75" s="43"/>
      <c r="R75" s="43"/>
      <c r="S75" s="43"/>
      <c r="AI75" s="17" t="s">
        <v>276</v>
      </c>
    </row>
    <row r="76" spans="1:36">
      <c r="A76" s="45"/>
      <c r="B76" s="45"/>
      <c r="C76" s="19" t="s">
        <v>148</v>
      </c>
      <c r="D76" s="19">
        <v>4</v>
      </c>
      <c r="E76" s="23" t="str">
        <f t="shared" si="7"/>
        <v>15:12</v>
      </c>
      <c r="F76" s="18" t="s">
        <v>44</v>
      </c>
      <c r="G76" s="18" t="s">
        <v>44</v>
      </c>
      <c r="H76" s="19" t="s">
        <v>211</v>
      </c>
      <c r="I76" s="20" t="s">
        <v>36</v>
      </c>
      <c r="J76" s="21" t="s">
        <v>35</v>
      </c>
      <c r="K76" s="22" t="s">
        <v>6</v>
      </c>
      <c r="L76" s="19"/>
      <c r="M76" s="43"/>
      <c r="N76" s="43"/>
      <c r="O76" s="43"/>
      <c r="P76" s="43"/>
      <c r="Q76" s="43"/>
      <c r="R76" s="43"/>
      <c r="S76" s="43"/>
      <c r="AI76" s="17" t="s">
        <v>277</v>
      </c>
    </row>
    <row r="77" spans="1:36">
      <c r="A77" s="45"/>
      <c r="B77" s="45"/>
      <c r="C77" s="19" t="s">
        <v>159</v>
      </c>
      <c r="D77" s="19">
        <v>1</v>
      </c>
      <c r="E77" s="23" t="str">
        <f t="shared" si="7"/>
        <v>11:11</v>
      </c>
      <c r="F77" s="18" t="s">
        <v>7</v>
      </c>
      <c r="G77" s="18" t="s">
        <v>7</v>
      </c>
      <c r="H77" s="19" t="s">
        <v>218</v>
      </c>
      <c r="I77" s="20" t="s">
        <v>36</v>
      </c>
      <c r="J77" s="21" t="s">
        <v>35</v>
      </c>
      <c r="K77" s="22" t="s">
        <v>6</v>
      </c>
      <c r="L77" s="19"/>
      <c r="M77" s="43"/>
      <c r="N77" s="43"/>
      <c r="O77" s="43"/>
      <c r="P77" s="43"/>
      <c r="Q77" s="43"/>
      <c r="R77" s="43"/>
      <c r="S77" s="43"/>
      <c r="AI77" s="17" t="s">
        <v>263</v>
      </c>
    </row>
    <row r="78" spans="1:36">
      <c r="A78" s="45"/>
      <c r="B78" s="45"/>
      <c r="C78" s="19" t="s">
        <v>160</v>
      </c>
      <c r="D78" s="19">
        <v>1</v>
      </c>
      <c r="E78" s="23" t="str">
        <f t="shared" si="7"/>
        <v>10:10</v>
      </c>
      <c r="F78" s="18" t="s">
        <v>7</v>
      </c>
      <c r="G78" s="18" t="s">
        <v>7</v>
      </c>
      <c r="H78" s="19" t="s">
        <v>219</v>
      </c>
      <c r="I78" s="20" t="s">
        <v>36</v>
      </c>
      <c r="J78" s="21" t="s">
        <v>35</v>
      </c>
      <c r="K78" s="22" t="s">
        <v>6</v>
      </c>
      <c r="L78" s="19"/>
      <c r="M78" s="43"/>
      <c r="N78" s="43"/>
      <c r="O78" s="43"/>
      <c r="P78" s="43"/>
      <c r="Q78" s="43"/>
      <c r="R78" s="43"/>
      <c r="S78" s="43"/>
      <c r="AI78" s="17" t="s">
        <v>264</v>
      </c>
    </row>
    <row r="79" spans="1:36">
      <c r="A79" s="45"/>
      <c r="B79" s="45"/>
      <c r="C79" s="19" t="s">
        <v>134</v>
      </c>
      <c r="D79" s="19">
        <v>6</v>
      </c>
      <c r="E79" s="23" t="str">
        <f t="shared" si="7"/>
        <v>9:4</v>
      </c>
      <c r="F79" s="18" t="s">
        <v>126</v>
      </c>
      <c r="G79" s="18" t="s">
        <v>126</v>
      </c>
      <c r="H79" s="19" t="s">
        <v>197</v>
      </c>
      <c r="I79" s="20" t="s">
        <v>36</v>
      </c>
      <c r="J79" s="21" t="s">
        <v>35</v>
      </c>
      <c r="K79" s="22" t="s">
        <v>6</v>
      </c>
      <c r="L79" s="19"/>
      <c r="M79" s="43"/>
      <c r="N79" s="43"/>
      <c r="O79" s="43"/>
      <c r="P79" s="43"/>
      <c r="Q79" s="43"/>
      <c r="R79" s="43"/>
      <c r="S79" s="43"/>
      <c r="AI79" s="17" t="s">
        <v>278</v>
      </c>
    </row>
    <row r="80" spans="1:36" ht="15" thickBot="1">
      <c r="A80" s="45"/>
      <c r="B80" s="45"/>
      <c r="C80" s="19" t="s">
        <v>315</v>
      </c>
      <c r="D80" s="19">
        <v>4</v>
      </c>
      <c r="E80" s="23" t="str">
        <f t="shared" si="7"/>
        <v>3:0</v>
      </c>
      <c r="F80" s="18" t="s">
        <v>44</v>
      </c>
      <c r="G80" s="18" t="s">
        <v>44</v>
      </c>
      <c r="H80" s="19" t="s">
        <v>366</v>
      </c>
      <c r="I80" s="20" t="s">
        <v>36</v>
      </c>
      <c r="J80" s="21" t="s">
        <v>35</v>
      </c>
      <c r="K80" s="22" t="s">
        <v>6</v>
      </c>
      <c r="L80" s="19"/>
      <c r="M80" s="43"/>
      <c r="N80" s="43"/>
      <c r="O80" s="43"/>
      <c r="P80" s="43"/>
      <c r="Q80" s="43"/>
      <c r="R80" s="43"/>
      <c r="S80" s="43"/>
      <c r="AI80" s="17" t="s">
        <v>279</v>
      </c>
    </row>
    <row r="81" spans="1:36" ht="15" thickBot="1">
      <c r="A81" s="44" t="s">
        <v>118</v>
      </c>
      <c r="B81" s="44" t="s">
        <v>92</v>
      </c>
      <c r="C81" s="34" t="s">
        <v>251</v>
      </c>
      <c r="D81" s="51" t="str">
        <f>bitConcat(F82:F89)</f>
        <v>32'b00000000000000000000000000000000</v>
      </c>
      <c r="E81" s="52"/>
      <c r="F81" s="52"/>
      <c r="G81" s="52"/>
      <c r="H81" s="49" t="s">
        <v>252</v>
      </c>
      <c r="I81" s="50" t="str">
        <f>bitConcat(G82:G93)</f>
        <v>More Than 32 bit Were defined (48)</v>
      </c>
      <c r="J81" s="48" t="str">
        <f>bitConcat(G82:G89)</f>
        <v>32'b00000000000000000000000000000000</v>
      </c>
      <c r="K81" s="49"/>
      <c r="L81" s="50"/>
      <c r="M81" s="42" t="str">
        <f>DEC2HEX(_xlfn.BITLSHIFT(O81,7)+4*P81)</f>
        <v>6A4</v>
      </c>
      <c r="N81" s="42"/>
      <c r="O81" s="42">
        <v>13</v>
      </c>
      <c r="P81" s="42">
        <v>9</v>
      </c>
      <c r="Q81" s="42" t="str">
        <f>DEC2HEX(_xlfn.BITLSHIFT(O81,5)+P81)</f>
        <v>1A9</v>
      </c>
      <c r="R81" s="42" t="str">
        <f>BIN2HEX(LEFT(RIGHT(D81,32),4))&amp;BIN2HEX(LEFT(RIGHT(D81,28),4))&amp;BIN2HEX(LEFT(RIGHT(D81,24),4))&amp;BIN2HEX(LEFT(RIGHT(D81,20),4))&amp;BIN2HEX(LEFT(RIGHT(D81,16),4))&amp;BIN2HEX(LEFT(RIGHT(D81,12),4))&amp;BIN2HEX(LEFT(RIGHT(D81,8),4))&amp;BIN2HEX(LEFT(RIGHT(D81,4),4))</f>
        <v>00000000</v>
      </c>
      <c r="S81" s="42" t="str">
        <f>BIN2HEX(LEFT(RIGHT(J81,32),4))&amp;BIN2HEX(LEFT(RIGHT(J81,28),4))&amp;BIN2HEX(LEFT(RIGHT(J81,24),4))&amp;BIN2HEX(LEFT(RIGHT(J81,20),4))&amp;BIN2HEX(LEFT(RIGHT(J81,16),4))&amp;BIN2HEX(LEFT(RIGHT(J81,12),4))&amp;BIN2HEX(LEFT(RIGHT(J81,8),4))&amp;BIN2HEX(LEFT(RIGHT(J81,4),4))</f>
        <v>00000000</v>
      </c>
    </row>
    <row r="82" spans="1:36">
      <c r="A82" s="45"/>
      <c r="B82" s="45"/>
      <c r="C82" s="19" t="s">
        <v>111</v>
      </c>
      <c r="D82" s="19">
        <v>5</v>
      </c>
      <c r="E82" s="23" t="str">
        <f>IF(D82&gt;1,(31)&amp;":"&amp;(31-D82+1),(31-D82+1)&amp;":"&amp;(31-D82+1))</f>
        <v>31:27</v>
      </c>
      <c r="F82" s="18" t="s">
        <v>43</v>
      </c>
      <c r="G82" s="18" t="s">
        <v>43</v>
      </c>
      <c r="H82" s="19" t="s">
        <v>181</v>
      </c>
      <c r="I82" s="20" t="s">
        <v>36</v>
      </c>
      <c r="J82" s="21" t="s">
        <v>35</v>
      </c>
      <c r="K82" s="22" t="s">
        <v>6</v>
      </c>
      <c r="L82" s="19"/>
      <c r="M82" s="43"/>
      <c r="N82" s="43"/>
      <c r="O82" s="43"/>
      <c r="P82" s="43"/>
      <c r="Q82" s="43"/>
      <c r="R82" s="43"/>
      <c r="S82" s="43"/>
      <c r="AI82" s="17" t="s">
        <v>280</v>
      </c>
      <c r="AJ82" s="17"/>
    </row>
    <row r="83" spans="1:36">
      <c r="A83" s="45"/>
      <c r="B83" s="45"/>
      <c r="C83" s="19" t="s">
        <v>124</v>
      </c>
      <c r="D83" s="19">
        <v>5</v>
      </c>
      <c r="E83" s="23" t="str">
        <f t="shared" ref="E83:E89" si="8">(MID(str_cnvt(E82),SEARCH(":",str_cnvt(E82))+1,2)-1) &amp; ":" &amp; (MID(str_cnvt(E82),SEARCH(":",str_cnvt(E82))+1,2)-D83)</f>
        <v>26:22</v>
      </c>
      <c r="F83" s="18" t="s">
        <v>43</v>
      </c>
      <c r="G83" s="18" t="s">
        <v>43</v>
      </c>
      <c r="H83" s="19" t="s">
        <v>188</v>
      </c>
      <c r="I83" s="20" t="s">
        <v>36</v>
      </c>
      <c r="J83" s="21" t="s">
        <v>35</v>
      </c>
      <c r="K83" s="22" t="s">
        <v>6</v>
      </c>
      <c r="L83" s="19"/>
      <c r="M83" s="43"/>
      <c r="N83" s="43"/>
      <c r="O83" s="43"/>
      <c r="P83" s="43"/>
      <c r="Q83" s="43"/>
      <c r="R83" s="43"/>
      <c r="S83" s="43"/>
      <c r="AI83" s="17" t="s">
        <v>281</v>
      </c>
    </row>
    <row r="84" spans="1:36">
      <c r="A84" s="45"/>
      <c r="B84" s="45"/>
      <c r="C84" s="19" t="s">
        <v>141</v>
      </c>
      <c r="D84" s="19">
        <v>6</v>
      </c>
      <c r="E84" s="23" t="str">
        <f t="shared" si="8"/>
        <v>21:16</v>
      </c>
      <c r="F84" s="18" t="s">
        <v>126</v>
      </c>
      <c r="G84" s="18" t="s">
        <v>126</v>
      </c>
      <c r="H84" s="19" t="s">
        <v>204</v>
      </c>
      <c r="I84" s="20" t="s">
        <v>36</v>
      </c>
      <c r="J84" s="21" t="s">
        <v>35</v>
      </c>
      <c r="K84" s="22" t="s">
        <v>6</v>
      </c>
      <c r="L84" s="19"/>
      <c r="M84" s="43"/>
      <c r="N84" s="43"/>
      <c r="O84" s="43"/>
      <c r="P84" s="43"/>
      <c r="Q84" s="43"/>
      <c r="R84" s="43"/>
      <c r="S84" s="43"/>
      <c r="AI84" s="17" t="s">
        <v>282</v>
      </c>
    </row>
    <row r="85" spans="1:36">
      <c r="A85" s="45"/>
      <c r="B85" s="45"/>
      <c r="C85" s="19" t="s">
        <v>133</v>
      </c>
      <c r="D85" s="19">
        <v>6</v>
      </c>
      <c r="E85" s="23" t="str">
        <f t="shared" si="8"/>
        <v>15:10</v>
      </c>
      <c r="F85" s="18" t="s">
        <v>126</v>
      </c>
      <c r="G85" s="18" t="s">
        <v>126</v>
      </c>
      <c r="H85" s="19" t="s">
        <v>196</v>
      </c>
      <c r="I85" s="20" t="s">
        <v>36</v>
      </c>
      <c r="J85" s="21" t="s">
        <v>35</v>
      </c>
      <c r="K85" s="22" t="s">
        <v>6</v>
      </c>
      <c r="L85" s="19"/>
      <c r="M85" s="43"/>
      <c r="N85" s="43"/>
      <c r="O85" s="43"/>
      <c r="P85" s="43"/>
      <c r="Q85" s="43"/>
      <c r="R85" s="43"/>
      <c r="S85" s="43"/>
      <c r="AI85" s="17" t="s">
        <v>283</v>
      </c>
    </row>
    <row r="86" spans="1:36">
      <c r="A86" s="45"/>
      <c r="B86" s="45"/>
      <c r="C86" s="19" t="s">
        <v>316</v>
      </c>
      <c r="D86" s="19">
        <v>3</v>
      </c>
      <c r="E86" s="23" t="str">
        <f t="shared" si="8"/>
        <v>9:7</v>
      </c>
      <c r="F86" s="18" t="s">
        <v>163</v>
      </c>
      <c r="G86" s="18" t="s">
        <v>163</v>
      </c>
      <c r="H86" s="19" t="s">
        <v>364</v>
      </c>
      <c r="I86" s="20" t="s">
        <v>36</v>
      </c>
      <c r="J86" s="21" t="s">
        <v>35</v>
      </c>
      <c r="K86" s="22" t="s">
        <v>6</v>
      </c>
      <c r="L86" s="19"/>
      <c r="M86" s="43"/>
      <c r="N86" s="43"/>
      <c r="O86" s="43"/>
      <c r="P86" s="43"/>
      <c r="Q86" s="43"/>
      <c r="R86" s="43"/>
      <c r="S86" s="43"/>
      <c r="AI86" s="17" t="s">
        <v>284</v>
      </c>
    </row>
    <row r="87" spans="1:36">
      <c r="A87" s="45"/>
      <c r="B87" s="45"/>
      <c r="C87" s="19" t="s">
        <v>317</v>
      </c>
      <c r="D87" s="19">
        <v>3</v>
      </c>
      <c r="E87" s="23" t="str">
        <f t="shared" si="8"/>
        <v>6:4</v>
      </c>
      <c r="F87" s="18" t="s">
        <v>163</v>
      </c>
      <c r="G87" s="18" t="s">
        <v>163</v>
      </c>
      <c r="H87" s="19" t="s">
        <v>364</v>
      </c>
      <c r="I87" s="20" t="s">
        <v>36</v>
      </c>
      <c r="J87" s="21" t="s">
        <v>35</v>
      </c>
      <c r="K87" s="22" t="s">
        <v>6</v>
      </c>
      <c r="L87" s="19"/>
      <c r="M87" s="43"/>
      <c r="N87" s="43"/>
      <c r="O87" s="43"/>
      <c r="P87" s="43"/>
      <c r="Q87" s="43"/>
      <c r="R87" s="43"/>
      <c r="S87" s="43"/>
      <c r="AI87" s="17" t="s">
        <v>285</v>
      </c>
    </row>
    <row r="88" spans="1:36">
      <c r="A88" s="45"/>
      <c r="B88" s="45"/>
      <c r="C88" s="19" t="s">
        <v>318</v>
      </c>
      <c r="D88" s="19">
        <v>3</v>
      </c>
      <c r="E88" s="23" t="str">
        <f t="shared" si="8"/>
        <v>3:1</v>
      </c>
      <c r="F88" s="18" t="s">
        <v>163</v>
      </c>
      <c r="G88" s="18" t="s">
        <v>163</v>
      </c>
      <c r="H88" s="19" t="s">
        <v>364</v>
      </c>
      <c r="I88" s="20" t="s">
        <v>36</v>
      </c>
      <c r="J88" s="21" t="s">
        <v>35</v>
      </c>
      <c r="K88" s="22" t="s">
        <v>6</v>
      </c>
      <c r="L88" s="19"/>
      <c r="M88" s="43"/>
      <c r="N88" s="43"/>
      <c r="O88" s="43"/>
      <c r="P88" s="43"/>
      <c r="Q88" s="43"/>
      <c r="R88" s="43"/>
      <c r="S88" s="43"/>
      <c r="AI88" s="17" t="s">
        <v>286</v>
      </c>
    </row>
    <row r="89" spans="1:36" ht="15" thickBot="1">
      <c r="A89" s="45"/>
      <c r="B89" s="45"/>
      <c r="C89" s="19" t="s">
        <v>253</v>
      </c>
      <c r="D89" s="19">
        <v>1</v>
      </c>
      <c r="E89" s="23" t="str">
        <f t="shared" si="8"/>
        <v>0:0</v>
      </c>
      <c r="F89" s="18" t="s">
        <v>7</v>
      </c>
      <c r="G89" s="18" t="s">
        <v>7</v>
      </c>
      <c r="H89" s="19" t="s">
        <v>47</v>
      </c>
      <c r="I89" s="20" t="s">
        <v>36</v>
      </c>
      <c r="J89" s="21" t="s">
        <v>35</v>
      </c>
      <c r="K89" s="22" t="s">
        <v>6</v>
      </c>
      <c r="L89" s="19"/>
      <c r="M89" s="43"/>
      <c r="N89" s="43"/>
      <c r="O89" s="43"/>
      <c r="P89" s="43"/>
      <c r="Q89" s="43"/>
      <c r="R89" s="43"/>
      <c r="S89" s="43"/>
      <c r="AI89" s="17" t="s">
        <v>265</v>
      </c>
    </row>
    <row r="90" spans="1:36" ht="15" thickBot="1">
      <c r="A90" s="44" t="s">
        <v>119</v>
      </c>
      <c r="B90" s="44" t="s">
        <v>93</v>
      </c>
      <c r="C90" s="34" t="s">
        <v>251</v>
      </c>
      <c r="D90" s="51" t="str">
        <f>bitConcat(F91:F101)</f>
        <v>32'b00000000000000000000000000001000</v>
      </c>
      <c r="E90" s="52"/>
      <c r="F90" s="52"/>
      <c r="G90" s="52"/>
      <c r="H90" s="49" t="s">
        <v>252</v>
      </c>
      <c r="I90" s="50" t="str">
        <f>bitConcat(G91:G102)</f>
        <v>32'b00000000000000000000000000001000</v>
      </c>
      <c r="J90" s="48" t="str">
        <f>bitConcat(G91:G101)</f>
        <v>32'b00000000000000000000000000001000</v>
      </c>
      <c r="K90" s="49"/>
      <c r="L90" s="50"/>
      <c r="M90" s="42" t="str">
        <f>DEC2HEX(_xlfn.BITLSHIFT(O90,7)+4*P90)</f>
        <v>6A8</v>
      </c>
      <c r="N90" s="42"/>
      <c r="O90" s="42">
        <v>13</v>
      </c>
      <c r="P90" s="42">
        <v>10</v>
      </c>
      <c r="Q90" s="42" t="str">
        <f>DEC2HEX(_xlfn.BITLSHIFT(O90,5)+P90)</f>
        <v>1AA</v>
      </c>
      <c r="R90" s="42" t="str">
        <f>BIN2HEX(LEFT(RIGHT(D90,32),4))&amp;BIN2HEX(LEFT(RIGHT(D90,28),4))&amp;BIN2HEX(LEFT(RIGHT(D90,24),4))&amp;BIN2HEX(LEFT(RIGHT(D90,20),4))&amp;BIN2HEX(LEFT(RIGHT(D90,16),4))&amp;BIN2HEX(LEFT(RIGHT(D90,12),4))&amp;BIN2HEX(LEFT(RIGHT(D90,8),4))&amp;BIN2HEX(LEFT(RIGHT(D90,4),4))</f>
        <v>00000008</v>
      </c>
      <c r="S90" s="42" t="str">
        <f>BIN2HEX(LEFT(RIGHT(J90,32),4))&amp;BIN2HEX(LEFT(RIGHT(J90,28),4))&amp;BIN2HEX(LEFT(RIGHT(J90,24),4))&amp;BIN2HEX(LEFT(RIGHT(J90,20),4))&amp;BIN2HEX(LEFT(RIGHT(J90,16),4))&amp;BIN2HEX(LEFT(RIGHT(J90,12),4))&amp;BIN2HEX(LEFT(RIGHT(J90,8),4))&amp;BIN2HEX(LEFT(RIGHT(J90,4),4))</f>
        <v>00000008</v>
      </c>
    </row>
    <row r="91" spans="1:36">
      <c r="A91" s="45"/>
      <c r="B91" s="45"/>
      <c r="C91" s="19" t="s">
        <v>110</v>
      </c>
      <c r="D91" s="19">
        <v>5</v>
      </c>
      <c r="E91" s="23" t="str">
        <f>IF(D91&gt;1,(31)&amp;":"&amp;(31-D91+1),(31-D91+1)&amp;":"&amp;(31-D91+1))</f>
        <v>31:27</v>
      </c>
      <c r="F91" s="18" t="s">
        <v>43</v>
      </c>
      <c r="G91" s="18" t="s">
        <v>43</v>
      </c>
      <c r="H91" s="19" t="s">
        <v>180</v>
      </c>
      <c r="I91" s="20" t="s">
        <v>36</v>
      </c>
      <c r="J91" s="21" t="s">
        <v>35</v>
      </c>
      <c r="K91" s="22" t="s">
        <v>6</v>
      </c>
      <c r="L91" s="19"/>
      <c r="M91" s="43"/>
      <c r="N91" s="43"/>
      <c r="O91" s="43"/>
      <c r="P91" s="43"/>
      <c r="Q91" s="43"/>
      <c r="R91" s="43"/>
      <c r="S91" s="43"/>
      <c r="AI91" s="17" t="s">
        <v>287</v>
      </c>
      <c r="AJ91" s="17"/>
    </row>
    <row r="92" spans="1:36">
      <c r="A92" s="45"/>
      <c r="B92" s="45"/>
      <c r="C92" s="19" t="s">
        <v>123</v>
      </c>
      <c r="D92" s="19">
        <v>5</v>
      </c>
      <c r="E92" s="23" t="str">
        <f t="shared" ref="E92:E101" si="9">(MID(str_cnvt(E91),SEARCH(":",str_cnvt(E91))+1,2)-1) &amp; ":" &amp; (MID(str_cnvt(E91),SEARCH(":",str_cnvt(E91))+1,2)-D92)</f>
        <v>26:22</v>
      </c>
      <c r="F92" s="18" t="s">
        <v>43</v>
      </c>
      <c r="G92" s="18" t="s">
        <v>43</v>
      </c>
      <c r="H92" s="19" t="s">
        <v>187</v>
      </c>
      <c r="I92" s="20" t="s">
        <v>36</v>
      </c>
      <c r="J92" s="21" t="s">
        <v>35</v>
      </c>
      <c r="K92" s="22" t="s">
        <v>6</v>
      </c>
      <c r="L92" s="19"/>
      <c r="M92" s="43"/>
      <c r="N92" s="43"/>
      <c r="O92" s="43"/>
      <c r="P92" s="43"/>
      <c r="Q92" s="43"/>
      <c r="R92" s="43"/>
      <c r="S92" s="43"/>
      <c r="AI92" s="17" t="s">
        <v>288</v>
      </c>
    </row>
    <row r="93" spans="1:36">
      <c r="A93" s="45"/>
      <c r="B93" s="45"/>
      <c r="C93" s="19" t="s">
        <v>140</v>
      </c>
      <c r="D93" s="19">
        <v>6</v>
      </c>
      <c r="E93" s="23" t="str">
        <f t="shared" si="9"/>
        <v>21:16</v>
      </c>
      <c r="F93" s="18" t="s">
        <v>126</v>
      </c>
      <c r="G93" s="18" t="s">
        <v>126</v>
      </c>
      <c r="H93" s="19" t="s">
        <v>203</v>
      </c>
      <c r="I93" s="20" t="s">
        <v>36</v>
      </c>
      <c r="J93" s="21" t="s">
        <v>35</v>
      </c>
      <c r="K93" s="22" t="s">
        <v>6</v>
      </c>
      <c r="L93" s="19"/>
      <c r="M93" s="43"/>
      <c r="N93" s="43"/>
      <c r="O93" s="43"/>
      <c r="P93" s="43"/>
      <c r="Q93" s="43"/>
      <c r="R93" s="43"/>
      <c r="S93" s="43"/>
      <c r="AI93" s="17" t="s">
        <v>289</v>
      </c>
    </row>
    <row r="94" spans="1:36">
      <c r="A94" s="45"/>
      <c r="B94" s="45"/>
      <c r="C94" s="19" t="s">
        <v>132</v>
      </c>
      <c r="D94" s="19">
        <v>6</v>
      </c>
      <c r="E94" s="23" t="str">
        <f t="shared" si="9"/>
        <v>15:10</v>
      </c>
      <c r="F94" s="18" t="s">
        <v>126</v>
      </c>
      <c r="G94" s="18" t="s">
        <v>126</v>
      </c>
      <c r="H94" s="19" t="s">
        <v>195</v>
      </c>
      <c r="I94" s="20" t="s">
        <v>36</v>
      </c>
      <c r="J94" s="21" t="s">
        <v>35</v>
      </c>
      <c r="K94" s="22" t="s">
        <v>6</v>
      </c>
      <c r="L94" s="19"/>
      <c r="M94" s="43"/>
      <c r="N94" s="43"/>
      <c r="O94" s="43"/>
      <c r="P94" s="43"/>
      <c r="Q94" s="43"/>
      <c r="R94" s="43"/>
      <c r="S94" s="43"/>
      <c r="AI94" s="17" t="s">
        <v>290</v>
      </c>
    </row>
    <row r="95" spans="1:36">
      <c r="A95" s="45"/>
      <c r="B95" s="45"/>
      <c r="C95" s="19" t="s">
        <v>168</v>
      </c>
      <c r="D95" s="19">
        <v>2</v>
      </c>
      <c r="E95" s="23" t="str">
        <f t="shared" si="9"/>
        <v>9:8</v>
      </c>
      <c r="F95" s="18" t="s">
        <v>40</v>
      </c>
      <c r="G95" s="18" t="s">
        <v>40</v>
      </c>
      <c r="H95" s="19" t="s">
        <v>254</v>
      </c>
      <c r="I95" s="20" t="s">
        <v>36</v>
      </c>
      <c r="J95" s="21" t="s">
        <v>35</v>
      </c>
      <c r="K95" s="22" t="s">
        <v>6</v>
      </c>
      <c r="L95" s="19"/>
      <c r="M95" s="43"/>
      <c r="N95" s="43"/>
      <c r="O95" s="43"/>
      <c r="P95" s="43"/>
      <c r="Q95" s="43"/>
      <c r="R95" s="43"/>
      <c r="S95" s="43"/>
      <c r="AI95" s="17" t="s">
        <v>291</v>
      </c>
    </row>
    <row r="96" spans="1:36">
      <c r="A96" s="45"/>
      <c r="B96" s="45"/>
      <c r="C96" s="19" t="s">
        <v>167</v>
      </c>
      <c r="D96" s="19">
        <v>2</v>
      </c>
      <c r="E96" s="23" t="str">
        <f t="shared" si="9"/>
        <v>7:6</v>
      </c>
      <c r="F96" s="18" t="s">
        <v>40</v>
      </c>
      <c r="G96" s="18" t="s">
        <v>40</v>
      </c>
      <c r="H96" s="19" t="s">
        <v>255</v>
      </c>
      <c r="I96" s="20" t="s">
        <v>36</v>
      </c>
      <c r="J96" s="21" t="s">
        <v>35</v>
      </c>
      <c r="K96" s="22" t="s">
        <v>6</v>
      </c>
      <c r="L96" s="19"/>
      <c r="M96" s="43"/>
      <c r="N96" s="43"/>
      <c r="O96" s="43"/>
      <c r="P96" s="43"/>
      <c r="Q96" s="43"/>
      <c r="R96" s="43"/>
      <c r="S96" s="43"/>
      <c r="AI96" s="17" t="s">
        <v>292</v>
      </c>
    </row>
    <row r="97" spans="1:36">
      <c r="A97" s="45"/>
      <c r="B97" s="45"/>
      <c r="C97" s="19" t="s">
        <v>166</v>
      </c>
      <c r="D97" s="19">
        <v>1</v>
      </c>
      <c r="E97" s="23" t="str">
        <f t="shared" si="9"/>
        <v>5:5</v>
      </c>
      <c r="F97" s="18" t="s">
        <v>7</v>
      </c>
      <c r="G97" s="18" t="s">
        <v>7</v>
      </c>
      <c r="H97" s="19" t="s">
        <v>221</v>
      </c>
      <c r="I97" s="20" t="s">
        <v>36</v>
      </c>
      <c r="J97" s="21" t="s">
        <v>35</v>
      </c>
      <c r="K97" s="22" t="s">
        <v>6</v>
      </c>
      <c r="L97" s="19"/>
      <c r="M97" s="43"/>
      <c r="N97" s="43"/>
      <c r="O97" s="43"/>
      <c r="P97" s="43"/>
      <c r="Q97" s="43"/>
      <c r="R97" s="43"/>
      <c r="S97" s="43"/>
      <c r="AI97" s="17" t="s">
        <v>266</v>
      </c>
    </row>
    <row r="98" spans="1:36">
      <c r="A98" s="45"/>
      <c r="B98" s="45"/>
      <c r="C98" s="19" t="s">
        <v>165</v>
      </c>
      <c r="D98" s="19">
        <v>1</v>
      </c>
      <c r="E98" s="23" t="str">
        <f t="shared" si="9"/>
        <v>4:4</v>
      </c>
      <c r="F98" s="18" t="s">
        <v>7</v>
      </c>
      <c r="G98" s="18" t="s">
        <v>7</v>
      </c>
      <c r="H98" s="19" t="s">
        <v>220</v>
      </c>
      <c r="I98" s="20" t="s">
        <v>36</v>
      </c>
      <c r="J98" s="21" t="s">
        <v>35</v>
      </c>
      <c r="K98" s="22" t="s">
        <v>6</v>
      </c>
      <c r="L98" s="19"/>
      <c r="M98" s="43"/>
      <c r="N98" s="43"/>
      <c r="O98" s="43"/>
      <c r="P98" s="43"/>
      <c r="Q98" s="43"/>
      <c r="R98" s="43"/>
      <c r="S98" s="43"/>
      <c r="AI98" s="17" t="s">
        <v>267</v>
      </c>
    </row>
    <row r="99" spans="1:36" ht="172.8">
      <c r="A99" s="45"/>
      <c r="B99" s="45"/>
      <c r="C99" s="19" t="s">
        <v>164</v>
      </c>
      <c r="D99" s="19">
        <v>1</v>
      </c>
      <c r="E99" s="23" t="str">
        <f t="shared" si="9"/>
        <v>3:3</v>
      </c>
      <c r="F99" s="18" t="s">
        <v>37</v>
      </c>
      <c r="G99" s="18" t="s">
        <v>37</v>
      </c>
      <c r="H99" s="36" t="s">
        <v>363</v>
      </c>
      <c r="I99" s="20" t="s">
        <v>36</v>
      </c>
      <c r="J99" s="21" t="s">
        <v>35</v>
      </c>
      <c r="K99" s="22" t="s">
        <v>6</v>
      </c>
      <c r="L99" s="19"/>
      <c r="M99" s="43"/>
      <c r="N99" s="43"/>
      <c r="O99" s="43"/>
      <c r="P99" s="43"/>
      <c r="Q99" s="43"/>
      <c r="R99" s="43"/>
      <c r="S99" s="43"/>
      <c r="AI99" s="17" t="s">
        <v>268</v>
      </c>
    </row>
    <row r="100" spans="1:36">
      <c r="A100" s="45"/>
      <c r="B100" s="45"/>
      <c r="C100" s="19" t="s">
        <v>172</v>
      </c>
      <c r="D100" s="19">
        <v>1</v>
      </c>
      <c r="E100" s="23" t="str">
        <f t="shared" si="9"/>
        <v>2:2</v>
      </c>
      <c r="F100" s="18" t="s">
        <v>7</v>
      </c>
      <c r="G100" s="18" t="s">
        <v>7</v>
      </c>
      <c r="H100" s="19" t="s">
        <v>222</v>
      </c>
      <c r="I100" s="20" t="s">
        <v>36</v>
      </c>
      <c r="J100" s="21" t="s">
        <v>35</v>
      </c>
      <c r="K100" s="22" t="s">
        <v>6</v>
      </c>
      <c r="L100" s="19"/>
      <c r="M100" s="43"/>
      <c r="N100" s="43"/>
      <c r="O100" s="43"/>
      <c r="P100" s="43"/>
      <c r="Q100" s="43"/>
      <c r="R100" s="43"/>
      <c r="S100" s="43"/>
      <c r="AI100" s="17" t="s">
        <v>269</v>
      </c>
    </row>
    <row r="101" spans="1:36" ht="15" thickBot="1">
      <c r="A101" s="45"/>
      <c r="B101" s="45"/>
      <c r="C101" s="19" t="s">
        <v>47</v>
      </c>
      <c r="D101" s="19">
        <v>2</v>
      </c>
      <c r="E101" s="23" t="str">
        <f t="shared" si="9"/>
        <v>1:0</v>
      </c>
      <c r="F101" s="18" t="s">
        <v>40</v>
      </c>
      <c r="G101" s="18" t="s">
        <v>40</v>
      </c>
      <c r="H101" s="19" t="s">
        <v>47</v>
      </c>
      <c r="I101" s="20"/>
      <c r="J101" s="21"/>
      <c r="K101" s="22"/>
      <c r="L101" s="19"/>
      <c r="M101" s="43"/>
      <c r="N101" s="43"/>
      <c r="O101" s="43"/>
      <c r="P101" s="43"/>
      <c r="Q101" s="43"/>
      <c r="R101" s="43"/>
      <c r="S101" s="43"/>
      <c r="AI101" s="17" t="s">
        <v>293</v>
      </c>
    </row>
    <row r="102" spans="1:36" ht="15" thickBot="1">
      <c r="A102" s="44" t="s">
        <v>161</v>
      </c>
      <c r="B102" s="44" t="s">
        <v>94</v>
      </c>
      <c r="C102" s="34" t="s">
        <v>251</v>
      </c>
      <c r="D102" s="51" t="str">
        <f>bitConcat(F103:F111)</f>
        <v>32'b00000000000000001001111001110000</v>
      </c>
      <c r="E102" s="52"/>
      <c r="F102" s="52"/>
      <c r="G102" s="52"/>
      <c r="H102" s="49" t="s">
        <v>252</v>
      </c>
      <c r="I102" s="50" t="str">
        <f>bitConcat(G103:G112)</f>
        <v>32'b00000000000000001001111001110000</v>
      </c>
      <c r="J102" s="48" t="str">
        <f>bitConcat(G103:G111)</f>
        <v>32'b00000000000000001001111001110000</v>
      </c>
      <c r="K102" s="49"/>
      <c r="L102" s="50"/>
      <c r="M102" s="42" t="str">
        <f>DEC2HEX(_xlfn.BITLSHIFT(O102,7)+4*P102)</f>
        <v>6AC</v>
      </c>
      <c r="N102" s="42"/>
      <c r="O102" s="42">
        <v>13</v>
      </c>
      <c r="P102" s="42">
        <v>11</v>
      </c>
      <c r="Q102" s="42" t="str">
        <f>DEC2HEX(_xlfn.BITLSHIFT(O102,5)+P102)</f>
        <v>1AB</v>
      </c>
      <c r="R102" s="42" t="str">
        <f>BIN2HEX(LEFT(RIGHT(D102,32),4))&amp;BIN2HEX(LEFT(RIGHT(D102,28),4))&amp;BIN2HEX(LEFT(RIGHT(D102,24),4))&amp;BIN2HEX(LEFT(RIGHT(D102,20),4))&amp;BIN2HEX(LEFT(RIGHT(D102,16),4))&amp;BIN2HEX(LEFT(RIGHT(D102,12),4))&amp;BIN2HEX(LEFT(RIGHT(D102,8),4))&amp;BIN2HEX(LEFT(RIGHT(D102,4),4))</f>
        <v>00009E70</v>
      </c>
      <c r="S102" s="42" t="str">
        <f>BIN2HEX(LEFT(RIGHT(J102,32),4))&amp;BIN2HEX(LEFT(RIGHT(J102,28),4))&amp;BIN2HEX(LEFT(RIGHT(J102,24),4))&amp;BIN2HEX(LEFT(RIGHT(J102,20),4))&amp;BIN2HEX(LEFT(RIGHT(J102,16),4))&amp;BIN2HEX(LEFT(RIGHT(J102,12),4))&amp;BIN2HEX(LEFT(RIGHT(J102,8),4))&amp;BIN2HEX(LEFT(RIGHT(J102,4),4))</f>
        <v>00009E70</v>
      </c>
    </row>
    <row r="103" spans="1:36">
      <c r="A103" s="45"/>
      <c r="B103" s="45"/>
      <c r="C103" s="19" t="s">
        <v>109</v>
      </c>
      <c r="D103" s="19">
        <v>5</v>
      </c>
      <c r="E103" s="23" t="str">
        <f>IF(D103&gt;1,(31)&amp;":"&amp;(31-D103+1),(31-D103+1)&amp;":"&amp;(31-D103+1))</f>
        <v>31:27</v>
      </c>
      <c r="F103" s="18" t="s">
        <v>43</v>
      </c>
      <c r="G103" s="18" t="s">
        <v>43</v>
      </c>
      <c r="H103" s="19" t="s">
        <v>179</v>
      </c>
      <c r="I103" s="20" t="s">
        <v>36</v>
      </c>
      <c r="J103" s="21" t="s">
        <v>35</v>
      </c>
      <c r="K103" s="22" t="s">
        <v>6</v>
      </c>
      <c r="L103" s="19"/>
      <c r="M103" s="43"/>
      <c r="N103" s="43"/>
      <c r="O103" s="43"/>
      <c r="P103" s="43"/>
      <c r="Q103" s="43"/>
      <c r="R103" s="43"/>
      <c r="S103" s="43"/>
      <c r="AI103" s="17" t="s">
        <v>294</v>
      </c>
    </row>
    <row r="104" spans="1:36">
      <c r="A104" s="45"/>
      <c r="B104" s="45"/>
      <c r="C104" s="19" t="s">
        <v>122</v>
      </c>
      <c r="D104" s="19">
        <v>5</v>
      </c>
      <c r="E104" s="23" t="str">
        <f t="shared" ref="E104:E111" si="10">(MID(str_cnvt(E103),SEARCH(":",str_cnvt(E103))+1,2)-1) &amp; ":" &amp; (MID(str_cnvt(E103),SEARCH(":",str_cnvt(E103))+1,2)-D104)</f>
        <v>26:22</v>
      </c>
      <c r="F104" s="18" t="s">
        <v>43</v>
      </c>
      <c r="G104" s="18" t="s">
        <v>43</v>
      </c>
      <c r="H104" s="19" t="s">
        <v>186</v>
      </c>
      <c r="I104" s="20" t="s">
        <v>36</v>
      </c>
      <c r="J104" s="21" t="s">
        <v>35</v>
      </c>
      <c r="K104" s="22" t="s">
        <v>6</v>
      </c>
      <c r="L104" s="19"/>
      <c r="M104" s="43"/>
      <c r="N104" s="43"/>
      <c r="O104" s="43"/>
      <c r="P104" s="43"/>
      <c r="Q104" s="43"/>
      <c r="R104" s="43"/>
      <c r="S104" s="43"/>
      <c r="AI104" s="17" t="s">
        <v>295</v>
      </c>
      <c r="AJ104" s="17"/>
    </row>
    <row r="105" spans="1:36">
      <c r="A105" s="45"/>
      <c r="B105" s="45"/>
      <c r="C105" s="19" t="s">
        <v>139</v>
      </c>
      <c r="D105" s="19">
        <v>6</v>
      </c>
      <c r="E105" s="23" t="str">
        <f t="shared" si="10"/>
        <v>21:16</v>
      </c>
      <c r="F105" s="18" t="s">
        <v>126</v>
      </c>
      <c r="G105" s="18" t="s">
        <v>126</v>
      </c>
      <c r="H105" s="19" t="s">
        <v>202</v>
      </c>
      <c r="I105" s="20" t="s">
        <v>36</v>
      </c>
      <c r="J105" s="21" t="s">
        <v>35</v>
      </c>
      <c r="K105" s="22" t="s">
        <v>6</v>
      </c>
      <c r="L105" s="19"/>
      <c r="M105" s="43"/>
      <c r="N105" s="43"/>
      <c r="O105" s="43"/>
      <c r="P105" s="43"/>
      <c r="Q105" s="43"/>
      <c r="R105" s="43"/>
      <c r="S105" s="43"/>
      <c r="AI105" s="17" t="s">
        <v>296</v>
      </c>
    </row>
    <row r="106" spans="1:36">
      <c r="A106" s="45"/>
      <c r="B106" s="45"/>
      <c r="C106" s="19" t="s">
        <v>177</v>
      </c>
      <c r="D106" s="19">
        <v>3</v>
      </c>
      <c r="E106" s="23" t="str">
        <f t="shared" si="10"/>
        <v>15:13</v>
      </c>
      <c r="F106" s="18" t="s">
        <v>233</v>
      </c>
      <c r="G106" s="18" t="s">
        <v>233</v>
      </c>
      <c r="H106" s="19" t="s">
        <v>229</v>
      </c>
      <c r="I106" s="20" t="s">
        <v>36</v>
      </c>
      <c r="J106" s="21" t="s">
        <v>35</v>
      </c>
      <c r="K106" s="22" t="s">
        <v>6</v>
      </c>
      <c r="L106" s="19"/>
      <c r="M106" s="43"/>
      <c r="N106" s="43"/>
      <c r="O106" s="43"/>
      <c r="P106" s="43"/>
      <c r="Q106" s="43"/>
      <c r="R106" s="43"/>
      <c r="S106" s="43"/>
      <c r="AI106" s="17" t="s">
        <v>297</v>
      </c>
    </row>
    <row r="107" spans="1:36">
      <c r="A107" s="45"/>
      <c r="B107" s="45"/>
      <c r="C107" s="19" t="s">
        <v>171</v>
      </c>
      <c r="D107" s="19">
        <v>3</v>
      </c>
      <c r="E107" s="23" t="str">
        <f t="shared" si="10"/>
        <v>12:10</v>
      </c>
      <c r="F107" s="18" t="s">
        <v>232</v>
      </c>
      <c r="G107" s="18" t="s">
        <v>232</v>
      </c>
      <c r="H107" s="19" t="s">
        <v>228</v>
      </c>
      <c r="I107" s="20" t="s">
        <v>36</v>
      </c>
      <c r="J107" s="21" t="s">
        <v>35</v>
      </c>
      <c r="K107" s="22" t="s">
        <v>6</v>
      </c>
      <c r="L107" s="19"/>
      <c r="M107" s="43"/>
      <c r="N107" s="43"/>
      <c r="O107" s="43"/>
      <c r="P107" s="43"/>
      <c r="Q107" s="43"/>
      <c r="R107" s="43"/>
      <c r="S107" s="43"/>
      <c r="AI107" s="17" t="s">
        <v>298</v>
      </c>
    </row>
    <row r="108" spans="1:36">
      <c r="A108" s="45"/>
      <c r="B108" s="45"/>
      <c r="C108" s="19" t="s">
        <v>170</v>
      </c>
      <c r="D108" s="19">
        <v>3</v>
      </c>
      <c r="E108" s="23" t="str">
        <f t="shared" si="10"/>
        <v>9:7</v>
      </c>
      <c r="F108" s="18" t="s">
        <v>233</v>
      </c>
      <c r="G108" s="18" t="s">
        <v>233</v>
      </c>
      <c r="H108" s="19" t="s">
        <v>227</v>
      </c>
      <c r="I108" s="20" t="s">
        <v>36</v>
      </c>
      <c r="J108" s="21" t="s">
        <v>35</v>
      </c>
      <c r="K108" s="22" t="s">
        <v>6</v>
      </c>
      <c r="L108" s="19"/>
      <c r="M108" s="43"/>
      <c r="N108" s="43"/>
      <c r="O108" s="43"/>
      <c r="P108" s="43"/>
      <c r="Q108" s="43"/>
      <c r="R108" s="43"/>
      <c r="S108" s="43"/>
      <c r="AI108" s="17" t="s">
        <v>299</v>
      </c>
    </row>
    <row r="109" spans="1:36">
      <c r="A109" s="45"/>
      <c r="B109" s="45"/>
      <c r="C109" s="19" t="s">
        <v>169</v>
      </c>
      <c r="D109" s="19">
        <v>3</v>
      </c>
      <c r="E109" s="23" t="str">
        <f t="shared" si="10"/>
        <v>6:4</v>
      </c>
      <c r="F109" s="18" t="s">
        <v>232</v>
      </c>
      <c r="G109" s="18" t="s">
        <v>232</v>
      </c>
      <c r="H109" s="19" t="s">
        <v>226</v>
      </c>
      <c r="I109" s="20" t="s">
        <v>36</v>
      </c>
      <c r="J109" s="21" t="s">
        <v>35</v>
      </c>
      <c r="K109" s="22" t="s">
        <v>6</v>
      </c>
      <c r="L109" s="19"/>
      <c r="M109" s="43"/>
      <c r="N109" s="43"/>
      <c r="O109" s="43"/>
      <c r="P109" s="43"/>
      <c r="Q109" s="43"/>
      <c r="R109" s="43"/>
      <c r="S109" s="43"/>
      <c r="AI109" s="17" t="s">
        <v>300</v>
      </c>
    </row>
    <row r="110" spans="1:36">
      <c r="A110" s="45"/>
      <c r="B110" s="45"/>
      <c r="C110" s="19" t="s">
        <v>319</v>
      </c>
      <c r="D110" s="19">
        <v>3</v>
      </c>
      <c r="E110" s="23" t="str">
        <f t="shared" si="10"/>
        <v>3:1</v>
      </c>
      <c r="F110" s="18" t="s">
        <v>163</v>
      </c>
      <c r="G110" s="18" t="s">
        <v>163</v>
      </c>
      <c r="H110" s="19" t="s">
        <v>364</v>
      </c>
      <c r="I110" s="20" t="s">
        <v>36</v>
      </c>
      <c r="J110" s="21" t="s">
        <v>35</v>
      </c>
      <c r="K110" s="22" t="s">
        <v>6</v>
      </c>
      <c r="L110" s="19"/>
      <c r="M110" s="43"/>
      <c r="N110" s="43"/>
      <c r="O110" s="43"/>
      <c r="P110" s="43"/>
      <c r="Q110" s="43"/>
      <c r="R110" s="43"/>
      <c r="S110" s="43"/>
      <c r="AI110" s="17" t="s">
        <v>270</v>
      </c>
    </row>
    <row r="111" spans="1:36" ht="15" thickBot="1">
      <c r="A111" s="45"/>
      <c r="B111" s="45"/>
      <c r="C111" s="19" t="s">
        <v>256</v>
      </c>
      <c r="D111" s="19">
        <v>1</v>
      </c>
      <c r="E111" s="23" t="str">
        <f t="shared" si="10"/>
        <v>0:0</v>
      </c>
      <c r="F111" s="18" t="s">
        <v>7</v>
      </c>
      <c r="G111" s="18" t="s">
        <v>7</v>
      </c>
      <c r="H111" s="19" t="s">
        <v>47</v>
      </c>
      <c r="I111" s="20" t="s">
        <v>36</v>
      </c>
      <c r="J111" s="21" t="s">
        <v>35</v>
      </c>
      <c r="K111" s="22" t="s">
        <v>6</v>
      </c>
      <c r="L111" s="19"/>
      <c r="M111" s="43"/>
      <c r="N111" s="43"/>
      <c r="O111" s="43"/>
      <c r="P111" s="43"/>
      <c r="Q111" s="43"/>
      <c r="R111" s="43"/>
      <c r="S111" s="43"/>
      <c r="AI111" s="17" t="s">
        <v>271</v>
      </c>
    </row>
    <row r="112" spans="1:36" ht="15" thickBot="1">
      <c r="A112" s="44" t="s">
        <v>162</v>
      </c>
      <c r="B112" s="44" t="s">
        <v>95</v>
      </c>
      <c r="C112" s="34" t="s">
        <v>251</v>
      </c>
      <c r="D112" s="51" t="str">
        <f>bitConcat(F113:F123)</f>
        <v>32'b00000000000000000000001100000000</v>
      </c>
      <c r="E112" s="52"/>
      <c r="F112" s="52"/>
      <c r="G112" s="52"/>
      <c r="H112" s="49" t="s">
        <v>252</v>
      </c>
      <c r="I112" s="50" t="e">
        <f>bitConcat(#REF!)</f>
        <v>#VALUE!</v>
      </c>
      <c r="J112" s="48" t="str">
        <f>bitConcat(G113:G123)</f>
        <v>32'b00000000000000000000001100000000</v>
      </c>
      <c r="K112" s="49"/>
      <c r="L112" s="50"/>
      <c r="M112" s="42" t="str">
        <f>DEC2HEX(_xlfn.BITLSHIFT(O112,7)+4*P112)</f>
        <v>6B0</v>
      </c>
      <c r="N112" s="42"/>
      <c r="O112" s="42">
        <v>13</v>
      </c>
      <c r="P112" s="42">
        <v>12</v>
      </c>
      <c r="Q112" s="42" t="str">
        <f>DEC2HEX(_xlfn.BITLSHIFT(O112,5)+P112)</f>
        <v>1AC</v>
      </c>
      <c r="R112" s="42" t="str">
        <f>BIN2HEX(LEFT(RIGHT(D112,32),4))&amp;BIN2HEX(LEFT(RIGHT(D112,28),4))&amp;BIN2HEX(LEFT(RIGHT(D112,24),4))&amp;BIN2HEX(LEFT(RIGHT(D112,20),4))&amp;BIN2HEX(LEFT(RIGHT(D112,16),4))&amp;BIN2HEX(LEFT(RIGHT(D112,12),4))&amp;BIN2HEX(LEFT(RIGHT(D112,8),4))&amp;BIN2HEX(LEFT(RIGHT(D112,4),4))</f>
        <v>00000300</v>
      </c>
      <c r="S112" s="42" t="str">
        <f>BIN2HEX(LEFT(RIGHT(J112,32),4))&amp;BIN2HEX(LEFT(RIGHT(J112,28),4))&amp;BIN2HEX(LEFT(RIGHT(J112,24),4))&amp;BIN2HEX(LEFT(RIGHT(J112,20),4))&amp;BIN2HEX(LEFT(RIGHT(J112,16),4))&amp;BIN2HEX(LEFT(RIGHT(J112,12),4))&amp;BIN2HEX(LEFT(RIGHT(J112,8),4))&amp;BIN2HEX(LEFT(RIGHT(J112,4),4))</f>
        <v>00000300</v>
      </c>
    </row>
    <row r="113" spans="1:36">
      <c r="A113" s="45"/>
      <c r="B113" s="45"/>
      <c r="C113" s="19" t="s">
        <v>131</v>
      </c>
      <c r="D113" s="19">
        <v>6</v>
      </c>
      <c r="E113" s="23" t="str">
        <f>IF(D113&gt;1,(31)&amp;":"&amp;(31-D113+1),(31-D113+1)&amp;":"&amp;(31-D113+1))</f>
        <v>31:26</v>
      </c>
      <c r="F113" s="18" t="s">
        <v>126</v>
      </c>
      <c r="G113" s="18" t="s">
        <v>126</v>
      </c>
      <c r="H113" s="19" t="s">
        <v>194</v>
      </c>
      <c r="I113" s="20" t="s">
        <v>36</v>
      </c>
      <c r="J113" s="21" t="s">
        <v>35</v>
      </c>
      <c r="K113" s="22" t="s">
        <v>6</v>
      </c>
      <c r="L113" s="19"/>
      <c r="M113" s="43"/>
      <c r="N113" s="43"/>
      <c r="O113" s="43"/>
      <c r="P113" s="43"/>
      <c r="Q113" s="43"/>
      <c r="R113" s="43"/>
      <c r="S113" s="43"/>
      <c r="AI113" s="17" t="s">
        <v>301</v>
      </c>
      <c r="AJ113" s="17"/>
    </row>
    <row r="114" spans="1:36">
      <c r="A114" s="45"/>
      <c r="B114" s="45"/>
      <c r="C114" s="19" t="s">
        <v>108</v>
      </c>
      <c r="D114" s="19">
        <v>5</v>
      </c>
      <c r="E114" s="23" t="str">
        <f t="shared" ref="E114:E121" si="11">(MID(str_cnvt(E113),SEARCH(":",str_cnvt(E113))+1,2)-1) &amp; ":" &amp; (MID(str_cnvt(E113),SEARCH(":",str_cnvt(E113))+1,2)-D114)</f>
        <v>25:21</v>
      </c>
      <c r="F114" s="18" t="s">
        <v>43</v>
      </c>
      <c r="G114" s="18" t="s">
        <v>43</v>
      </c>
      <c r="H114" s="19" t="s">
        <v>178</v>
      </c>
      <c r="I114" s="20" t="s">
        <v>36</v>
      </c>
      <c r="J114" s="21" t="s">
        <v>35</v>
      </c>
      <c r="K114" s="22" t="s">
        <v>6</v>
      </c>
      <c r="L114" s="19"/>
      <c r="M114" s="43"/>
      <c r="N114" s="43"/>
      <c r="O114" s="43"/>
      <c r="P114" s="43"/>
      <c r="Q114" s="43"/>
      <c r="R114" s="43"/>
      <c r="S114" s="43"/>
      <c r="AI114" s="17" t="s">
        <v>302</v>
      </c>
    </row>
    <row r="115" spans="1:36">
      <c r="A115" s="45"/>
      <c r="B115" s="45"/>
      <c r="C115" s="58" t="s">
        <v>391</v>
      </c>
      <c r="D115" s="58">
        <v>3</v>
      </c>
      <c r="E115" s="59" t="str">
        <f t="shared" si="11"/>
        <v>20:18</v>
      </c>
      <c r="F115" s="60" t="s">
        <v>163</v>
      </c>
      <c r="G115" s="60" t="s">
        <v>163</v>
      </c>
      <c r="H115" s="19" t="s">
        <v>361</v>
      </c>
      <c r="I115" s="20" t="s">
        <v>36</v>
      </c>
      <c r="J115" s="21" t="s">
        <v>35</v>
      </c>
      <c r="K115" s="22" t="s">
        <v>6</v>
      </c>
      <c r="L115" s="19"/>
      <c r="M115" s="43"/>
      <c r="N115" s="43"/>
      <c r="O115" s="43"/>
      <c r="P115" s="43"/>
      <c r="Q115" s="43"/>
      <c r="R115" s="43"/>
      <c r="S115" s="43"/>
      <c r="AI115" s="17" t="s">
        <v>303</v>
      </c>
    </row>
    <row r="116" spans="1:36">
      <c r="A116" s="45"/>
      <c r="B116" s="45"/>
      <c r="C116" s="19" t="s">
        <v>176</v>
      </c>
      <c r="D116" s="19">
        <v>2</v>
      </c>
      <c r="E116" s="23" t="str">
        <f t="shared" si="11"/>
        <v>17:16</v>
      </c>
      <c r="F116" s="18" t="s">
        <v>40</v>
      </c>
      <c r="G116" s="18" t="s">
        <v>40</v>
      </c>
      <c r="H116" s="19" t="s">
        <v>224</v>
      </c>
      <c r="I116" s="20" t="s">
        <v>36</v>
      </c>
      <c r="J116" s="21" t="s">
        <v>35</v>
      </c>
      <c r="K116" s="22" t="s">
        <v>6</v>
      </c>
      <c r="L116" s="19"/>
      <c r="M116" s="43"/>
      <c r="N116" s="43"/>
      <c r="O116" s="43"/>
      <c r="P116" s="43"/>
      <c r="Q116" s="43"/>
      <c r="R116" s="43"/>
      <c r="S116" s="43"/>
      <c r="AI116" s="17" t="s">
        <v>304</v>
      </c>
    </row>
    <row r="117" spans="1:36">
      <c r="A117" s="45"/>
      <c r="B117" s="45"/>
      <c r="C117" s="19" t="s">
        <v>175</v>
      </c>
      <c r="D117" s="19">
        <v>2</v>
      </c>
      <c r="E117" s="23" t="str">
        <f t="shared" si="11"/>
        <v>15:14</v>
      </c>
      <c r="F117" s="18" t="s">
        <v>40</v>
      </c>
      <c r="G117" s="18" t="s">
        <v>40</v>
      </c>
      <c r="H117" s="19" t="s">
        <v>223</v>
      </c>
      <c r="I117" s="20" t="s">
        <v>36</v>
      </c>
      <c r="J117" s="21" t="s">
        <v>35</v>
      </c>
      <c r="K117" s="22" t="s">
        <v>6</v>
      </c>
      <c r="L117" s="19"/>
      <c r="M117" s="43"/>
      <c r="N117" s="43"/>
      <c r="O117" s="43"/>
      <c r="P117" s="43"/>
      <c r="Q117" s="43"/>
      <c r="R117" s="43"/>
      <c r="S117" s="43"/>
      <c r="AI117" s="17" t="s">
        <v>305</v>
      </c>
    </row>
    <row r="118" spans="1:36">
      <c r="A118" s="45"/>
      <c r="B118" s="45"/>
      <c r="C118" s="19" t="s">
        <v>174</v>
      </c>
      <c r="D118" s="19">
        <v>3</v>
      </c>
      <c r="E118" s="23" t="str">
        <f t="shared" si="11"/>
        <v>13:11</v>
      </c>
      <c r="F118" s="18" t="s">
        <v>163</v>
      </c>
      <c r="G118" s="18" t="s">
        <v>163</v>
      </c>
      <c r="H118" s="19" t="s">
        <v>231</v>
      </c>
      <c r="I118" s="20" t="s">
        <v>36</v>
      </c>
      <c r="J118" s="21" t="s">
        <v>35</v>
      </c>
      <c r="K118" s="22" t="s">
        <v>6</v>
      </c>
      <c r="L118" s="19"/>
      <c r="M118" s="43"/>
      <c r="N118" s="43"/>
      <c r="O118" s="43"/>
      <c r="P118" s="43"/>
      <c r="Q118" s="43"/>
      <c r="R118" s="43"/>
      <c r="S118" s="43"/>
      <c r="AI118" s="17" t="s">
        <v>306</v>
      </c>
    </row>
    <row r="119" spans="1:36">
      <c r="A119" s="45"/>
      <c r="B119" s="45"/>
      <c r="C119" s="19" t="s">
        <v>173</v>
      </c>
      <c r="D119" s="19">
        <v>3</v>
      </c>
      <c r="E119" s="23" t="str">
        <f t="shared" si="11"/>
        <v>10:8</v>
      </c>
      <c r="F119" s="18" t="s">
        <v>234</v>
      </c>
      <c r="G119" s="18" t="s">
        <v>234</v>
      </c>
      <c r="H119" s="19" t="s">
        <v>230</v>
      </c>
      <c r="I119" s="20" t="s">
        <v>36</v>
      </c>
      <c r="J119" s="21" t="s">
        <v>35</v>
      </c>
      <c r="K119" s="22" t="s">
        <v>6</v>
      </c>
      <c r="L119" s="19"/>
      <c r="M119" s="43"/>
      <c r="N119" s="43"/>
      <c r="O119" s="43"/>
      <c r="P119" s="43"/>
      <c r="Q119" s="43"/>
      <c r="R119" s="43"/>
      <c r="S119" s="43"/>
      <c r="AI119" s="17" t="s">
        <v>307</v>
      </c>
    </row>
    <row r="120" spans="1:36">
      <c r="A120" s="45"/>
      <c r="B120" s="45"/>
      <c r="C120" s="19" t="s">
        <v>225</v>
      </c>
      <c r="D120" s="19">
        <v>1</v>
      </c>
      <c r="E120" s="23" t="str">
        <f t="shared" si="11"/>
        <v>7:7</v>
      </c>
      <c r="F120" s="18" t="s">
        <v>7</v>
      </c>
      <c r="G120" s="18" t="s">
        <v>7</v>
      </c>
      <c r="H120" s="19" t="s">
        <v>362</v>
      </c>
      <c r="I120" s="20" t="s">
        <v>36</v>
      </c>
      <c r="J120" s="21" t="s">
        <v>35</v>
      </c>
      <c r="K120" s="22" t="s">
        <v>6</v>
      </c>
      <c r="L120" s="19"/>
      <c r="M120" s="43"/>
      <c r="N120" s="43"/>
      <c r="O120" s="43"/>
      <c r="P120" s="43"/>
      <c r="Q120" s="43"/>
      <c r="R120" s="43"/>
      <c r="S120" s="43"/>
      <c r="AI120" s="17" t="s">
        <v>272</v>
      </c>
    </row>
    <row r="121" spans="1:36">
      <c r="A121" s="45"/>
      <c r="B121" s="45"/>
      <c r="C121" s="19" t="s">
        <v>320</v>
      </c>
      <c r="D121" s="19">
        <v>3</v>
      </c>
      <c r="E121" s="23" t="str">
        <f t="shared" si="11"/>
        <v>6:4</v>
      </c>
      <c r="F121" s="18" t="s">
        <v>163</v>
      </c>
      <c r="G121" s="18" t="s">
        <v>163</v>
      </c>
      <c r="H121" s="19" t="s">
        <v>364</v>
      </c>
      <c r="I121" s="20" t="s">
        <v>36</v>
      </c>
      <c r="J121" s="21" t="s">
        <v>35</v>
      </c>
      <c r="K121" s="22" t="s">
        <v>6</v>
      </c>
      <c r="L121" s="19"/>
      <c r="M121" s="43"/>
      <c r="N121" s="43"/>
      <c r="O121" s="43"/>
      <c r="P121" s="43"/>
      <c r="Q121" s="43"/>
      <c r="R121" s="43"/>
      <c r="S121" s="43"/>
      <c r="AI121" s="17" t="s">
        <v>273</v>
      </c>
    </row>
    <row r="122" spans="1:36">
      <c r="A122" s="45"/>
      <c r="B122" s="45"/>
      <c r="C122" s="19" t="s">
        <v>321</v>
      </c>
      <c r="D122" s="19">
        <v>3</v>
      </c>
      <c r="E122" s="23" t="str">
        <f>(MID(str_cnvt(E121),SEARCH(":",str_cnvt(E121))+1,2)-1) &amp; ":" &amp; (MID(str_cnvt(E121),SEARCH(":",str_cnvt(E121))+1,2)-D122)</f>
        <v>3:1</v>
      </c>
      <c r="F122" s="18" t="s">
        <v>163</v>
      </c>
      <c r="G122" s="18" t="s">
        <v>163</v>
      </c>
      <c r="H122" s="19" t="s">
        <v>364</v>
      </c>
      <c r="I122" s="20" t="s">
        <v>36</v>
      </c>
      <c r="J122" s="21" t="s">
        <v>35</v>
      </c>
      <c r="K122" s="22" t="s">
        <v>6</v>
      </c>
      <c r="L122" s="19"/>
      <c r="M122" s="43"/>
      <c r="N122" s="43"/>
      <c r="O122" s="43"/>
      <c r="P122" s="43"/>
      <c r="Q122" s="43"/>
      <c r="R122" s="43"/>
      <c r="S122" s="43"/>
      <c r="AI122" s="17" t="s">
        <v>308</v>
      </c>
    </row>
    <row r="123" spans="1:36" s="17" customFormat="1" ht="15" thickBot="1">
      <c r="A123" s="37"/>
      <c r="B123" s="37"/>
      <c r="C123" s="58" t="s">
        <v>392</v>
      </c>
      <c r="D123" s="63">
        <v>1</v>
      </c>
      <c r="E123" s="59" t="str">
        <f>(MID(str_cnvt(E122),SEARCH(":",str_cnvt(E122))+1,2)-1) &amp; ":" &amp; (MID(str_cnvt(E122),SEARCH(":",str_cnvt(E122))+1,2)-D123)</f>
        <v>0:0</v>
      </c>
      <c r="F123" s="63" t="s">
        <v>7</v>
      </c>
      <c r="G123" s="63" t="s">
        <v>7</v>
      </c>
      <c r="H123" s="62" t="s">
        <v>47</v>
      </c>
      <c r="I123" s="20" t="s">
        <v>36</v>
      </c>
      <c r="J123" s="21" t="s">
        <v>35</v>
      </c>
      <c r="K123" s="22" t="s">
        <v>6</v>
      </c>
      <c r="L123" s="61"/>
      <c r="M123" s="38"/>
      <c r="N123" s="38"/>
      <c r="O123" s="38"/>
      <c r="P123" s="38"/>
      <c r="Q123" s="38"/>
      <c r="R123" s="38"/>
      <c r="S123" s="38"/>
    </row>
    <row r="124" spans="1:36" ht="15" thickBot="1">
      <c r="A124" s="44" t="s">
        <v>330</v>
      </c>
      <c r="B124" s="44" t="s">
        <v>322</v>
      </c>
      <c r="C124" s="34" t="s">
        <v>251</v>
      </c>
      <c r="D124" s="51" t="str">
        <f>bitConcat(F125:F128)</f>
        <v>32'b01101111111111110000000000011000</v>
      </c>
      <c r="E124" s="52"/>
      <c r="F124" s="52"/>
      <c r="G124" s="52"/>
      <c r="H124" s="49" t="s">
        <v>252</v>
      </c>
      <c r="I124" s="50" t="e">
        <f>bitConcat(#REF!)</f>
        <v>#VALUE!</v>
      </c>
      <c r="J124" s="48" t="str">
        <f>bitConcat(G125:G128)</f>
        <v>32'b01101111111111110000000000011001</v>
      </c>
      <c r="K124" s="49"/>
      <c r="L124" s="50"/>
      <c r="M124" s="42" t="str">
        <f>DEC2HEX(_xlfn.BITLSHIFT(O124,7)+4*P124)</f>
        <v>6B4</v>
      </c>
      <c r="N124" s="42"/>
      <c r="O124" s="42">
        <v>13</v>
      </c>
      <c r="P124" s="42">
        <v>13</v>
      </c>
      <c r="Q124" s="42" t="str">
        <f>DEC2HEX(_xlfn.BITLSHIFT(O124,5)+P124)</f>
        <v>1AD</v>
      </c>
      <c r="R124" s="42" t="str">
        <f>BIN2HEX(LEFT(RIGHT(D124,32),4))&amp;BIN2HEX(LEFT(RIGHT(D124,28),4))&amp;BIN2HEX(LEFT(RIGHT(D124,24),4))&amp;BIN2HEX(LEFT(RIGHT(D124,20),4))&amp;BIN2HEX(LEFT(RIGHT(D124,16),4))&amp;BIN2HEX(LEFT(RIGHT(D124,12),4))&amp;BIN2HEX(LEFT(RIGHT(D124,8),4))&amp;BIN2HEX(LEFT(RIGHT(D124,4),4))</f>
        <v>6FFF0018</v>
      </c>
      <c r="S124" s="42" t="str">
        <f>BIN2HEX(LEFT(RIGHT(J124,32),4))&amp;BIN2HEX(LEFT(RIGHT(J124,28),4))&amp;BIN2HEX(LEFT(RIGHT(J124,24),4))&amp;BIN2HEX(LEFT(RIGHT(J124,20),4))&amp;BIN2HEX(LEFT(RIGHT(J124,16),4))&amp;BIN2HEX(LEFT(RIGHT(J124,12),4))&amp;BIN2HEX(LEFT(RIGHT(J124,8),4))&amp;BIN2HEX(LEFT(RIGHT(J124,4),4))</f>
        <v>6FFF0019</v>
      </c>
    </row>
    <row r="125" spans="1:36">
      <c r="A125" s="45"/>
      <c r="B125" s="45"/>
      <c r="C125" s="19" t="s">
        <v>71</v>
      </c>
      <c r="D125" s="19">
        <v>5</v>
      </c>
      <c r="E125" s="23" t="str">
        <f>IF(D125&gt;1,(31)&amp;":"&amp;(31-D125+1),(31-D125+1)&amp;":"&amp;(31-D125+1))</f>
        <v>31:27</v>
      </c>
      <c r="F125" s="18" t="s">
        <v>52</v>
      </c>
      <c r="G125" s="18" t="s">
        <v>52</v>
      </c>
      <c r="H125" s="19" t="s">
        <v>379</v>
      </c>
      <c r="I125" s="20" t="s">
        <v>36</v>
      </c>
      <c r="J125" s="21" t="s">
        <v>35</v>
      </c>
      <c r="K125" s="22" t="s">
        <v>6</v>
      </c>
      <c r="L125" s="19"/>
      <c r="M125" s="43"/>
      <c r="N125" s="43"/>
      <c r="O125" s="43"/>
      <c r="P125" s="43"/>
      <c r="Q125" s="43"/>
      <c r="R125" s="43"/>
      <c r="S125" s="43"/>
    </row>
    <row r="126" spans="1:36">
      <c r="A126" s="45"/>
      <c r="B126" s="45"/>
      <c r="C126" s="19" t="s">
        <v>323</v>
      </c>
      <c r="D126" s="19">
        <v>11</v>
      </c>
      <c r="E126" s="23" t="str">
        <f>(MID(str_cnvt(E125),SEARCH(":",str_cnvt(E125))+1,2)-1) &amp; ":" &amp; (MID(str_cnvt(E125),SEARCH(":",str_cnvt(E125))+1,2)-D126)</f>
        <v>26:16</v>
      </c>
      <c r="F126" s="18" t="s">
        <v>326</v>
      </c>
      <c r="G126" s="18" t="s">
        <v>326</v>
      </c>
      <c r="H126" s="19" t="s">
        <v>380</v>
      </c>
      <c r="I126" s="20" t="s">
        <v>36</v>
      </c>
      <c r="J126" s="21" t="s">
        <v>35</v>
      </c>
      <c r="K126" s="22" t="s">
        <v>6</v>
      </c>
      <c r="L126" s="19"/>
      <c r="M126" s="43"/>
      <c r="N126" s="43"/>
      <c r="O126" s="43"/>
      <c r="P126" s="43"/>
      <c r="Q126" s="43"/>
      <c r="R126" s="43"/>
      <c r="S126" s="43"/>
    </row>
    <row r="127" spans="1:36">
      <c r="A127" s="45"/>
      <c r="B127" s="45"/>
      <c r="C127" s="19" t="s">
        <v>324</v>
      </c>
      <c r="D127" s="19">
        <v>11</v>
      </c>
      <c r="E127" s="23" t="str">
        <f>(MID(str_cnvt(E126),SEARCH(":",str_cnvt(E126))+1,2)-1) &amp; ":" &amp; (MID(str_cnvt(E126),SEARCH(":",str_cnvt(E126))+1,2)-D127)</f>
        <v>15:5</v>
      </c>
      <c r="F127" s="18" t="s">
        <v>327</v>
      </c>
      <c r="G127" s="18" t="s">
        <v>327</v>
      </c>
      <c r="H127" s="19" t="s">
        <v>381</v>
      </c>
      <c r="I127" s="20" t="s">
        <v>36</v>
      </c>
      <c r="J127" s="21" t="s">
        <v>35</v>
      </c>
      <c r="K127" s="22" t="s">
        <v>6</v>
      </c>
      <c r="L127" s="19"/>
      <c r="M127" s="43"/>
      <c r="N127" s="43"/>
      <c r="O127" s="43"/>
      <c r="P127" s="43"/>
      <c r="Q127" s="43"/>
      <c r="R127" s="43"/>
      <c r="S127" s="43"/>
    </row>
    <row r="128" spans="1:36" ht="15" thickBot="1">
      <c r="A128" s="45"/>
      <c r="B128" s="45"/>
      <c r="C128" s="19" t="s">
        <v>325</v>
      </c>
      <c r="D128" s="19">
        <v>5</v>
      </c>
      <c r="E128" s="23" t="str">
        <f>(MID(str_cnvt(E127),SEARCH(":",str_cnvt(E127))+1,2)-1) &amp; ":" &amp; (MID(str_cnvt(E127),SEARCH(":",str_cnvt(E127))+1,2)-D128)</f>
        <v>4:0</v>
      </c>
      <c r="F128" s="18" t="s">
        <v>328</v>
      </c>
      <c r="G128" s="18" t="s">
        <v>329</v>
      </c>
      <c r="H128" s="19" t="s">
        <v>382</v>
      </c>
      <c r="I128" s="20" t="s">
        <v>36</v>
      </c>
      <c r="J128" s="21" t="s">
        <v>35</v>
      </c>
      <c r="K128" s="22" t="s">
        <v>6</v>
      </c>
      <c r="L128" s="19"/>
      <c r="M128" s="43"/>
      <c r="N128" s="43"/>
      <c r="O128" s="43"/>
      <c r="P128" s="43"/>
      <c r="Q128" s="43"/>
      <c r="R128" s="43"/>
      <c r="S128" s="43"/>
    </row>
    <row r="129" spans="1:19" ht="15" thickBot="1">
      <c r="A129" s="44" t="s">
        <v>331</v>
      </c>
      <c r="B129" s="44" t="s">
        <v>358</v>
      </c>
      <c r="C129" s="34" t="s">
        <v>251</v>
      </c>
      <c r="D129" s="51" t="str">
        <f>bitConcat(F130:F141)</f>
        <v>32'b11111111000100000000000100000000</v>
      </c>
      <c r="E129" s="52"/>
      <c r="F129" s="52"/>
      <c r="G129" s="52"/>
      <c r="H129" s="49" t="s">
        <v>252</v>
      </c>
      <c r="I129" s="50" t="e">
        <f>bitConcat(#REF!)</f>
        <v>#VALUE!</v>
      </c>
      <c r="J129" s="48" t="str">
        <f>bitConcat(G130:G141)</f>
        <v>32'b11111111000100000000000100000000</v>
      </c>
      <c r="K129" s="49"/>
      <c r="L129" s="50"/>
      <c r="M129" s="40" t="str">
        <f>DEC2HEX(_xlfn.BITLSHIFT(O129,7)+4*P129)</f>
        <v>6B8</v>
      </c>
      <c r="N129" s="40"/>
      <c r="O129" s="40">
        <v>13</v>
      </c>
      <c r="P129" s="40">
        <v>14</v>
      </c>
      <c r="Q129" s="40" t="str">
        <f>DEC2HEX(_xlfn.BITLSHIFT(O129,5)+P129)</f>
        <v>1AE</v>
      </c>
      <c r="R129" s="40" t="str">
        <f>BIN2HEX(LEFT(RIGHT(D129,32),4))&amp;BIN2HEX(LEFT(RIGHT(D129,28),4))&amp;BIN2HEX(LEFT(RIGHT(D129,24),4))&amp;BIN2HEX(LEFT(RIGHT(D129,20),4))&amp;BIN2HEX(LEFT(RIGHT(D129,16),4))&amp;BIN2HEX(LEFT(RIGHT(D129,12),4))&amp;BIN2HEX(LEFT(RIGHT(D129,8),4))&amp;BIN2HEX(LEFT(RIGHT(D129,4),4))</f>
        <v>FF100100</v>
      </c>
      <c r="S129" s="40" t="str">
        <f>BIN2HEX(LEFT(RIGHT(J129,32),4))&amp;BIN2HEX(LEFT(RIGHT(J129,28),4))&amp;BIN2HEX(LEFT(RIGHT(J129,24),4))&amp;BIN2HEX(LEFT(RIGHT(J129,20),4))&amp;BIN2HEX(LEFT(RIGHT(J129,16),4))&amp;BIN2HEX(LEFT(RIGHT(J129,12),4))&amp;BIN2HEX(LEFT(RIGHT(J129,8),4))&amp;BIN2HEX(LEFT(RIGHT(J129,4),4))</f>
        <v>FF100100</v>
      </c>
    </row>
    <row r="130" spans="1:19">
      <c r="A130" s="45"/>
      <c r="B130" s="45"/>
      <c r="C130" s="19" t="s">
        <v>332</v>
      </c>
      <c r="D130" s="19">
        <v>8</v>
      </c>
      <c r="E130" s="23" t="str">
        <f>IF(D130&gt;1,(31)&amp;":"&amp;(31-D130+1),(31-D130+1)&amp;":"&amp;(31-D130+1))</f>
        <v>31:24</v>
      </c>
      <c r="F130" s="18" t="s">
        <v>336</v>
      </c>
      <c r="G130" s="18" t="s">
        <v>336</v>
      </c>
      <c r="H130" s="19" t="s">
        <v>367</v>
      </c>
      <c r="I130" s="20" t="s">
        <v>36</v>
      </c>
      <c r="J130" s="21" t="s">
        <v>35</v>
      </c>
      <c r="K130" s="22" t="s">
        <v>6</v>
      </c>
      <c r="L130" s="19"/>
      <c r="M130" s="41"/>
      <c r="N130" s="41"/>
      <c r="O130" s="41"/>
      <c r="P130" s="41"/>
      <c r="Q130" s="41"/>
      <c r="R130" s="41"/>
      <c r="S130" s="41"/>
    </row>
    <row r="131" spans="1:19">
      <c r="A131" s="45"/>
      <c r="B131" s="45"/>
      <c r="C131" s="19" t="s">
        <v>333</v>
      </c>
      <c r="D131" s="19">
        <v>3</v>
      </c>
      <c r="E131" s="23" t="str">
        <f t="shared" ref="E131:E141" si="12">(MID(str_cnvt(E130),SEARCH(":",str_cnvt(E130))+1,2)-1) &amp; ":" &amp; (MID(str_cnvt(E130),SEARCH(":",str_cnvt(E130))+1,2)-D131)</f>
        <v>23:21</v>
      </c>
      <c r="F131" s="18" t="s">
        <v>163</v>
      </c>
      <c r="G131" s="18" t="s">
        <v>163</v>
      </c>
      <c r="H131" s="19" t="s">
        <v>368</v>
      </c>
      <c r="I131" s="20" t="s">
        <v>36</v>
      </c>
      <c r="J131" s="21" t="s">
        <v>35</v>
      </c>
      <c r="K131" s="22" t="s">
        <v>6</v>
      </c>
      <c r="L131" s="19"/>
      <c r="M131" s="41"/>
      <c r="N131" s="41"/>
      <c r="O131" s="41"/>
      <c r="P131" s="41"/>
      <c r="Q131" s="41"/>
      <c r="R131" s="41"/>
      <c r="S131" s="41"/>
    </row>
    <row r="132" spans="1:19">
      <c r="A132" s="45"/>
      <c r="B132" s="45"/>
      <c r="C132" s="19" t="s">
        <v>334</v>
      </c>
      <c r="D132" s="19">
        <v>1</v>
      </c>
      <c r="E132" s="23" t="str">
        <f t="shared" si="12"/>
        <v>20:20</v>
      </c>
      <c r="F132" s="18" t="s">
        <v>37</v>
      </c>
      <c r="G132" s="18" t="s">
        <v>37</v>
      </c>
      <c r="H132" s="19" t="s">
        <v>369</v>
      </c>
      <c r="I132" s="20" t="s">
        <v>36</v>
      </c>
      <c r="J132" s="21" t="s">
        <v>35</v>
      </c>
      <c r="K132" s="22" t="s">
        <v>6</v>
      </c>
      <c r="L132" s="19"/>
      <c r="M132" s="41"/>
      <c r="N132" s="41"/>
      <c r="O132" s="41"/>
      <c r="P132" s="41"/>
      <c r="Q132" s="41"/>
      <c r="R132" s="41"/>
      <c r="S132" s="41"/>
    </row>
    <row r="133" spans="1:19">
      <c r="A133" s="45"/>
      <c r="B133" s="45"/>
      <c r="C133" s="19" t="s">
        <v>335</v>
      </c>
      <c r="D133" s="19">
        <v>8</v>
      </c>
      <c r="E133" s="23" t="str">
        <f t="shared" si="12"/>
        <v>19:12</v>
      </c>
      <c r="F133" s="18" t="s">
        <v>337</v>
      </c>
      <c r="G133" s="18" t="s">
        <v>337</v>
      </c>
      <c r="H133" s="19" t="s">
        <v>370</v>
      </c>
      <c r="I133" s="20" t="s">
        <v>36</v>
      </c>
      <c r="J133" s="21" t="s">
        <v>35</v>
      </c>
      <c r="K133" s="22" t="s">
        <v>6</v>
      </c>
      <c r="L133" s="19"/>
      <c r="M133" s="41"/>
      <c r="N133" s="41"/>
      <c r="O133" s="41"/>
      <c r="P133" s="41"/>
      <c r="Q133" s="41"/>
      <c r="R133" s="41"/>
      <c r="S133" s="41"/>
    </row>
    <row r="134" spans="1:19">
      <c r="A134" s="45"/>
      <c r="B134" s="45"/>
      <c r="C134" s="19" t="s">
        <v>339</v>
      </c>
      <c r="D134" s="19">
        <v>1</v>
      </c>
      <c r="E134" s="23" t="str">
        <f t="shared" si="12"/>
        <v>11:11</v>
      </c>
      <c r="F134" s="18" t="s">
        <v>7</v>
      </c>
      <c r="G134" s="18" t="s">
        <v>7</v>
      </c>
      <c r="H134" s="19" t="s">
        <v>371</v>
      </c>
      <c r="I134" s="20" t="s">
        <v>36</v>
      </c>
      <c r="J134" s="21" t="s">
        <v>35</v>
      </c>
      <c r="K134" s="22" t="s">
        <v>6</v>
      </c>
      <c r="L134" s="19"/>
      <c r="M134" s="41"/>
      <c r="N134" s="41"/>
      <c r="O134" s="41"/>
      <c r="P134" s="41"/>
      <c r="Q134" s="41"/>
      <c r="R134" s="41"/>
      <c r="S134" s="41"/>
    </row>
    <row r="135" spans="1:19">
      <c r="A135" s="45"/>
      <c r="B135" s="45"/>
      <c r="C135" s="19" t="s">
        <v>338</v>
      </c>
      <c r="D135" s="19">
        <v>1</v>
      </c>
      <c r="E135" s="23" t="str">
        <f t="shared" si="12"/>
        <v>10:10</v>
      </c>
      <c r="F135" s="18" t="s">
        <v>7</v>
      </c>
      <c r="G135" s="18" t="s">
        <v>7</v>
      </c>
      <c r="H135" s="19" t="s">
        <v>372</v>
      </c>
      <c r="I135" s="20" t="s">
        <v>36</v>
      </c>
      <c r="J135" s="21" t="s">
        <v>35</v>
      </c>
      <c r="K135" s="22" t="s">
        <v>6</v>
      </c>
      <c r="L135" s="19"/>
      <c r="M135" s="41"/>
      <c r="N135" s="41"/>
      <c r="O135" s="41"/>
      <c r="P135" s="41"/>
      <c r="Q135" s="41"/>
      <c r="R135" s="41"/>
      <c r="S135" s="41"/>
    </row>
    <row r="136" spans="1:19">
      <c r="A136" s="45"/>
      <c r="B136" s="45"/>
      <c r="C136" s="19" t="s">
        <v>340</v>
      </c>
      <c r="D136" s="19">
        <v>2</v>
      </c>
      <c r="E136" s="23" t="str">
        <f t="shared" si="12"/>
        <v>9:8</v>
      </c>
      <c r="F136" s="18" t="s">
        <v>346</v>
      </c>
      <c r="G136" s="18" t="s">
        <v>346</v>
      </c>
      <c r="H136" s="19" t="s">
        <v>373</v>
      </c>
      <c r="I136" s="20" t="s">
        <v>36</v>
      </c>
      <c r="J136" s="21" t="s">
        <v>35</v>
      </c>
      <c r="K136" s="22" t="s">
        <v>6</v>
      </c>
      <c r="L136" s="19"/>
      <c r="M136" s="41"/>
      <c r="N136" s="41"/>
      <c r="O136" s="41"/>
      <c r="P136" s="41"/>
      <c r="Q136" s="41"/>
      <c r="R136" s="41"/>
      <c r="S136" s="41"/>
    </row>
    <row r="137" spans="1:19">
      <c r="A137" s="45"/>
      <c r="B137" s="45"/>
      <c r="C137" s="19" t="s">
        <v>341</v>
      </c>
      <c r="D137" s="19">
        <v>1</v>
      </c>
      <c r="E137" s="23" t="str">
        <f t="shared" si="12"/>
        <v>7:7</v>
      </c>
      <c r="F137" s="18" t="s">
        <v>7</v>
      </c>
      <c r="G137" s="18" t="s">
        <v>7</v>
      </c>
      <c r="H137" s="19" t="s">
        <v>374</v>
      </c>
      <c r="I137" s="20" t="s">
        <v>36</v>
      </c>
      <c r="J137" s="21" t="s">
        <v>35</v>
      </c>
      <c r="K137" s="22" t="s">
        <v>6</v>
      </c>
      <c r="L137" s="19"/>
      <c r="M137" s="41"/>
      <c r="N137" s="41"/>
      <c r="O137" s="41"/>
      <c r="P137" s="41"/>
      <c r="Q137" s="41"/>
      <c r="R137" s="41"/>
      <c r="S137" s="41"/>
    </row>
    <row r="138" spans="1:19">
      <c r="A138" s="45"/>
      <c r="B138" s="45"/>
      <c r="C138" s="19" t="s">
        <v>342</v>
      </c>
      <c r="D138" s="19">
        <v>1</v>
      </c>
      <c r="E138" s="23" t="str">
        <f t="shared" si="12"/>
        <v>6:6</v>
      </c>
      <c r="F138" s="18" t="s">
        <v>7</v>
      </c>
      <c r="G138" s="18" t="s">
        <v>7</v>
      </c>
      <c r="H138" s="19" t="s">
        <v>375</v>
      </c>
      <c r="I138" s="20" t="s">
        <v>36</v>
      </c>
      <c r="J138" s="21" t="s">
        <v>35</v>
      </c>
      <c r="K138" s="22" t="s">
        <v>6</v>
      </c>
      <c r="L138" s="19"/>
      <c r="M138" s="41"/>
      <c r="N138" s="41"/>
      <c r="O138" s="41"/>
      <c r="P138" s="41"/>
      <c r="Q138" s="41"/>
      <c r="R138" s="41"/>
      <c r="S138" s="41"/>
    </row>
    <row r="139" spans="1:19">
      <c r="A139" s="45"/>
      <c r="B139" s="45"/>
      <c r="C139" s="19" t="s">
        <v>343</v>
      </c>
      <c r="D139" s="19">
        <v>4</v>
      </c>
      <c r="E139" s="23" t="str">
        <f t="shared" si="12"/>
        <v>5:2</v>
      </c>
      <c r="F139" s="18" t="s">
        <v>44</v>
      </c>
      <c r="G139" s="18" t="s">
        <v>44</v>
      </c>
      <c r="H139" s="19" t="s">
        <v>376</v>
      </c>
      <c r="I139" s="20" t="s">
        <v>36</v>
      </c>
      <c r="J139" s="21" t="s">
        <v>35</v>
      </c>
      <c r="K139" s="22" t="s">
        <v>6</v>
      </c>
      <c r="L139" s="19"/>
      <c r="M139" s="41"/>
      <c r="N139" s="41"/>
      <c r="O139" s="41"/>
      <c r="P139" s="41"/>
      <c r="Q139" s="41"/>
      <c r="R139" s="41"/>
      <c r="S139" s="41"/>
    </row>
    <row r="140" spans="1:19">
      <c r="A140" s="45"/>
      <c r="B140" s="45"/>
      <c r="C140" s="19" t="s">
        <v>344</v>
      </c>
      <c r="D140" s="19">
        <v>1</v>
      </c>
      <c r="E140" s="23" t="str">
        <f t="shared" si="12"/>
        <v>1:1</v>
      </c>
      <c r="F140" s="18" t="s">
        <v>7</v>
      </c>
      <c r="G140" s="18" t="s">
        <v>7</v>
      </c>
      <c r="H140" s="19" t="s">
        <v>377</v>
      </c>
      <c r="I140" s="20" t="s">
        <v>36</v>
      </c>
      <c r="J140" s="21" t="s">
        <v>35</v>
      </c>
      <c r="K140" s="22" t="s">
        <v>6</v>
      </c>
      <c r="L140" s="19"/>
      <c r="M140" s="41"/>
      <c r="N140" s="41"/>
      <c r="O140" s="41"/>
      <c r="P140" s="41"/>
      <c r="Q140" s="41"/>
      <c r="R140" s="41"/>
      <c r="S140" s="41"/>
    </row>
    <row r="141" spans="1:19" ht="15" thickBot="1">
      <c r="A141" s="46"/>
      <c r="B141" s="46"/>
      <c r="C141" s="19" t="s">
        <v>345</v>
      </c>
      <c r="D141" s="19">
        <v>1</v>
      </c>
      <c r="E141" s="23" t="str">
        <f t="shared" si="12"/>
        <v>0:0</v>
      </c>
      <c r="F141" s="18" t="s">
        <v>7</v>
      </c>
      <c r="G141" s="18" t="s">
        <v>7</v>
      </c>
      <c r="H141" s="19" t="s">
        <v>378</v>
      </c>
      <c r="I141" s="20" t="s">
        <v>36</v>
      </c>
      <c r="J141" s="21" t="s">
        <v>35</v>
      </c>
      <c r="K141" s="22" t="s">
        <v>6</v>
      </c>
      <c r="L141" s="19"/>
      <c r="M141" s="41"/>
      <c r="N141" s="41"/>
      <c r="O141" s="41"/>
      <c r="P141" s="41"/>
      <c r="Q141" s="41"/>
      <c r="R141" s="41"/>
      <c r="S141" s="41"/>
    </row>
    <row r="142" spans="1:19" s="17" customFormat="1" ht="15" thickBot="1">
      <c r="A142" s="44" t="s">
        <v>360</v>
      </c>
      <c r="B142" s="44" t="s">
        <v>359</v>
      </c>
      <c r="C142" s="34" t="s">
        <v>251</v>
      </c>
      <c r="D142" s="51" t="str">
        <f>bitConcat(F143:F153)</f>
        <v>32'b00000000000000000000000000000000</v>
      </c>
      <c r="E142" s="52"/>
      <c r="F142" s="52"/>
      <c r="G142" s="52"/>
      <c r="H142" s="49" t="s">
        <v>252</v>
      </c>
      <c r="I142" s="50" t="e">
        <f>bitConcat(#REF!)</f>
        <v>#VALUE!</v>
      </c>
      <c r="J142" s="48" t="str">
        <f>bitConcat(G143:G153)</f>
        <v>32'b00000000000000000000000000000000</v>
      </c>
      <c r="K142" s="49"/>
      <c r="L142" s="50"/>
      <c r="M142" s="40" t="str">
        <f>DEC2HEX(_xlfn.BITLSHIFT(O142,7)+4*P142)</f>
        <v>6BC</v>
      </c>
      <c r="N142" s="40"/>
      <c r="O142" s="40">
        <v>13</v>
      </c>
      <c r="P142" s="40">
        <v>15</v>
      </c>
      <c r="Q142" s="40" t="str">
        <f>DEC2HEX(_xlfn.BITLSHIFT(O142,5)+P142)</f>
        <v>1AF</v>
      </c>
      <c r="R142" s="40" t="str">
        <f>BIN2HEX(LEFT(RIGHT(D142,32),4))&amp;BIN2HEX(LEFT(RIGHT(D142,28),4))&amp;BIN2HEX(LEFT(RIGHT(D142,24),4))&amp;BIN2HEX(LEFT(RIGHT(D142,20),4))&amp;BIN2HEX(LEFT(RIGHT(D142,16),4))&amp;BIN2HEX(LEFT(RIGHT(D142,12),4))&amp;BIN2HEX(LEFT(RIGHT(D142,8),4))&amp;BIN2HEX(LEFT(RIGHT(D142,4),4))</f>
        <v>00000000</v>
      </c>
      <c r="S142" s="40" t="str">
        <f>BIN2HEX(LEFT(RIGHT(J142,32),4))&amp;BIN2HEX(LEFT(RIGHT(J142,28),4))&amp;BIN2HEX(LEFT(RIGHT(J142,24),4))&amp;BIN2HEX(LEFT(RIGHT(J142,20),4))&amp;BIN2HEX(LEFT(RIGHT(J142,16),4))&amp;BIN2HEX(LEFT(RIGHT(J142,12),4))&amp;BIN2HEX(LEFT(RIGHT(J142,8),4))&amp;BIN2HEX(LEFT(RIGHT(J142,4),4))</f>
        <v>00000000</v>
      </c>
    </row>
    <row r="143" spans="1:19" s="17" customFormat="1" ht="72">
      <c r="A143" s="45"/>
      <c r="B143" s="45"/>
      <c r="C143" s="19" t="s">
        <v>347</v>
      </c>
      <c r="D143" s="19">
        <v>3</v>
      </c>
      <c r="E143" s="19" t="str">
        <f>IF(D143&gt;1,(31)&amp;":"&amp;(31-D143+1),(31-D143+1)&amp;":"&amp;(31-D143+1))</f>
        <v>31:29</v>
      </c>
      <c r="F143" s="19" t="s">
        <v>163</v>
      </c>
      <c r="G143" s="19" t="s">
        <v>163</v>
      </c>
      <c r="H143" s="36" t="s">
        <v>365</v>
      </c>
      <c r="I143" s="20" t="s">
        <v>36</v>
      </c>
      <c r="J143" s="21" t="s">
        <v>35</v>
      </c>
      <c r="K143" s="22" t="s">
        <v>6</v>
      </c>
      <c r="L143" s="19"/>
      <c r="M143" s="41"/>
      <c r="N143" s="41"/>
      <c r="O143" s="41"/>
      <c r="P143" s="41"/>
      <c r="Q143" s="41"/>
      <c r="R143" s="41"/>
      <c r="S143" s="41"/>
    </row>
    <row r="144" spans="1:19" s="17" customFormat="1">
      <c r="A144" s="45"/>
      <c r="B144" s="45"/>
      <c r="C144" s="19" t="s">
        <v>348</v>
      </c>
      <c r="D144" s="19">
        <v>3</v>
      </c>
      <c r="E144" s="19" t="str">
        <f t="shared" ref="E144:E153" si="13">(MID(str_cnvt(E143),SEARCH(":",str_cnvt(E143))+1,2)-1) &amp; ":" &amp; (MID(str_cnvt(E143),SEARCH(":",str_cnvt(E143))+1,2)-D144)</f>
        <v>28:26</v>
      </c>
      <c r="F144" s="19" t="s">
        <v>163</v>
      </c>
      <c r="G144" s="19" t="s">
        <v>163</v>
      </c>
      <c r="H144" s="19" t="s">
        <v>364</v>
      </c>
      <c r="I144" s="20" t="s">
        <v>36</v>
      </c>
      <c r="J144" s="21" t="s">
        <v>35</v>
      </c>
      <c r="K144" s="22" t="s">
        <v>6</v>
      </c>
      <c r="L144" s="19"/>
      <c r="M144" s="41"/>
      <c r="N144" s="41"/>
      <c r="O144" s="41"/>
      <c r="P144" s="41"/>
      <c r="Q144" s="41"/>
      <c r="R144" s="41"/>
      <c r="S144" s="41"/>
    </row>
    <row r="145" spans="1:19" s="17" customFormat="1">
      <c r="A145" s="45"/>
      <c r="B145" s="45"/>
      <c r="C145" s="19" t="s">
        <v>349</v>
      </c>
      <c r="D145" s="19">
        <v>3</v>
      </c>
      <c r="E145" s="19" t="str">
        <f t="shared" si="13"/>
        <v>25:23</v>
      </c>
      <c r="F145" s="19" t="s">
        <v>163</v>
      </c>
      <c r="G145" s="19" t="s">
        <v>163</v>
      </c>
      <c r="H145" s="19" t="s">
        <v>364</v>
      </c>
      <c r="I145" s="20" t="s">
        <v>36</v>
      </c>
      <c r="J145" s="21" t="s">
        <v>35</v>
      </c>
      <c r="K145" s="22" t="s">
        <v>6</v>
      </c>
      <c r="L145" s="19"/>
      <c r="M145" s="41"/>
      <c r="N145" s="41"/>
      <c r="O145" s="41"/>
      <c r="P145" s="41"/>
      <c r="Q145" s="41"/>
      <c r="R145" s="41"/>
      <c r="S145" s="41"/>
    </row>
    <row r="146" spans="1:19" s="17" customFormat="1">
      <c r="A146" s="45"/>
      <c r="B146" s="45"/>
      <c r="C146" s="19" t="s">
        <v>350</v>
      </c>
      <c r="D146" s="19">
        <v>3</v>
      </c>
      <c r="E146" s="19" t="str">
        <f t="shared" si="13"/>
        <v>22:20</v>
      </c>
      <c r="F146" s="19" t="s">
        <v>163</v>
      </c>
      <c r="G146" s="19" t="s">
        <v>163</v>
      </c>
      <c r="H146" s="19" t="s">
        <v>364</v>
      </c>
      <c r="I146" s="20" t="s">
        <v>36</v>
      </c>
      <c r="J146" s="21" t="s">
        <v>35</v>
      </c>
      <c r="K146" s="22" t="s">
        <v>6</v>
      </c>
      <c r="L146" s="19"/>
      <c r="M146" s="41"/>
      <c r="N146" s="41"/>
      <c r="O146" s="41"/>
      <c r="P146" s="41"/>
      <c r="Q146" s="41"/>
      <c r="R146" s="41"/>
      <c r="S146" s="41"/>
    </row>
    <row r="147" spans="1:19" s="17" customFormat="1">
      <c r="A147" s="45"/>
      <c r="B147" s="45"/>
      <c r="C147" s="19" t="s">
        <v>351</v>
      </c>
      <c r="D147" s="19">
        <v>3</v>
      </c>
      <c r="E147" s="19" t="str">
        <f t="shared" si="13"/>
        <v>19:17</v>
      </c>
      <c r="F147" s="19" t="s">
        <v>163</v>
      </c>
      <c r="G147" s="19" t="s">
        <v>163</v>
      </c>
      <c r="H147" s="19" t="s">
        <v>364</v>
      </c>
      <c r="I147" s="20" t="s">
        <v>36</v>
      </c>
      <c r="J147" s="21" t="s">
        <v>35</v>
      </c>
      <c r="K147" s="22" t="s">
        <v>6</v>
      </c>
      <c r="L147" s="19"/>
      <c r="M147" s="41"/>
      <c r="N147" s="41"/>
      <c r="O147" s="41"/>
      <c r="P147" s="41"/>
      <c r="Q147" s="41"/>
      <c r="R147" s="41"/>
      <c r="S147" s="41"/>
    </row>
    <row r="148" spans="1:19" s="17" customFormat="1">
      <c r="A148" s="45"/>
      <c r="B148" s="45"/>
      <c r="C148" s="19" t="s">
        <v>352</v>
      </c>
      <c r="D148" s="19">
        <v>3</v>
      </c>
      <c r="E148" s="19" t="str">
        <f t="shared" si="13"/>
        <v>16:14</v>
      </c>
      <c r="F148" s="19" t="s">
        <v>163</v>
      </c>
      <c r="G148" s="19" t="s">
        <v>163</v>
      </c>
      <c r="H148" s="19" t="s">
        <v>364</v>
      </c>
      <c r="I148" s="20" t="s">
        <v>36</v>
      </c>
      <c r="J148" s="21" t="s">
        <v>35</v>
      </c>
      <c r="K148" s="22" t="s">
        <v>6</v>
      </c>
      <c r="L148" s="19"/>
      <c r="M148" s="41"/>
      <c r="N148" s="41"/>
      <c r="O148" s="41"/>
      <c r="P148" s="41"/>
      <c r="Q148" s="41"/>
      <c r="R148" s="41"/>
      <c r="S148" s="41"/>
    </row>
    <row r="149" spans="1:19" s="17" customFormat="1">
      <c r="A149" s="45"/>
      <c r="B149" s="45"/>
      <c r="C149" s="19" t="s">
        <v>353</v>
      </c>
      <c r="D149" s="19">
        <v>3</v>
      </c>
      <c r="E149" s="19" t="str">
        <f t="shared" si="13"/>
        <v>13:11</v>
      </c>
      <c r="F149" s="19" t="s">
        <v>163</v>
      </c>
      <c r="G149" s="19" t="s">
        <v>163</v>
      </c>
      <c r="H149" s="19" t="s">
        <v>364</v>
      </c>
      <c r="I149" s="20" t="s">
        <v>36</v>
      </c>
      <c r="J149" s="21" t="s">
        <v>35</v>
      </c>
      <c r="K149" s="22" t="s">
        <v>6</v>
      </c>
      <c r="L149" s="19"/>
      <c r="M149" s="41"/>
      <c r="N149" s="41"/>
      <c r="O149" s="41"/>
      <c r="P149" s="41"/>
      <c r="Q149" s="41"/>
      <c r="R149" s="41"/>
      <c r="S149" s="41"/>
    </row>
    <row r="150" spans="1:19" s="17" customFormat="1">
      <c r="A150" s="45"/>
      <c r="B150" s="45"/>
      <c r="C150" s="19" t="s">
        <v>354</v>
      </c>
      <c r="D150" s="19">
        <v>3</v>
      </c>
      <c r="E150" s="19" t="str">
        <f t="shared" si="13"/>
        <v>10:8</v>
      </c>
      <c r="F150" s="19" t="s">
        <v>163</v>
      </c>
      <c r="G150" s="19" t="s">
        <v>163</v>
      </c>
      <c r="H150" s="19" t="s">
        <v>364</v>
      </c>
      <c r="I150" s="20" t="s">
        <v>36</v>
      </c>
      <c r="J150" s="21" t="s">
        <v>35</v>
      </c>
      <c r="K150" s="22" t="s">
        <v>6</v>
      </c>
      <c r="L150" s="19"/>
      <c r="M150" s="41"/>
      <c r="N150" s="41"/>
      <c r="O150" s="41"/>
      <c r="P150" s="41"/>
      <c r="Q150" s="41"/>
      <c r="R150" s="41"/>
      <c r="S150" s="41"/>
    </row>
    <row r="151" spans="1:19" s="17" customFormat="1">
      <c r="A151" s="45"/>
      <c r="B151" s="45"/>
      <c r="C151" s="19" t="s">
        <v>355</v>
      </c>
      <c r="D151" s="19">
        <v>3</v>
      </c>
      <c r="E151" s="19" t="str">
        <f t="shared" si="13"/>
        <v>7:5</v>
      </c>
      <c r="F151" s="19" t="s">
        <v>163</v>
      </c>
      <c r="G151" s="19" t="s">
        <v>163</v>
      </c>
      <c r="H151" s="19" t="s">
        <v>364</v>
      </c>
      <c r="I151" s="20" t="s">
        <v>36</v>
      </c>
      <c r="J151" s="21" t="s">
        <v>35</v>
      </c>
      <c r="K151" s="22" t="s">
        <v>6</v>
      </c>
      <c r="L151" s="19"/>
      <c r="M151" s="41"/>
      <c r="N151" s="41"/>
      <c r="O151" s="41"/>
      <c r="P151" s="41"/>
      <c r="Q151" s="41"/>
      <c r="R151" s="41"/>
      <c r="S151" s="41"/>
    </row>
    <row r="152" spans="1:19" s="17" customFormat="1">
      <c r="A152" s="45"/>
      <c r="B152" s="45"/>
      <c r="C152" s="19" t="s">
        <v>356</v>
      </c>
      <c r="D152" s="19">
        <v>3</v>
      </c>
      <c r="E152" s="19" t="str">
        <f t="shared" si="13"/>
        <v>4:2</v>
      </c>
      <c r="F152" s="19" t="s">
        <v>163</v>
      </c>
      <c r="G152" s="19" t="s">
        <v>163</v>
      </c>
      <c r="H152" s="19" t="s">
        <v>364</v>
      </c>
      <c r="I152" s="20" t="s">
        <v>36</v>
      </c>
      <c r="J152" s="21" t="s">
        <v>35</v>
      </c>
      <c r="K152" s="22" t="s">
        <v>6</v>
      </c>
      <c r="L152" s="19"/>
      <c r="M152" s="41"/>
      <c r="N152" s="41"/>
      <c r="O152" s="41"/>
      <c r="P152" s="41"/>
      <c r="Q152" s="41"/>
      <c r="R152" s="41"/>
      <c r="S152" s="41"/>
    </row>
    <row r="153" spans="1:19" s="17" customFormat="1">
      <c r="A153" s="45"/>
      <c r="B153" s="45"/>
      <c r="C153" s="19" t="s">
        <v>357</v>
      </c>
      <c r="D153" s="19">
        <v>2</v>
      </c>
      <c r="E153" s="19" t="str">
        <f t="shared" si="13"/>
        <v>1:0</v>
      </c>
      <c r="F153" s="19" t="s">
        <v>40</v>
      </c>
      <c r="G153" s="19" t="s">
        <v>40</v>
      </c>
      <c r="H153" s="19" t="s">
        <v>47</v>
      </c>
      <c r="I153" s="20" t="s">
        <v>36</v>
      </c>
      <c r="J153" s="21" t="s">
        <v>35</v>
      </c>
      <c r="K153" s="22" t="s">
        <v>6</v>
      </c>
      <c r="L153" s="19"/>
      <c r="M153" s="41"/>
      <c r="N153" s="41"/>
      <c r="O153" s="41"/>
      <c r="P153" s="41"/>
      <c r="Q153" s="41"/>
      <c r="R153" s="41"/>
      <c r="S153" s="41"/>
    </row>
  </sheetData>
  <mergeCells count="192">
    <mergeCell ref="Q142:Q153"/>
    <mergeCell ref="R142:R153"/>
    <mergeCell ref="S142:S153"/>
    <mergeCell ref="A142:A153"/>
    <mergeCell ref="B142:B153"/>
    <mergeCell ref="D142:G142"/>
    <mergeCell ref="H142:I142"/>
    <mergeCell ref="J142:L142"/>
    <mergeCell ref="M142:M153"/>
    <mergeCell ref="N142:N153"/>
    <mergeCell ref="O142:O153"/>
    <mergeCell ref="P142:P153"/>
    <mergeCell ref="A112:A122"/>
    <mergeCell ref="B112:B122"/>
    <mergeCell ref="M112:M122"/>
    <mergeCell ref="A129:A141"/>
    <mergeCell ref="B129:B141"/>
    <mergeCell ref="M129:M141"/>
    <mergeCell ref="N129:N141"/>
    <mergeCell ref="O129:O141"/>
    <mergeCell ref="P129:P141"/>
    <mergeCell ref="N112:N122"/>
    <mergeCell ref="O112:O122"/>
    <mergeCell ref="P112:P122"/>
    <mergeCell ref="D124:G124"/>
    <mergeCell ref="H124:I124"/>
    <mergeCell ref="J124:L124"/>
    <mergeCell ref="D129:G129"/>
    <mergeCell ref="H129:I129"/>
    <mergeCell ref="J129:L129"/>
    <mergeCell ref="J102:L102"/>
    <mergeCell ref="Q112:Q122"/>
    <mergeCell ref="R112:R122"/>
    <mergeCell ref="S112:S122"/>
    <mergeCell ref="D112:G112"/>
    <mergeCell ref="H112:I112"/>
    <mergeCell ref="J112:L112"/>
    <mergeCell ref="Q102:Q111"/>
    <mergeCell ref="R102:R111"/>
    <mergeCell ref="S102:S111"/>
    <mergeCell ref="S90:S101"/>
    <mergeCell ref="A72:A80"/>
    <mergeCell ref="B72:B80"/>
    <mergeCell ref="M72:M80"/>
    <mergeCell ref="N72:N80"/>
    <mergeCell ref="O72:O80"/>
    <mergeCell ref="P72:P80"/>
    <mergeCell ref="N81:N89"/>
    <mergeCell ref="O81:O89"/>
    <mergeCell ref="P81:P89"/>
    <mergeCell ref="Q81:Q89"/>
    <mergeCell ref="R81:R89"/>
    <mergeCell ref="S81:S89"/>
    <mergeCell ref="D81:G81"/>
    <mergeCell ref="H81:I81"/>
    <mergeCell ref="J81:L81"/>
    <mergeCell ref="M90:M101"/>
    <mergeCell ref="N90:N101"/>
    <mergeCell ref="O90:O101"/>
    <mergeCell ref="P90:P101"/>
    <mergeCell ref="A90:A101"/>
    <mergeCell ref="B90:B101"/>
    <mergeCell ref="A56:A64"/>
    <mergeCell ref="B56:B64"/>
    <mergeCell ref="Q65:Q71"/>
    <mergeCell ref="R65:R71"/>
    <mergeCell ref="S65:S71"/>
    <mergeCell ref="D72:G72"/>
    <mergeCell ref="H72:I72"/>
    <mergeCell ref="J72:L72"/>
    <mergeCell ref="Q72:Q80"/>
    <mergeCell ref="R72:R80"/>
    <mergeCell ref="S72:S80"/>
    <mergeCell ref="S56:S64"/>
    <mergeCell ref="M65:M71"/>
    <mergeCell ref="N65:N71"/>
    <mergeCell ref="O65:O71"/>
    <mergeCell ref="P65:P71"/>
    <mergeCell ref="M56:M64"/>
    <mergeCell ref="N56:N64"/>
    <mergeCell ref="O56:O64"/>
    <mergeCell ref="D56:G56"/>
    <mergeCell ref="H56:I56"/>
    <mergeCell ref="J56:L56"/>
    <mergeCell ref="D65:G65"/>
    <mergeCell ref="Q10:Q19"/>
    <mergeCell ref="R10:R19"/>
    <mergeCell ref="S10:S19"/>
    <mergeCell ref="A10:A19"/>
    <mergeCell ref="B10:B19"/>
    <mergeCell ref="R2:R9"/>
    <mergeCell ref="S2:S9"/>
    <mergeCell ref="A2:A9"/>
    <mergeCell ref="B2:B9"/>
    <mergeCell ref="M10:M19"/>
    <mergeCell ref="N10:N19"/>
    <mergeCell ref="N2:N9"/>
    <mergeCell ref="O2:O9"/>
    <mergeCell ref="P2:P9"/>
    <mergeCell ref="Q2:Q9"/>
    <mergeCell ref="M2:M9"/>
    <mergeCell ref="D2:G2"/>
    <mergeCell ref="H2:I2"/>
    <mergeCell ref="J2:L2"/>
    <mergeCell ref="D10:G10"/>
    <mergeCell ref="H10:I10"/>
    <mergeCell ref="J10:L10"/>
    <mergeCell ref="Q20:Q27"/>
    <mergeCell ref="R20:R27"/>
    <mergeCell ref="S20:S27"/>
    <mergeCell ref="S28:S38"/>
    <mergeCell ref="M47:M55"/>
    <mergeCell ref="N47:N55"/>
    <mergeCell ref="O47:O55"/>
    <mergeCell ref="P47:P55"/>
    <mergeCell ref="Q47:Q55"/>
    <mergeCell ref="R47:R55"/>
    <mergeCell ref="S47:S55"/>
    <mergeCell ref="M28:M38"/>
    <mergeCell ref="N28:N38"/>
    <mergeCell ref="O28:O38"/>
    <mergeCell ref="P28:P38"/>
    <mergeCell ref="Q28:Q38"/>
    <mergeCell ref="R28:R38"/>
    <mergeCell ref="Q39:Q46"/>
    <mergeCell ref="A20:A27"/>
    <mergeCell ref="B20:B27"/>
    <mergeCell ref="M20:M27"/>
    <mergeCell ref="N20:N27"/>
    <mergeCell ref="O20:O27"/>
    <mergeCell ref="P20:P27"/>
    <mergeCell ref="O10:O19"/>
    <mergeCell ref="P10:P19"/>
    <mergeCell ref="D39:G39"/>
    <mergeCell ref="H39:I39"/>
    <mergeCell ref="J39:L39"/>
    <mergeCell ref="D28:G28"/>
    <mergeCell ref="H28:I28"/>
    <mergeCell ref="J28:L28"/>
    <mergeCell ref="A28:A38"/>
    <mergeCell ref="B28:B38"/>
    <mergeCell ref="D20:G20"/>
    <mergeCell ref="H20:I20"/>
    <mergeCell ref="J20:L20"/>
    <mergeCell ref="R39:R46"/>
    <mergeCell ref="S39:S46"/>
    <mergeCell ref="J90:L90"/>
    <mergeCell ref="H90:I90"/>
    <mergeCell ref="D90:G90"/>
    <mergeCell ref="M124:M128"/>
    <mergeCell ref="N124:N128"/>
    <mergeCell ref="O124:O128"/>
    <mergeCell ref="P124:P128"/>
    <mergeCell ref="Q124:Q128"/>
    <mergeCell ref="R124:R128"/>
    <mergeCell ref="S124:S128"/>
    <mergeCell ref="O102:O111"/>
    <mergeCell ref="P102:P111"/>
    <mergeCell ref="D102:G102"/>
    <mergeCell ref="H102:I102"/>
    <mergeCell ref="H65:I65"/>
    <mergeCell ref="J65:L65"/>
    <mergeCell ref="D47:G47"/>
    <mergeCell ref="H47:I47"/>
    <mergeCell ref="J47:L47"/>
    <mergeCell ref="R56:R64"/>
    <mergeCell ref="Q90:Q101"/>
    <mergeCell ref="R90:R101"/>
    <mergeCell ref="Q129:Q141"/>
    <mergeCell ref="R129:R141"/>
    <mergeCell ref="S129:S141"/>
    <mergeCell ref="P56:P64"/>
    <mergeCell ref="Q56:Q64"/>
    <mergeCell ref="A39:A46"/>
    <mergeCell ref="B39:B46"/>
    <mergeCell ref="M39:M46"/>
    <mergeCell ref="N39:N46"/>
    <mergeCell ref="O39:O46"/>
    <mergeCell ref="P39:P46"/>
    <mergeCell ref="A124:A128"/>
    <mergeCell ref="B124:B128"/>
    <mergeCell ref="A47:A55"/>
    <mergeCell ref="B47:B55"/>
    <mergeCell ref="A65:A71"/>
    <mergeCell ref="B65:B71"/>
    <mergeCell ref="A81:A89"/>
    <mergeCell ref="B81:B89"/>
    <mergeCell ref="M81:M89"/>
    <mergeCell ref="A102:A111"/>
    <mergeCell ref="B102:B111"/>
    <mergeCell ref="M102:M111"/>
    <mergeCell ref="N102:N111"/>
  </mergeCells>
  <phoneticPr fontId="28" type="noConversion"/>
  <dataValidations disablePrompts="1" count="6">
    <dataValidation type="list" allowBlank="1" sqref="J1 J3:J9 J11:J19 J40:J46 J48:J55 J57:J64 J66:J71 J73:J80 J82:J89 J91:J100 J143:J153 J21:J27 J29:J38 J103:J111 J125:J128 J130:J141 J113:J123" xr:uid="{742C923F-DAD2-409C-A1DA-65D412199CF8}">
      <formula1>"Default, Soft Strap, Hard Strap, Fuse"</formula1>
    </dataValidation>
    <dataValidation allowBlank="1" showInputMessage="1" sqref="F1:G1" xr:uid="{557D049E-8D2A-4E59-B410-D126B23D89F4}"/>
    <dataValidation allowBlank="1" showInputMessage="1" showErrorMessage="1" prompt="8 bit Hexa number between 0x0 and 0xff. Offset within register space for block" sqref="B1 M1:S1" xr:uid="{F7CA34DE-CB07-4B62-886A-6B3FE3804B34}">
      <formula1>0</formula1>
      <formula2>0</formula2>
    </dataValidation>
    <dataValidation type="list" allowBlank="1" showInputMessage="1" showErrorMessage="1" sqref="K3:K9 K11:K19 K40:K46 K48:K55 K57:K64 K66:K71 K73:K80 K82:K89 K91:K100 K143:K153 K21:K27 K29:K38 K103:K111 K125:K128 K130:K141 K113:K123" xr:uid="{6BAA5317-C7C0-445D-AA84-FEC07B9580BD}">
      <formula1>BOOLEAN</formula1>
    </dataValidation>
    <dataValidation type="list" allowBlank="1" showErrorMessage="1" sqref="I1" xr:uid="{9803AF43-C537-4886-8969-64334135CDFE}">
      <formula1>"WR,RO"</formula1>
    </dataValidation>
    <dataValidation type="list" allowBlank="1" showInputMessage="1" showErrorMessage="1" sqref="I3:I9 I11:I19 I40:I46 I48:I55 I57:I64 I66:I71 I73:I80 I82:I89 I91:I100 I143:I153 I21:I27 I29:I38 I103:I111 I125:I128 I130:I141 I113:I123" xr:uid="{8DF1BBD6-48ED-416C-9AFC-1C264B94307B}">
      <formula1>"WR,RO"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4551B-3DF9-4519-9F56-D6DDC795E0DD}">
  <dimension ref="A1:CM139"/>
  <sheetViews>
    <sheetView zoomScale="85" zoomScaleNormal="85" workbookViewId="0">
      <selection activeCell="C30" sqref="C30"/>
    </sheetView>
  </sheetViews>
  <sheetFormatPr defaultRowHeight="14.4"/>
  <cols>
    <col min="1" max="1" width="16.88671875" bestFit="1" customWidth="1"/>
    <col min="2" max="2" width="10.6640625" bestFit="1" customWidth="1"/>
    <col min="3" max="3" width="22.77734375" bestFit="1" customWidth="1"/>
    <col min="4" max="4" width="6.21875" bestFit="1" customWidth="1"/>
    <col min="5" max="5" width="5.5546875" style="12" bestFit="1" customWidth="1"/>
    <col min="6" max="6" width="13" bestFit="1" customWidth="1"/>
    <col min="7" max="7" width="57.88671875" customWidth="1"/>
    <col min="8" max="8" width="9.44140625" bestFit="1" customWidth="1"/>
    <col min="9" max="9" width="11.77734375" bestFit="1" customWidth="1"/>
    <col min="10" max="10" width="8.77734375" bestFit="1" customWidth="1"/>
    <col min="11" max="11" width="34" bestFit="1" customWidth="1"/>
    <col min="12" max="12" width="20.6640625" bestFit="1" customWidth="1"/>
    <col min="13" max="13" width="11.44140625" bestFit="1" customWidth="1"/>
    <col min="14" max="14" width="7.6640625" bestFit="1" customWidth="1"/>
    <col min="15" max="15" width="12" bestFit="1" customWidth="1"/>
    <col min="16" max="16" width="12.88671875" bestFit="1" customWidth="1"/>
    <col min="17" max="18" width="18.33203125" bestFit="1" customWidth="1"/>
    <col min="23" max="23" width="1.88671875" bestFit="1" customWidth="1"/>
  </cols>
  <sheetData>
    <row r="1" spans="1:91" s="11" customFormat="1" ht="13.95" customHeight="1">
      <c r="A1" s="17"/>
      <c r="B1" s="17"/>
      <c r="C1" s="17"/>
      <c r="D1" s="17"/>
      <c r="E1" s="17"/>
      <c r="F1" s="17"/>
      <c r="G1" s="17"/>
      <c r="H1" s="17"/>
      <c r="I1" s="17"/>
      <c r="J1" s="17"/>
      <c r="K1" s="17"/>
      <c r="L1" s="17"/>
      <c r="M1" s="17"/>
      <c r="N1" s="17"/>
      <c r="O1" s="17"/>
      <c r="P1" s="17"/>
      <c r="Q1" s="17"/>
      <c r="R1" s="17"/>
      <c r="S1" s="17"/>
      <c r="T1" s="17"/>
      <c r="U1" s="17"/>
      <c r="V1" s="17"/>
      <c r="W1" s="17"/>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row>
    <row r="2" spans="1:91" s="10" customFormat="1" ht="14.4" customHeight="1">
      <c r="A2" s="17"/>
      <c r="B2" s="17"/>
      <c r="C2" s="17"/>
      <c r="D2" s="17"/>
      <c r="E2" s="17"/>
      <c r="F2" s="17"/>
      <c r="G2" s="17"/>
      <c r="H2" s="17"/>
      <c r="I2" s="17"/>
      <c r="J2" s="17"/>
      <c r="K2" s="17"/>
      <c r="L2" s="17"/>
      <c r="M2" s="17"/>
      <c r="N2" s="17"/>
      <c r="O2" s="17"/>
      <c r="P2" s="17"/>
      <c r="Q2" s="17"/>
      <c r="R2" s="17"/>
      <c r="S2" s="17"/>
      <c r="T2" s="17"/>
      <c r="U2" s="17"/>
      <c r="V2" s="17"/>
      <c r="W2" s="17"/>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spans="1:91" s="10" customFormat="1">
      <c r="A3" s="17"/>
      <c r="B3" s="17"/>
      <c r="C3" s="17"/>
      <c r="D3" s="17"/>
      <c r="E3" s="17"/>
      <c r="F3" s="17"/>
      <c r="G3" s="17"/>
      <c r="H3" s="17"/>
      <c r="I3" s="17"/>
      <c r="J3" s="17"/>
      <c r="K3" s="17"/>
      <c r="L3" s="17"/>
      <c r="M3" s="17"/>
      <c r="N3" s="17"/>
      <c r="O3" s="17"/>
      <c r="P3" s="17"/>
      <c r="Q3" s="17"/>
      <c r="R3" s="17"/>
      <c r="S3" s="17"/>
      <c r="T3" s="17"/>
      <c r="U3" s="17"/>
      <c r="V3" s="17"/>
      <c r="W3" s="17"/>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spans="1:91" s="10" customFormat="1">
      <c r="A4" s="17"/>
      <c r="B4" s="17"/>
      <c r="C4" s="17"/>
      <c r="D4" s="17"/>
      <c r="E4" s="17"/>
      <c r="F4" s="17"/>
      <c r="G4" s="17"/>
      <c r="H4" s="17"/>
      <c r="I4" s="17"/>
      <c r="J4" s="17"/>
      <c r="K4" s="17"/>
      <c r="L4" s="17"/>
      <c r="M4" s="17"/>
      <c r="N4" s="17"/>
      <c r="O4" s="17"/>
      <c r="P4" s="17"/>
      <c r="Q4" s="17"/>
      <c r="R4" s="17"/>
      <c r="S4" s="17"/>
      <c r="T4" s="17"/>
      <c r="U4" s="17"/>
      <c r="V4" s="17"/>
      <c r="W4" s="17"/>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spans="1:91" s="10" customFormat="1">
      <c r="A5" s="17"/>
      <c r="B5" s="17"/>
      <c r="C5" s="17"/>
      <c r="D5" s="17"/>
      <c r="E5" s="17"/>
      <c r="F5" s="17"/>
      <c r="G5" s="17"/>
      <c r="H5" s="17"/>
      <c r="I5" s="17"/>
      <c r="J5" s="17"/>
      <c r="K5" s="17"/>
      <c r="L5" s="17"/>
      <c r="M5" s="17"/>
      <c r="N5" s="17"/>
      <c r="O5" s="17"/>
      <c r="P5" s="17"/>
      <c r="Q5" s="17"/>
      <c r="R5" s="17"/>
      <c r="S5" s="17"/>
      <c r="T5" s="17"/>
      <c r="U5" s="17"/>
      <c r="V5" s="17"/>
      <c r="W5" s="17"/>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1:91" s="10" customFormat="1">
      <c r="A6" s="17"/>
      <c r="B6" s="17"/>
      <c r="C6" s="17"/>
      <c r="D6" s="17"/>
      <c r="E6" s="17"/>
      <c r="F6" s="17"/>
      <c r="G6" s="17"/>
      <c r="H6" s="17"/>
      <c r="I6" s="17"/>
      <c r="J6" s="17"/>
      <c r="K6" s="17"/>
      <c r="L6" s="17"/>
      <c r="M6" s="17"/>
      <c r="N6" s="17"/>
      <c r="O6" s="17"/>
      <c r="P6" s="17"/>
      <c r="Q6" s="17"/>
      <c r="R6" s="17"/>
      <c r="S6" s="17"/>
      <c r="T6" s="17"/>
      <c r="U6" s="17"/>
      <c r="V6" s="17"/>
      <c r="W6" s="17"/>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1:91" s="10" customFormat="1">
      <c r="A7" s="17"/>
      <c r="B7" s="17"/>
      <c r="C7" s="17"/>
      <c r="D7" s="17"/>
      <c r="E7" s="17"/>
      <c r="F7" s="17"/>
      <c r="G7" s="17"/>
      <c r="H7" s="17"/>
      <c r="I7" s="17"/>
      <c r="J7" s="17"/>
      <c r="K7" s="17"/>
      <c r="L7" s="17"/>
      <c r="M7" s="17"/>
      <c r="N7" s="17"/>
      <c r="O7" s="17"/>
      <c r="P7" s="17"/>
      <c r="Q7" s="17"/>
      <c r="R7" s="17"/>
      <c r="S7" s="17"/>
      <c r="T7" s="17"/>
      <c r="U7" s="17"/>
      <c r="V7" s="17"/>
      <c r="W7" s="1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91" s="10" customFormat="1">
      <c r="A8" s="17"/>
      <c r="B8" s="17"/>
      <c r="C8" s="17"/>
      <c r="D8" s="17"/>
      <c r="E8" s="17"/>
      <c r="F8" s="17"/>
      <c r="G8" s="17"/>
      <c r="H8" s="17"/>
      <c r="I8" s="17"/>
      <c r="J8" s="17"/>
      <c r="K8" s="17"/>
      <c r="L8" s="17"/>
      <c r="M8" s="17"/>
      <c r="N8" s="17"/>
      <c r="O8" s="17"/>
      <c r="P8" s="17"/>
      <c r="Q8" s="17"/>
      <c r="R8" s="17"/>
      <c r="S8" s="17"/>
      <c r="T8" s="17"/>
      <c r="U8" s="17"/>
      <c r="V8" s="17"/>
      <c r="W8" s="17"/>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91" s="10" customFormat="1">
      <c r="A9" s="17"/>
      <c r="B9" s="17"/>
      <c r="C9" s="17"/>
      <c r="D9" s="17"/>
      <c r="E9" s="17"/>
      <c r="F9" s="17"/>
      <c r="G9" s="17"/>
      <c r="H9" s="17"/>
      <c r="I9" s="17"/>
      <c r="J9" s="17"/>
      <c r="K9" s="17"/>
      <c r="L9" s="17"/>
      <c r="M9" s="17"/>
      <c r="N9" s="17"/>
      <c r="O9" s="17"/>
      <c r="P9" s="17"/>
      <c r="Q9" s="17"/>
      <c r="R9" s="17"/>
      <c r="S9" s="17"/>
      <c r="T9" s="17"/>
      <c r="U9" s="17"/>
      <c r="V9" s="17"/>
      <c r="W9" s="17"/>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91" s="10" customFormat="1" ht="14.4" customHeight="1">
      <c r="A10" s="17"/>
      <c r="B10" s="17"/>
      <c r="C10" s="17"/>
      <c r="D10" s="17"/>
      <c r="E10" s="17"/>
      <c r="F10" s="17"/>
      <c r="G10" s="17"/>
      <c r="H10" s="17"/>
      <c r="I10" s="17"/>
      <c r="J10" s="17"/>
      <c r="K10" s="17"/>
      <c r="L10" s="17"/>
      <c r="M10" s="17"/>
      <c r="N10" s="17"/>
      <c r="O10" s="17"/>
      <c r="P10" s="17"/>
      <c r="Q10" s="17"/>
      <c r="R10" s="17"/>
      <c r="S10" s="17"/>
      <c r="T10" s="17"/>
      <c r="U10" s="17"/>
      <c r="V10" s="17"/>
      <c r="W10" s="17"/>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spans="1:91" s="10" customFormat="1">
      <c r="A11" s="17"/>
      <c r="B11" s="17"/>
      <c r="C11" s="17"/>
      <c r="D11" s="17"/>
      <c r="E11" s="17"/>
      <c r="F11" s="17"/>
      <c r="G11" s="17"/>
      <c r="H11" s="17"/>
      <c r="I11" s="17"/>
      <c r="J11" s="17"/>
      <c r="K11" s="17"/>
      <c r="L11" s="17"/>
      <c r="M11" s="17"/>
      <c r="N11" s="17"/>
      <c r="O11" s="17"/>
      <c r="P11" s="17"/>
      <c r="Q11" s="17"/>
      <c r="R11" s="17"/>
      <c r="S11" s="17"/>
      <c r="T11" s="17"/>
      <c r="U11" s="17"/>
      <c r="V11" s="17"/>
      <c r="W11" s="17"/>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spans="1:91" s="10" customFormat="1">
      <c r="A12" s="17"/>
      <c r="B12" s="17"/>
      <c r="C12" s="17"/>
      <c r="D12" s="17"/>
      <c r="E12" s="17"/>
      <c r="F12" s="17"/>
      <c r="G12" s="17"/>
      <c r="H12" s="17"/>
      <c r="I12" s="17"/>
      <c r="J12" s="17"/>
      <c r="K12" s="17"/>
      <c r="L12" s="17"/>
      <c r="M12" s="17"/>
      <c r="N12" s="17"/>
      <c r="O12" s="17"/>
      <c r="P12" s="17"/>
      <c r="Q12" s="17"/>
      <c r="R12" s="17"/>
      <c r="S12" s="17"/>
      <c r="T12" s="17"/>
      <c r="U12" s="17"/>
      <c r="V12" s="17"/>
      <c r="W12" s="17"/>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spans="1:91" s="10" customFormat="1">
      <c r="A13" s="17"/>
      <c r="B13" s="17"/>
      <c r="C13" s="17"/>
      <c r="D13" s="17"/>
      <c r="E13" s="17"/>
      <c r="F13" s="17"/>
      <c r="G13" s="17"/>
      <c r="H13" s="17"/>
      <c r="I13" s="17"/>
      <c r="J13" s="17"/>
      <c r="K13" s="17"/>
      <c r="L13" s="17"/>
      <c r="M13" s="17"/>
      <c r="N13" s="17"/>
      <c r="O13" s="17"/>
      <c r="P13" s="17"/>
      <c r="Q13" s="17"/>
      <c r="R13" s="17"/>
      <c r="S13" s="17"/>
      <c r="T13" s="17"/>
      <c r="U13" s="17"/>
      <c r="V13" s="17"/>
      <c r="W13" s="17"/>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1:91" s="10" customFormat="1">
      <c r="A14" s="17"/>
      <c r="B14" s="17"/>
      <c r="C14" s="17"/>
      <c r="D14" s="17"/>
      <c r="E14" s="17"/>
      <c r="F14" s="17"/>
      <c r="G14" s="17"/>
      <c r="H14" s="17"/>
      <c r="I14" s="17"/>
      <c r="J14" s="17"/>
      <c r="K14" s="17"/>
      <c r="L14" s="17"/>
      <c r="M14" s="17"/>
      <c r="N14" s="17"/>
      <c r="O14" s="17"/>
      <c r="P14" s="17"/>
      <c r="Q14" s="17"/>
      <c r="R14" s="17"/>
      <c r="S14" s="17"/>
      <c r="T14" s="17"/>
      <c r="U14" s="17"/>
      <c r="V14" s="17"/>
      <c r="W14" s="17"/>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0" customFormat="1">
      <c r="A15" s="17"/>
      <c r="B15" s="17"/>
      <c r="C15" s="17"/>
      <c r="D15" s="17"/>
      <c r="E15" s="17"/>
      <c r="F15" s="17"/>
      <c r="G15" s="17"/>
      <c r="H15" s="17"/>
      <c r="I15" s="17"/>
      <c r="J15" s="17"/>
      <c r="K15" s="17"/>
      <c r="L15" s="17"/>
      <c r="M15" s="17"/>
      <c r="N15" s="17"/>
      <c r="O15" s="17"/>
      <c r="P15" s="17"/>
      <c r="Q15" s="17"/>
      <c r="R15" s="17"/>
      <c r="S15" s="17"/>
      <c r="T15" s="17"/>
      <c r="U15" s="17"/>
      <c r="V15" s="17"/>
      <c r="W15" s="17"/>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0" customFormat="1">
      <c r="A16" s="17"/>
      <c r="B16" s="17"/>
      <c r="C16" s="17"/>
      <c r="D16" s="17"/>
      <c r="E16" s="17"/>
      <c r="F16" s="17"/>
      <c r="G16" s="17"/>
      <c r="H16" s="17"/>
      <c r="I16" s="17"/>
      <c r="J16" s="17"/>
      <c r="K16" s="17"/>
      <c r="L16" s="17"/>
      <c r="M16" s="17"/>
      <c r="N16" s="17"/>
      <c r="O16" s="17"/>
      <c r="P16" s="17"/>
      <c r="Q16" s="17"/>
      <c r="R16" s="17"/>
      <c r="S16" s="17"/>
      <c r="T16" s="17"/>
      <c r="U16" s="17"/>
      <c r="V16" s="17"/>
      <c r="W16" s="17"/>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0" customFormat="1">
      <c r="A17" s="17"/>
      <c r="B17" s="17"/>
      <c r="C17" s="17"/>
      <c r="D17" s="17"/>
      <c r="E17" s="17"/>
      <c r="F17" s="17"/>
      <c r="G17" s="17"/>
      <c r="H17" s="17"/>
      <c r="I17" s="17"/>
      <c r="J17" s="17"/>
      <c r="K17" s="17"/>
      <c r="L17" s="17"/>
      <c r="M17" s="17"/>
      <c r="N17" s="17"/>
      <c r="O17" s="17"/>
      <c r="P17" s="17"/>
      <c r="Q17" s="17"/>
      <c r="R17" s="17"/>
      <c r="S17" s="17"/>
      <c r="T17" s="17"/>
      <c r="U17" s="17"/>
      <c r="V17" s="17"/>
      <c r="W17" s="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c r="A18" s="17"/>
      <c r="B18" s="17"/>
      <c r="C18" s="17"/>
      <c r="D18" s="17"/>
      <c r="E18" s="17"/>
      <c r="F18" s="17"/>
      <c r="G18" s="17"/>
      <c r="H18" s="17"/>
      <c r="I18" s="17"/>
      <c r="J18" s="17"/>
      <c r="K18" s="17"/>
      <c r="L18" s="17"/>
      <c r="M18" s="17"/>
      <c r="N18" s="17"/>
      <c r="O18" s="17"/>
      <c r="P18" s="17"/>
      <c r="Q18" s="17"/>
      <c r="R18" s="17"/>
      <c r="S18" s="17"/>
      <c r="T18" s="17"/>
      <c r="U18" s="17"/>
      <c r="V18" s="17"/>
      <c r="W18" s="17"/>
    </row>
    <row r="19" spans="1:91">
      <c r="A19" s="17"/>
      <c r="B19" s="17"/>
      <c r="C19" s="17"/>
      <c r="D19" s="17"/>
      <c r="E19" s="17"/>
      <c r="F19" s="17"/>
      <c r="G19" s="17"/>
      <c r="H19" s="17"/>
      <c r="I19" s="17"/>
      <c r="J19" s="17"/>
      <c r="K19" s="17"/>
      <c r="L19" s="17"/>
      <c r="M19" s="17"/>
      <c r="N19" s="17"/>
      <c r="O19" s="17"/>
      <c r="P19" s="17"/>
      <c r="Q19" s="17"/>
      <c r="R19" s="17"/>
      <c r="S19" s="17"/>
      <c r="T19" s="17"/>
      <c r="U19" s="17"/>
      <c r="V19" s="17"/>
      <c r="W19" s="17"/>
    </row>
    <row r="20" spans="1:91" s="10" customFormat="1" ht="14.4" customHeight="1">
      <c r="A20" s="17"/>
      <c r="B20" s="17"/>
      <c r="C20" s="17"/>
      <c r="D20" s="17"/>
      <c r="E20" s="17"/>
      <c r="F20" s="17"/>
      <c r="G20" s="17"/>
      <c r="H20" s="17"/>
      <c r="I20" s="17"/>
      <c r="J20" s="17"/>
      <c r="K20" s="17"/>
      <c r="L20" s="17"/>
      <c r="M20" s="17"/>
      <c r="N20" s="17"/>
      <c r="O20" s="17"/>
      <c r="P20" s="17"/>
      <c r="Q20" s="17"/>
      <c r="R20" s="17"/>
      <c r="S20" s="17"/>
      <c r="T20" s="17"/>
      <c r="U20" s="17"/>
      <c r="V20" s="17"/>
      <c r="W20" s="17"/>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c r="A21" s="17"/>
      <c r="B21" s="17"/>
      <c r="C21" s="17"/>
      <c r="D21" s="17"/>
      <c r="E21" s="17"/>
      <c r="F21" s="17"/>
      <c r="G21" s="17"/>
      <c r="H21" s="17"/>
      <c r="I21" s="17"/>
      <c r="J21" s="17"/>
      <c r="K21" s="17"/>
      <c r="L21" s="17"/>
      <c r="M21" s="17"/>
      <c r="N21" s="17"/>
      <c r="O21" s="17"/>
      <c r="P21" s="17"/>
      <c r="Q21" s="17"/>
      <c r="R21" s="17"/>
      <c r="S21" s="17"/>
      <c r="T21" s="17"/>
      <c r="U21" s="17"/>
      <c r="V21" s="17"/>
      <c r="W21" s="17"/>
    </row>
    <row r="22" spans="1:91">
      <c r="A22" s="17"/>
      <c r="B22" s="17"/>
      <c r="C22" s="17"/>
      <c r="D22" s="17"/>
      <c r="E22" s="17"/>
      <c r="F22" s="17"/>
      <c r="G22" s="17"/>
      <c r="H22" s="17"/>
      <c r="I22" s="17"/>
      <c r="J22" s="17"/>
      <c r="K22" s="17"/>
      <c r="L22" s="17"/>
      <c r="M22" s="17"/>
      <c r="N22" s="17"/>
      <c r="O22" s="17"/>
      <c r="P22" s="17"/>
      <c r="Q22" s="17"/>
      <c r="R22" s="17"/>
      <c r="S22" s="17"/>
      <c r="T22" s="17"/>
      <c r="U22" s="17"/>
      <c r="V22" s="17"/>
      <c r="W22" s="17"/>
    </row>
    <row r="23" spans="1:91">
      <c r="A23" s="17"/>
      <c r="B23" s="17"/>
      <c r="C23" s="17"/>
      <c r="D23" s="17"/>
      <c r="E23" s="17"/>
      <c r="F23" s="17"/>
      <c r="G23" s="17"/>
      <c r="H23" s="17"/>
      <c r="I23" s="17"/>
      <c r="J23" s="17"/>
      <c r="K23" s="17"/>
      <c r="L23" s="17"/>
      <c r="M23" s="17"/>
      <c r="N23" s="17"/>
      <c r="O23" s="17"/>
      <c r="P23" s="17"/>
      <c r="Q23" s="17"/>
      <c r="R23" s="17"/>
      <c r="S23" s="17"/>
      <c r="T23" s="17"/>
      <c r="U23" s="17"/>
      <c r="V23" s="17"/>
      <c r="W23" s="17"/>
    </row>
    <row r="24" spans="1:91">
      <c r="A24" s="17"/>
      <c r="B24" s="17"/>
      <c r="C24" s="17"/>
      <c r="D24" s="17"/>
      <c r="E24" s="17"/>
      <c r="F24" s="17"/>
      <c r="G24" s="17"/>
      <c r="H24" s="17"/>
      <c r="I24" s="17"/>
      <c r="J24" s="17"/>
      <c r="K24" s="17"/>
      <c r="L24" s="17"/>
      <c r="M24" s="17"/>
      <c r="N24" s="17"/>
      <c r="O24" s="17"/>
      <c r="P24" s="17"/>
      <c r="Q24" s="17"/>
      <c r="R24" s="17"/>
      <c r="S24" s="17"/>
      <c r="T24" s="17"/>
      <c r="U24" s="17"/>
      <c r="V24" s="17"/>
      <c r="W24" s="17"/>
    </row>
    <row r="25" spans="1:91">
      <c r="A25" s="17"/>
      <c r="B25" s="17"/>
      <c r="C25" s="17"/>
      <c r="D25" s="17"/>
      <c r="E25" s="17"/>
      <c r="F25" s="17"/>
      <c r="G25" s="17"/>
      <c r="H25" s="17"/>
      <c r="I25" s="17"/>
      <c r="J25" s="17"/>
      <c r="K25" s="17"/>
      <c r="L25" s="17"/>
      <c r="M25" s="17"/>
      <c r="N25" s="17"/>
      <c r="O25" s="17"/>
      <c r="P25" s="17"/>
      <c r="Q25" s="17"/>
      <c r="R25" s="17"/>
      <c r="S25" s="17"/>
      <c r="T25" s="17"/>
      <c r="U25" s="17"/>
      <c r="V25" s="17"/>
      <c r="W25" s="17"/>
    </row>
    <row r="26" spans="1:91">
      <c r="A26" s="17"/>
      <c r="B26" s="17"/>
      <c r="C26" s="17"/>
      <c r="D26" s="17"/>
      <c r="E26" s="17"/>
      <c r="F26" s="17"/>
      <c r="G26" s="17"/>
      <c r="H26" s="17"/>
      <c r="I26" s="17"/>
      <c r="J26" s="17"/>
      <c r="K26" s="17"/>
      <c r="L26" s="17"/>
      <c r="M26" s="17"/>
      <c r="N26" s="17"/>
      <c r="O26" s="17"/>
      <c r="P26" s="17"/>
      <c r="Q26" s="17"/>
      <c r="R26" s="17"/>
      <c r="S26" s="17"/>
      <c r="T26" s="17"/>
      <c r="U26" s="17"/>
      <c r="V26" s="17"/>
      <c r="W26" s="17"/>
    </row>
    <row r="27" spans="1:91">
      <c r="A27" s="17"/>
      <c r="B27" s="17"/>
      <c r="C27" s="17"/>
      <c r="D27" s="17"/>
      <c r="E27" s="17"/>
      <c r="F27" s="17"/>
      <c r="G27" s="17"/>
      <c r="H27" s="17"/>
      <c r="I27" s="17"/>
      <c r="J27" s="17"/>
      <c r="K27" s="17"/>
      <c r="L27" s="17"/>
      <c r="M27" s="17"/>
      <c r="N27" s="17"/>
      <c r="O27" s="17"/>
      <c r="P27" s="17"/>
      <c r="Q27" s="17"/>
      <c r="R27" s="17"/>
      <c r="S27" s="17"/>
      <c r="T27" s="17"/>
      <c r="U27" s="17"/>
      <c r="V27" s="17"/>
      <c r="W27" s="17"/>
    </row>
    <row r="28" spans="1:91">
      <c r="A28" s="17"/>
      <c r="B28" s="17"/>
      <c r="C28" s="17"/>
      <c r="D28" s="17"/>
      <c r="E28" s="17"/>
      <c r="F28" s="17"/>
      <c r="G28" s="17"/>
      <c r="H28" s="17"/>
      <c r="I28" s="17"/>
      <c r="J28" s="17"/>
      <c r="K28" s="17"/>
      <c r="L28" s="17"/>
      <c r="M28" s="17"/>
      <c r="N28" s="17"/>
      <c r="O28" s="17"/>
      <c r="P28" s="17"/>
      <c r="Q28" s="17"/>
      <c r="R28" s="17"/>
      <c r="S28" s="17"/>
      <c r="T28" s="17"/>
      <c r="U28" s="17"/>
      <c r="V28" s="17"/>
      <c r="W28" s="17"/>
    </row>
    <row r="29" spans="1:91">
      <c r="A29" s="17"/>
      <c r="B29" s="17"/>
      <c r="C29" s="17"/>
      <c r="D29" s="17"/>
      <c r="E29" s="17"/>
      <c r="F29" s="17"/>
      <c r="G29" s="17"/>
      <c r="H29" s="17"/>
      <c r="I29" s="17"/>
      <c r="J29" s="17"/>
      <c r="K29" s="17"/>
      <c r="L29" s="17"/>
      <c r="M29" s="17"/>
      <c r="N29" s="17"/>
      <c r="O29" s="17"/>
      <c r="P29" s="17"/>
      <c r="Q29" s="17"/>
      <c r="R29" s="17"/>
      <c r="S29" s="17"/>
      <c r="T29" s="17"/>
      <c r="U29" s="17"/>
      <c r="V29" s="17"/>
      <c r="W29" s="17"/>
    </row>
    <row r="30" spans="1:91">
      <c r="A30" s="17"/>
      <c r="B30" s="17"/>
      <c r="C30" s="17"/>
      <c r="D30" s="17"/>
      <c r="E30" s="17"/>
      <c r="F30" s="17"/>
      <c r="G30" s="17"/>
      <c r="H30" s="17"/>
      <c r="I30" s="17"/>
      <c r="J30" s="17"/>
      <c r="K30" s="17"/>
      <c r="L30" s="17"/>
      <c r="M30" s="17"/>
      <c r="N30" s="17"/>
      <c r="O30" s="17"/>
      <c r="P30" s="17"/>
      <c r="Q30" s="17"/>
      <c r="R30" s="17"/>
      <c r="S30" s="17"/>
      <c r="T30" s="17"/>
      <c r="U30" s="17"/>
      <c r="V30" s="17"/>
      <c r="W30" s="17"/>
    </row>
    <row r="31" spans="1:91">
      <c r="A31" s="17"/>
      <c r="B31" s="17"/>
      <c r="C31" s="17"/>
      <c r="D31" s="17"/>
      <c r="E31" s="17"/>
      <c r="F31" s="17"/>
      <c r="G31" s="17"/>
      <c r="H31" s="17"/>
      <c r="I31" s="17"/>
      <c r="J31" s="17"/>
      <c r="K31" s="17"/>
      <c r="L31" s="17"/>
      <c r="M31" s="17"/>
      <c r="N31" s="17"/>
      <c r="O31" s="17"/>
      <c r="P31" s="17"/>
      <c r="Q31" s="17"/>
      <c r="R31" s="17"/>
      <c r="S31" s="17"/>
      <c r="T31" s="17"/>
      <c r="U31" s="17"/>
      <c r="V31" s="17"/>
      <c r="W31" s="17"/>
    </row>
    <row r="32" spans="1:91">
      <c r="A32" s="17"/>
      <c r="B32" s="17"/>
      <c r="C32" s="17"/>
      <c r="D32" s="17"/>
      <c r="E32" s="17"/>
      <c r="F32" s="17"/>
      <c r="G32" s="17"/>
      <c r="H32" s="17"/>
      <c r="I32" s="17"/>
      <c r="J32" s="17"/>
      <c r="K32" s="17"/>
      <c r="L32" s="17"/>
      <c r="M32" s="17"/>
      <c r="N32" s="17"/>
      <c r="O32" s="17"/>
      <c r="P32" s="17"/>
      <c r="Q32" s="17"/>
      <c r="R32" s="17"/>
      <c r="S32" s="17"/>
      <c r="T32" s="17"/>
      <c r="U32" s="17"/>
      <c r="V32" s="17"/>
      <c r="W32" s="17"/>
    </row>
    <row r="33" spans="1:91">
      <c r="A33" s="17"/>
      <c r="B33" s="17"/>
      <c r="C33" s="17"/>
      <c r="D33" s="17"/>
      <c r="E33" s="17"/>
      <c r="F33" s="17"/>
      <c r="G33" s="17"/>
      <c r="H33" s="17"/>
      <c r="I33" s="17"/>
      <c r="J33" s="17"/>
      <c r="K33" s="17"/>
      <c r="L33" s="17"/>
      <c r="M33" s="17"/>
      <c r="N33" s="17"/>
      <c r="O33" s="17"/>
      <c r="P33" s="17"/>
      <c r="Q33" s="17"/>
      <c r="R33" s="17"/>
      <c r="S33" s="17"/>
      <c r="T33" s="17"/>
      <c r="U33" s="17"/>
      <c r="V33" s="17"/>
      <c r="W33" s="17"/>
    </row>
    <row r="34" spans="1:91">
      <c r="A34" s="17"/>
      <c r="B34" s="17"/>
      <c r="C34" s="17"/>
      <c r="D34" s="17"/>
      <c r="E34" s="17"/>
      <c r="F34" s="17"/>
      <c r="G34" s="17"/>
      <c r="H34" s="17"/>
      <c r="I34" s="17"/>
      <c r="J34" s="17"/>
      <c r="K34" s="17"/>
      <c r="L34" s="17"/>
      <c r="M34" s="17"/>
      <c r="N34" s="17"/>
      <c r="O34" s="17"/>
      <c r="P34" s="17"/>
      <c r="Q34" s="17"/>
      <c r="R34" s="17"/>
      <c r="S34" s="17"/>
      <c r="T34" s="17"/>
      <c r="U34" s="17"/>
      <c r="V34" s="17"/>
      <c r="W34" s="17"/>
    </row>
    <row r="35" spans="1:91">
      <c r="A35" s="17"/>
      <c r="B35" s="17"/>
      <c r="C35" s="17"/>
      <c r="D35" s="17"/>
      <c r="E35" s="17"/>
      <c r="F35" s="17"/>
      <c r="G35" s="17"/>
      <c r="H35" s="17"/>
      <c r="I35" s="17"/>
      <c r="J35" s="17"/>
      <c r="K35" s="17"/>
      <c r="L35" s="17"/>
      <c r="M35" s="17"/>
      <c r="N35" s="17"/>
      <c r="O35" s="17"/>
      <c r="P35" s="17"/>
      <c r="Q35" s="17"/>
      <c r="R35" s="17"/>
      <c r="S35" s="17"/>
      <c r="T35" s="17"/>
      <c r="U35" s="17"/>
      <c r="V35" s="17"/>
      <c r="W35" s="17"/>
    </row>
    <row r="36" spans="1:91">
      <c r="A36" s="17"/>
      <c r="B36" s="17"/>
      <c r="C36" s="17"/>
      <c r="D36" s="17"/>
      <c r="E36" s="17"/>
      <c r="F36" s="17"/>
      <c r="G36" s="17"/>
      <c r="H36" s="17"/>
      <c r="I36" s="17"/>
      <c r="J36" s="17"/>
      <c r="K36" s="17"/>
      <c r="L36" s="17"/>
      <c r="M36" s="17"/>
      <c r="N36" s="17"/>
      <c r="O36" s="17"/>
      <c r="P36" s="17"/>
      <c r="Q36" s="17"/>
      <c r="R36" s="17"/>
      <c r="S36" s="17"/>
      <c r="T36" s="17"/>
      <c r="U36" s="17"/>
      <c r="V36" s="17"/>
      <c r="W36" s="17"/>
    </row>
    <row r="37" spans="1:91">
      <c r="A37" s="17"/>
      <c r="B37" s="17"/>
      <c r="C37" s="17"/>
      <c r="D37" s="17"/>
      <c r="E37" s="17"/>
      <c r="F37" s="17"/>
      <c r="G37" s="17"/>
      <c r="H37" s="17"/>
      <c r="I37" s="17"/>
      <c r="J37" s="17"/>
      <c r="K37" s="17"/>
      <c r="L37" s="17"/>
      <c r="M37" s="17"/>
      <c r="N37" s="17"/>
      <c r="O37" s="17"/>
      <c r="P37" s="17"/>
      <c r="Q37" s="17"/>
      <c r="R37" s="17"/>
      <c r="S37" s="17"/>
      <c r="T37" s="17"/>
      <c r="U37" s="17"/>
      <c r="V37" s="17"/>
      <c r="W37" s="17"/>
    </row>
    <row r="38" spans="1:91">
      <c r="A38" s="17"/>
      <c r="B38" s="17"/>
      <c r="C38" s="17"/>
      <c r="D38" s="17"/>
      <c r="E38" s="17"/>
      <c r="F38" s="17"/>
      <c r="G38" s="17"/>
      <c r="H38" s="17"/>
      <c r="I38" s="17"/>
      <c r="J38" s="17"/>
      <c r="K38" s="17"/>
      <c r="L38" s="17"/>
      <c r="M38" s="17"/>
      <c r="N38" s="17"/>
      <c r="O38" s="17"/>
      <c r="P38" s="17"/>
      <c r="Q38" s="17"/>
      <c r="R38" s="17"/>
      <c r="S38" s="17"/>
      <c r="T38" s="17"/>
      <c r="U38" s="17"/>
      <c r="V38" s="17"/>
      <c r="W38" s="17"/>
    </row>
    <row r="39" spans="1:91">
      <c r="A39" s="17"/>
      <c r="B39" s="17"/>
      <c r="C39" s="17"/>
      <c r="D39" s="17"/>
      <c r="E39" s="17"/>
      <c r="F39" s="17"/>
      <c r="G39" s="17"/>
      <c r="H39" s="17"/>
      <c r="I39" s="17"/>
      <c r="J39" s="17"/>
      <c r="K39" s="17"/>
      <c r="L39" s="17"/>
      <c r="M39" s="17"/>
      <c r="N39" s="17"/>
      <c r="O39" s="17"/>
      <c r="P39" s="17"/>
      <c r="Q39" s="17"/>
      <c r="R39" s="17"/>
      <c r="S39" s="17"/>
      <c r="T39" s="17"/>
      <c r="U39" s="17"/>
      <c r="V39" s="17"/>
      <c r="W39" s="17"/>
    </row>
    <row r="40" spans="1:91">
      <c r="A40" s="17"/>
      <c r="B40" s="17"/>
      <c r="C40" s="17"/>
      <c r="D40" s="17"/>
      <c r="E40" s="17"/>
      <c r="F40" s="17"/>
      <c r="G40" s="17"/>
      <c r="H40" s="17"/>
      <c r="I40" s="17"/>
      <c r="J40" s="17"/>
      <c r="K40" s="17"/>
      <c r="L40" s="17"/>
      <c r="M40" s="17"/>
      <c r="N40" s="17"/>
      <c r="O40" s="17"/>
      <c r="P40" s="17"/>
      <c r="Q40" s="17"/>
      <c r="R40" s="17"/>
      <c r="S40" s="17"/>
      <c r="T40" s="17"/>
      <c r="U40" s="17"/>
      <c r="V40" s="17"/>
      <c r="W40" s="17"/>
    </row>
    <row r="41" spans="1:91">
      <c r="A41" s="17"/>
      <c r="B41" s="17"/>
      <c r="C41" s="17"/>
      <c r="D41" s="17"/>
      <c r="E41" s="17"/>
      <c r="F41" s="17"/>
      <c r="G41" s="17"/>
      <c r="H41" s="17"/>
      <c r="I41" s="17"/>
      <c r="J41" s="17"/>
      <c r="K41" s="17"/>
      <c r="L41" s="17"/>
      <c r="M41" s="17"/>
      <c r="N41" s="17"/>
      <c r="O41" s="17"/>
      <c r="P41" s="17"/>
      <c r="Q41" s="17"/>
      <c r="R41" s="17"/>
      <c r="S41" s="17"/>
      <c r="T41" s="17"/>
      <c r="U41" s="17"/>
      <c r="V41" s="17"/>
      <c r="W41" s="17"/>
    </row>
    <row r="42" spans="1:91">
      <c r="A42" s="17"/>
      <c r="B42" s="17"/>
      <c r="C42" s="17"/>
      <c r="D42" s="17"/>
      <c r="E42" s="17"/>
      <c r="F42" s="17"/>
      <c r="G42" s="17"/>
      <c r="H42" s="17"/>
      <c r="I42" s="17"/>
      <c r="J42" s="17"/>
      <c r="K42" s="17"/>
      <c r="L42" s="17"/>
      <c r="M42" s="17"/>
      <c r="N42" s="17"/>
      <c r="O42" s="17"/>
      <c r="P42" s="17"/>
      <c r="Q42" s="17"/>
      <c r="R42" s="17"/>
      <c r="S42" s="17"/>
      <c r="T42" s="17"/>
      <c r="U42" s="17"/>
      <c r="V42" s="17"/>
      <c r="W42" s="17"/>
    </row>
    <row r="43" spans="1:91">
      <c r="A43" s="17"/>
      <c r="B43" s="17"/>
      <c r="C43" s="17"/>
      <c r="D43" s="17"/>
      <c r="E43" s="17"/>
      <c r="F43" s="17"/>
      <c r="G43" s="17"/>
      <c r="H43" s="17"/>
      <c r="I43" s="17"/>
      <c r="J43" s="17"/>
      <c r="K43" s="17"/>
      <c r="L43" s="17"/>
      <c r="M43" s="17"/>
      <c r="N43" s="17"/>
      <c r="O43" s="17"/>
      <c r="P43" s="17"/>
      <c r="Q43" s="17"/>
      <c r="R43" s="17"/>
      <c r="S43" s="17"/>
      <c r="T43" s="17"/>
      <c r="U43" s="17"/>
      <c r="V43" s="17"/>
      <c r="W43" s="17"/>
    </row>
    <row r="44" spans="1:91" s="10" customFormat="1" ht="14.4" customHeight="1">
      <c r="A44" s="17"/>
      <c r="B44" s="17"/>
      <c r="C44" s="17"/>
      <c r="D44" s="17"/>
      <c r="E44" s="17"/>
      <c r="F44" s="17"/>
      <c r="G44" s="17"/>
      <c r="H44" s="17"/>
      <c r="I44" s="17"/>
      <c r="J44" s="17"/>
      <c r="K44" s="17"/>
      <c r="L44" s="17"/>
      <c r="M44" s="17"/>
      <c r="N44" s="17"/>
      <c r="O44" s="17"/>
      <c r="P44" s="17"/>
      <c r="Q44" s="17"/>
      <c r="R44" s="17"/>
      <c r="S44" s="17"/>
      <c r="T44" s="17"/>
      <c r="U44" s="17"/>
      <c r="V44" s="17"/>
      <c r="W44" s="17"/>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0" customFormat="1">
      <c r="A45" s="17"/>
      <c r="B45" s="17"/>
      <c r="C45" s="17"/>
      <c r="D45" s="17"/>
      <c r="E45" s="17"/>
      <c r="F45" s="17"/>
      <c r="G45" s="17"/>
      <c r="H45" s="17"/>
      <c r="I45" s="17"/>
      <c r="J45" s="17"/>
      <c r="K45" s="17"/>
      <c r="L45" s="17"/>
      <c r="M45" s="17"/>
      <c r="N45" s="17"/>
      <c r="O45" s="17"/>
      <c r="P45" s="17"/>
      <c r="Q45" s="17"/>
      <c r="R45" s="17"/>
      <c r="S45" s="17"/>
      <c r="T45" s="17"/>
      <c r="U45" s="17"/>
      <c r="V45" s="17"/>
      <c r="W45" s="17"/>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0" customFormat="1">
      <c r="A46" s="17"/>
      <c r="B46" s="17"/>
      <c r="C46" s="17"/>
      <c r="D46" s="17"/>
      <c r="E46" s="17"/>
      <c r="F46" s="17"/>
      <c r="G46" s="17"/>
      <c r="H46" s="17"/>
      <c r="I46" s="17"/>
      <c r="J46" s="17"/>
      <c r="K46" s="17"/>
      <c r="L46" s="17"/>
      <c r="M46" s="17"/>
      <c r="N46" s="17"/>
      <c r="O46" s="17"/>
      <c r="P46" s="17"/>
      <c r="Q46" s="17"/>
      <c r="R46" s="17"/>
      <c r="S46" s="17"/>
      <c r="T46" s="17"/>
      <c r="U46" s="17"/>
      <c r="V46" s="17"/>
      <c r="W46" s="17"/>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0" customFormat="1">
      <c r="A47" s="17"/>
      <c r="B47" s="17"/>
      <c r="C47" s="17"/>
      <c r="D47" s="17"/>
      <c r="E47" s="17"/>
      <c r="F47" s="17"/>
      <c r="G47" s="17"/>
      <c r="H47" s="17"/>
      <c r="I47" s="17"/>
      <c r="J47" s="17"/>
      <c r="K47" s="17"/>
      <c r="L47" s="17"/>
      <c r="M47" s="17"/>
      <c r="N47" s="17"/>
      <c r="O47" s="17"/>
      <c r="P47" s="17"/>
      <c r="Q47" s="17"/>
      <c r="R47" s="17"/>
      <c r="S47" s="17"/>
      <c r="T47" s="17"/>
      <c r="U47" s="17"/>
      <c r="V47" s="17"/>
      <c r="W47" s="1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0" customFormat="1">
      <c r="A48" s="17"/>
      <c r="B48" s="17"/>
      <c r="C48" s="17"/>
      <c r="D48" s="17"/>
      <c r="E48" s="17"/>
      <c r="F48" s="17"/>
      <c r="G48" s="17"/>
      <c r="H48" s="17"/>
      <c r="I48" s="17"/>
      <c r="J48" s="17"/>
      <c r="K48" s="17"/>
      <c r="L48" s="17"/>
      <c r="M48" s="17"/>
      <c r="N48" s="17"/>
      <c r="O48" s="17"/>
      <c r="P48" s="17"/>
      <c r="Q48" s="17"/>
      <c r="R48" s="17"/>
      <c r="S48" s="17"/>
      <c r="T48" s="17"/>
      <c r="U48" s="17"/>
      <c r="V48" s="17"/>
      <c r="W48" s="17"/>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0" customFormat="1">
      <c r="A49" s="17"/>
      <c r="B49" s="17"/>
      <c r="C49" s="17"/>
      <c r="D49" s="17"/>
      <c r="E49" s="17"/>
      <c r="F49" s="17"/>
      <c r="G49" s="17"/>
      <c r="H49" s="17"/>
      <c r="I49" s="17"/>
      <c r="J49" s="17"/>
      <c r="K49" s="17"/>
      <c r="L49" s="17"/>
      <c r="M49" s="17"/>
      <c r="N49" s="17"/>
      <c r="O49" s="17"/>
      <c r="P49" s="17"/>
      <c r="Q49" s="17"/>
      <c r="R49" s="17"/>
      <c r="S49" s="17"/>
      <c r="T49" s="17"/>
      <c r="U49" s="17"/>
      <c r="V49" s="17"/>
      <c r="W49" s="17"/>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0" customFormat="1">
      <c r="A50" s="17"/>
      <c r="B50" s="17"/>
      <c r="C50" s="17"/>
      <c r="D50" s="17"/>
      <c r="E50" s="17"/>
      <c r="F50" s="17"/>
      <c r="G50" s="17"/>
      <c r="H50" s="17"/>
      <c r="I50" s="17"/>
      <c r="J50" s="17"/>
      <c r="K50" s="17"/>
      <c r="L50" s="17"/>
      <c r="M50" s="17"/>
      <c r="N50" s="17"/>
      <c r="O50" s="17"/>
      <c r="P50" s="17"/>
      <c r="Q50" s="17"/>
      <c r="R50" s="17"/>
      <c r="S50" s="17"/>
      <c r="T50" s="17"/>
      <c r="U50" s="17"/>
      <c r="V50" s="17"/>
      <c r="W50" s="17"/>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0" customFormat="1" ht="14.4" customHeight="1">
      <c r="A51" s="17"/>
      <c r="B51" s="17"/>
      <c r="C51" s="17"/>
      <c r="D51" s="17"/>
      <c r="E51" s="17"/>
      <c r="F51" s="17"/>
      <c r="G51" s="17"/>
      <c r="H51" s="17"/>
      <c r="I51" s="17"/>
      <c r="J51" s="17"/>
      <c r="K51" s="17"/>
      <c r="L51" s="17"/>
      <c r="M51" s="17"/>
      <c r="N51" s="17"/>
      <c r="O51" s="17"/>
      <c r="P51" s="17"/>
      <c r="Q51" s="17"/>
      <c r="R51" s="17"/>
      <c r="S51" s="17"/>
      <c r="T51" s="17"/>
      <c r="U51" s="17"/>
      <c r="V51" s="17"/>
      <c r="W51" s="17"/>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0" customFormat="1" ht="14.4" customHeight="1">
      <c r="A52" s="17"/>
      <c r="B52" s="17"/>
      <c r="C52" s="17"/>
      <c r="D52" s="17"/>
      <c r="E52" s="17"/>
      <c r="F52" s="17"/>
      <c r="G52" s="17"/>
      <c r="H52" s="17"/>
      <c r="I52" s="17"/>
      <c r="J52" s="17"/>
      <c r="K52" s="17"/>
      <c r="L52" s="17"/>
      <c r="M52" s="17"/>
      <c r="N52" s="17"/>
      <c r="O52" s="17"/>
      <c r="P52" s="17"/>
      <c r="Q52" s="17"/>
      <c r="R52" s="17"/>
      <c r="S52" s="17"/>
      <c r="T52" s="17"/>
      <c r="U52" s="17"/>
      <c r="V52" s="17"/>
      <c r="W52" s="17"/>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0" customFormat="1">
      <c r="A53" s="17"/>
      <c r="B53" s="17"/>
      <c r="C53" s="17"/>
      <c r="D53" s="17"/>
      <c r="E53" s="17"/>
      <c r="F53" s="17"/>
      <c r="G53" s="17"/>
      <c r="H53" s="17"/>
      <c r="I53" s="17"/>
      <c r="J53" s="17"/>
      <c r="K53" s="17"/>
      <c r="L53" s="17"/>
      <c r="M53" s="17"/>
      <c r="N53" s="17"/>
      <c r="O53" s="17"/>
      <c r="P53" s="17"/>
      <c r="Q53" s="17"/>
      <c r="R53" s="17"/>
      <c r="S53" s="17"/>
      <c r="T53" s="17"/>
      <c r="U53" s="17"/>
      <c r="V53" s="17"/>
      <c r="W53" s="17"/>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0" customFormat="1">
      <c r="A54" s="17"/>
      <c r="B54" s="17"/>
      <c r="C54" s="17"/>
      <c r="D54" s="17"/>
      <c r="E54" s="17"/>
      <c r="F54" s="17"/>
      <c r="G54" s="17"/>
      <c r="H54" s="17"/>
      <c r="I54" s="17"/>
      <c r="J54" s="17"/>
      <c r="K54" s="17"/>
      <c r="L54" s="17"/>
      <c r="M54" s="17"/>
      <c r="N54" s="17"/>
      <c r="O54" s="17"/>
      <c r="P54" s="17"/>
      <c r="Q54" s="17"/>
      <c r="R54" s="17"/>
      <c r="S54" s="17"/>
      <c r="T54" s="17"/>
      <c r="U54" s="17"/>
      <c r="V54" s="17"/>
      <c r="W54" s="17"/>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0" customFormat="1">
      <c r="A55" s="17"/>
      <c r="B55" s="17"/>
      <c r="C55" s="17"/>
      <c r="D55" s="17"/>
      <c r="E55" s="17"/>
      <c r="F55" s="17"/>
      <c r="G55" s="17"/>
      <c r="H55" s="17"/>
      <c r="I55" s="17"/>
      <c r="J55" s="17"/>
      <c r="K55" s="17"/>
      <c r="L55" s="17"/>
      <c r="M55" s="17"/>
      <c r="N55" s="17"/>
      <c r="O55" s="17"/>
      <c r="P55" s="17"/>
      <c r="Q55" s="17"/>
      <c r="R55" s="17"/>
      <c r="S55" s="17"/>
      <c r="T55" s="17"/>
      <c r="U55" s="17"/>
      <c r="V55" s="17"/>
      <c r="W55" s="17"/>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0" customFormat="1">
      <c r="A56" s="17"/>
      <c r="B56" s="17"/>
      <c r="C56" s="17"/>
      <c r="D56" s="17"/>
      <c r="E56" s="17"/>
      <c r="F56" s="17"/>
      <c r="G56" s="17"/>
      <c r="H56" s="17"/>
      <c r="I56" s="17"/>
      <c r="J56" s="17"/>
      <c r="K56" s="17"/>
      <c r="L56" s="17"/>
      <c r="M56" s="17"/>
      <c r="N56" s="17"/>
      <c r="O56" s="17"/>
      <c r="P56" s="17"/>
      <c r="Q56" s="17"/>
      <c r="R56" s="17"/>
      <c r="S56" s="17"/>
      <c r="T56" s="17"/>
      <c r="U56" s="17"/>
      <c r="V56" s="17"/>
      <c r="W56" s="17"/>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0" customFormat="1">
      <c r="A57" s="17"/>
      <c r="B57" s="17"/>
      <c r="C57" s="17"/>
      <c r="D57" s="17"/>
      <c r="E57" s="17"/>
      <c r="F57" s="17"/>
      <c r="G57" s="17"/>
      <c r="H57" s="17"/>
      <c r="I57" s="17"/>
      <c r="J57" s="17"/>
      <c r="K57" s="17"/>
      <c r="L57" s="17"/>
      <c r="M57" s="17"/>
      <c r="N57" s="17"/>
      <c r="O57" s="17"/>
      <c r="P57" s="17"/>
      <c r="Q57" s="17"/>
      <c r="R57" s="17"/>
      <c r="S57" s="17"/>
      <c r="T57" s="17"/>
      <c r="U57" s="17"/>
      <c r="V57" s="17"/>
      <c r="W57" s="1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0" customFormat="1">
      <c r="A58" s="17"/>
      <c r="B58" s="17"/>
      <c r="C58" s="17"/>
      <c r="D58" s="17"/>
      <c r="E58" s="17"/>
      <c r="F58" s="17"/>
      <c r="G58" s="17"/>
      <c r="H58" s="17"/>
      <c r="I58" s="17"/>
      <c r="J58" s="17"/>
      <c r="K58" s="17"/>
      <c r="L58" s="17"/>
      <c r="M58" s="17"/>
      <c r="N58" s="17"/>
      <c r="O58" s="17"/>
      <c r="P58" s="17"/>
      <c r="Q58" s="17"/>
      <c r="R58" s="17"/>
      <c r="S58" s="17"/>
      <c r="T58" s="17"/>
      <c r="U58" s="17"/>
      <c r="V58" s="17"/>
      <c r="W58" s="17"/>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0" customFormat="1" ht="14.4" customHeight="1">
      <c r="A59" s="17"/>
      <c r="B59" s="17"/>
      <c r="C59" s="17"/>
      <c r="D59" s="17"/>
      <c r="E59" s="17"/>
      <c r="F59" s="17"/>
      <c r="G59" s="17"/>
      <c r="H59" s="17"/>
      <c r="I59" s="17"/>
      <c r="J59" s="17"/>
      <c r="K59" s="17"/>
      <c r="L59" s="17"/>
      <c r="M59" s="17"/>
      <c r="N59" s="17"/>
      <c r="O59" s="17"/>
      <c r="P59" s="17"/>
      <c r="Q59" s="17"/>
      <c r="R59" s="17"/>
      <c r="S59" s="17"/>
      <c r="T59" s="17"/>
      <c r="U59" s="17"/>
      <c r="V59" s="17"/>
      <c r="W59" s="17" t="s">
        <v>88</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0" customFormat="1" ht="14.4" customHeight="1">
      <c r="A60" s="17"/>
      <c r="B60" s="17"/>
      <c r="C60" s="17"/>
      <c r="D60" s="17"/>
      <c r="E60" s="17"/>
      <c r="F60" s="17"/>
      <c r="G60" s="17"/>
      <c r="H60" s="17"/>
      <c r="I60" s="17"/>
      <c r="J60" s="17"/>
      <c r="K60" s="17"/>
      <c r="L60" s="17"/>
      <c r="M60" s="17"/>
      <c r="N60" s="17"/>
      <c r="O60" s="17"/>
      <c r="P60" s="17"/>
      <c r="Q60" s="17"/>
      <c r="R60" s="17"/>
      <c r="S60" s="17"/>
      <c r="T60" s="17"/>
      <c r="U60" s="17"/>
      <c r="V60" s="17"/>
      <c r="W60" s="17"/>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0" customFormat="1">
      <c r="A61" s="17"/>
      <c r="B61" s="17"/>
      <c r="C61" s="17"/>
      <c r="D61" s="17"/>
      <c r="E61" s="17"/>
      <c r="F61" s="17"/>
      <c r="G61" s="17"/>
      <c r="H61" s="17"/>
      <c r="I61" s="17"/>
      <c r="J61" s="17"/>
      <c r="K61" s="17"/>
      <c r="L61" s="17"/>
      <c r="M61" s="17"/>
      <c r="N61" s="17"/>
      <c r="O61" s="17"/>
      <c r="P61" s="17"/>
      <c r="Q61" s="17"/>
      <c r="R61" s="17"/>
      <c r="S61" s="17"/>
      <c r="T61" s="17"/>
      <c r="U61" s="17"/>
      <c r="V61" s="17"/>
      <c r="W61" s="17"/>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0" customFormat="1">
      <c r="A62" s="17"/>
      <c r="B62" s="17"/>
      <c r="C62" s="17"/>
      <c r="D62" s="17"/>
      <c r="E62" s="17"/>
      <c r="F62" s="17"/>
      <c r="G62" s="17"/>
      <c r="H62" s="17"/>
      <c r="I62" s="17"/>
      <c r="J62" s="17"/>
      <c r="K62" s="17"/>
      <c r="L62" s="17"/>
      <c r="M62" s="17"/>
      <c r="N62" s="17"/>
      <c r="O62" s="17"/>
      <c r="P62" s="17"/>
      <c r="Q62" s="17"/>
      <c r="R62" s="17"/>
      <c r="S62" s="17"/>
      <c r="T62" s="17"/>
      <c r="U62" s="17"/>
      <c r="V62" s="17"/>
      <c r="W62" s="17"/>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0" customFormat="1">
      <c r="A63" s="17"/>
      <c r="B63" s="17"/>
      <c r="C63" s="17"/>
      <c r="D63" s="17"/>
      <c r="E63" s="17"/>
      <c r="F63" s="17"/>
      <c r="G63" s="17"/>
      <c r="H63" s="17"/>
      <c r="I63" s="17"/>
      <c r="J63" s="17"/>
      <c r="K63" s="17"/>
      <c r="L63" s="17"/>
      <c r="M63" s="17"/>
      <c r="N63" s="17"/>
      <c r="O63" s="17"/>
      <c r="P63" s="17"/>
      <c r="Q63" s="17"/>
      <c r="R63" s="17"/>
      <c r="S63" s="17"/>
      <c r="T63" s="17"/>
      <c r="U63" s="17"/>
      <c r="V63" s="17"/>
      <c r="W63" s="17"/>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0" customFormat="1">
      <c r="A64" s="17"/>
      <c r="B64" s="17"/>
      <c r="C64" s="17"/>
      <c r="D64" s="17"/>
      <c r="E64" s="17"/>
      <c r="F64" s="17"/>
      <c r="G64" s="17"/>
      <c r="H64" s="17"/>
      <c r="I64" s="17"/>
      <c r="J64" s="17"/>
      <c r="K64" s="17"/>
      <c r="L64" s="17"/>
      <c r="M64" s="17"/>
      <c r="N64" s="17"/>
      <c r="O64" s="17"/>
      <c r="P64" s="17"/>
      <c r="Q64" s="17"/>
      <c r="R64" s="17"/>
      <c r="S64" s="17"/>
      <c r="T64" s="17"/>
      <c r="U64" s="17"/>
      <c r="V64" s="17"/>
      <c r="W64" s="17"/>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0" customFormat="1">
      <c r="A65" s="17"/>
      <c r="B65" s="17"/>
      <c r="C65" s="17"/>
      <c r="D65" s="17"/>
      <c r="E65" s="17"/>
      <c r="F65" s="17"/>
      <c r="G65" s="17"/>
      <c r="H65" s="17"/>
      <c r="I65" s="17"/>
      <c r="J65" s="17"/>
      <c r="K65" s="17"/>
      <c r="L65" s="17"/>
      <c r="M65" s="17"/>
      <c r="N65" s="17"/>
      <c r="O65" s="17"/>
      <c r="P65" s="17"/>
      <c r="Q65" s="17"/>
      <c r="R65" s="17"/>
      <c r="S65" s="17"/>
      <c r="T65" s="17"/>
      <c r="U65" s="17"/>
      <c r="V65" s="17"/>
      <c r="W65" s="17"/>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0" customFormat="1">
      <c r="A66" s="17"/>
      <c r="B66" s="17"/>
      <c r="C66" s="17"/>
      <c r="D66" s="17"/>
      <c r="E66" s="17"/>
      <c r="F66" s="17"/>
      <c r="G66" s="17"/>
      <c r="H66" s="17"/>
      <c r="I66" s="17"/>
      <c r="J66" s="17"/>
      <c r="K66" s="17"/>
      <c r="L66" s="17"/>
      <c r="M66" s="17"/>
      <c r="N66" s="17"/>
      <c r="O66" s="17"/>
      <c r="P66" s="17"/>
      <c r="Q66" s="17"/>
      <c r="R66" s="17"/>
      <c r="S66" s="17"/>
      <c r="T66" s="17"/>
      <c r="U66" s="17"/>
      <c r="V66" s="17"/>
      <c r="W66" s="17"/>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0" customFormat="1" ht="14.4" customHeight="1">
      <c r="A67" s="17"/>
      <c r="B67" s="17"/>
      <c r="C67" s="17"/>
      <c r="D67" s="17"/>
      <c r="E67" s="17"/>
      <c r="F67" s="17"/>
      <c r="G67" s="17"/>
      <c r="H67" s="17"/>
      <c r="I67" s="17"/>
      <c r="J67" s="17"/>
      <c r="K67" s="17"/>
      <c r="L67" s="17"/>
      <c r="M67" s="17"/>
      <c r="N67" s="17"/>
      <c r="O67" s="17"/>
      <c r="P67" s="17"/>
      <c r="Q67" s="17"/>
      <c r="R67" s="17"/>
      <c r="S67" s="17"/>
      <c r="T67" s="17"/>
      <c r="U67" s="17"/>
      <c r="V67" s="17"/>
      <c r="W67" s="1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0" customFormat="1">
      <c r="A68" s="17"/>
      <c r="B68" s="17"/>
      <c r="C68" s="17"/>
      <c r="D68" s="17"/>
      <c r="E68" s="17"/>
      <c r="F68" s="17"/>
      <c r="G68" s="17"/>
      <c r="H68" s="17"/>
      <c r="I68" s="17"/>
      <c r="J68" s="17"/>
      <c r="K68" s="17"/>
      <c r="L68" s="17"/>
      <c r="M68" s="17"/>
      <c r="N68" s="17"/>
      <c r="O68" s="17"/>
      <c r="P68" s="17"/>
      <c r="Q68" s="17"/>
      <c r="R68" s="17"/>
      <c r="S68" s="17"/>
      <c r="T68" s="17"/>
      <c r="U68" s="17"/>
      <c r="V68" s="17"/>
      <c r="W68" s="17"/>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0" customFormat="1">
      <c r="A69" s="17"/>
      <c r="B69" s="17"/>
      <c r="C69" s="17"/>
      <c r="D69" s="17"/>
      <c r="E69" s="17"/>
      <c r="F69" s="17"/>
      <c r="G69" s="17"/>
      <c r="H69" s="17"/>
      <c r="I69" s="17"/>
      <c r="J69" s="17"/>
      <c r="K69" s="17"/>
      <c r="L69" s="17"/>
      <c r="M69" s="17"/>
      <c r="N69" s="17"/>
      <c r="O69" s="17"/>
      <c r="P69" s="17"/>
      <c r="Q69" s="17"/>
      <c r="R69" s="17"/>
      <c r="S69" s="17"/>
      <c r="T69" s="17"/>
      <c r="U69" s="17"/>
      <c r="V69" s="17"/>
      <c r="W69" s="17"/>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0" customFormat="1">
      <c r="A70" s="17"/>
      <c r="B70" s="17"/>
      <c r="C70" s="17"/>
      <c r="D70" s="17"/>
      <c r="E70" s="17"/>
      <c r="F70" s="17"/>
      <c r="G70" s="17"/>
      <c r="H70" s="17"/>
      <c r="I70" s="17"/>
      <c r="J70" s="17"/>
      <c r="K70" s="17"/>
      <c r="L70" s="17"/>
      <c r="M70" s="17"/>
      <c r="N70" s="17"/>
      <c r="O70" s="17"/>
      <c r="P70" s="17"/>
      <c r="Q70" s="17"/>
      <c r="R70" s="17"/>
      <c r="S70" s="17"/>
      <c r="T70" s="17"/>
      <c r="U70" s="17"/>
      <c r="V70" s="17"/>
      <c r="W70" s="17"/>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0" customFormat="1">
      <c r="A71" s="17"/>
      <c r="B71" s="17"/>
      <c r="C71" s="17"/>
      <c r="D71" s="17"/>
      <c r="E71" s="17"/>
      <c r="F71" s="17"/>
      <c r="G71" s="17"/>
      <c r="H71" s="17"/>
      <c r="I71" s="17"/>
      <c r="J71" s="17"/>
      <c r="K71" s="17"/>
      <c r="L71" s="17"/>
      <c r="M71" s="17"/>
      <c r="N71" s="17"/>
      <c r="O71" s="17"/>
      <c r="P71" s="17"/>
      <c r="Q71" s="17"/>
      <c r="R71" s="17"/>
      <c r="S71" s="17"/>
      <c r="T71" s="17"/>
      <c r="U71" s="17"/>
      <c r="V71" s="17"/>
      <c r="W71" s="17"/>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0" customFormat="1">
      <c r="A72" s="17"/>
      <c r="B72" s="17"/>
      <c r="C72" s="17"/>
      <c r="D72" s="17"/>
      <c r="E72" s="17"/>
      <c r="F72" s="17"/>
      <c r="G72" s="17"/>
      <c r="H72" s="17"/>
      <c r="I72" s="17"/>
      <c r="J72" s="17"/>
      <c r="K72" s="17"/>
      <c r="L72" s="17"/>
      <c r="M72" s="17"/>
      <c r="N72" s="17"/>
      <c r="O72" s="17"/>
      <c r="P72" s="17"/>
      <c r="Q72" s="17"/>
      <c r="R72" s="17"/>
      <c r="S72" s="17"/>
      <c r="T72" s="17"/>
      <c r="U72" s="17"/>
      <c r="V72" s="17"/>
      <c r="W72" s="17"/>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0" customFormat="1">
      <c r="A73" s="17"/>
      <c r="B73" s="17"/>
      <c r="C73" s="17"/>
      <c r="D73" s="17"/>
      <c r="E73" s="17"/>
      <c r="F73" s="17"/>
      <c r="G73" s="17"/>
      <c r="H73" s="17"/>
      <c r="I73" s="17"/>
      <c r="J73" s="17"/>
      <c r="K73" s="17"/>
      <c r="L73" s="17"/>
      <c r="M73" s="17"/>
      <c r="N73" s="17"/>
      <c r="O73" s="17"/>
      <c r="P73" s="17"/>
      <c r="Q73" s="17"/>
      <c r="R73" s="17"/>
      <c r="S73" s="17"/>
      <c r="T73" s="17"/>
      <c r="U73" s="17"/>
      <c r="V73" s="17"/>
      <c r="W73" s="17"/>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0" customFormat="1" ht="14.4" customHeight="1">
      <c r="A74" s="17"/>
      <c r="B74" s="17"/>
      <c r="C74" s="17"/>
      <c r="D74" s="17"/>
      <c r="E74" s="17"/>
      <c r="F74" s="17"/>
      <c r="G74" s="17"/>
      <c r="H74" s="17"/>
      <c r="I74" s="17"/>
      <c r="J74" s="17"/>
      <c r="K74" s="17"/>
      <c r="L74" s="17"/>
      <c r="M74" s="17"/>
      <c r="N74" s="17"/>
      <c r="O74" s="17"/>
      <c r="P74" s="17"/>
      <c r="Q74" s="17"/>
      <c r="R74" s="17"/>
      <c r="S74" s="17"/>
      <c r="T74" s="17"/>
      <c r="U74" s="17"/>
      <c r="V74" s="17"/>
      <c r="W74" s="17"/>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0" customFormat="1" ht="14.4" customHeight="1">
      <c r="A75" s="17"/>
      <c r="B75" s="17"/>
      <c r="C75" s="17"/>
      <c r="D75" s="17"/>
      <c r="E75" s="17"/>
      <c r="F75" s="17"/>
      <c r="G75" s="17"/>
      <c r="H75" s="17"/>
      <c r="I75" s="17"/>
      <c r="J75" s="17"/>
      <c r="K75" s="17"/>
      <c r="L75" s="17"/>
      <c r="M75" s="17"/>
      <c r="N75" s="17"/>
      <c r="O75" s="17"/>
      <c r="P75" s="17"/>
      <c r="Q75" s="17"/>
      <c r="R75" s="17"/>
      <c r="S75" s="17"/>
      <c r="T75" s="17"/>
      <c r="U75" s="17"/>
      <c r="V75" s="17"/>
      <c r="W75" s="17"/>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0" customFormat="1">
      <c r="A76" s="17"/>
      <c r="B76" s="17"/>
      <c r="C76" s="17"/>
      <c r="D76" s="17"/>
      <c r="E76" s="17"/>
      <c r="F76" s="17"/>
      <c r="G76" s="17"/>
      <c r="H76" s="17"/>
      <c r="I76" s="17"/>
      <c r="J76" s="17"/>
      <c r="K76" s="17"/>
      <c r="L76" s="17"/>
      <c r="M76" s="17"/>
      <c r="N76" s="17"/>
      <c r="O76" s="17"/>
      <c r="P76" s="17"/>
      <c r="Q76" s="17"/>
      <c r="R76" s="17"/>
      <c r="S76" s="17"/>
      <c r="T76" s="17"/>
      <c r="U76" s="17"/>
      <c r="V76" s="17"/>
      <c r="W76" s="17"/>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0" customFormat="1">
      <c r="A77" s="17"/>
      <c r="B77" s="17"/>
      <c r="C77" s="17"/>
      <c r="D77" s="17"/>
      <c r="E77" s="17"/>
      <c r="F77" s="17"/>
      <c r="G77" s="17"/>
      <c r="H77" s="17"/>
      <c r="I77" s="17"/>
      <c r="J77" s="17"/>
      <c r="K77" s="17"/>
      <c r="L77" s="17"/>
      <c r="M77" s="17"/>
      <c r="N77" s="17"/>
      <c r="O77" s="17"/>
      <c r="P77" s="17"/>
      <c r="Q77" s="17"/>
      <c r="R77" s="17"/>
      <c r="S77" s="17"/>
      <c r="T77" s="17"/>
      <c r="U77" s="17"/>
      <c r="V77" s="17"/>
      <c r="W77" s="1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0" customFormat="1">
      <c r="A78" s="17"/>
      <c r="B78" s="17"/>
      <c r="C78" s="17"/>
      <c r="D78" s="17"/>
      <c r="E78" s="17"/>
      <c r="F78" s="17"/>
      <c r="G78" s="17"/>
      <c r="H78" s="17"/>
      <c r="I78" s="17"/>
      <c r="J78" s="17"/>
      <c r="K78" s="17"/>
      <c r="L78" s="17"/>
      <c r="M78" s="17"/>
      <c r="N78" s="17"/>
      <c r="O78" s="17"/>
      <c r="P78" s="17"/>
      <c r="Q78" s="17"/>
      <c r="R78" s="17"/>
      <c r="S78" s="17"/>
      <c r="T78" s="17"/>
      <c r="U78" s="17"/>
      <c r="V78" s="17"/>
      <c r="W78" s="17"/>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0" customFormat="1">
      <c r="A79" s="17"/>
      <c r="B79" s="17"/>
      <c r="C79" s="17"/>
      <c r="D79" s="17"/>
      <c r="E79" s="17"/>
      <c r="F79" s="17"/>
      <c r="G79" s="17"/>
      <c r="H79" s="17"/>
      <c r="I79" s="17"/>
      <c r="J79" s="17"/>
      <c r="K79" s="17"/>
      <c r="L79" s="17"/>
      <c r="M79" s="17"/>
      <c r="N79" s="17"/>
      <c r="O79" s="17"/>
      <c r="P79" s="17"/>
      <c r="Q79" s="17"/>
      <c r="R79" s="17"/>
      <c r="S79" s="17"/>
      <c r="T79" s="17"/>
      <c r="U79" s="17"/>
      <c r="V79" s="17"/>
      <c r="W79" s="17"/>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c r="A80" s="17"/>
      <c r="B80" s="17"/>
      <c r="C80" s="17"/>
      <c r="D80" s="17"/>
      <c r="E80" s="17"/>
      <c r="F80" s="17"/>
      <c r="G80" s="17"/>
      <c r="H80" s="17"/>
      <c r="I80" s="17"/>
      <c r="J80" s="17"/>
      <c r="K80" s="17"/>
      <c r="L80" s="17"/>
      <c r="M80" s="17"/>
      <c r="N80" s="17"/>
      <c r="O80" s="17"/>
      <c r="P80" s="17"/>
      <c r="Q80" s="17"/>
      <c r="R80" s="17"/>
      <c r="S80" s="17"/>
      <c r="T80" s="17"/>
      <c r="U80" s="17"/>
      <c r="V80" s="17"/>
      <c r="W80" s="17"/>
    </row>
    <row r="81" spans="1:91">
      <c r="A81" s="17"/>
      <c r="B81" s="17"/>
      <c r="C81" s="17"/>
      <c r="D81" s="17"/>
      <c r="E81" s="17"/>
      <c r="F81" s="17"/>
      <c r="G81" s="17"/>
      <c r="H81" s="17"/>
      <c r="I81" s="17"/>
      <c r="J81" s="17"/>
      <c r="K81" s="17"/>
      <c r="L81" s="17"/>
      <c r="M81" s="17"/>
      <c r="N81" s="17"/>
      <c r="O81" s="17"/>
      <c r="P81" s="17"/>
      <c r="Q81" s="17"/>
      <c r="R81" s="17"/>
      <c r="S81" s="17"/>
      <c r="T81" s="17"/>
      <c r="U81" s="17"/>
      <c r="V81" s="17"/>
      <c r="W81" s="17"/>
    </row>
    <row r="82" spans="1:91" s="10" customFormat="1" ht="14.4" customHeight="1">
      <c r="A82" s="17"/>
      <c r="B82" s="17"/>
      <c r="C82" s="17"/>
      <c r="D82" s="17"/>
      <c r="E82" s="17"/>
      <c r="F82" s="17"/>
      <c r="G82" s="17"/>
      <c r="H82" s="17"/>
      <c r="I82" s="17"/>
      <c r="J82" s="17"/>
      <c r="K82" s="17"/>
      <c r="L82" s="17"/>
      <c r="M82" s="17"/>
      <c r="N82" s="17"/>
      <c r="O82" s="17"/>
      <c r="P82" s="17"/>
      <c r="Q82" s="17"/>
      <c r="R82" s="17"/>
      <c r="S82" s="17"/>
      <c r="T82" s="17"/>
      <c r="U82" s="17"/>
      <c r="V82" s="17"/>
      <c r="W82" s="17"/>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0" customFormat="1" ht="14.4" customHeight="1">
      <c r="A83" s="17"/>
      <c r="B83" s="17"/>
      <c r="C83" s="17"/>
      <c r="D83" s="17"/>
      <c r="E83" s="17"/>
      <c r="F83" s="17"/>
      <c r="G83" s="17"/>
      <c r="H83" s="17"/>
      <c r="I83" s="17"/>
      <c r="J83" s="17"/>
      <c r="K83" s="17"/>
      <c r="L83" s="17"/>
      <c r="M83" s="17"/>
      <c r="N83" s="17"/>
      <c r="O83" s="17"/>
      <c r="P83" s="17"/>
      <c r="Q83" s="17"/>
      <c r="R83" s="17"/>
      <c r="S83" s="17"/>
      <c r="T83" s="17"/>
      <c r="U83" s="17"/>
      <c r="V83" s="17"/>
      <c r="W83" s="17"/>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row>
    <row r="84" spans="1:91" s="10" customFormat="1">
      <c r="A84" s="17"/>
      <c r="B84" s="17"/>
      <c r="C84" s="17"/>
      <c r="D84" s="17"/>
      <c r="E84" s="17"/>
      <c r="F84" s="17"/>
      <c r="G84" s="17"/>
      <c r="H84" s="17"/>
      <c r="I84" s="17"/>
      <c r="J84" s="17"/>
      <c r="K84" s="17"/>
      <c r="L84" s="17"/>
      <c r="M84" s="17"/>
      <c r="N84" s="17"/>
      <c r="O84" s="17"/>
      <c r="P84" s="17"/>
      <c r="Q84" s="17"/>
      <c r="R84" s="17"/>
      <c r="S84" s="17"/>
      <c r="T84" s="17"/>
      <c r="U84" s="17"/>
      <c r="V84" s="17"/>
      <c r="W84" s="17"/>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row>
    <row r="85" spans="1:91" s="10" customFormat="1">
      <c r="A85" s="17"/>
      <c r="B85" s="17"/>
      <c r="C85" s="17"/>
      <c r="D85" s="17"/>
      <c r="E85" s="17"/>
      <c r="F85" s="17"/>
      <c r="G85" s="17"/>
      <c r="H85" s="17"/>
      <c r="I85" s="17"/>
      <c r="J85" s="17"/>
      <c r="K85" s="17"/>
      <c r="L85" s="17"/>
      <c r="M85" s="17"/>
      <c r="N85" s="17"/>
      <c r="O85" s="17"/>
      <c r="P85" s="17"/>
      <c r="Q85" s="17"/>
      <c r="R85" s="17"/>
      <c r="S85" s="17"/>
      <c r="T85" s="17"/>
      <c r="U85" s="17"/>
      <c r="V85" s="17"/>
      <c r="W85" s="17"/>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row>
    <row r="86" spans="1:91" s="10" customFormat="1">
      <c r="A86" s="17"/>
      <c r="B86" s="17"/>
      <c r="C86" s="17"/>
      <c r="D86" s="17"/>
      <c r="E86" s="17"/>
      <c r="F86" s="17"/>
      <c r="G86" s="17"/>
      <c r="H86" s="17"/>
      <c r="I86" s="17"/>
      <c r="J86" s="17"/>
      <c r="K86" s="17"/>
      <c r="L86" s="17"/>
      <c r="M86" s="17"/>
      <c r="N86" s="17"/>
      <c r="O86" s="17"/>
      <c r="P86" s="17"/>
      <c r="Q86" s="17"/>
      <c r="R86" s="17"/>
      <c r="S86" s="17"/>
      <c r="T86" s="17"/>
      <c r="U86" s="17"/>
      <c r="V86" s="17"/>
      <c r="W86" s="17"/>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row>
    <row r="87" spans="1:91" s="10" customFormat="1">
      <c r="A87" s="17"/>
      <c r="B87" s="17"/>
      <c r="C87" s="17"/>
      <c r="D87" s="17"/>
      <c r="E87" s="17"/>
      <c r="F87" s="17"/>
      <c r="G87" s="17"/>
      <c r="H87" s="17"/>
      <c r="I87" s="17"/>
      <c r="J87" s="17"/>
      <c r="K87" s="17"/>
      <c r="L87" s="17"/>
      <c r="M87" s="17"/>
      <c r="N87" s="17"/>
      <c r="O87" s="17"/>
      <c r="P87" s="17"/>
      <c r="Q87" s="17"/>
      <c r="R87" s="17"/>
      <c r="S87" s="17"/>
      <c r="T87" s="17"/>
      <c r="U87" s="17"/>
      <c r="V87" s="17"/>
      <c r="W87" s="17"/>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row>
    <row r="88" spans="1:91">
      <c r="A88" s="17"/>
      <c r="B88" s="17"/>
      <c r="C88" s="17"/>
      <c r="D88" s="17"/>
      <c r="E88" s="17"/>
      <c r="F88" s="17"/>
      <c r="G88" s="17"/>
      <c r="H88" s="17"/>
      <c r="I88" s="17"/>
      <c r="J88" s="17"/>
      <c r="K88" s="17"/>
      <c r="L88" s="17"/>
      <c r="M88" s="17"/>
      <c r="N88" s="17"/>
      <c r="O88" s="17"/>
      <c r="P88" s="17"/>
      <c r="Q88" s="17"/>
      <c r="R88" s="17"/>
      <c r="S88" s="17"/>
      <c r="T88" s="17"/>
      <c r="U88" s="17"/>
      <c r="V88" s="17"/>
      <c r="W88" s="17"/>
    </row>
    <row r="89" spans="1:91" s="10" customFormat="1" ht="14.4" customHeight="1">
      <c r="A89" s="17"/>
      <c r="B89" s="17"/>
      <c r="C89" s="17"/>
      <c r="D89" s="17"/>
      <c r="E89" s="17"/>
      <c r="F89" s="17"/>
      <c r="G89" s="17"/>
      <c r="H89" s="17"/>
      <c r="I89" s="17"/>
      <c r="J89" s="17"/>
      <c r="K89" s="17"/>
      <c r="L89" s="17"/>
      <c r="M89" s="17"/>
      <c r="N89" s="17"/>
      <c r="O89" s="17"/>
      <c r="P89" s="17"/>
      <c r="Q89" s="17"/>
      <c r="R89" s="17"/>
      <c r="S89" s="17"/>
      <c r="T89" s="17"/>
      <c r="U89" s="17"/>
      <c r="V89" s="17"/>
      <c r="W89" s="17"/>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row>
    <row r="90" spans="1:91" s="10" customFormat="1" ht="14.4" customHeight="1">
      <c r="A90" s="17"/>
      <c r="B90" s="17"/>
      <c r="C90" s="17"/>
      <c r="D90" s="17"/>
      <c r="E90" s="17"/>
      <c r="F90" s="17"/>
      <c r="G90" s="17"/>
      <c r="H90" s="17"/>
      <c r="I90" s="17"/>
      <c r="J90" s="17"/>
      <c r="K90" s="17"/>
      <c r="L90" s="17"/>
      <c r="M90" s="17"/>
      <c r="N90" s="17"/>
      <c r="O90" s="17"/>
      <c r="P90" s="17"/>
      <c r="Q90" s="17"/>
      <c r="R90" s="17"/>
      <c r="S90" s="17"/>
      <c r="T90" s="17"/>
      <c r="U90" s="17"/>
      <c r="V90" s="17"/>
      <c r="W90" s="17"/>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row>
    <row r="91" spans="1:91" s="10" customFormat="1">
      <c r="A91" s="17"/>
      <c r="B91" s="17"/>
      <c r="C91" s="17"/>
      <c r="D91" s="17"/>
      <c r="E91" s="17"/>
      <c r="F91" s="17"/>
      <c r="G91" s="17"/>
      <c r="H91" s="17"/>
      <c r="I91" s="17"/>
      <c r="J91" s="17"/>
      <c r="K91" s="17"/>
      <c r="L91" s="17"/>
      <c r="M91" s="17"/>
      <c r="N91" s="17"/>
      <c r="O91" s="17"/>
      <c r="P91" s="17"/>
      <c r="Q91" s="17"/>
      <c r="R91" s="17"/>
      <c r="S91" s="17"/>
      <c r="T91" s="17"/>
      <c r="U91" s="17"/>
      <c r="V91" s="17"/>
      <c r="W91" s="17"/>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row>
    <row r="92" spans="1:91" s="10" customFormat="1">
      <c r="A92" s="17"/>
      <c r="B92" s="17"/>
      <c r="C92" s="17"/>
      <c r="D92" s="17"/>
      <c r="E92" s="17"/>
      <c r="F92" s="17"/>
      <c r="G92" s="17"/>
      <c r="H92" s="17"/>
      <c r="I92" s="17"/>
      <c r="J92" s="17"/>
      <c r="K92" s="17"/>
      <c r="L92" s="17"/>
      <c r="M92" s="17"/>
      <c r="N92" s="17"/>
      <c r="O92" s="17"/>
      <c r="P92" s="17"/>
      <c r="Q92" s="17"/>
      <c r="R92" s="17"/>
      <c r="S92" s="17"/>
      <c r="T92" s="17"/>
      <c r="U92" s="17"/>
      <c r="V92" s="17"/>
      <c r="W92" s="17"/>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row>
    <row r="93" spans="1:91" s="10" customFormat="1">
      <c r="A93" s="17"/>
      <c r="B93" s="17"/>
      <c r="C93" s="17"/>
      <c r="D93" s="17"/>
      <c r="E93" s="17"/>
      <c r="F93" s="17"/>
      <c r="G93" s="17"/>
      <c r="H93" s="17"/>
      <c r="I93" s="17"/>
      <c r="J93" s="17"/>
      <c r="K93" s="17"/>
      <c r="L93" s="17"/>
      <c r="M93" s="17"/>
      <c r="N93" s="17"/>
      <c r="O93" s="17"/>
      <c r="P93" s="17"/>
      <c r="Q93" s="17"/>
      <c r="R93" s="17"/>
      <c r="S93" s="17"/>
      <c r="T93" s="17"/>
      <c r="U93" s="17"/>
      <c r="V93" s="17"/>
      <c r="W93" s="17"/>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row>
    <row r="94" spans="1:91" s="10" customFormat="1">
      <c r="A94" s="17"/>
      <c r="B94" s="17"/>
      <c r="C94" s="17"/>
      <c r="D94" s="17"/>
      <c r="E94" s="17"/>
      <c r="F94" s="17"/>
      <c r="G94" s="17"/>
      <c r="H94" s="17"/>
      <c r="I94" s="17"/>
      <c r="J94" s="17"/>
      <c r="K94" s="17"/>
      <c r="L94" s="17"/>
      <c r="M94" s="17"/>
      <c r="N94" s="17"/>
      <c r="O94" s="17"/>
      <c r="P94" s="17"/>
      <c r="Q94" s="17"/>
      <c r="R94" s="17"/>
      <c r="S94" s="17"/>
      <c r="T94" s="17"/>
      <c r="U94" s="17"/>
      <c r="V94" s="17"/>
      <c r="W94" s="17"/>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row>
    <row r="95" spans="1:91">
      <c r="A95" s="17"/>
      <c r="B95" s="17"/>
      <c r="C95" s="17"/>
      <c r="D95" s="17"/>
      <c r="E95" s="17"/>
      <c r="F95" s="17"/>
      <c r="G95" s="17"/>
      <c r="H95" s="17"/>
      <c r="I95" s="17"/>
      <c r="J95" s="17"/>
      <c r="K95" s="17"/>
      <c r="L95" s="17"/>
      <c r="M95" s="17"/>
      <c r="N95" s="17"/>
      <c r="O95" s="17"/>
      <c r="P95" s="17"/>
      <c r="Q95" s="17"/>
      <c r="R95" s="17"/>
      <c r="S95" s="17"/>
      <c r="T95" s="17"/>
      <c r="U95" s="17"/>
      <c r="V95" s="17"/>
      <c r="W95" s="17"/>
    </row>
    <row r="96" spans="1:91">
      <c r="A96" s="17"/>
      <c r="B96" s="17"/>
      <c r="C96" s="17"/>
      <c r="D96" s="17"/>
      <c r="E96" s="17"/>
      <c r="F96" s="17"/>
      <c r="G96" s="17"/>
      <c r="H96" s="17"/>
      <c r="I96" s="17"/>
      <c r="J96" s="17"/>
      <c r="K96" s="17"/>
      <c r="L96" s="17"/>
      <c r="M96" s="17"/>
      <c r="N96" s="17"/>
      <c r="O96" s="17"/>
      <c r="P96" s="17"/>
      <c r="Q96" s="17"/>
      <c r="R96" s="17"/>
      <c r="S96" s="17"/>
      <c r="T96" s="17"/>
      <c r="U96" s="17"/>
      <c r="V96" s="17"/>
      <c r="W96" s="17"/>
    </row>
    <row r="97" spans="1:91">
      <c r="A97" s="17"/>
      <c r="B97" s="17"/>
      <c r="C97" s="17"/>
      <c r="D97" s="17"/>
      <c r="E97" s="17"/>
      <c r="F97" s="17"/>
      <c r="G97" s="17"/>
      <c r="H97" s="17"/>
      <c r="I97" s="17"/>
      <c r="J97" s="17"/>
      <c r="K97" s="17"/>
      <c r="L97" s="17"/>
      <c r="M97" s="17"/>
      <c r="N97" s="17"/>
      <c r="O97" s="17"/>
      <c r="P97" s="17"/>
      <c r="Q97" s="17"/>
      <c r="R97" s="17"/>
      <c r="S97" s="17"/>
      <c r="T97" s="17"/>
      <c r="U97" s="17"/>
      <c r="V97" s="17"/>
      <c r="W97" s="17"/>
    </row>
    <row r="98" spans="1:91">
      <c r="A98" s="17"/>
      <c r="B98" s="17"/>
      <c r="C98" s="17"/>
      <c r="D98" s="17"/>
      <c r="E98" s="17"/>
      <c r="F98" s="17"/>
      <c r="G98" s="17"/>
      <c r="H98" s="17"/>
      <c r="I98" s="17"/>
      <c r="J98" s="17"/>
      <c r="K98" s="17"/>
      <c r="L98" s="17"/>
      <c r="M98" s="17"/>
      <c r="N98" s="17"/>
      <c r="O98" s="17"/>
      <c r="P98" s="17"/>
      <c r="Q98" s="17"/>
      <c r="R98" s="17"/>
      <c r="S98" s="17"/>
      <c r="T98" s="17"/>
      <c r="U98" s="17"/>
      <c r="V98" s="17"/>
      <c r="W98" s="17"/>
    </row>
    <row r="99" spans="1:91">
      <c r="A99" s="17"/>
      <c r="B99" s="17"/>
      <c r="C99" s="17"/>
      <c r="D99" s="17"/>
      <c r="E99" s="17"/>
      <c r="F99" s="17"/>
      <c r="G99" s="17"/>
      <c r="H99" s="17"/>
      <c r="I99" s="17"/>
      <c r="J99" s="17"/>
      <c r="K99" s="17"/>
      <c r="L99" s="17"/>
      <c r="M99" s="17"/>
      <c r="N99" s="17"/>
      <c r="O99" s="17"/>
      <c r="P99" s="17"/>
      <c r="Q99" s="17"/>
      <c r="R99" s="17"/>
      <c r="S99" s="17"/>
      <c r="T99" s="17"/>
      <c r="U99" s="17"/>
      <c r="V99" s="17"/>
      <c r="W99" s="17"/>
    </row>
    <row r="100" spans="1:91">
      <c r="A100" s="17"/>
      <c r="B100" s="17"/>
      <c r="C100" s="17"/>
      <c r="D100" s="17"/>
      <c r="E100" s="17"/>
      <c r="F100" s="17"/>
      <c r="G100" s="17"/>
      <c r="H100" s="17"/>
      <c r="I100" s="17"/>
      <c r="J100" s="17"/>
      <c r="K100" s="17"/>
      <c r="L100" s="17"/>
      <c r="M100" s="17"/>
      <c r="N100" s="17"/>
      <c r="O100" s="17"/>
      <c r="P100" s="17"/>
      <c r="Q100" s="17"/>
      <c r="R100" s="17"/>
      <c r="S100" s="17"/>
      <c r="T100" s="17"/>
      <c r="U100" s="17"/>
      <c r="V100" s="17"/>
      <c r="W100" s="17"/>
    </row>
    <row r="101" spans="1:9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15"/>
      <c r="CB101" s="15"/>
      <c r="CC101" s="15"/>
      <c r="CD101" s="15"/>
      <c r="CE101" s="15"/>
      <c r="CF101" s="15"/>
      <c r="CG101" s="15"/>
      <c r="CH101" s="15"/>
      <c r="CI101" s="15"/>
      <c r="CJ101" s="15"/>
      <c r="CK101" s="15"/>
      <c r="CL101" s="15"/>
      <c r="CM101" s="15"/>
    </row>
    <row r="102" spans="1:9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row>
    <row r="103" spans="1:91" ht="1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c r="CL103" s="15"/>
      <c r="CM103" s="15"/>
    </row>
    <row r="104" spans="1:91">
      <c r="A104" s="17"/>
      <c r="B104" s="17"/>
      <c r="C104" s="17"/>
      <c r="D104" s="17"/>
      <c r="E104" s="17"/>
      <c r="F104" s="17"/>
      <c r="G104" s="17"/>
      <c r="H104" s="17"/>
      <c r="I104" s="17"/>
      <c r="J104" s="17"/>
      <c r="K104" s="17"/>
      <c r="L104" s="17"/>
      <c r="M104" s="17"/>
      <c r="N104" s="17"/>
      <c r="O104" s="17"/>
      <c r="P104" s="17"/>
      <c r="Q104" s="17"/>
      <c r="R104" s="17"/>
      <c r="S104" s="17"/>
      <c r="T104" s="17"/>
      <c r="U104" s="17"/>
      <c r="V104" s="17"/>
      <c r="W104" s="17"/>
    </row>
    <row r="105" spans="1:91">
      <c r="A105" s="17"/>
      <c r="B105" s="17"/>
      <c r="C105" s="17"/>
      <c r="D105" s="17"/>
      <c r="E105" s="17"/>
      <c r="F105" s="17"/>
      <c r="G105" s="17"/>
      <c r="H105" s="17"/>
      <c r="I105" s="17"/>
      <c r="J105" s="17"/>
      <c r="K105" s="17"/>
      <c r="L105" s="17"/>
      <c r="M105" s="17"/>
      <c r="N105" s="17"/>
      <c r="O105" s="17"/>
      <c r="P105" s="17"/>
      <c r="Q105" s="17"/>
      <c r="R105" s="17"/>
      <c r="S105" s="17"/>
      <c r="T105" s="17"/>
      <c r="U105" s="17"/>
      <c r="V105" s="17"/>
      <c r="W105" s="17"/>
    </row>
    <row r="106" spans="1:91">
      <c r="A106" s="17"/>
      <c r="B106" s="17"/>
      <c r="C106" s="17"/>
      <c r="D106" s="17"/>
      <c r="E106" s="17"/>
      <c r="F106" s="17"/>
      <c r="G106" s="17"/>
      <c r="H106" s="17"/>
      <c r="I106" s="17"/>
      <c r="J106" s="17"/>
      <c r="K106" s="17"/>
      <c r="L106" s="17"/>
      <c r="M106" s="17"/>
      <c r="N106" s="17"/>
      <c r="O106" s="17"/>
      <c r="P106" s="17"/>
      <c r="Q106" s="17"/>
      <c r="R106" s="17"/>
      <c r="S106" s="17"/>
      <c r="T106" s="17"/>
      <c r="U106" s="17"/>
      <c r="V106" s="17"/>
      <c r="W106" s="17"/>
    </row>
    <row r="107" spans="1:91">
      <c r="A107" s="17"/>
      <c r="B107" s="17"/>
      <c r="C107" s="17"/>
      <c r="D107" s="17"/>
      <c r="E107" s="17"/>
      <c r="F107" s="17"/>
      <c r="G107" s="17"/>
      <c r="H107" s="17"/>
      <c r="I107" s="17"/>
      <c r="J107" s="17"/>
      <c r="K107" s="17"/>
      <c r="L107" s="17"/>
      <c r="M107" s="17"/>
      <c r="N107" s="17"/>
      <c r="O107" s="17"/>
      <c r="P107" s="17"/>
      <c r="Q107" s="17"/>
      <c r="R107" s="17"/>
      <c r="S107" s="17"/>
      <c r="T107" s="17"/>
      <c r="U107" s="17"/>
      <c r="V107" s="17"/>
      <c r="W107" s="17"/>
    </row>
    <row r="108" spans="1:91">
      <c r="A108" s="17"/>
      <c r="B108" s="17"/>
      <c r="C108" s="17"/>
      <c r="D108" s="17"/>
      <c r="E108" s="17"/>
      <c r="F108" s="17"/>
      <c r="G108" s="17"/>
      <c r="H108" s="17"/>
      <c r="I108" s="17"/>
      <c r="J108" s="17"/>
      <c r="K108" s="17"/>
      <c r="L108" s="17"/>
      <c r="M108" s="17"/>
      <c r="N108" s="17"/>
      <c r="O108" s="17"/>
      <c r="P108" s="17"/>
      <c r="Q108" s="17"/>
      <c r="R108" s="17"/>
      <c r="S108" s="17"/>
      <c r="T108" s="17"/>
      <c r="U108" s="17"/>
      <c r="V108" s="17"/>
      <c r="W108" s="17"/>
    </row>
    <row r="109" spans="1:91">
      <c r="A109" s="17"/>
      <c r="B109" s="17"/>
      <c r="C109" s="17"/>
      <c r="D109" s="17"/>
      <c r="E109" s="17"/>
      <c r="F109" s="17"/>
      <c r="G109" s="17"/>
      <c r="H109" s="17"/>
      <c r="I109" s="17"/>
      <c r="J109" s="17"/>
      <c r="K109" s="17"/>
      <c r="L109" s="17"/>
      <c r="M109" s="17"/>
      <c r="N109" s="17"/>
      <c r="O109" s="17"/>
      <c r="P109" s="17"/>
      <c r="Q109" s="17"/>
      <c r="R109" s="17"/>
      <c r="S109" s="17"/>
      <c r="T109" s="17"/>
      <c r="U109" s="17"/>
      <c r="V109" s="17"/>
      <c r="W109" s="17"/>
    </row>
    <row r="110" spans="1:91">
      <c r="A110" s="17"/>
      <c r="B110" s="17"/>
      <c r="C110" s="17"/>
      <c r="D110" s="17"/>
      <c r="E110" s="17"/>
      <c r="F110" s="17"/>
      <c r="G110" s="17"/>
      <c r="H110" s="17"/>
      <c r="I110" s="17"/>
      <c r="J110" s="17"/>
      <c r="K110" s="17"/>
      <c r="L110" s="17"/>
      <c r="M110" s="17"/>
      <c r="N110" s="17"/>
      <c r="O110" s="17"/>
      <c r="P110" s="17"/>
      <c r="Q110" s="17"/>
      <c r="R110" s="17"/>
      <c r="S110" s="17"/>
      <c r="T110" s="17"/>
      <c r="U110" s="17"/>
      <c r="V110" s="17"/>
      <c r="W110" s="17"/>
    </row>
    <row r="111" spans="1:91">
      <c r="A111" s="17"/>
      <c r="B111" s="17"/>
      <c r="C111" s="17"/>
      <c r="D111" s="17"/>
      <c r="E111" s="17"/>
      <c r="F111" s="17"/>
      <c r="G111" s="17"/>
      <c r="H111" s="17"/>
      <c r="I111" s="17"/>
      <c r="J111" s="17"/>
      <c r="K111" s="17"/>
      <c r="L111" s="17"/>
      <c r="M111" s="17"/>
      <c r="N111" s="17"/>
      <c r="O111" s="17"/>
      <c r="P111" s="17"/>
      <c r="Q111" s="17"/>
      <c r="R111" s="17"/>
      <c r="S111" s="17"/>
      <c r="T111" s="17"/>
      <c r="U111" s="17"/>
      <c r="V111" s="17"/>
      <c r="W111" s="17"/>
    </row>
    <row r="112" spans="1:91">
      <c r="A112" s="17"/>
      <c r="B112" s="17"/>
      <c r="C112" s="17"/>
      <c r="D112" s="17"/>
      <c r="E112" s="17"/>
      <c r="F112" s="17"/>
      <c r="G112" s="17"/>
      <c r="H112" s="17"/>
      <c r="I112" s="17"/>
      <c r="J112" s="17"/>
      <c r="K112" s="17"/>
      <c r="L112" s="17"/>
      <c r="M112" s="17"/>
      <c r="N112" s="17"/>
      <c r="O112" s="17"/>
      <c r="P112" s="17"/>
      <c r="Q112" s="17"/>
      <c r="R112" s="17"/>
      <c r="S112" s="17"/>
      <c r="T112" s="17"/>
      <c r="U112" s="17"/>
      <c r="V112" s="17"/>
      <c r="W112" s="17"/>
    </row>
    <row r="113" spans="1:91">
      <c r="A113" s="17"/>
      <c r="B113" s="17"/>
      <c r="C113" s="17"/>
      <c r="D113" s="17"/>
      <c r="E113" s="17"/>
      <c r="F113" s="17"/>
      <c r="G113" s="17"/>
      <c r="H113" s="17"/>
      <c r="I113" s="17"/>
      <c r="J113" s="17"/>
      <c r="K113" s="17"/>
      <c r="L113" s="17"/>
      <c r="M113" s="17"/>
      <c r="N113" s="17"/>
      <c r="O113" s="17"/>
      <c r="P113" s="17"/>
      <c r="Q113" s="17"/>
      <c r="R113" s="17"/>
      <c r="S113" s="17"/>
      <c r="T113" s="17"/>
      <c r="U113" s="17"/>
      <c r="V113" s="17"/>
      <c r="W113" s="17"/>
    </row>
    <row r="114" spans="1:91">
      <c r="A114" s="17"/>
      <c r="B114" s="17"/>
      <c r="C114" s="17"/>
      <c r="D114" s="17"/>
      <c r="E114" s="17"/>
      <c r="F114" s="17"/>
      <c r="G114" s="17"/>
      <c r="H114" s="17"/>
      <c r="I114" s="17"/>
      <c r="J114" s="17"/>
      <c r="K114" s="17"/>
      <c r="L114" s="17"/>
      <c r="M114" s="17"/>
      <c r="N114" s="17"/>
      <c r="O114" s="17"/>
      <c r="P114" s="17"/>
      <c r="Q114" s="17"/>
      <c r="R114" s="17"/>
      <c r="S114" s="17"/>
      <c r="T114" s="17"/>
      <c r="U114" s="17"/>
      <c r="V114" s="17"/>
      <c r="W114" s="17"/>
    </row>
    <row r="115" spans="1:91">
      <c r="A115" s="17"/>
      <c r="B115" s="17"/>
      <c r="C115" s="17"/>
      <c r="D115" s="17"/>
      <c r="E115" s="17"/>
      <c r="F115" s="17"/>
      <c r="G115" s="17"/>
      <c r="H115" s="17"/>
      <c r="I115" s="17"/>
      <c r="J115" s="17"/>
      <c r="K115" s="17"/>
      <c r="L115" s="17"/>
      <c r="M115" s="17"/>
      <c r="N115" s="17"/>
      <c r="O115" s="17"/>
      <c r="P115" s="17"/>
      <c r="Q115" s="17"/>
      <c r="R115" s="17"/>
      <c r="S115" s="17"/>
      <c r="T115" s="17"/>
      <c r="U115" s="17"/>
      <c r="V115" s="17"/>
      <c r="W115" s="17"/>
    </row>
    <row r="116" spans="1:91">
      <c r="A116" s="17"/>
      <c r="B116" s="17"/>
      <c r="C116" s="17"/>
      <c r="D116" s="17"/>
      <c r="E116" s="17"/>
      <c r="F116" s="17"/>
      <c r="G116" s="17"/>
      <c r="H116" s="17"/>
      <c r="I116" s="17"/>
      <c r="J116" s="17"/>
      <c r="K116" s="17"/>
      <c r="L116" s="17"/>
      <c r="M116" s="17"/>
      <c r="N116" s="17"/>
      <c r="O116" s="17"/>
      <c r="P116" s="17"/>
      <c r="Q116" s="17"/>
      <c r="R116" s="17"/>
      <c r="S116" s="17"/>
      <c r="T116" s="17"/>
      <c r="U116" s="17"/>
      <c r="V116" s="17"/>
      <c r="W116" s="17"/>
    </row>
    <row r="117" spans="1:91">
      <c r="A117" s="17"/>
      <c r="B117" s="17"/>
      <c r="C117" s="17"/>
      <c r="D117" s="17"/>
      <c r="E117" s="17"/>
      <c r="F117" s="17"/>
      <c r="G117" s="17"/>
      <c r="H117" s="17"/>
      <c r="I117" s="17"/>
      <c r="J117" s="17"/>
      <c r="K117" s="17"/>
      <c r="L117" s="17"/>
      <c r="M117" s="17"/>
      <c r="N117" s="17"/>
      <c r="O117" s="17"/>
      <c r="P117" s="17"/>
      <c r="Q117" s="17"/>
      <c r="R117" s="17"/>
      <c r="S117" s="17"/>
      <c r="T117" s="17"/>
      <c r="U117" s="17"/>
      <c r="V117" s="17"/>
      <c r="W117" s="17"/>
    </row>
    <row r="118" spans="1:91">
      <c r="A118" s="17"/>
      <c r="B118" s="17"/>
      <c r="C118" s="17"/>
      <c r="D118" s="17"/>
      <c r="E118" s="17"/>
      <c r="F118" s="17"/>
      <c r="G118" s="17"/>
      <c r="H118" s="17"/>
      <c r="I118" s="17"/>
      <c r="J118" s="17"/>
      <c r="K118" s="17"/>
      <c r="L118" s="17"/>
      <c r="M118" s="17"/>
      <c r="N118" s="17"/>
      <c r="O118" s="17"/>
      <c r="P118" s="17"/>
      <c r="Q118" s="17"/>
      <c r="R118" s="17"/>
      <c r="S118" s="17"/>
      <c r="T118" s="17"/>
      <c r="U118" s="17"/>
      <c r="V118" s="17"/>
      <c r="W118" s="17"/>
    </row>
    <row r="119" spans="1:9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15"/>
      <c r="CB119" s="15"/>
      <c r="CC119" s="15"/>
      <c r="CD119" s="15"/>
      <c r="CE119" s="15"/>
      <c r="CF119" s="15"/>
      <c r="CG119" s="15"/>
      <c r="CH119" s="15"/>
      <c r="CI119" s="15"/>
      <c r="CJ119" s="15"/>
      <c r="CK119" s="15"/>
      <c r="CL119" s="15"/>
      <c r="CM119" s="15"/>
    </row>
    <row r="120" spans="1:91" ht="1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row>
    <row r="121" spans="1:91">
      <c r="A121" s="17"/>
      <c r="B121" s="17"/>
      <c r="C121" s="17"/>
      <c r="D121" s="17"/>
      <c r="E121" s="17"/>
      <c r="F121" s="17"/>
      <c r="G121" s="17"/>
      <c r="H121" s="17"/>
      <c r="I121" s="17"/>
      <c r="J121" s="17"/>
      <c r="K121" s="17"/>
      <c r="L121" s="17"/>
      <c r="M121" s="17"/>
      <c r="N121" s="17"/>
      <c r="O121" s="17"/>
      <c r="P121" s="17"/>
      <c r="Q121" s="17"/>
      <c r="R121" s="17"/>
      <c r="S121" s="17"/>
      <c r="T121" s="17"/>
      <c r="U121" s="17"/>
      <c r="V121" s="17"/>
      <c r="W121" s="17"/>
    </row>
    <row r="122" spans="1:91">
      <c r="A122" s="17"/>
      <c r="B122" s="17"/>
      <c r="C122" s="17"/>
      <c r="D122" s="17"/>
      <c r="E122" s="17"/>
      <c r="F122" s="17"/>
      <c r="G122" s="17"/>
      <c r="H122" s="17"/>
      <c r="I122" s="17"/>
      <c r="J122" s="17"/>
      <c r="K122" s="17"/>
      <c r="L122" s="17"/>
      <c r="M122" s="17"/>
      <c r="N122" s="17"/>
      <c r="O122" s="17"/>
      <c r="P122" s="17"/>
      <c r="Q122" s="17"/>
      <c r="R122" s="17"/>
      <c r="S122" s="17"/>
      <c r="T122" s="17"/>
      <c r="U122" s="17"/>
      <c r="V122" s="17"/>
      <c r="W122" s="17"/>
    </row>
    <row r="123" spans="1:91">
      <c r="A123" s="17"/>
      <c r="B123" s="17"/>
      <c r="C123" s="17"/>
      <c r="D123" s="17"/>
      <c r="E123" s="17"/>
      <c r="F123" s="17"/>
      <c r="G123" s="17"/>
      <c r="H123" s="17"/>
      <c r="I123" s="17"/>
      <c r="J123" s="17"/>
      <c r="K123" s="17"/>
      <c r="L123" s="17"/>
      <c r="M123" s="17"/>
      <c r="N123" s="17"/>
      <c r="O123" s="17"/>
      <c r="P123" s="17"/>
      <c r="Q123" s="17"/>
      <c r="R123" s="17"/>
      <c r="S123" s="17"/>
      <c r="T123" s="17"/>
      <c r="U123" s="17"/>
      <c r="V123" s="17"/>
      <c r="W123" s="17"/>
    </row>
    <row r="124" spans="1:91">
      <c r="A124" s="17"/>
      <c r="B124" s="17"/>
      <c r="C124" s="17"/>
      <c r="D124" s="17"/>
      <c r="E124" s="17"/>
      <c r="F124" s="17"/>
      <c r="G124" s="17"/>
      <c r="H124" s="17"/>
      <c r="I124" s="17"/>
      <c r="J124" s="17"/>
      <c r="K124" s="17"/>
      <c r="L124" s="17"/>
      <c r="M124" s="17"/>
      <c r="N124" s="17"/>
      <c r="O124" s="17"/>
      <c r="P124" s="17"/>
      <c r="Q124" s="17"/>
      <c r="R124" s="17"/>
      <c r="S124" s="17"/>
      <c r="T124" s="17"/>
      <c r="U124" s="17"/>
      <c r="V124" s="17"/>
      <c r="W124" s="17"/>
    </row>
    <row r="125" spans="1:91">
      <c r="A125" s="17"/>
      <c r="B125" s="17"/>
      <c r="C125" s="17"/>
      <c r="D125" s="17"/>
      <c r="E125" s="17"/>
      <c r="F125" s="17"/>
      <c r="G125" s="17"/>
      <c r="H125" s="17"/>
      <c r="I125" s="17"/>
      <c r="J125" s="17"/>
      <c r="K125" s="17"/>
      <c r="L125" s="17"/>
      <c r="M125" s="17"/>
      <c r="N125" s="17"/>
      <c r="O125" s="17"/>
      <c r="P125" s="17"/>
      <c r="Q125" s="17"/>
      <c r="R125" s="17"/>
      <c r="S125" s="17"/>
      <c r="T125" s="17"/>
      <c r="U125" s="17"/>
      <c r="V125" s="17"/>
      <c r="W125" s="17"/>
    </row>
    <row r="126" spans="1:9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15"/>
      <c r="CB126" s="15"/>
      <c r="CC126" s="15"/>
      <c r="CD126" s="15"/>
      <c r="CE126" s="15"/>
      <c r="CF126" s="15"/>
      <c r="CG126" s="15"/>
      <c r="CH126" s="15"/>
      <c r="CI126" s="15"/>
      <c r="CJ126" s="15"/>
      <c r="CK126" s="15"/>
      <c r="CL126" s="15"/>
      <c r="CM126" s="15"/>
    </row>
    <row r="127" spans="1:91" ht="1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15"/>
      <c r="CB127" s="15"/>
      <c r="CC127" s="15"/>
      <c r="CD127" s="15"/>
      <c r="CE127" s="15"/>
      <c r="CF127" s="15"/>
      <c r="CG127" s="15"/>
      <c r="CH127" s="15"/>
      <c r="CI127" s="15"/>
      <c r="CJ127" s="15"/>
      <c r="CK127" s="15"/>
      <c r="CL127" s="15"/>
      <c r="CM127" s="15"/>
    </row>
    <row r="128" spans="1:9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15"/>
      <c r="CB128" s="15"/>
      <c r="CC128" s="15"/>
      <c r="CD128" s="15"/>
      <c r="CE128" s="15"/>
      <c r="CF128" s="15"/>
      <c r="CG128" s="15"/>
      <c r="CH128" s="15"/>
      <c r="CI128" s="15"/>
      <c r="CJ128" s="15"/>
      <c r="CK128" s="15"/>
      <c r="CL128" s="15"/>
      <c r="CM128" s="15"/>
    </row>
    <row r="129" spans="1:91" ht="1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row>
    <row r="130" spans="1:91">
      <c r="A130" s="17"/>
      <c r="B130" s="17"/>
      <c r="C130" s="17"/>
      <c r="D130" s="17"/>
      <c r="E130" s="17"/>
      <c r="F130" s="17"/>
      <c r="G130" s="17"/>
      <c r="H130" s="17"/>
      <c r="I130" s="17"/>
      <c r="J130" s="17"/>
      <c r="K130" s="17"/>
      <c r="L130" s="17"/>
      <c r="M130" s="17"/>
      <c r="N130" s="17"/>
      <c r="O130" s="17"/>
      <c r="P130" s="17"/>
      <c r="Q130" s="17"/>
      <c r="R130" s="17"/>
      <c r="S130" s="17"/>
      <c r="T130" s="17"/>
      <c r="U130" s="17"/>
      <c r="V130" s="17"/>
      <c r="W130" s="17"/>
    </row>
    <row r="131" spans="1:91" ht="1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row>
    <row r="132" spans="1:91" s="17" customFormat="1"/>
    <row r="133" spans="1:91">
      <c r="A133" s="17"/>
      <c r="B133" s="17"/>
      <c r="C133" s="17"/>
      <c r="D133" s="17"/>
      <c r="E133" s="17"/>
      <c r="F133" s="17"/>
      <c r="G133" s="17"/>
      <c r="H133" s="17"/>
      <c r="I133" s="17"/>
      <c r="J133" s="17"/>
      <c r="K133" s="17"/>
      <c r="L133" s="17"/>
      <c r="M133" s="17"/>
      <c r="N133" s="17"/>
      <c r="O133" s="17"/>
      <c r="P133" s="17"/>
      <c r="Q133" s="17"/>
      <c r="R133" s="17"/>
      <c r="S133" s="17"/>
      <c r="T133" s="17"/>
      <c r="U133" s="17"/>
      <c r="V133" s="17"/>
      <c r="W133" s="17"/>
    </row>
    <row r="134" spans="1:91">
      <c r="A134" s="17"/>
      <c r="B134" s="17"/>
      <c r="C134" s="17"/>
      <c r="D134" s="17"/>
      <c r="E134" s="17"/>
      <c r="F134" s="17"/>
      <c r="G134" s="17"/>
      <c r="H134" s="17"/>
      <c r="I134" s="17"/>
      <c r="J134" s="17"/>
      <c r="K134" s="17"/>
      <c r="L134" s="17"/>
      <c r="M134" s="17"/>
      <c r="N134" s="17"/>
      <c r="O134" s="17"/>
      <c r="P134" s="17"/>
      <c r="Q134" s="17"/>
      <c r="R134" s="17"/>
      <c r="S134" s="17"/>
      <c r="T134" s="17"/>
      <c r="U134" s="17"/>
      <c r="V134" s="17"/>
      <c r="W134" s="17"/>
    </row>
    <row r="135" spans="1:91">
      <c r="A135" s="17"/>
      <c r="B135" s="17"/>
      <c r="C135" s="17"/>
      <c r="D135" s="17"/>
      <c r="E135" s="17"/>
      <c r="F135" s="17"/>
      <c r="G135" s="17"/>
      <c r="H135" s="17"/>
      <c r="I135" s="17"/>
      <c r="J135" s="17"/>
      <c r="K135" s="17"/>
      <c r="L135" s="17"/>
      <c r="M135" s="17"/>
      <c r="N135" s="17"/>
      <c r="O135" s="17"/>
      <c r="P135" s="17"/>
      <c r="Q135" s="17"/>
      <c r="R135" s="17"/>
      <c r="S135" s="17"/>
      <c r="T135" s="17"/>
      <c r="U135" s="17"/>
      <c r="V135" s="17"/>
      <c r="W135" s="17"/>
    </row>
    <row r="136" spans="1:91">
      <c r="A136" s="17"/>
      <c r="B136" s="17"/>
      <c r="C136" s="17"/>
      <c r="D136" s="17"/>
      <c r="E136" s="17"/>
      <c r="F136" s="17"/>
      <c r="G136" s="17"/>
      <c r="H136" s="17"/>
      <c r="I136" s="17"/>
      <c r="J136" s="17"/>
      <c r="K136" s="17"/>
      <c r="L136" s="17"/>
      <c r="M136" s="17"/>
      <c r="N136" s="17"/>
      <c r="O136" s="17"/>
      <c r="P136" s="17"/>
      <c r="Q136" s="17"/>
      <c r="R136" s="17"/>
      <c r="S136" s="17"/>
      <c r="T136" s="17"/>
      <c r="U136" s="17"/>
      <c r="V136" s="17"/>
      <c r="W136" s="17"/>
    </row>
    <row r="137" spans="1:91">
      <c r="A137" s="17"/>
      <c r="B137" s="17"/>
      <c r="C137" s="17"/>
      <c r="D137" s="17"/>
      <c r="E137" s="17"/>
      <c r="F137" s="17"/>
      <c r="G137" s="17"/>
      <c r="H137" s="17"/>
      <c r="I137" s="17"/>
      <c r="J137" s="17"/>
      <c r="K137" s="17"/>
      <c r="L137" s="17"/>
      <c r="M137" s="17"/>
      <c r="N137" s="17"/>
      <c r="O137" s="17"/>
      <c r="P137" s="17"/>
      <c r="Q137" s="17"/>
      <c r="R137" s="17"/>
      <c r="S137" s="17"/>
      <c r="T137" s="17"/>
      <c r="U137" s="17"/>
      <c r="V137" s="17"/>
      <c r="W137" s="17"/>
    </row>
    <row r="139" spans="1:91">
      <c r="G139" s="17"/>
    </row>
  </sheetData>
  <dataValidations disablePrompts="1" xWindow="974" yWindow="737" count="6">
    <dataValidation type="list" allowBlank="1" showInputMessage="1" showErrorMessage="1" sqref="J12:J20 J45:J51 J53:J59 J61:J66 J68:J73 J75:J81 J83:J88 J90:J101 J35:J43 J127 J129 J131:J132 J3:J10 J22:J33 J120:J125 J103:J118" xr:uid="{9F43A84B-0BAC-4F4F-8171-C6EE17DEC7B3}">
      <formula1>BOOLEAN</formula1>
    </dataValidation>
    <dataValidation type="list" allowBlank="1" showInputMessage="1" showErrorMessage="1" sqref="H12:H20 H45:H51 H53:H59 H61:H66 H68:H73 H75:H81 H83:H88 H90:H101 H35:H43 H127 H129 H131:H132 H3:H10 H22:H33 H120:H125 H103:H118" xr:uid="{925F5CB3-858E-4CF7-A56B-6AFB1E67477F}">
      <formula1>"WR,RO"</formula1>
    </dataValidation>
    <dataValidation allowBlank="1" showInputMessage="1" sqref="F1:F2 F11 F44 F52 F60 F67 F74 F82 F89 F102 F119 F126 F128 F130 F21 F34" xr:uid="{D1D7C7AE-4B7F-4529-AE76-0B6D4AC5931E}"/>
    <dataValidation allowBlank="1" showInputMessage="1" showErrorMessage="1" prompt="8 bit Hexa number between 0x0 and 0xff. Offset within register space for block" sqref="B1:B2 L1:Q2 B11 L11:Q11 B44 L44:Q44 B52 L52:Q52 B60 L60:Q60 B67 L67:Q67 B74 L74:Q74 B82 L82:Q82 B89 L89:Q89 L102:Q102 L119:Q119 L126:Q126 L128:Q128 L130:Q130 B34 L34:Q34" xr:uid="{2DB2D057-A2C6-47CE-A731-2231CEE36D5D}">
      <formula1>0</formula1>
      <formula2>0</formula2>
    </dataValidation>
    <dataValidation type="list" allowBlank="1" showErrorMessage="1" sqref="H1" xr:uid="{17438FB6-5C2B-4683-B9E2-A8A83AD7EE20}">
      <formula1>"WR,RO"</formula1>
    </dataValidation>
    <dataValidation type="list" allowBlank="1" sqref="I1:I132" xr:uid="{CFB20545-CB13-4279-A9AE-F9DCBE39C648}">
      <formula1>"Default, Soft Strap, Hard Strap, Fuse"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4.4"/>
  <cols>
    <col min="1" max="1" width="13.44140625" customWidth="1"/>
  </cols>
  <sheetData>
    <row r="9" spans="1:8">
      <c r="D9" t="s">
        <v>17</v>
      </c>
    </row>
    <row r="10" spans="1:8">
      <c r="A10" t="s">
        <v>5</v>
      </c>
      <c r="C10" t="s">
        <v>15</v>
      </c>
      <c r="D10" t="s">
        <v>18</v>
      </c>
      <c r="F10" t="s">
        <v>11</v>
      </c>
      <c r="H10" t="s">
        <v>8</v>
      </c>
    </row>
    <row r="11" spans="1:8">
      <c r="A11" t="s">
        <v>20</v>
      </c>
      <c r="C11" t="s">
        <v>16</v>
      </c>
      <c r="D11" t="s">
        <v>19</v>
      </c>
      <c r="F11" t="s">
        <v>12</v>
      </c>
      <c r="H11" t="s">
        <v>6</v>
      </c>
    </row>
    <row r="12" spans="1:8">
      <c r="A12" t="s">
        <v>9</v>
      </c>
      <c r="C12" t="s">
        <v>13</v>
      </c>
    </row>
    <row r="13" spans="1:8">
      <c r="A13" t="s">
        <v>10</v>
      </c>
    </row>
    <row r="14" spans="1:8">
      <c r="A14" t="s">
        <v>14</v>
      </c>
    </row>
    <row r="15" spans="1:8">
      <c r="A15" t="s">
        <v>22</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4.4"/>
  <cols>
    <col min="1" max="1" width="9.5546875" bestFit="1" customWidth="1"/>
    <col min="2" max="2" width="14" bestFit="1" customWidth="1"/>
  </cols>
  <sheetData>
    <row r="1" spans="1:8" ht="15" thickBot="1">
      <c r="A1" s="7" t="s">
        <v>27</v>
      </c>
      <c r="B1" s="9" t="s">
        <v>28</v>
      </c>
      <c r="C1" s="8"/>
      <c r="D1" s="9"/>
      <c r="E1" s="8"/>
      <c r="F1" s="9"/>
      <c r="G1" s="8"/>
      <c r="H1" s="9"/>
    </row>
    <row r="2" spans="1:8">
      <c r="A2" s="4" t="s">
        <v>25</v>
      </c>
      <c r="B2" s="2" t="s">
        <v>30</v>
      </c>
      <c r="C2" s="1"/>
      <c r="D2" s="2"/>
      <c r="E2" s="1"/>
      <c r="F2" s="2"/>
      <c r="G2" s="1"/>
      <c r="H2" s="2"/>
    </row>
    <row r="3" spans="1:8">
      <c r="A3" s="4" t="s">
        <v>26</v>
      </c>
      <c r="B3" s="2" t="s">
        <v>29</v>
      </c>
      <c r="C3" s="1"/>
      <c r="D3" s="2"/>
      <c r="E3" s="1"/>
      <c r="F3" s="2"/>
      <c r="G3" s="1"/>
      <c r="H3" s="2"/>
    </row>
    <row r="4" spans="1:8">
      <c r="A4" s="4"/>
      <c r="B4" s="2" t="s">
        <v>31</v>
      </c>
      <c r="C4" s="1"/>
      <c r="D4" s="2"/>
      <c r="E4" s="1"/>
      <c r="F4" s="2"/>
      <c r="G4" s="1"/>
      <c r="H4" s="2"/>
    </row>
    <row r="5" spans="1:8">
      <c r="A5" s="4"/>
      <c r="B5" s="2" t="s">
        <v>32</v>
      </c>
      <c r="C5" s="1"/>
      <c r="D5" s="2"/>
      <c r="E5" s="1"/>
      <c r="F5" s="2"/>
      <c r="G5" s="1"/>
      <c r="H5" s="2"/>
    </row>
    <row r="6" spans="1:8">
      <c r="A6" s="4"/>
      <c r="B6" s="2"/>
      <c r="C6" s="1"/>
      <c r="D6" s="2"/>
      <c r="E6" s="1"/>
      <c r="F6" s="2"/>
      <c r="G6" s="1"/>
      <c r="H6" s="2"/>
    </row>
    <row r="7" spans="1:8">
      <c r="A7" s="4"/>
      <c r="B7" s="2"/>
      <c r="C7" s="1"/>
      <c r="D7" s="2"/>
      <c r="E7" s="1"/>
      <c r="F7" s="2"/>
      <c r="G7" s="1"/>
      <c r="H7" s="2"/>
    </row>
    <row r="8" spans="1:8">
      <c r="A8" s="4"/>
      <c r="B8" s="2"/>
      <c r="C8" s="1"/>
      <c r="D8" s="2"/>
      <c r="E8" s="1"/>
      <c r="F8" s="2"/>
      <c r="G8" s="1"/>
      <c r="H8" s="2"/>
    </row>
    <row r="9" spans="1:8">
      <c r="A9" s="4"/>
      <c r="B9" s="2"/>
      <c r="C9" s="1"/>
      <c r="D9" s="2"/>
      <c r="E9" s="1"/>
      <c r="F9" s="2"/>
      <c r="G9" s="1"/>
      <c r="H9" s="2"/>
    </row>
    <row r="10" spans="1:8">
      <c r="A10" s="4"/>
      <c r="B10" s="2"/>
      <c r="C10" s="1"/>
      <c r="D10" s="2"/>
      <c r="E10" s="1"/>
      <c r="F10" s="2"/>
      <c r="G10" s="1"/>
      <c r="H10" s="2"/>
    </row>
    <row r="11" spans="1:8">
      <c r="A11" s="4"/>
      <c r="B11" s="2"/>
      <c r="C11" s="1"/>
      <c r="D11" s="2"/>
      <c r="E11" s="1"/>
      <c r="F11" s="2"/>
      <c r="G11" s="1"/>
      <c r="H11" s="2"/>
    </row>
    <row r="12" spans="1:8">
      <c r="A12" s="4"/>
      <c r="B12" s="2"/>
      <c r="C12" s="1"/>
      <c r="D12" s="2"/>
      <c r="E12" s="1"/>
      <c r="F12" s="2"/>
      <c r="G12" s="1"/>
      <c r="H12" s="2"/>
    </row>
    <row r="13" spans="1:8">
      <c r="A13" s="4"/>
      <c r="B13" s="2"/>
      <c r="C13" s="1"/>
      <c r="D13" s="2"/>
      <c r="E13" s="1"/>
      <c r="F13" s="2"/>
      <c r="G13" s="1"/>
      <c r="H13" s="2"/>
    </row>
    <row r="14" spans="1:8">
      <c r="A14" s="4"/>
      <c r="B14" s="2"/>
      <c r="C14" s="1"/>
      <c r="D14" s="2"/>
      <c r="E14" s="1"/>
      <c r="F14" s="2"/>
      <c r="G14" s="1"/>
      <c r="H14" s="2"/>
    </row>
    <row r="15" spans="1:8">
      <c r="A15" s="4"/>
      <c r="B15" s="2"/>
      <c r="C15" s="1"/>
      <c r="D15" s="2"/>
      <c r="E15" s="1"/>
      <c r="F15" s="2"/>
      <c r="G15" s="1"/>
      <c r="H15" s="2"/>
    </row>
    <row r="16" spans="1:8">
      <c r="A16" s="4"/>
      <c r="B16" s="2"/>
      <c r="C16" s="1"/>
      <c r="D16" s="2"/>
      <c r="E16" s="1"/>
      <c r="F16" s="2"/>
      <c r="G16" s="1"/>
      <c r="H16" s="2"/>
    </row>
    <row r="17" spans="1:8">
      <c r="A17" s="4"/>
      <c r="B17" s="2"/>
      <c r="C17" s="1"/>
      <c r="D17" s="2"/>
      <c r="E17" s="1"/>
      <c r="F17" s="2"/>
      <c r="G17" s="1"/>
      <c r="H17" s="2"/>
    </row>
    <row r="18" spans="1:8">
      <c r="A18" s="4"/>
      <c r="B18" s="2"/>
      <c r="C18" s="1"/>
      <c r="D18" s="2"/>
      <c r="E18" s="1"/>
      <c r="F18" s="2"/>
      <c r="G18" s="1"/>
      <c r="H18" s="2"/>
    </row>
    <row r="19" spans="1:8">
      <c r="A19" s="4"/>
      <c r="B19" s="2"/>
      <c r="C19" s="1"/>
      <c r="D19" s="2"/>
      <c r="E19" s="1"/>
      <c r="F19" s="2"/>
      <c r="G19" s="1"/>
      <c r="H19" s="2"/>
    </row>
    <row r="20" spans="1:8">
      <c r="A20" s="4"/>
      <c r="B20" s="2"/>
      <c r="C20" s="1"/>
      <c r="D20" s="2"/>
      <c r="E20" s="1"/>
      <c r="F20" s="2"/>
      <c r="G20" s="1"/>
      <c r="H20" s="2"/>
    </row>
    <row r="21" spans="1:8">
      <c r="A21" s="4"/>
      <c r="B21" s="2"/>
      <c r="C21" s="1"/>
      <c r="D21" s="2"/>
      <c r="E21" s="1"/>
      <c r="F21" s="2"/>
      <c r="G21" s="1"/>
      <c r="H21" s="2"/>
    </row>
    <row r="22" spans="1:8">
      <c r="A22" s="4"/>
      <c r="B22" s="2"/>
      <c r="C22" s="1"/>
      <c r="D22" s="2"/>
      <c r="E22" s="1"/>
      <c r="F22" s="2"/>
      <c r="G22" s="1"/>
      <c r="H22" s="2"/>
    </row>
    <row r="23" spans="1:8">
      <c r="A23" s="4"/>
      <c r="B23" s="2"/>
      <c r="C23" s="1"/>
      <c r="D23" s="2"/>
      <c r="E23" s="1"/>
      <c r="F23" s="2"/>
      <c r="G23" s="1"/>
      <c r="H23" s="2"/>
    </row>
    <row r="24" spans="1:8">
      <c r="A24" s="4"/>
      <c r="B24" s="2"/>
      <c r="C24" s="1"/>
      <c r="D24" s="2"/>
      <c r="E24" s="1"/>
      <c r="F24" s="2"/>
      <c r="G24" s="1"/>
      <c r="H24" s="2"/>
    </row>
    <row r="25" spans="1:8">
      <c r="A25" s="4"/>
      <c r="B25" s="2"/>
      <c r="C25" s="1"/>
      <c r="D25" s="2"/>
      <c r="E25" s="1"/>
      <c r="F25" s="2"/>
      <c r="G25" s="1"/>
      <c r="H25" s="2"/>
    </row>
    <row r="26" spans="1:8" ht="15" thickBot="1">
      <c r="A26" s="5"/>
      <c r="B26" s="3"/>
      <c r="C26" s="6"/>
      <c r="D26" s="3"/>
      <c r="E26" s="6"/>
      <c r="F26" s="3"/>
      <c r="G26" s="6"/>
      <c r="H26" s="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6FEDBEE-D3F8-4B1A-80EF-A24D04DB9439}">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2.xml><?xml version="1.0" encoding="utf-8"?>
<ds:datastoreItem xmlns:ds="http://schemas.openxmlformats.org/officeDocument/2006/customXml" ds:itemID="{E56C059C-0B93-40BB-9822-6178BB3A15BC}">
  <ds:schemaRefs>
    <ds:schemaRef ds:uri="http://schemas.microsoft.com/sharepoint/v3/contenttype/forms"/>
  </ds:schemaRefs>
</ds:datastoreItem>
</file>

<file path=customXml/itemProps3.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SARDES_LANE_ANA_TX</vt:lpstr>
      <vt:lpstr>empty</vt:lpstr>
      <vt:lpstr>Sheet2</vt:lpstr>
      <vt:lpstr>lists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 CTPClassification=CTP_NT</cp:keywords>
  <cp:lastModifiedBy>Kovshov, Marina</cp:lastModifiedBy>
  <dcterms:created xsi:type="dcterms:W3CDTF">2011-12-18T09:45:58Z</dcterms:created>
  <dcterms:modified xsi:type="dcterms:W3CDTF">2020-09-03T10:43:44Z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aeb8ad9c-eb55-4ef0-901b-9794312511c1</vt:lpwstr>
  </property>
  <property fmtid="{D5CDD505-2E9C-101B-9397-08002B2CF9AE}" pid="3" name="CTP_BU">
    <vt:lpwstr>NA</vt:lpwstr>
  </property>
  <property fmtid="{D5CDD505-2E9C-101B-9397-08002B2CF9AE}" pid="4" name="CTP_TimeStamp">
    <vt:lpwstr>2020-07-28 10:02:17Z</vt:lpwstr>
  </property>
  <property fmtid="{D5CDD505-2E9C-101B-9397-08002B2CF9AE}" pid="5" name="ContentTypeId">
    <vt:lpwstr>0x010100A843C0F9E50B914A96F8D271432EBC33</vt:lpwstr>
  </property>
  <property fmtid="{D5CDD505-2E9C-101B-9397-08002B2CF9AE}" pid="6" name="CTP_IDSID">
    <vt:lpwstr>NA</vt:lpwstr>
  </property>
  <property fmtid="{D5CDD505-2E9C-101B-9397-08002B2CF9AE}" pid="7" name="CTP_WWID">
    <vt:lpwstr>NA</vt:lpwstr>
  </property>
  <property fmtid="{D5CDD505-2E9C-101B-9397-08002B2CF9AE}" pid="8" name="CTPClassification">
    <vt:lpwstr>CTP_NT</vt:lpwstr>
  </property>
</Properties>
</file>