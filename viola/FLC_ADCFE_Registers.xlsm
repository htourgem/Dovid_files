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kovshov\Desktop\soconline\"/>
    </mc:Choice>
  </mc:AlternateContent>
  <xr:revisionPtr revIDLastSave="0" documentId="13_ncr:1_{1836CF28-62D9-4A5A-8071-F9FF33BE17AC}" xr6:coauthVersionLast="41" xr6:coauthVersionMax="41" xr10:uidLastSave="{00000000-0000-0000-0000-000000000000}"/>
  <bookViews>
    <workbookView xWindow="-108" yWindow="-108" windowWidth="23256" windowHeight="12576" xr2:uid="{00000000-000D-0000-FFFF-FFFF00000000}"/>
  </bookViews>
  <sheets>
    <sheet name="FLC_ADCFE" sheetId="20" r:id="rId1"/>
    <sheet name="Sheet2" sheetId="2" state="hidden" r:id="rId2"/>
    <sheet name="lists" sheetId="19" state="hidden" r:id="rId3"/>
  </sheets>
  <functionGroups builtInGroupCount="19"/>
  <externalReferences>
    <externalReference r:id="rId4"/>
  </externalReferences>
  <definedNames>
    <definedName name="_xlnm._FilterDatabase" localSheetId="0" hidden="1">FLC_ADCFE!$A$1:$CM$1</definedName>
    <definedName name="BLOCK_NAMES">Sheet2!$A$10:$A$14</definedName>
    <definedName name="BOOLEAN">Sheet2!$H$10:$H$11</definedName>
    <definedName name="default">[1]List!$J$1:$J$5</definedName>
    <definedName name="DEFAULT_TYPE" comment="types for defining registers defaults.">lists!$B$2:$B$26</definedName>
    <definedName name="hw_type">Sheet2!$D$10:$D$12</definedName>
    <definedName name="hwclr">Sheet2!$D$10:$D$11</definedName>
    <definedName name="hwtype">Sheet2!$D$10:$D$11</definedName>
    <definedName name="REG_TYPE">lists!$A$2:$A$26</definedName>
  </definedNames>
  <calcPr calcId="191029"/>
  <customWorkbookViews>
    <customWorkbookView name="Virobnik, Udi - Personal View" guid="{2BBBE5B5-B14C-4BF7-9B95-9EEB3666FF3B}" mergeInterval="0" personalView="1" maximized="1" windowWidth="1920" windowHeight="855"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40" i="20" l="1"/>
  <c r="E333" i="20"/>
  <c r="E326" i="20"/>
  <c r="E319" i="20"/>
  <c r="E312" i="20"/>
  <c r="E305" i="20"/>
  <c r="E298" i="20"/>
  <c r="E291" i="20"/>
  <c r="E284" i="20"/>
  <c r="E277" i="20"/>
  <c r="E270" i="20"/>
  <c r="E263" i="20"/>
  <c r="E256" i="20"/>
  <c r="E249" i="20"/>
  <c r="E242" i="20"/>
  <c r="E235" i="20"/>
  <c r="E230" i="20"/>
  <c r="E225" i="20"/>
  <c r="E220" i="20"/>
  <c r="E215" i="20"/>
  <c r="E210" i="20"/>
  <c r="E205" i="20"/>
  <c r="E200" i="20"/>
  <c r="E195" i="20"/>
  <c r="E190" i="20"/>
  <c r="E185" i="20"/>
  <c r="E180" i="20"/>
  <c r="E175" i="20"/>
  <c r="E170" i="20"/>
  <c r="E165" i="20"/>
  <c r="E160" i="20"/>
  <c r="E155" i="20"/>
  <c r="E153" i="20"/>
  <c r="E151" i="20"/>
  <c r="E149" i="20"/>
  <c r="E147" i="20"/>
  <c r="E145" i="20"/>
  <c r="E143" i="20"/>
  <c r="E141" i="20"/>
  <c r="E139" i="20"/>
  <c r="E137" i="20"/>
  <c r="E134" i="20"/>
  <c r="E131" i="20"/>
  <c r="E129" i="20"/>
  <c r="E121" i="20"/>
  <c r="E119" i="20"/>
  <c r="E116" i="20"/>
  <c r="E113" i="20"/>
  <c r="E110" i="20"/>
  <c r="E107" i="20"/>
  <c r="E99" i="20"/>
  <c r="E91" i="20"/>
  <c r="E83" i="20"/>
  <c r="E75" i="20"/>
  <c r="E73" i="20"/>
  <c r="E63" i="20"/>
  <c r="E53" i="20"/>
  <c r="E43" i="20"/>
  <c r="E33" i="20"/>
  <c r="E31" i="20"/>
  <c r="E26" i="20"/>
  <c r="E19" i="20"/>
  <c r="E11" i="20"/>
  <c r="E3" i="20"/>
  <c r="E341" i="20"/>
  <c r="E342" i="20"/>
  <c r="E343" i="20" s="1"/>
  <c r="E344" i="20" s="1"/>
  <c r="E345" i="20" s="1"/>
  <c r="E334" i="20"/>
  <c r="E335" i="20"/>
  <c r="E336" i="20" s="1"/>
  <c r="E337" i="20" s="1"/>
  <c r="E338" i="20" s="1"/>
  <c r="E327" i="20"/>
  <c r="E328" i="20"/>
  <c r="E329" i="20" s="1"/>
  <c r="E330" i="20" s="1"/>
  <c r="E331" i="20" s="1"/>
  <c r="E320" i="20"/>
  <c r="E321" i="20"/>
  <c r="E322" i="20" s="1"/>
  <c r="E323" i="20" s="1"/>
  <c r="E324" i="20" s="1"/>
  <c r="E313" i="20"/>
  <c r="E314" i="20"/>
  <c r="E315" i="20" s="1"/>
  <c r="E316" i="20" s="1"/>
  <c r="E317" i="20" s="1"/>
  <c r="E306" i="20"/>
  <c r="E307" i="20"/>
  <c r="E308" i="20" s="1"/>
  <c r="E309" i="20" s="1"/>
  <c r="E310" i="20" s="1"/>
  <c r="E299" i="20"/>
  <c r="E300" i="20"/>
  <c r="E301" i="20" s="1"/>
  <c r="E302" i="20" s="1"/>
  <c r="E303" i="20" s="1"/>
  <c r="E292" i="20"/>
  <c r="E293" i="20"/>
  <c r="E294" i="20" s="1"/>
  <c r="E295" i="20" s="1"/>
  <c r="E296" i="20" s="1"/>
  <c r="E285" i="20"/>
  <c r="E286" i="20" s="1"/>
  <c r="E287" i="20" s="1"/>
  <c r="E288" i="20"/>
  <c r="E289" i="20" s="1"/>
  <c r="E278" i="20"/>
  <c r="E279" i="20"/>
  <c r="E280" i="20" s="1"/>
  <c r="E281" i="20" s="1"/>
  <c r="E282" i="20" s="1"/>
  <c r="E271" i="20"/>
  <c r="E272" i="20"/>
  <c r="E273" i="20" s="1"/>
  <c r="E274" i="20" s="1"/>
  <c r="E275" i="20" s="1"/>
  <c r="E264" i="20"/>
  <c r="E265" i="20"/>
  <c r="E266" i="20" s="1"/>
  <c r="E267" i="20" s="1"/>
  <c r="E268" i="20" s="1"/>
  <c r="E257" i="20"/>
  <c r="E258" i="20"/>
  <c r="E259" i="20" s="1"/>
  <c r="E260" i="20" s="1"/>
  <c r="E261" i="20" s="1"/>
  <c r="E250" i="20"/>
  <c r="E251" i="20"/>
  <c r="E252" i="20" s="1"/>
  <c r="E253" i="20" s="1"/>
  <c r="E254" i="20" s="1"/>
  <c r="E243" i="20"/>
  <c r="E244" i="20"/>
  <c r="E245" i="20" s="1"/>
  <c r="E246" i="20" s="1"/>
  <c r="E247" i="20" s="1"/>
  <c r="E237" i="20"/>
  <c r="E238" i="20"/>
  <c r="E239" i="20"/>
  <c r="E240" i="20" s="1"/>
  <c r="E236" i="20"/>
  <c r="E231" i="20"/>
  <c r="E232" i="20" s="1"/>
  <c r="E233" i="20" s="1"/>
  <c r="E226" i="20"/>
  <c r="E227" i="20" s="1"/>
  <c r="E228" i="20" s="1"/>
  <c r="E221" i="20"/>
  <c r="E222" i="20" s="1"/>
  <c r="E223" i="20" s="1"/>
  <c r="E216" i="20"/>
  <c r="E217" i="20" s="1"/>
  <c r="E218" i="20" s="1"/>
  <c r="E211" i="20"/>
  <c r="E212" i="20" s="1"/>
  <c r="E213" i="20" s="1"/>
  <c r="E206" i="20"/>
  <c r="E207" i="20" s="1"/>
  <c r="E208" i="20" s="1"/>
  <c r="E201" i="20"/>
  <c r="E202" i="20" s="1"/>
  <c r="E203" i="20" s="1"/>
  <c r="E196" i="20"/>
  <c r="E197" i="20" s="1"/>
  <c r="E198" i="20" s="1"/>
  <c r="E191" i="20"/>
  <c r="E192" i="20" s="1"/>
  <c r="E193" i="20" s="1"/>
  <c r="E186" i="20"/>
  <c r="E187" i="20" s="1"/>
  <c r="E188" i="20" s="1"/>
  <c r="E181" i="20"/>
  <c r="E182" i="20" s="1"/>
  <c r="E183" i="20" s="1"/>
  <c r="E176" i="20"/>
  <c r="E177" i="20" s="1"/>
  <c r="E178" i="20" s="1"/>
  <c r="E171" i="20"/>
  <c r="E172" i="20" s="1"/>
  <c r="E173" i="20" s="1"/>
  <c r="E166" i="20"/>
  <c r="E167" i="20" s="1"/>
  <c r="E168" i="20" s="1"/>
  <c r="E161" i="20"/>
  <c r="E162" i="20"/>
  <c r="E163" i="20" s="1"/>
  <c r="E157" i="20"/>
  <c r="E158" i="20"/>
  <c r="E156" i="20"/>
  <c r="E135" i="20"/>
  <c r="E132" i="20"/>
  <c r="E123" i="20"/>
  <c r="E124" i="20"/>
  <c r="E125" i="20"/>
  <c r="E126" i="20" s="1"/>
  <c r="E127" i="20" s="1"/>
  <c r="E122" i="20"/>
  <c r="E117" i="20"/>
  <c r="E114" i="20"/>
  <c r="E111" i="20"/>
  <c r="E108" i="20"/>
  <c r="E101" i="20"/>
  <c r="E102" i="20"/>
  <c r="E103" i="20"/>
  <c r="E104" i="20" s="1"/>
  <c r="E105" i="20" s="1"/>
  <c r="E100" i="20"/>
  <c r="E93" i="20"/>
  <c r="E94" i="20"/>
  <c r="E95" i="20"/>
  <c r="E96" i="20"/>
  <c r="E97" i="20"/>
  <c r="E92" i="20"/>
  <c r="E85" i="20"/>
  <c r="E86" i="20"/>
  <c r="E87" i="20"/>
  <c r="E88" i="20"/>
  <c r="E89" i="20" s="1"/>
  <c r="E84" i="20"/>
  <c r="E77" i="20"/>
  <c r="E78" i="20"/>
  <c r="E79" i="20"/>
  <c r="E80" i="20" s="1"/>
  <c r="E81" i="20" s="1"/>
  <c r="E76" i="20"/>
  <c r="E65" i="20"/>
  <c r="E66" i="20"/>
  <c r="E67" i="20"/>
  <c r="E68" i="20" s="1"/>
  <c r="E69" i="20" s="1"/>
  <c r="E70" i="20" s="1"/>
  <c r="E71" i="20" s="1"/>
  <c r="E64" i="20"/>
  <c r="E55" i="20"/>
  <c r="E56" i="20"/>
  <c r="E57" i="20"/>
  <c r="E58" i="20"/>
  <c r="E59" i="20" s="1"/>
  <c r="E60" i="20" s="1"/>
  <c r="E61" i="20" s="1"/>
  <c r="E54" i="20"/>
  <c r="E45" i="20"/>
  <c r="E46" i="20"/>
  <c r="E47" i="20"/>
  <c r="E48" i="20"/>
  <c r="E49" i="20" s="1"/>
  <c r="E50" i="20" s="1"/>
  <c r="E51" i="20" s="1"/>
  <c r="E44" i="20"/>
  <c r="E35" i="20"/>
  <c r="E36" i="20"/>
  <c r="E37" i="20" s="1"/>
  <c r="E38" i="20" s="1"/>
  <c r="E39" i="20" s="1"/>
  <c r="E40" i="20"/>
  <c r="E41" i="20" s="1"/>
  <c r="E34" i="20"/>
  <c r="E28" i="20"/>
  <c r="E29" i="20"/>
  <c r="E27" i="20"/>
  <c r="E21" i="20"/>
  <c r="E22" i="20"/>
  <c r="E23" i="20"/>
  <c r="E24" i="20" s="1"/>
  <c r="E20" i="20"/>
  <c r="E17" i="20"/>
  <c r="E13" i="20"/>
  <c r="E14" i="20"/>
  <c r="E15" i="20"/>
  <c r="E16" i="20"/>
  <c r="E12" i="20"/>
  <c r="E5" i="20"/>
  <c r="E6" i="20"/>
  <c r="E7" i="20"/>
  <c r="E8" i="20" s="1"/>
  <c r="E9" i="20" s="1"/>
  <c r="E4" i="20"/>
  <c r="P339" i="20" l="1"/>
  <c r="L339" i="20"/>
  <c r="P229" i="20"/>
  <c r="L229" i="20"/>
  <c r="P332" i="20"/>
  <c r="L332" i="20"/>
  <c r="P224" i="20"/>
  <c r="L224" i="20"/>
  <c r="P325" i="20"/>
  <c r="L325" i="20"/>
  <c r="P219" i="20"/>
  <c r="L219" i="20"/>
  <c r="P318" i="20"/>
  <c r="L318" i="20"/>
  <c r="P214" i="20"/>
  <c r="L214" i="20"/>
  <c r="P311" i="20"/>
  <c r="L311" i="20"/>
  <c r="P209" i="20"/>
  <c r="L209" i="20"/>
  <c r="P304" i="20"/>
  <c r="L304" i="20"/>
  <c r="P204" i="20"/>
  <c r="L204" i="20"/>
  <c r="P297" i="20"/>
  <c r="L297" i="20"/>
  <c r="P199" i="20"/>
  <c r="L199" i="20"/>
  <c r="P290" i="20"/>
  <c r="L290" i="20"/>
  <c r="P194" i="20"/>
  <c r="L194" i="20"/>
  <c r="P283" i="20"/>
  <c r="L283" i="20"/>
  <c r="P189" i="20"/>
  <c r="L189" i="20"/>
  <c r="P276" i="20"/>
  <c r="L276" i="20"/>
  <c r="P184" i="20"/>
  <c r="L184" i="20"/>
  <c r="P269" i="20"/>
  <c r="L269" i="20"/>
  <c r="P179" i="20"/>
  <c r="L179" i="20"/>
  <c r="P262" i="20"/>
  <c r="L262" i="20"/>
  <c r="P174" i="20"/>
  <c r="L174" i="20"/>
  <c r="P255" i="20"/>
  <c r="L255" i="20"/>
  <c r="P169" i="20"/>
  <c r="L169" i="20"/>
  <c r="P248" i="20"/>
  <c r="L248" i="20"/>
  <c r="P164" i="20"/>
  <c r="L164" i="20"/>
  <c r="P241" i="20"/>
  <c r="L241" i="20"/>
  <c r="P159" i="20"/>
  <c r="L159" i="20"/>
  <c r="L234" i="20"/>
  <c r="P234" i="20"/>
  <c r="L154" i="20"/>
  <c r="P154" i="20"/>
  <c r="P152" i="20"/>
  <c r="L152" i="20"/>
  <c r="P150" i="20"/>
  <c r="L150" i="20"/>
  <c r="P148" i="20"/>
  <c r="L148" i="20"/>
  <c r="P146" i="20"/>
  <c r="L146" i="20"/>
  <c r="P144" i="20"/>
  <c r="L144" i="20"/>
  <c r="P142" i="20"/>
  <c r="L142" i="20"/>
  <c r="P140" i="20"/>
  <c r="L140" i="20"/>
  <c r="P138" i="20"/>
  <c r="L138" i="20"/>
  <c r="P136" i="20"/>
  <c r="L136" i="20"/>
  <c r="C74" i="20"/>
  <c r="C144" i="20"/>
  <c r="C290" i="20"/>
  <c r="C311" i="20"/>
  <c r="C136" i="20"/>
  <c r="C297" i="20"/>
  <c r="C184" i="20"/>
  <c r="C318" i="20"/>
  <c r="C150" i="20"/>
  <c r="C152" i="20"/>
  <c r="C142" i="20"/>
  <c r="C164" i="20"/>
  <c r="C325" i="20"/>
  <c r="C234" i="20"/>
  <c r="C154" i="20"/>
  <c r="C332" i="20"/>
  <c r="C159" i="20"/>
  <c r="C146" i="20"/>
  <c r="C262" i="20"/>
  <c r="C214" i="20"/>
  <c r="C199" i="20"/>
  <c r="C194" i="20"/>
  <c r="C269" i="20"/>
  <c r="C204" i="20"/>
  <c r="C209" i="20"/>
  <c r="C276" i="20"/>
  <c r="C140" i="20"/>
  <c r="C304" i="20"/>
  <c r="C339" i="20"/>
  <c r="C138" i="20"/>
  <c r="C248" i="20"/>
  <c r="C174" i="20"/>
  <c r="C169" i="20"/>
  <c r="C255" i="20"/>
  <c r="C148" i="20"/>
  <c r="C224" i="20"/>
  <c r="C241" i="20"/>
  <c r="C189" i="20"/>
  <c r="C283" i="20"/>
  <c r="C219" i="20"/>
  <c r="C179" i="20"/>
  <c r="Q154" i="20" l="1"/>
  <c r="Q234" i="20"/>
  <c r="Q214" i="20"/>
  <c r="Q318" i="20"/>
  <c r="Q219" i="20"/>
  <c r="Q325" i="20"/>
  <c r="Q224" i="20"/>
  <c r="Q332" i="20"/>
  <c r="Q229" i="20"/>
  <c r="Q339" i="20"/>
  <c r="Q311" i="20"/>
  <c r="Q290" i="20"/>
  <c r="Q297" i="20"/>
  <c r="Q304" i="20"/>
  <c r="Q194" i="20"/>
  <c r="Q199" i="20"/>
  <c r="Q204" i="20"/>
  <c r="Q209" i="20"/>
  <c r="Q174" i="20"/>
  <c r="Q262" i="20"/>
  <c r="Q179" i="20"/>
  <c r="Q269" i="20"/>
  <c r="Q184" i="20"/>
  <c r="Q276" i="20"/>
  <c r="Q189" i="20"/>
  <c r="Q283" i="20"/>
  <c r="Q169" i="20"/>
  <c r="Q255" i="20"/>
  <c r="Q164" i="20"/>
  <c r="Q248" i="20"/>
  <c r="Q159" i="20"/>
  <c r="Q241" i="20"/>
  <c r="Q136" i="20"/>
  <c r="Q138" i="20"/>
  <c r="Q140" i="20"/>
  <c r="Q142" i="20"/>
  <c r="Q144" i="20"/>
  <c r="Q146" i="20"/>
  <c r="Q148" i="20"/>
  <c r="Q150" i="20"/>
  <c r="Q152" i="20"/>
  <c r="P133" i="20" l="1"/>
  <c r="L133" i="20"/>
  <c r="P130" i="20"/>
  <c r="L130" i="20"/>
  <c r="C130" i="20"/>
  <c r="C133" i="20"/>
  <c r="Q133" i="20" l="1"/>
  <c r="Q130" i="20"/>
  <c r="P128" i="20"/>
  <c r="L128" i="20"/>
  <c r="P120" i="20"/>
  <c r="L120" i="20"/>
  <c r="C120" i="20"/>
  <c r="C128" i="20"/>
  <c r="Q120" i="20" l="1"/>
  <c r="Q128" i="20"/>
  <c r="P118" i="20"/>
  <c r="L118" i="20"/>
  <c r="P115" i="20"/>
  <c r="L115" i="20"/>
  <c r="P112" i="20"/>
  <c r="L112" i="20"/>
  <c r="P109" i="20"/>
  <c r="L109" i="20"/>
  <c r="L106" i="20"/>
  <c r="P106" i="20"/>
  <c r="P98" i="20"/>
  <c r="L98" i="20"/>
  <c r="P90" i="20"/>
  <c r="L90" i="20"/>
  <c r="P82" i="20"/>
  <c r="L82" i="20"/>
  <c r="P74" i="20"/>
  <c r="L74" i="20"/>
  <c r="P72" i="20"/>
  <c r="L72" i="20"/>
  <c r="P62" i="20"/>
  <c r="L62" i="20"/>
  <c r="P52" i="20"/>
  <c r="L52" i="20"/>
  <c r="P42" i="20"/>
  <c r="L42" i="20"/>
  <c r="P32" i="20"/>
  <c r="L32" i="20"/>
  <c r="L30" i="20"/>
  <c r="P30" i="20"/>
  <c r="L25" i="20"/>
  <c r="P25" i="20"/>
  <c r="P18" i="20"/>
  <c r="L18" i="20"/>
  <c r="L10" i="20"/>
  <c r="P10" i="20"/>
  <c r="P2" i="20"/>
  <c r="L2" i="20"/>
  <c r="C115" i="20"/>
  <c r="C109" i="20"/>
  <c r="C106" i="20"/>
  <c r="C30" i="20"/>
  <c r="C112" i="20"/>
  <c r="C72" i="20"/>
  <c r="C90" i="20"/>
  <c r="C118" i="20"/>
  <c r="C82" i="20"/>
  <c r="C10" i="20"/>
  <c r="C18" i="20"/>
  <c r="C98" i="20"/>
  <c r="C32" i="20"/>
  <c r="C52" i="20"/>
  <c r="C25" i="20"/>
  <c r="C62" i="20"/>
  <c r="C42" i="20"/>
  <c r="Q106" i="20" l="1"/>
  <c r="Q82" i="20"/>
  <c r="Q109" i="20"/>
  <c r="Q112" i="20"/>
  <c r="Q90" i="20"/>
  <c r="Q98" i="20"/>
  <c r="Q115" i="20"/>
  <c r="Q74" i="20"/>
  <c r="Q62" i="20"/>
  <c r="Q52" i="20"/>
  <c r="Q42" i="20"/>
  <c r="Q32" i="20"/>
  <c r="Q10" i="20"/>
  <c r="Q18" i="20"/>
  <c r="Q25" i="20"/>
  <c r="Q30" i="20"/>
  <c r="Q72" i="20"/>
  <c r="Q118" i="20"/>
  <c r="C2" i="20"/>
  <c r="Q2" i="20" l="1"/>
</calcChain>
</file>

<file path=xl/sharedStrings.xml><?xml version="1.0" encoding="utf-8"?>
<sst xmlns="http://schemas.openxmlformats.org/spreadsheetml/2006/main" count="1798" uniqueCount="232">
  <si>
    <t>Field Name</t>
  </si>
  <si>
    <t>Width</t>
  </si>
  <si>
    <t>Bits</t>
  </si>
  <si>
    <t>Description</t>
  </si>
  <si>
    <t>Need to latch for at-speed scan?</t>
  </si>
  <si>
    <t>COMMON</t>
  </si>
  <si>
    <t>NO</t>
  </si>
  <si>
    <t>1'b0</t>
  </si>
  <si>
    <t>YES</t>
  </si>
  <si>
    <t>FFDIV</t>
  </si>
  <si>
    <t>DEBUF</t>
  </si>
  <si>
    <t>HEX2DEC</t>
  </si>
  <si>
    <t>DEC2HEX</t>
  </si>
  <si>
    <t>PULSE</t>
  </si>
  <si>
    <t>SEBUF</t>
  </si>
  <si>
    <t>wr</t>
  </si>
  <si>
    <t>r</t>
  </si>
  <si>
    <t>hw type</t>
  </si>
  <si>
    <t>hwclr</t>
  </si>
  <si>
    <t>we</t>
  </si>
  <si>
    <t>PHMOD</t>
  </si>
  <si>
    <t>Reg Offset</t>
  </si>
  <si>
    <t>CMU</t>
  </si>
  <si>
    <t>default type</t>
  </si>
  <si>
    <t>Reg Type</t>
  </si>
  <si>
    <t>WR</t>
  </si>
  <si>
    <t>RO</t>
  </si>
  <si>
    <t>REG_TYPE</t>
  </si>
  <si>
    <t>DEFAULT_TYPE</t>
  </si>
  <si>
    <t>soft strap</t>
  </si>
  <si>
    <t>default</t>
  </si>
  <si>
    <t>strap</t>
  </si>
  <si>
    <t>fuse</t>
  </si>
  <si>
    <t>Default value</t>
  </si>
  <si>
    <t>Reg Name</t>
  </si>
  <si>
    <t>Sus Well</t>
  </si>
  <si>
    <t>Default</t>
  </si>
  <si>
    <t>RW</t>
  </si>
  <si>
    <t>1'b1</t>
  </si>
  <si>
    <t>Reg Soconline Offset</t>
  </si>
  <si>
    <t>user define</t>
  </si>
  <si>
    <t>2'b0</t>
  </si>
  <si>
    <t>3'b0</t>
  </si>
  <si>
    <t xml:space="preserve">Domain </t>
  </si>
  <si>
    <t>decoder pin</t>
  </si>
  <si>
    <t>5'b0</t>
  </si>
  <si>
    <t>4'b0</t>
  </si>
  <si>
    <t>SA ADDRESS</t>
  </si>
  <si>
    <t>Default Value(HEX)</t>
  </si>
  <si>
    <t>9'b0</t>
  </si>
  <si>
    <t>7'b0</t>
  </si>
  <si>
    <t>odac_range</t>
  </si>
  <si>
    <t>21'b0</t>
  </si>
  <si>
    <t>20'b0</t>
  </si>
  <si>
    <t>6'b0</t>
  </si>
  <si>
    <t>32'b0</t>
  </si>
  <si>
    <t>4'b0111</t>
  </si>
  <si>
    <t>en_acmp</t>
  </si>
  <si>
    <t>en_amon</t>
  </si>
  <si>
    <t>bias_ref_en</t>
  </si>
  <si>
    <t>reg2_spare</t>
  </si>
  <si>
    <t>pr1_rgen_bsel</t>
  </si>
  <si>
    <t>pr1_odac_gmsb</t>
  </si>
  <si>
    <t>pr1_odac_glsb</t>
  </si>
  <si>
    <t>rgen_bitrm1p0</t>
  </si>
  <si>
    <t>rgen_bvtrm1p0</t>
  </si>
  <si>
    <t>rgen_en_mon</t>
  </si>
  <si>
    <t>reg1_spare</t>
  </si>
  <si>
    <t>pr0_rgen_bsel</t>
  </si>
  <si>
    <t>pr0_odac_gmsb</t>
  </si>
  <si>
    <t>pr0_odac_glsb</t>
  </si>
  <si>
    <t>4'b1111</t>
  </si>
  <si>
    <t>3'b010</t>
  </si>
  <si>
    <t>odac_en</t>
  </si>
  <si>
    <t>reg3_spare</t>
  </si>
  <si>
    <t>pr2_rgen_bsel</t>
  </si>
  <si>
    <t>pr2_odac_gmsb</t>
  </si>
  <si>
    <t>pr2_odac_glsb</t>
  </si>
  <si>
    <t>reg4_spare</t>
  </si>
  <si>
    <t>pr3_rgen_bsel</t>
  </si>
  <si>
    <t>pr3_odac_gmsb</t>
  </si>
  <si>
    <t>pr3_odac_glsb</t>
  </si>
  <si>
    <t>nocon</t>
  </si>
  <si>
    <t>C</t>
  </si>
  <si>
    <t>pr_spare</t>
  </si>
  <si>
    <t>bin_ivcmn</t>
  </si>
  <si>
    <t>bin_ivcmp</t>
  </si>
  <si>
    <t>bin_rload</t>
  </si>
  <si>
    <t>en_cmbuf</t>
  </si>
  <si>
    <t>en_mon</t>
  </si>
  <si>
    <t>gry_gain_n</t>
  </si>
  <si>
    <t>gry_gain_p</t>
  </si>
  <si>
    <t>vcm_shift</t>
  </si>
  <si>
    <t>prebuff_unit0</t>
  </si>
  <si>
    <t>1C</t>
  </si>
  <si>
    <t>prebuff_unit1</t>
  </si>
  <si>
    <t>prebuff_unit2</t>
  </si>
  <si>
    <t>prebuff_unit3</t>
  </si>
  <si>
    <t>pi_phase0</t>
  </si>
  <si>
    <t>pi_phase1</t>
  </si>
  <si>
    <t>pi_phase2</t>
  </si>
  <si>
    <t>pi_phase3</t>
  </si>
  <si>
    <t>pi_en</t>
  </si>
  <si>
    <t>pi_pd_en</t>
  </si>
  <si>
    <t>pi_reg1_unit0</t>
  </si>
  <si>
    <t>pi_reg1_unit1</t>
  </si>
  <si>
    <t>pi_reg1_unit2</t>
  </si>
  <si>
    <t>pi_reg1_unit3</t>
  </si>
  <si>
    <t>2C</t>
  </si>
  <si>
    <t>pi_reg2_unit0</t>
  </si>
  <si>
    <t>pi_reg2_unit1</t>
  </si>
  <si>
    <t>pi_reg2_unit2</t>
  </si>
  <si>
    <t>pi_reg2_unit3</t>
  </si>
  <si>
    <t>3C</t>
  </si>
  <si>
    <t>prebuff_dc_reg1</t>
  </si>
  <si>
    <t>prebuff_dc_reg2</t>
  </si>
  <si>
    <t>prebuff_dc_reg3</t>
  </si>
  <si>
    <t>prebuff_dc_reg4</t>
  </si>
  <si>
    <t>5'b00011</t>
  </si>
  <si>
    <t>6'b010101</t>
  </si>
  <si>
    <t>spare</t>
  </si>
  <si>
    <t>Setting maximum current from supply for CM Keeper output</t>
  </si>
  <si>
    <t>Setting maximum current to ground for CM Keeper output</t>
  </si>
  <si>
    <t>Controls r_load (high bin_rload -&gt; small resistance)</t>
  </si>
  <si>
    <t>CM Keeper enable</t>
  </si>
  <si>
    <t xml:space="preserve">DC monitor enable </t>
  </si>
  <si>
    <t>GRAY CODE.Active n_slc number</t>
  </si>
  <si>
    <t>GRAY CODE.Active p_slc number</t>
  </si>
  <si>
    <t>divtop_reg</t>
  </si>
  <si>
    <t>4C</t>
  </si>
  <si>
    <t>i_rate_select</t>
  </si>
  <si>
    <t>fingers_config_nmos</t>
  </si>
  <si>
    <t>fingers_config_pmos</t>
  </si>
  <si>
    <t>vco_en</t>
  </si>
  <si>
    <t>reg_divby10_8</t>
  </si>
  <si>
    <t>clk_to_logic_en</t>
  </si>
  <si>
    <t>ldo_ctrl_spare</t>
  </si>
  <si>
    <t>ldo_enables</t>
  </si>
  <si>
    <t>11'b11111111111</t>
  </si>
  <si>
    <t>ldo_dfx_spare</t>
  </si>
  <si>
    <t>27'b0</t>
  </si>
  <si>
    <t>ldo_dcmon_enable</t>
  </si>
  <si>
    <t>ldo_ctrl</t>
  </si>
  <si>
    <t>ldo_dcmon</t>
  </si>
  <si>
    <t>18'b0</t>
  </si>
  <si>
    <t>14'b0</t>
  </si>
  <si>
    <t>select falcon mode:
project             rate_sel     division 
falcon               5'b10000         2
brk high freq     5'b00000        4
brk high freq     5'b00001        8
brk high freq     5'b00010        12
brk high freq     5'b00011        16
brk high freq     5'b00100        20
brk high freq     5'b00101        24
brk high freq     5'b00110        28</t>
  </si>
  <si>
    <t>resistance control of output filter</t>
  </si>
  <si>
    <t>enable skew detector block</t>
  </si>
  <si>
    <t>logic divider control</t>
  </si>
  <si>
    <t>enbale clcoks to logic</t>
  </si>
  <si>
    <t>PI enable</t>
  </si>
  <si>
    <t>c0_ctrl</t>
  </si>
  <si>
    <t>c0_en</t>
  </si>
  <si>
    <t>c0_src_degen</t>
  </si>
  <si>
    <t>23'b0</t>
  </si>
  <si>
    <t>3'b100</t>
  </si>
  <si>
    <t>5'b11111</t>
  </si>
  <si>
    <t>prebuff_c0_slice0_unit0</t>
  </si>
  <si>
    <t>sum_res_ctrl</t>
  </si>
  <si>
    <t>c1_ctrl</t>
  </si>
  <si>
    <t>c1_en</t>
  </si>
  <si>
    <t>c2_ctrl</t>
  </si>
  <si>
    <t>c2_en</t>
  </si>
  <si>
    <t>5C</t>
  </si>
  <si>
    <t>6C</t>
  </si>
  <si>
    <t>7C</t>
  </si>
  <si>
    <t>Main cursor current control</t>
  </si>
  <si>
    <t>Main cursor enable</t>
  </si>
  <si>
    <t>Main cursor gain control</t>
  </si>
  <si>
    <t>Coarse gain control</t>
  </si>
  <si>
    <t>C1 tap gain control</t>
  </si>
  <si>
    <t>C0 tap enable</t>
  </si>
  <si>
    <t>C2 tap gain control</t>
  </si>
  <si>
    <t>C2 tap enable</t>
  </si>
  <si>
    <t>prebuff_c0_slice1_unit0</t>
  </si>
  <si>
    <t>prebuff_c0_slice2_unit0</t>
  </si>
  <si>
    <t>prebuff_c0_slice3_unit0</t>
  </si>
  <si>
    <t>prebuff_c0_slice3_unit1</t>
  </si>
  <si>
    <t>prebuff_c0_slice2_unit1</t>
  </si>
  <si>
    <t>prebuff_c0_slice1_unit1</t>
  </si>
  <si>
    <t>prebuff_c0_slice0_unit1</t>
  </si>
  <si>
    <t>prebuff_c0_slice3_unit2</t>
  </si>
  <si>
    <t>prebuff_c0_slice2_unit2</t>
  </si>
  <si>
    <t>prebuff_c0_slice1_unit2</t>
  </si>
  <si>
    <t>prebuff_c0_slice0_unit2</t>
  </si>
  <si>
    <t>prebuff_c0_slice3_unit3</t>
  </si>
  <si>
    <t>prebuff_c0_slice2_unit3</t>
  </si>
  <si>
    <t>prebuff_c0_slice1_unit3</t>
  </si>
  <si>
    <t>prebuff_c0_slice0_unit3</t>
  </si>
  <si>
    <t>32'b00000000000000000000000100111111</t>
  </si>
  <si>
    <t>Offset DAC msb bit control (Gray Code)</t>
  </si>
  <si>
    <t>Offset DAC lsb bit control (Gray Code)</t>
  </si>
  <si>
    <t>Offset DAC enable</t>
  </si>
  <si>
    <t>AMON enable</t>
  </si>
  <si>
    <t>CMP enable</t>
  </si>
  <si>
    <t>increases ODAC range by 2 (decrease resolution by 2)</t>
  </si>
  <si>
    <t>enable reference currents</t>
  </si>
  <si>
    <t>5'b11000</t>
  </si>
  <si>
    <t>pi phase control.GRAY CODE</t>
  </si>
  <si>
    <r>
      <t>3'b</t>
    </r>
    <r>
      <rPr>
        <sz val="11"/>
        <color rgb="FF000000"/>
        <rFont val="Calibri"/>
        <family val="2"/>
      </rPr>
      <t>0</t>
    </r>
  </si>
  <si>
    <r>
      <t>5'b</t>
    </r>
    <r>
      <rPr>
        <sz val="11"/>
        <color rgb="FF000000"/>
        <rFont val="Calibri"/>
        <family val="2"/>
      </rPr>
      <t>0</t>
    </r>
  </si>
  <si>
    <t>pi_mntra_en</t>
  </si>
  <si>
    <t>pi_mntrb_en</t>
  </si>
  <si>
    <t>signal to pd en</t>
  </si>
  <si>
    <t>31'b0</t>
  </si>
  <si>
    <t>pd enable. Enabled through this register only</t>
  </si>
  <si>
    <t>5'b10000</t>
  </si>
  <si>
    <t>4'b1100</t>
  </si>
  <si>
    <t>14'b11010000001000</t>
  </si>
  <si>
    <t>Stage CM reference select; default value Vcc1p5 divided by 2;step 12.5mV</t>
  </si>
  <si>
    <t>Returns output cm to 0.75 when active_p_slc is bigger than active_n_slc</t>
  </si>
  <si>
    <t>0p75v regulator reference select. default value Vcc1p5 divided by 2. step 75mV</t>
  </si>
  <si>
    <t>DC Monitor enable. bits 4-2 in use only</t>
  </si>
  <si>
    <t>Stage CM reference select. default value Vcc1p5 divided by 2.step 12.5mV</t>
  </si>
  <si>
    <t>0p75v regulator maximum output stage current select</t>
  </si>
  <si>
    <t>prebuff_c1andc2_slice0_unit3</t>
  </si>
  <si>
    <t>prebuff_c1andc2_slice0_unit0</t>
  </si>
  <si>
    <t>prebuff_c1andc2_slice1_unit0</t>
  </si>
  <si>
    <t>prebuff_c1andc2_slice2_unit0</t>
  </si>
  <si>
    <t>prebuff_c1andc2_slice3_unit0</t>
  </si>
  <si>
    <t>prebuff_c1andc2_slice0_unit1</t>
  </si>
  <si>
    <t>prebuff_c1andc2_slice1_unit1</t>
  </si>
  <si>
    <t>prebuff_c1andc2_slice2_unit1</t>
  </si>
  <si>
    <t>prebuff_c1andc2_slice3_unit1</t>
  </si>
  <si>
    <t>prebuff_c1andc2_slice0_unit2</t>
  </si>
  <si>
    <t>prebuff_c1andc2_slice1_unit2</t>
  </si>
  <si>
    <t>prebuff_c1andc2_slice2_unit2</t>
  </si>
  <si>
    <t>prebuff_c1andc2_slice3_unit2</t>
  </si>
  <si>
    <t>prebuff_c1andc2_slice1_unit3</t>
  </si>
  <si>
    <t>prebuff_c1andc2_slice2_unit3</t>
  </si>
  <si>
    <t>prebuff_c1andc2_slice3_unit3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</si>
</sst>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8"/>
      <name val="Calibri"/>
      <family val="2"/>
    </font>
    <font>
      <sz val="11"/>
      <color theme="1"/>
      <name val="Calibri"/>
      <family val="2"/>
      <scheme val="minor"/>
    </font>
    <font>
      <b/>
      <sz val="10"/>
      <color indexed="8"/>
      <name val="Neo Sans Intel"/>
      <family val="2"/>
    </font>
    <font>
      <b/>
      <sz val="10"/>
      <color indexed="60"/>
      <name val="Neo Sans Intel"/>
      <family val="2"/>
    </font>
    <font>
      <sz val="11"/>
      <color rgb="FF006100"/>
      <name val="Calibri"/>
      <family val="2"/>
      <scheme val="minor"/>
    </font>
    <font>
      <b/>
      <sz val="11"/>
      <color theme="0"/>
      <name val="Calibri"/>
      <family val="2"/>
      <scheme val="minor"/>
    </font>
    <font>
      <b/>
      <sz val="11"/>
      <color theme="1"/>
      <name val="Calibri"/>
      <family val="2"/>
      <scheme val="minor"/>
    </font>
    <font>
      <b/>
      <sz val="10"/>
      <name val="Neo Sans Intel"/>
      <family val="2"/>
    </font>
    <font>
      <sz val="11"/>
      <color rgb="FF000000"/>
      <name val="Calibri"/>
      <family val="2"/>
    </font>
    <font>
      <b/>
      <sz val="11"/>
      <color theme="5" tint="-0.249977111117893"/>
      <name val="Calibri"/>
      <family val="2"/>
    </font>
    <font>
      <sz val="10"/>
      <color rgb="FF000000"/>
      <name val="Segoe UI"/>
      <family val="2"/>
    </font>
  </fonts>
  <fills count="30">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theme="0"/>
        <bgColor indexed="64"/>
      </patternFill>
    </fill>
    <fill>
      <patternFill patternType="solid">
        <fgColor rgb="FFC6EFCE"/>
      </patternFill>
    </fill>
    <fill>
      <patternFill patternType="solid">
        <fgColor rgb="FFA5A5A5"/>
      </patternFill>
    </fill>
    <fill>
      <patternFill patternType="solid">
        <fgColor theme="7" tint="0.79998168889431442"/>
        <bgColor indexed="64"/>
      </patternFill>
    </fill>
    <fill>
      <patternFill patternType="solid">
        <fgColor rgb="FFBEFDBB"/>
        <bgColor indexed="26"/>
      </patternFill>
    </fill>
    <fill>
      <patternFill patternType="solid">
        <fgColor rgb="FFBBF2FD"/>
        <bgColor indexed="64"/>
      </patternFill>
    </fill>
  </fills>
  <borders count="5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style="medium">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top style="medium">
        <color indexed="64"/>
      </top>
      <bottom/>
      <diagonal/>
    </border>
  </borders>
  <cellStyleXfs count="59">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0" borderId="0"/>
    <xf numFmtId="0" fontId="22" fillId="0" borderId="0"/>
    <xf numFmtId="0" fontId="21" fillId="23" borderId="7" applyNumberForma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25" fillId="25" borderId="0" applyNumberFormat="0" applyBorder="0" applyAlignment="0" applyProtection="0"/>
    <xf numFmtId="0" fontId="26" fillId="26" borderId="12" applyNumberFormat="0" applyAlignment="0" applyProtection="0"/>
    <xf numFmtId="0" fontId="17" fillId="20" borderId="21" applyNumberFormat="0" applyAlignment="0" applyProtection="0"/>
    <xf numFmtId="0" fontId="21" fillId="23" borderId="20" applyNumberFormat="0" applyAlignment="0" applyProtection="0"/>
    <xf numFmtId="0" fontId="19" fillId="0" borderId="26" applyNumberFormat="0" applyFill="0" applyAlignment="0" applyProtection="0"/>
    <xf numFmtId="0" fontId="17" fillId="20" borderId="25" applyNumberFormat="0" applyAlignment="0" applyProtection="0"/>
    <xf numFmtId="0" fontId="21" fillId="23" borderId="24" applyNumberFormat="0" applyAlignment="0" applyProtection="0"/>
    <xf numFmtId="0" fontId="13" fillId="7" borderId="19" applyNumberFormat="0" applyAlignment="0" applyProtection="0"/>
    <xf numFmtId="0" fontId="13" fillId="7" borderId="23" applyNumberFormat="0" applyAlignment="0" applyProtection="0"/>
    <xf numFmtId="0" fontId="6" fillId="20" borderId="19" applyNumberFormat="0" applyAlignment="0" applyProtection="0"/>
    <xf numFmtId="0" fontId="6" fillId="20" borderId="23" applyNumberFormat="0" applyAlignment="0" applyProtection="0"/>
    <xf numFmtId="0" fontId="3" fillId="0" borderId="0"/>
    <xf numFmtId="0" fontId="19" fillId="0" borderId="22" applyNumberFormat="0" applyFill="0" applyAlignment="0" applyProtection="0"/>
    <xf numFmtId="0" fontId="1" fillId="0" borderId="0"/>
  </cellStyleXfs>
  <cellXfs count="86">
    <xf numFmtId="0" fontId="0" fillId="0" borderId="0" xfId="0"/>
    <xf numFmtId="0" fontId="0" fillId="0" borderId="0" xfId="0" applyFill="1" applyBorder="1" applyAlignment="1">
      <alignment wrapText="1"/>
    </xf>
    <xf numFmtId="0" fontId="0" fillId="0" borderId="0" xfId="0" applyBorder="1"/>
    <xf numFmtId="0" fontId="0" fillId="0" borderId="14" xfId="0" applyBorder="1"/>
    <xf numFmtId="0" fontId="0" fillId="0" borderId="15" xfId="0" applyBorder="1"/>
    <xf numFmtId="0" fontId="0" fillId="0" borderId="10" xfId="0" applyBorder="1"/>
    <xf numFmtId="0" fontId="0" fillId="0" borderId="11" xfId="0" applyBorder="1"/>
    <xf numFmtId="0" fontId="0" fillId="0" borderId="16" xfId="0" applyBorder="1"/>
    <xf numFmtId="0" fontId="0" fillId="0" borderId="17" xfId="0" applyBorder="1"/>
    <xf numFmtId="0" fontId="0" fillId="0" borderId="18" xfId="0" applyBorder="1"/>
    <xf numFmtId="0" fontId="0" fillId="0" borderId="13" xfId="0" applyBorder="1"/>
    <xf numFmtId="0" fontId="27" fillId="0" borderId="30" xfId="39" applyFont="1" applyBorder="1" applyAlignment="1">
      <alignment wrapText="1"/>
    </xf>
    <xf numFmtId="49" fontId="23" fillId="0" borderId="30" xfId="0" applyNumberFormat="1" applyFont="1" applyFill="1" applyBorder="1" applyAlignment="1">
      <alignment horizontal="center" vertical="center" wrapText="1"/>
    </xf>
    <xf numFmtId="0" fontId="28" fillId="0" borderId="30" xfId="37" applyFont="1" applyBorder="1" applyAlignment="1">
      <alignment horizontal="center" vertical="center" wrapText="1"/>
    </xf>
    <xf numFmtId="0" fontId="23" fillId="0" borderId="30" xfId="0" applyFont="1" applyBorder="1" applyAlignment="1">
      <alignment horizontal="center" vertical="center" wrapText="1"/>
    </xf>
    <xf numFmtId="49" fontId="23" fillId="0" borderId="31" xfId="0" applyNumberFormat="1" applyFont="1" applyFill="1" applyBorder="1" applyAlignment="1">
      <alignment horizontal="center" vertical="center" wrapText="1"/>
    </xf>
    <xf numFmtId="0" fontId="28" fillId="0" borderId="31" xfId="37" applyFont="1" applyBorder="1" applyAlignment="1">
      <alignment horizontal="center" vertical="center" wrapText="1"/>
    </xf>
    <xf numFmtId="0" fontId="23" fillId="0" borderId="31" xfId="0" applyFont="1" applyBorder="1" applyAlignment="1">
      <alignment horizontal="center" vertical="center" wrapText="1"/>
    </xf>
    <xf numFmtId="0" fontId="24" fillId="28" borderId="27" xfId="36" applyNumberFormat="1" applyFont="1" applyFill="1" applyBorder="1" applyAlignment="1" applyProtection="1">
      <alignment horizontal="center" vertical="center" wrapText="1"/>
    </xf>
    <xf numFmtId="0" fontId="0" fillId="0" borderId="28" xfId="0" applyBorder="1"/>
    <xf numFmtId="0" fontId="0" fillId="0" borderId="40" xfId="0" applyBorder="1"/>
    <xf numFmtId="0" fontId="0" fillId="0" borderId="44" xfId="0" applyBorder="1"/>
    <xf numFmtId="0" fontId="0" fillId="0" borderId="41" xfId="0" applyBorder="1"/>
    <xf numFmtId="0" fontId="0" fillId="0" borderId="30" xfId="0" applyBorder="1"/>
    <xf numFmtId="0" fontId="0" fillId="0" borderId="27" xfId="0" applyBorder="1"/>
    <xf numFmtId="49" fontId="23" fillId="0" borderId="44" xfId="0" applyNumberFormat="1" applyFont="1" applyFill="1" applyBorder="1" applyAlignment="1">
      <alignment horizontal="center" vertical="center" wrapText="1"/>
    </xf>
    <xf numFmtId="0" fontId="28" fillId="0" borderId="44" xfId="37" applyFont="1" applyBorder="1" applyAlignment="1">
      <alignment horizontal="center" vertical="center" wrapText="1"/>
    </xf>
    <xf numFmtId="0" fontId="23" fillId="0" borderId="44" xfId="0" applyFont="1" applyBorder="1" applyAlignment="1">
      <alignment horizontal="center" vertical="center" wrapText="1"/>
    </xf>
    <xf numFmtId="0" fontId="23" fillId="27" borderId="42" xfId="0" applyFont="1" applyFill="1" applyBorder="1" applyAlignment="1">
      <alignment horizontal="center" vertical="center" wrapText="1"/>
    </xf>
    <xf numFmtId="0" fontId="23" fillId="27" borderId="30" xfId="0" applyFont="1" applyFill="1" applyBorder="1" applyAlignment="1">
      <alignment horizontal="center" vertical="center" wrapText="1"/>
    </xf>
    <xf numFmtId="0" fontId="23" fillId="27" borderId="44" xfId="0" applyFont="1" applyFill="1" applyBorder="1" applyAlignment="1">
      <alignment horizontal="center" vertical="center" wrapText="1"/>
    </xf>
    <xf numFmtId="0" fontId="23" fillId="27" borderId="46" xfId="0" applyFont="1" applyFill="1" applyBorder="1" applyAlignment="1">
      <alignment horizontal="center" vertical="center" wrapText="1"/>
    </xf>
    <xf numFmtId="0" fontId="23" fillId="27" borderId="47" xfId="0" applyFont="1" applyFill="1" applyBorder="1" applyAlignment="1">
      <alignment horizontal="center" vertical="center" wrapText="1"/>
    </xf>
    <xf numFmtId="0" fontId="0" fillId="0" borderId="43" xfId="0" applyFill="1" applyBorder="1" applyAlignment="1">
      <alignment wrapText="1"/>
    </xf>
    <xf numFmtId="49" fontId="23" fillId="27" borderId="44" xfId="0" applyNumberFormat="1" applyFont="1" applyFill="1" applyBorder="1" applyAlignment="1">
      <alignment horizontal="center" vertical="center" wrapText="1"/>
    </xf>
    <xf numFmtId="0" fontId="0" fillId="0" borderId="48" xfId="0" applyBorder="1"/>
    <xf numFmtId="0" fontId="24" fillId="28" borderId="31" xfId="36" applyNumberFormat="1" applyFont="1" applyFill="1" applyBorder="1" applyAlignment="1" applyProtection="1">
      <alignment horizontal="center" vertical="center" wrapText="1"/>
    </xf>
    <xf numFmtId="0" fontId="23" fillId="27" borderId="50" xfId="0" applyFont="1" applyFill="1" applyBorder="1" applyAlignment="1">
      <alignment horizontal="center" vertical="center" wrapText="1"/>
    </xf>
    <xf numFmtId="0" fontId="23" fillId="27" borderId="29" xfId="0" applyFont="1" applyFill="1" applyBorder="1" applyAlignment="1">
      <alignment horizontal="center" vertical="center" wrapText="1"/>
    </xf>
    <xf numFmtId="0" fontId="0" fillId="0" borderId="49" xfId="0" applyBorder="1"/>
    <xf numFmtId="0" fontId="0" fillId="0" borderId="30" xfId="0" applyBorder="1" applyAlignment="1">
      <alignment wrapText="1"/>
    </xf>
    <xf numFmtId="0" fontId="2" fillId="0" borderId="31" xfId="39" applyFont="1" applyBorder="1" applyAlignment="1">
      <alignment wrapText="1"/>
    </xf>
    <xf numFmtId="0" fontId="0" fillId="0" borderId="31" xfId="0" applyBorder="1" applyAlignment="1">
      <alignment wrapText="1"/>
    </xf>
    <xf numFmtId="49" fontId="0" fillId="24" borderId="30" xfId="0" applyNumberFormat="1" applyFill="1" applyBorder="1" applyAlignment="1">
      <alignment wrapText="1"/>
    </xf>
    <xf numFmtId="0" fontId="0" fillId="0" borderId="44" xfId="0" applyBorder="1" applyAlignment="1">
      <alignment wrapText="1"/>
    </xf>
    <xf numFmtId="0" fontId="0" fillId="0" borderId="31" xfId="0" applyBorder="1"/>
    <xf numFmtId="0" fontId="0" fillId="0" borderId="41" xfId="0" applyFont="1" applyBorder="1"/>
    <xf numFmtId="0" fontId="0" fillId="0" borderId="39" xfId="0" applyBorder="1"/>
    <xf numFmtId="0" fontId="30" fillId="29" borderId="39" xfId="0" applyFont="1" applyFill="1" applyBorder="1" applyAlignment="1">
      <alignment horizontal="center" vertical="center"/>
    </xf>
    <xf numFmtId="0" fontId="30" fillId="29" borderId="48" xfId="0" applyFont="1" applyFill="1" applyBorder="1" applyAlignment="1">
      <alignment horizontal="center" vertical="center"/>
    </xf>
    <xf numFmtId="0" fontId="30" fillId="29" borderId="41" xfId="0" applyFont="1" applyFill="1" applyBorder="1" applyAlignment="1">
      <alignment horizontal="center" vertical="center"/>
    </xf>
    <xf numFmtId="0" fontId="30" fillId="29" borderId="31" xfId="0" applyFont="1" applyFill="1" applyBorder="1" applyAlignment="1">
      <alignment horizontal="center" vertical="center"/>
    </xf>
    <xf numFmtId="0" fontId="30" fillId="29" borderId="28" xfId="0" applyFont="1" applyFill="1" applyBorder="1" applyAlignment="1">
      <alignment horizontal="center" vertical="center"/>
    </xf>
    <xf numFmtId="0" fontId="30" fillId="29" borderId="27" xfId="0" applyFont="1" applyFill="1" applyBorder="1" applyAlignment="1">
      <alignment horizontal="center" vertical="center"/>
    </xf>
    <xf numFmtId="0" fontId="24" fillId="28" borderId="35" xfId="36" applyNumberFormat="1" applyFont="1" applyFill="1" applyBorder="1" applyAlignment="1" applyProtection="1">
      <alignment horizontal="center" vertical="center" wrapText="1"/>
    </xf>
    <xf numFmtId="0" fontId="24" fillId="28" borderId="28" xfId="36" applyNumberFormat="1" applyFont="1" applyFill="1" applyBorder="1" applyAlignment="1" applyProtection="1">
      <alignment horizontal="center" vertical="center" wrapText="1"/>
    </xf>
    <xf numFmtId="0" fontId="24" fillId="28" borderId="36" xfId="36" applyNumberFormat="1" applyFont="1" applyFill="1" applyBorder="1" applyAlignment="1" applyProtection="1">
      <alignment horizontal="center" vertical="center" wrapText="1"/>
    </xf>
    <xf numFmtId="0" fontId="24" fillId="28" borderId="33" xfId="36" applyNumberFormat="1" applyFont="1" applyFill="1" applyBorder="1" applyAlignment="1" applyProtection="1">
      <alignment horizontal="center" vertical="center" wrapText="1"/>
    </xf>
    <xf numFmtId="0" fontId="24" fillId="28" borderId="34" xfId="36" applyNumberFormat="1" applyFont="1" applyFill="1" applyBorder="1" applyAlignment="1" applyProtection="1">
      <alignment horizontal="center" vertical="center" wrapText="1"/>
    </xf>
    <xf numFmtId="0" fontId="24" fillId="28" borderId="37" xfId="36" applyNumberFormat="1" applyFont="1" applyFill="1" applyBorder="1" applyAlignment="1" applyProtection="1">
      <alignment horizontal="center" vertical="center" wrapText="1"/>
    </xf>
    <xf numFmtId="0" fontId="24" fillId="22" borderId="42" xfId="36" applyNumberFormat="1" applyFont="1" applyBorder="1" applyAlignment="1" applyProtection="1">
      <alignment horizontal="center" vertical="center" wrapText="1"/>
    </xf>
    <xf numFmtId="0" fontId="24" fillId="22" borderId="43" xfId="36" applyNumberFormat="1" applyFont="1" applyBorder="1" applyAlignment="1" applyProtection="1">
      <alignment horizontal="center" vertical="center" wrapText="1"/>
    </xf>
    <xf numFmtId="0" fontId="24" fillId="22" borderId="44" xfId="36" applyNumberFormat="1" applyFont="1" applyBorder="1" applyAlignment="1" applyProtection="1">
      <alignment horizontal="center" vertical="center" wrapText="1"/>
    </xf>
    <xf numFmtId="0" fontId="24" fillId="28" borderId="31" xfId="36" applyNumberFormat="1" applyFont="1" applyFill="1" applyBorder="1" applyAlignment="1" applyProtection="1">
      <alignment horizontal="center" vertical="center" wrapText="1"/>
    </xf>
    <xf numFmtId="0" fontId="24" fillId="28" borderId="27" xfId="36" applyNumberFormat="1" applyFont="1" applyFill="1" applyBorder="1" applyAlignment="1" applyProtection="1">
      <alignment horizontal="center" vertical="center" wrapText="1"/>
    </xf>
    <xf numFmtId="0" fontId="24" fillId="28" borderId="32" xfId="36" applyNumberFormat="1" applyFont="1" applyFill="1" applyBorder="1" applyAlignment="1" applyProtection="1">
      <alignment horizontal="center" vertical="center" wrapText="1"/>
    </xf>
    <xf numFmtId="0" fontId="30" fillId="29" borderId="39" xfId="0" applyFont="1" applyFill="1" applyBorder="1" applyAlignment="1">
      <alignment horizontal="center" vertical="center"/>
    </xf>
    <xf numFmtId="0" fontId="30" fillId="29" borderId="48" xfId="0" applyFont="1" applyFill="1" applyBorder="1" applyAlignment="1">
      <alignment horizontal="center" vertical="center"/>
    </xf>
    <xf numFmtId="0" fontId="30" fillId="29" borderId="41" xfId="0" applyFont="1" applyFill="1" applyBorder="1" applyAlignment="1">
      <alignment horizontal="center" vertical="center"/>
    </xf>
    <xf numFmtId="0" fontId="24" fillId="28" borderId="39" xfId="36" applyNumberFormat="1" applyFont="1" applyFill="1" applyBorder="1" applyAlignment="1" applyProtection="1">
      <alignment horizontal="center" vertical="center" wrapText="1"/>
    </xf>
    <xf numFmtId="0" fontId="24" fillId="28" borderId="48" xfId="36" applyNumberFormat="1" applyFont="1" applyFill="1" applyBorder="1" applyAlignment="1" applyProtection="1">
      <alignment horizontal="center" vertical="center" wrapText="1"/>
    </xf>
    <xf numFmtId="0" fontId="24" fillId="28" borderId="41" xfId="36" applyNumberFormat="1" applyFont="1" applyFill="1" applyBorder="1" applyAlignment="1" applyProtection="1">
      <alignment horizontal="center" vertical="center" wrapText="1"/>
    </xf>
    <xf numFmtId="0" fontId="30" fillId="29" borderId="31" xfId="0" applyFont="1" applyFill="1" applyBorder="1" applyAlignment="1">
      <alignment horizontal="center" vertical="center"/>
    </xf>
    <xf numFmtId="0" fontId="30" fillId="29" borderId="27" xfId="0" applyFont="1" applyFill="1" applyBorder="1" applyAlignment="1">
      <alignment horizontal="center" vertical="center"/>
    </xf>
    <xf numFmtId="0" fontId="24" fillId="28" borderId="51" xfId="36" applyNumberFormat="1" applyFont="1" applyFill="1" applyBorder="1" applyAlignment="1" applyProtection="1">
      <alignment horizontal="center" vertical="center" wrapText="1"/>
    </xf>
    <xf numFmtId="0" fontId="24" fillId="28" borderId="49" xfId="36" applyNumberFormat="1" applyFont="1" applyFill="1" applyBorder="1" applyAlignment="1" applyProtection="1">
      <alignment horizontal="center" vertical="center" wrapText="1"/>
    </xf>
    <xf numFmtId="0" fontId="24" fillId="28" borderId="45" xfId="36" applyNumberFormat="1" applyFont="1" applyFill="1" applyBorder="1" applyAlignment="1" applyProtection="1">
      <alignment horizontal="center" vertical="center" wrapText="1"/>
    </xf>
    <xf numFmtId="0" fontId="24" fillId="28" borderId="38" xfId="36" applyNumberFormat="1" applyFont="1" applyFill="1" applyBorder="1" applyAlignment="1" applyProtection="1">
      <alignment horizontal="center" vertical="center" wrapText="1"/>
    </xf>
    <xf numFmtId="0" fontId="24" fillId="22" borderId="45" xfId="36" applyNumberFormat="1" applyFont="1" applyBorder="1" applyAlignment="1" applyProtection="1">
      <alignment horizontal="center" vertical="center" wrapText="1"/>
    </xf>
    <xf numFmtId="0" fontId="24" fillId="22" borderId="40" xfId="36" applyNumberFormat="1" applyFont="1" applyBorder="1" applyAlignment="1" applyProtection="1">
      <alignment horizontal="center" vertical="center" wrapText="1"/>
    </xf>
    <xf numFmtId="0" fontId="24" fillId="22" borderId="41" xfId="36" applyNumberFormat="1" applyFont="1" applyBorder="1" applyAlignment="1" applyProtection="1">
      <alignment horizontal="center" vertical="center" wrapText="1"/>
    </xf>
    <xf numFmtId="0" fontId="30" fillId="29" borderId="28" xfId="0" applyFont="1" applyFill="1" applyBorder="1" applyAlignment="1">
      <alignment horizontal="center" vertical="center"/>
    </xf>
    <xf numFmtId="0" fontId="23" fillId="27" borderId="44" xfId="0" applyNumberFormat="1" applyFont="1" applyFill="1" applyBorder="1" applyAlignment="1">
      <alignment horizontal="center" vertical="center" wrapText="1"/>
    </xf>
    <xf numFmtId="0" fontId="0" fillId="0" borderId="41" xfId="0" applyNumberFormat="1" applyBorder="1"/>
    <xf numFmtId="0" fontId="0" fillId="0" borderId="48" xfId="0" applyNumberFormat="1" applyBorder="1"/>
    <xf numFmtId="0" fontId="31" fillId="0" borderId="0" xfId="0" applyFont="1" applyAlignment="1">
      <alignment vertical="center"/>
    </xf>
  </cellXfs>
  <cellStyles count="5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54" xr:uid="{00000000-0005-0000-0000-00001A000000}"/>
    <cellStyle name="Calculation 3" xfId="55" xr:uid="{00000000-0005-0000-0000-00001B000000}"/>
    <cellStyle name="Check Cell" xfId="27" builtinId="23" customBuiltin="1"/>
    <cellStyle name="Check Cell 2" xfId="46" xr:uid="{00000000-0005-0000-0000-00001D000000}"/>
    <cellStyle name="Explanatory Text" xfId="28" builtinId="53" customBuiltin="1"/>
    <cellStyle name="Good" xfId="29" builtinId="26" customBuiltin="1"/>
    <cellStyle name="Good 2" xfId="45" xr:uid="{00000000-0005-0000-0000-000020000000}"/>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Input 2" xfId="52" xr:uid="{00000000-0005-0000-0000-000026000000}"/>
    <cellStyle name="Input 3" xfId="53" xr:uid="{00000000-0005-0000-0000-000027000000}"/>
    <cellStyle name="Linked Cell" xfId="35" builtinId="24" customBuiltin="1"/>
    <cellStyle name="Neutral" xfId="36" builtinId="28" customBuiltin="1"/>
    <cellStyle name="Normal" xfId="0" builtinId="0"/>
    <cellStyle name="Normal 2" xfId="37" xr:uid="{00000000-0005-0000-0000-00002B000000}"/>
    <cellStyle name="Normal 2 2" xfId="38" xr:uid="{00000000-0005-0000-0000-00002C000000}"/>
    <cellStyle name="Normal 3" xfId="39" xr:uid="{00000000-0005-0000-0000-00002D000000}"/>
    <cellStyle name="Normal 3 2" xfId="56" xr:uid="{00000000-0005-0000-0000-00002E000000}"/>
    <cellStyle name="Normal 3 3" xfId="58" xr:uid="{FE9D1D86-7B45-4C7C-BC67-550AFF10726D}"/>
    <cellStyle name="Note" xfId="40" builtinId="10" customBuiltin="1"/>
    <cellStyle name="Note 2" xfId="48" xr:uid="{00000000-0005-0000-0000-000030000000}"/>
    <cellStyle name="Note 3" xfId="51" xr:uid="{00000000-0005-0000-0000-000031000000}"/>
    <cellStyle name="Output" xfId="41" builtinId="21" customBuiltin="1"/>
    <cellStyle name="Output 2" xfId="47" xr:uid="{00000000-0005-0000-0000-000033000000}"/>
    <cellStyle name="Output 3" xfId="50" xr:uid="{00000000-0005-0000-0000-000034000000}"/>
    <cellStyle name="Title" xfId="42" builtinId="15" customBuiltin="1"/>
    <cellStyle name="Total" xfId="43" builtinId="25" customBuiltin="1"/>
    <cellStyle name="Total 2" xfId="57" xr:uid="{00000000-0005-0000-0000-000037000000}"/>
    <cellStyle name="Total 3" xfId="49" xr:uid="{00000000-0005-0000-0000-000038000000}"/>
    <cellStyle name="Warning Text" xfId="44" builtinId="11" customBuiltin="1"/>
  </cellStyles>
  <dxfs count="0"/>
  <tableStyles count="0" defaultTableStyle="TableStyleMedium2" defaultPivotStyle="PivotStyleLight16"/>
  <colors>
    <mruColors>
      <color rgb="FFBBF2FD"/>
      <color rgb="FF66CCFF"/>
      <color rgb="FF00CCFF"/>
      <color rgb="FFFF9999"/>
      <color rgb="FFFCBCFC"/>
      <color rgb="FFC6FFB9"/>
      <color rgb="FFBEF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point.ger.ith.intel.com/Users/uvirobni/AppData/Local/Microsoft/Windows/Temporary%20Internet%20Files/Content.Outlook/KURMAHKO/p1269_iCLK_CAS_Signal_Bucketing_L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_Grandioso"/>
      <sheetName val="SSCa"/>
      <sheetName val="SSCa_PI"/>
      <sheetName val="SSCa_Postdiv"/>
      <sheetName val="SSCa_AsyncLogic"/>
      <sheetName val="SSCd"/>
      <sheetName val="GEN Diff Buffer"/>
      <sheetName val="GEN MoDDIV"/>
      <sheetName val="GEN SE Buffer"/>
      <sheetName val="Non-SSC Divtop"/>
      <sheetName val="Diff Buffer"/>
      <sheetName val="CBTOP"/>
      <sheetName val="CBANA"/>
      <sheetName val="CBTOP_OLD"/>
      <sheetName val="iref bias"/>
      <sheetName val="OSC"/>
      <sheetName val="SFR"/>
      <sheetName val="LCPLLTOP"/>
      <sheetName val="Mon Port"/>
      <sheetName val="CML2CMOS"/>
      <sheetName val="c69pxpllshr_inbufreftop"/>
      <sheetName val="c69pxpllshr_inbuftop"/>
      <sheetName val="List"/>
      <sheetName val="sandbox"/>
      <sheetName val="Sheet1"/>
      <sheetName val="Crapo"/>
      <sheetName val="Sheet8"/>
      <sheetName val="Sheet9"/>
      <sheetName val="Sheet10"/>
      <sheetName val="Sheet11"/>
      <sheetName val="Sheet1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J1" t="str">
            <v>FUSE (high priority)  w/ internally hard tied register default</v>
          </cell>
        </row>
        <row r="2">
          <cell r="J2" t="str">
            <v>FUSE (nice to have)  w/ internally hard tied register default</v>
          </cell>
        </row>
        <row r="3">
          <cell r="J3" t="str">
            <v>PIN/STRAP - externally hard tied register default</v>
          </cell>
        </row>
        <row r="4">
          <cell r="J4" t="str">
            <v>Internally hard tied register default (no fuse)</v>
          </cell>
        </row>
        <row r="5">
          <cell r="J5" t="str">
            <v>N/A</v>
          </cell>
        </row>
      </sheetData>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9529E-7B1B-4828-82A3-D0DDA1139DC9}">
  <dimension ref="A1:CM345"/>
  <sheetViews>
    <sheetView tabSelected="1" topLeftCell="A307" workbookViewId="0">
      <selection activeCell="E346" sqref="E346"/>
    </sheetView>
  </sheetViews>
  <sheetFormatPr defaultRowHeight="14.4"/>
  <cols>
    <col min="1" max="1" width="26.6640625" bestFit="1" customWidth="1"/>
    <col min="2" max="2" width="10.33203125" style="19" bestFit="1" customWidth="1"/>
    <col min="3" max="3" width="18.109375" style="19" bestFit="1" customWidth="1"/>
    <col min="4" max="4" width="8.88671875" style="35"/>
    <col min="5" max="5" width="8.88671875" style="84"/>
    <col min="6" max="6" width="18.6640625" style="35" bestFit="1" customWidth="1"/>
    <col min="7" max="7" width="66.21875" style="35" bestFit="1" customWidth="1"/>
    <col min="8" max="8" width="9.33203125" style="35" bestFit="1" customWidth="1"/>
    <col min="9" max="9" width="11.33203125" style="35" bestFit="1" customWidth="1"/>
    <col min="10" max="10" width="8.88671875" style="35"/>
    <col min="11" max="11" width="30" style="35" bestFit="1" customWidth="1"/>
    <col min="12" max="12" width="19.5546875" bestFit="1" customWidth="1"/>
    <col min="13" max="13" width="10.6640625" bestFit="1" customWidth="1"/>
    <col min="15" max="15" width="11.33203125" bestFit="1" customWidth="1"/>
    <col min="16" max="16" width="12.88671875" style="39" bestFit="1" customWidth="1"/>
    <col min="17" max="17" width="17.6640625" style="39" bestFit="1" customWidth="1"/>
  </cols>
  <sheetData>
    <row r="1" spans="1:91" s="33" customFormat="1" ht="18.600000000000001" customHeight="1" thickBot="1">
      <c r="A1" s="28" t="s">
        <v>34</v>
      </c>
      <c r="B1" s="29" t="s">
        <v>21</v>
      </c>
      <c r="C1" s="29" t="s">
        <v>0</v>
      </c>
      <c r="D1" s="30" t="s">
        <v>1</v>
      </c>
      <c r="E1" s="82" t="s">
        <v>2</v>
      </c>
      <c r="F1" s="34" t="s">
        <v>33</v>
      </c>
      <c r="G1" s="30" t="s">
        <v>3</v>
      </c>
      <c r="H1" s="30" t="s">
        <v>24</v>
      </c>
      <c r="I1" s="30" t="s">
        <v>23</v>
      </c>
      <c r="J1" s="30" t="s">
        <v>35</v>
      </c>
      <c r="K1" s="30" t="s">
        <v>4</v>
      </c>
      <c r="L1" s="31" t="s">
        <v>39</v>
      </c>
      <c r="M1" s="32" t="s">
        <v>40</v>
      </c>
      <c r="N1" s="32" t="s">
        <v>43</v>
      </c>
      <c r="O1" s="37" t="s">
        <v>44</v>
      </c>
      <c r="P1" s="28" t="s">
        <v>47</v>
      </c>
      <c r="Q1" s="38" t="s">
        <v>48</v>
      </c>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row>
    <row r="2" spans="1:91" s="20" customFormat="1" ht="14.4" customHeight="1">
      <c r="A2" s="66" t="s">
        <v>114</v>
      </c>
      <c r="B2" s="81">
        <v>0</v>
      </c>
      <c r="C2" s="78" t="str">
        <f>bitConcat(F3:F9)</f>
        <v>32'b00010000000000000000011100000000</v>
      </c>
      <c r="D2" s="79"/>
      <c r="E2" s="79"/>
      <c r="F2" s="79"/>
      <c r="G2" s="79"/>
      <c r="H2" s="79"/>
      <c r="I2" s="79"/>
      <c r="J2" s="79"/>
      <c r="K2" s="80"/>
      <c r="L2" s="69" t="str">
        <f>DEC2HEX(_xlfn.BITLSHIFT(N2,7)+4*O2)</f>
        <v>300</v>
      </c>
      <c r="M2" s="63"/>
      <c r="N2" s="63">
        <v>6</v>
      </c>
      <c r="O2" s="77">
        <v>0</v>
      </c>
      <c r="P2" s="74" t="str">
        <f>DEC2HEX(_xlfn.BITLSHIFT(N2,5)+O2*4)</f>
        <v>C0</v>
      </c>
      <c r="Q2" s="57" t="str">
        <f>BIN2HEX(LEFT(RIGHT(C2,32),4))&amp;BIN2HEX(LEFT(RIGHT(C2,28),4))&amp;BIN2HEX(LEFT(RIGHT(C2,24),4))&amp;BIN2HEX(LEFT(RIGHT(C2,20),4))&amp;BIN2HEX(LEFT(RIGHT(C2,16),4))&amp;BIN2HEX(LEFT(RIGHT(C2,12),4))&amp;BIN2HEX(LEFT(RIGHT(C2,8),4))&amp;BIN2HEX(LEFT(RIGHT(C2,4),4))</f>
        <v>10000700</v>
      </c>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spans="1:91" s="20" customFormat="1" ht="15">
      <c r="A3" s="67"/>
      <c r="B3" s="81"/>
      <c r="C3" s="24" t="s">
        <v>64</v>
      </c>
      <c r="D3" s="21">
        <v>2</v>
      </c>
      <c r="E3" s="85" t="str">
        <f>IF(D3&gt;1,(31)&amp;":"&amp;(31-D3+1),(31-D3+1)&amp;":"&amp;(31-D3+1))</f>
        <v>31:30</v>
      </c>
      <c r="F3" s="21" t="s">
        <v>41</v>
      </c>
      <c r="G3" s="21" t="s">
        <v>215</v>
      </c>
      <c r="H3" s="25" t="s">
        <v>37</v>
      </c>
      <c r="I3" s="26" t="s">
        <v>36</v>
      </c>
      <c r="J3" s="27" t="s">
        <v>6</v>
      </c>
      <c r="K3" s="21"/>
      <c r="L3" s="70"/>
      <c r="M3" s="55"/>
      <c r="N3" s="55"/>
      <c r="O3" s="75"/>
      <c r="P3" s="75"/>
      <c r="Q3" s="58"/>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spans="1:91" s="20" customFormat="1">
      <c r="A4" s="67"/>
      <c r="B4" s="81"/>
      <c r="C4" s="24" t="s">
        <v>65</v>
      </c>
      <c r="D4" s="22">
        <v>3</v>
      </c>
      <c r="E4" s="83" t="str">
        <f>(MID(str_cnvt(E3),SEARCH(":",str_cnvt(E3))+1,2)-1) &amp; ":" &amp; (MID(str_cnvt(E3),SEARCH(":",str_cnvt(E3))+1,2)-D4)</f>
        <v>29:27</v>
      </c>
      <c r="F4" s="22" t="s">
        <v>72</v>
      </c>
      <c r="G4" s="21" t="s">
        <v>212</v>
      </c>
      <c r="H4" s="25" t="s">
        <v>37</v>
      </c>
      <c r="I4" s="26" t="s">
        <v>36</v>
      </c>
      <c r="J4" s="27" t="s">
        <v>6</v>
      </c>
      <c r="K4" s="22"/>
      <c r="L4" s="70"/>
      <c r="M4" s="55"/>
      <c r="N4" s="55"/>
      <c r="O4" s="75"/>
      <c r="P4" s="75"/>
      <c r="Q4" s="58"/>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spans="1:91" s="20" customFormat="1">
      <c r="A5" s="67"/>
      <c r="B5" s="81"/>
      <c r="C5" s="24" t="s">
        <v>66</v>
      </c>
      <c r="D5" s="22">
        <v>6</v>
      </c>
      <c r="E5" s="83" t="str">
        <f>(MID(str_cnvt(E4),SEARCH(":",str_cnvt(E4))+1,2)-1) &amp; ":" &amp; (MID(str_cnvt(E4),SEARCH(":",str_cnvt(E4))+1,2)-D5)</f>
        <v>26:21</v>
      </c>
      <c r="F5" s="22" t="s">
        <v>54</v>
      </c>
      <c r="G5" s="21" t="s">
        <v>213</v>
      </c>
      <c r="H5" s="25" t="s">
        <v>37</v>
      </c>
      <c r="I5" s="26" t="s">
        <v>36</v>
      </c>
      <c r="J5" s="27" t="s">
        <v>6</v>
      </c>
      <c r="K5" s="22"/>
      <c r="L5" s="70"/>
      <c r="M5" s="55"/>
      <c r="N5" s="55"/>
      <c r="O5" s="75"/>
      <c r="P5" s="75"/>
      <c r="Q5" s="58"/>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spans="1:91" s="20" customFormat="1">
      <c r="A6" s="67"/>
      <c r="B6" s="81"/>
      <c r="C6" s="24" t="s">
        <v>67</v>
      </c>
      <c r="D6" s="22">
        <v>9</v>
      </c>
      <c r="E6" s="83" t="str">
        <f>(MID(str_cnvt(E5),SEARCH(":",str_cnvt(E5))+1,2)-1) &amp; ":" &amp; (MID(str_cnvt(E5),SEARCH(":",str_cnvt(E5))+1,2)-D6)</f>
        <v>20:12</v>
      </c>
      <c r="F6" s="22" t="s">
        <v>49</v>
      </c>
      <c r="G6" s="21" t="s">
        <v>120</v>
      </c>
      <c r="H6" s="25" t="s">
        <v>37</v>
      </c>
      <c r="I6" s="26" t="s">
        <v>36</v>
      </c>
      <c r="J6" s="27" t="s">
        <v>6</v>
      </c>
      <c r="K6" s="22"/>
      <c r="L6" s="70"/>
      <c r="M6" s="55"/>
      <c r="N6" s="55"/>
      <c r="O6" s="75"/>
      <c r="P6" s="75"/>
      <c r="Q6" s="58"/>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spans="1:91" s="20" customFormat="1">
      <c r="A7" s="67"/>
      <c r="B7" s="81"/>
      <c r="C7" s="24" t="s">
        <v>68</v>
      </c>
      <c r="D7" s="22">
        <v>4</v>
      </c>
      <c r="E7" s="83" t="str">
        <f>(MID(str_cnvt(E6),SEARCH(":",str_cnvt(E6))+1,2)-1) &amp; ":" &amp; (MID(str_cnvt(E6),SEARCH(":",str_cnvt(E6))+1,2)-D7)</f>
        <v>11:8</v>
      </c>
      <c r="F7" s="22" t="s">
        <v>56</v>
      </c>
      <c r="G7" s="21" t="s">
        <v>214</v>
      </c>
      <c r="H7" s="25" t="s">
        <v>37</v>
      </c>
      <c r="I7" s="26" t="s">
        <v>36</v>
      </c>
      <c r="J7" s="27" t="s">
        <v>6</v>
      </c>
      <c r="K7" s="22"/>
      <c r="L7" s="70"/>
      <c r="M7" s="55"/>
      <c r="N7" s="55"/>
      <c r="O7" s="75"/>
      <c r="P7" s="75"/>
      <c r="Q7" s="58"/>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1:91" s="20" customFormat="1">
      <c r="A8" s="67"/>
      <c r="B8" s="81"/>
      <c r="C8" s="24" t="s">
        <v>69</v>
      </c>
      <c r="D8" s="22">
        <v>5</v>
      </c>
      <c r="E8" s="83" t="str">
        <f>(MID(str_cnvt(E7),SEARCH(":",str_cnvt(E7))+1,2)-1) &amp; ":" &amp; (MID(str_cnvt(E7),SEARCH(":",str_cnvt(E7))+1,2)-D8)</f>
        <v>7:3</v>
      </c>
      <c r="F8" s="46" t="s">
        <v>201</v>
      </c>
      <c r="G8" s="21" t="s">
        <v>191</v>
      </c>
      <c r="H8" s="25" t="s">
        <v>37</v>
      </c>
      <c r="I8" s="26" t="s">
        <v>36</v>
      </c>
      <c r="J8" s="27" t="s">
        <v>6</v>
      </c>
      <c r="K8" s="22"/>
      <c r="L8" s="70"/>
      <c r="M8" s="55"/>
      <c r="N8" s="55"/>
      <c r="O8" s="75"/>
      <c r="P8" s="75"/>
      <c r="Q8" s="5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1:91" s="20" customFormat="1" ht="15" thickBot="1">
      <c r="A9" s="68"/>
      <c r="B9" s="73"/>
      <c r="C9" s="24" t="s">
        <v>70</v>
      </c>
      <c r="D9" s="22">
        <v>3</v>
      </c>
      <c r="E9" s="83" t="str">
        <f>(MID(str_cnvt(E8),SEARCH(":",str_cnvt(E8))+1,2)-1) &amp; ":" &amp; (MID(str_cnvt(E8),SEARCH(":",str_cnvt(E8))+1,2)-D9)</f>
        <v>2:0</v>
      </c>
      <c r="F9" s="46" t="s">
        <v>200</v>
      </c>
      <c r="G9" s="21" t="s">
        <v>192</v>
      </c>
      <c r="H9" s="25" t="s">
        <v>37</v>
      </c>
      <c r="I9" s="26" t="s">
        <v>36</v>
      </c>
      <c r="J9" s="27" t="s">
        <v>6</v>
      </c>
      <c r="K9" s="22"/>
      <c r="L9" s="71"/>
      <c r="M9" s="64"/>
      <c r="N9" s="64"/>
      <c r="O9" s="76"/>
      <c r="P9" s="76"/>
      <c r="Q9" s="5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1:91">
      <c r="A10" s="66" t="s">
        <v>115</v>
      </c>
      <c r="B10" s="81">
        <v>4</v>
      </c>
      <c r="C10" s="78" t="str">
        <f>bitConcat(F11:F17)</f>
        <v>32'b00111100000000000000011100000000</v>
      </c>
      <c r="D10" s="79"/>
      <c r="E10" s="79"/>
      <c r="F10" s="79"/>
      <c r="G10" s="79"/>
      <c r="H10" s="79"/>
      <c r="I10" s="79"/>
      <c r="J10" s="79"/>
      <c r="K10" s="80"/>
      <c r="L10" s="69" t="str">
        <f>DEC2HEX(_xlfn.BITLSHIFT(N10,7)+4*O10)</f>
        <v>304</v>
      </c>
      <c r="M10" s="63"/>
      <c r="N10" s="63">
        <v>6</v>
      </c>
      <c r="O10" s="77">
        <v>1</v>
      </c>
      <c r="P10" s="74" t="str">
        <f>DEC2HEX(_xlfn.BITLSHIFT(N10,5)+O10*4)</f>
        <v>C4</v>
      </c>
      <c r="Q10" s="57" t="str">
        <f t="shared" ref="Q10:Q62" si="0">BIN2HEX(LEFT(RIGHT(C10,32),4))&amp;BIN2HEX(LEFT(RIGHT(C10,28),4))&amp;BIN2HEX(LEFT(RIGHT(C10,24),4))&amp;BIN2HEX(LEFT(RIGHT(C10,20),4))&amp;BIN2HEX(LEFT(RIGHT(C10,16),4))&amp;BIN2HEX(LEFT(RIGHT(C10,12),4))&amp;BIN2HEX(LEFT(RIGHT(C10,8),4))&amp;BIN2HEX(LEFT(RIGHT(C10,4),4))</f>
        <v>3C000700</v>
      </c>
    </row>
    <row r="11" spans="1:91" ht="15">
      <c r="A11" s="67"/>
      <c r="B11" s="81"/>
      <c r="C11" s="23" t="s">
        <v>57</v>
      </c>
      <c r="D11" s="21">
        <v>1</v>
      </c>
      <c r="E11" s="85" t="str">
        <f>IF(D11&gt;1,(31)&amp;":"&amp;(31-D11+1),(31-D11+1)&amp;":"&amp;(31-D11+1))</f>
        <v>31:31</v>
      </c>
      <c r="F11" s="21" t="s">
        <v>7</v>
      </c>
      <c r="G11" s="21" t="s">
        <v>195</v>
      </c>
      <c r="H11" s="25" t="s">
        <v>37</v>
      </c>
      <c r="I11" s="26" t="s">
        <v>36</v>
      </c>
      <c r="J11" s="27" t="s">
        <v>6</v>
      </c>
      <c r="K11" s="21"/>
      <c r="L11" s="70"/>
      <c r="M11" s="55"/>
      <c r="N11" s="55"/>
      <c r="O11" s="75"/>
      <c r="P11" s="75"/>
      <c r="Q11" s="58"/>
    </row>
    <row r="12" spans="1:91">
      <c r="A12" s="67"/>
      <c r="B12" s="81"/>
      <c r="C12" s="23" t="s">
        <v>58</v>
      </c>
      <c r="D12" s="21">
        <v>1</v>
      </c>
      <c r="E12" s="83" t="str">
        <f>(MID(str_cnvt(E11),SEARCH(":",str_cnvt(E11))+1,2)-1) &amp; ":" &amp; (MID(str_cnvt(E11),SEARCH(":",str_cnvt(E11))+1,2)-D12)</f>
        <v>30:30</v>
      </c>
      <c r="F12" s="21" t="s">
        <v>7</v>
      </c>
      <c r="G12" s="21" t="s">
        <v>194</v>
      </c>
      <c r="H12" s="25" t="s">
        <v>37</v>
      </c>
      <c r="I12" s="26" t="s">
        <v>36</v>
      </c>
      <c r="J12" s="27" t="s">
        <v>6</v>
      </c>
      <c r="K12" s="21"/>
      <c r="L12" s="70"/>
      <c r="M12" s="55"/>
      <c r="N12" s="55"/>
      <c r="O12" s="75"/>
      <c r="P12" s="75"/>
      <c r="Q12" s="58"/>
    </row>
    <row r="13" spans="1:91">
      <c r="A13" s="67"/>
      <c r="B13" s="81"/>
      <c r="C13" s="23" t="s">
        <v>59</v>
      </c>
      <c r="D13" s="21">
        <v>4</v>
      </c>
      <c r="E13" s="83" t="str">
        <f>(MID(str_cnvt(E12),SEARCH(":",str_cnvt(E12))+1,2)-1) &amp; ":" &amp; (MID(str_cnvt(E12),SEARCH(":",str_cnvt(E12))+1,2)-D13)</f>
        <v>29:26</v>
      </c>
      <c r="F13" s="21" t="s">
        <v>71</v>
      </c>
      <c r="G13" s="21" t="s">
        <v>197</v>
      </c>
      <c r="H13" s="25" t="s">
        <v>37</v>
      </c>
      <c r="I13" s="26" t="s">
        <v>36</v>
      </c>
      <c r="J13" s="27" t="s">
        <v>6</v>
      </c>
      <c r="K13" s="21"/>
      <c r="L13" s="70"/>
      <c r="M13" s="55"/>
      <c r="N13" s="55"/>
      <c r="O13" s="75"/>
      <c r="P13" s="75"/>
      <c r="Q13" s="58"/>
    </row>
    <row r="14" spans="1:91">
      <c r="A14" s="67"/>
      <c r="B14" s="81"/>
      <c r="C14" s="23" t="s">
        <v>60</v>
      </c>
      <c r="D14" s="21">
        <v>14</v>
      </c>
      <c r="E14" s="83" t="str">
        <f>(MID(str_cnvt(E13),SEARCH(":",str_cnvt(E13))+1,2)-1) &amp; ":" &amp; (MID(str_cnvt(E13),SEARCH(":",str_cnvt(E13))+1,2)-D14)</f>
        <v>25:12</v>
      </c>
      <c r="F14" s="21" t="s">
        <v>145</v>
      </c>
      <c r="G14" s="21" t="s">
        <v>120</v>
      </c>
      <c r="H14" s="25" t="s">
        <v>37</v>
      </c>
      <c r="I14" s="26" t="s">
        <v>36</v>
      </c>
      <c r="J14" s="27" t="s">
        <v>6</v>
      </c>
      <c r="K14" s="21"/>
      <c r="L14" s="70"/>
      <c r="M14" s="55"/>
      <c r="N14" s="55"/>
      <c r="O14" s="75"/>
      <c r="P14" s="75"/>
      <c r="Q14" s="58"/>
    </row>
    <row r="15" spans="1:91">
      <c r="A15" s="67"/>
      <c r="B15" s="81"/>
      <c r="C15" s="23" t="s">
        <v>61</v>
      </c>
      <c r="D15" s="21">
        <v>4</v>
      </c>
      <c r="E15" s="83" t="str">
        <f>(MID(str_cnvt(E14),SEARCH(":",str_cnvt(E14))+1,2)-1) &amp; ":" &amp; (MID(str_cnvt(E14),SEARCH(":",str_cnvt(E14))+1,2)-D15)</f>
        <v>11:8</v>
      </c>
      <c r="F15" s="22" t="s">
        <v>56</v>
      </c>
      <c r="G15" s="21" t="s">
        <v>210</v>
      </c>
      <c r="H15" s="25" t="s">
        <v>37</v>
      </c>
      <c r="I15" s="26" t="s">
        <v>36</v>
      </c>
      <c r="J15" s="27" t="s">
        <v>6</v>
      </c>
      <c r="K15" s="21"/>
      <c r="L15" s="70"/>
      <c r="M15" s="55"/>
      <c r="N15" s="55"/>
      <c r="O15" s="75"/>
      <c r="P15" s="75"/>
      <c r="Q15" s="58"/>
    </row>
    <row r="16" spans="1:91">
      <c r="A16" s="67"/>
      <c r="B16" s="81"/>
      <c r="C16" s="23" t="s">
        <v>62</v>
      </c>
      <c r="D16" s="21">
        <v>5</v>
      </c>
      <c r="E16" s="83" t="str">
        <f>(MID(str_cnvt(E15),SEARCH(":",str_cnvt(E15))+1,2)-1) &amp; ":" &amp; (MID(str_cnvt(E15),SEARCH(":",str_cnvt(E15))+1,2)-D16)</f>
        <v>7:3</v>
      </c>
      <c r="F16" s="46" t="s">
        <v>201</v>
      </c>
      <c r="G16" s="21" t="s">
        <v>191</v>
      </c>
      <c r="H16" s="25" t="s">
        <v>37</v>
      </c>
      <c r="I16" s="26" t="s">
        <v>36</v>
      </c>
      <c r="J16" s="27" t="s">
        <v>6</v>
      </c>
      <c r="K16" s="21"/>
      <c r="L16" s="70"/>
      <c r="M16" s="55"/>
      <c r="N16" s="55"/>
      <c r="O16" s="75"/>
      <c r="P16" s="75"/>
      <c r="Q16" s="58"/>
    </row>
    <row r="17" spans="1:17" ht="15" thickBot="1">
      <c r="A17" s="68"/>
      <c r="B17" s="73"/>
      <c r="C17" s="23" t="s">
        <v>63</v>
      </c>
      <c r="D17" s="21">
        <v>3</v>
      </c>
      <c r="E17" s="83" t="str">
        <f>(MID(str_cnvt(E16),SEARCH(":",str_cnvt(E16))+1,2)-1) &amp; ":" &amp; (MID(str_cnvt(E16),SEARCH(":",str_cnvt(E16))+1,2)-D17)</f>
        <v>2:0</v>
      </c>
      <c r="F17" s="46" t="s">
        <v>200</v>
      </c>
      <c r="G17" s="21" t="s">
        <v>192</v>
      </c>
      <c r="H17" s="25" t="s">
        <v>37</v>
      </c>
      <c r="I17" s="26" t="s">
        <v>36</v>
      </c>
      <c r="J17" s="27" t="s">
        <v>6</v>
      </c>
      <c r="K17" s="21"/>
      <c r="L17" s="71"/>
      <c r="M17" s="64"/>
      <c r="N17" s="64"/>
      <c r="O17" s="76"/>
      <c r="P17" s="76"/>
      <c r="Q17" s="59"/>
    </row>
    <row r="18" spans="1:17">
      <c r="A18" s="66" t="s">
        <v>116</v>
      </c>
      <c r="B18" s="72">
        <v>8</v>
      </c>
      <c r="C18" s="78" t="str">
        <f>bitConcat(F19:F24)</f>
        <v>32'b01000000000000000000011100000000</v>
      </c>
      <c r="D18" s="79"/>
      <c r="E18" s="79"/>
      <c r="F18" s="79"/>
      <c r="G18" s="79"/>
      <c r="H18" s="79"/>
      <c r="I18" s="79"/>
      <c r="J18" s="79"/>
      <c r="K18" s="80"/>
      <c r="L18" s="63" t="str">
        <f>DEC2HEX(_xlfn.BITLSHIFT(N18,7)+4*O18)</f>
        <v>308</v>
      </c>
      <c r="M18" s="63"/>
      <c r="N18" s="63">
        <v>6</v>
      </c>
      <c r="O18" s="77">
        <v>2</v>
      </c>
      <c r="P18" s="74" t="str">
        <f>DEC2HEX(_xlfn.BITLSHIFT(N18,5)+O18*4)</f>
        <v>C8</v>
      </c>
      <c r="Q18" s="57" t="str">
        <f t="shared" si="0"/>
        <v>40000700</v>
      </c>
    </row>
    <row r="19" spans="1:17" ht="15">
      <c r="A19" s="67"/>
      <c r="B19" s="81"/>
      <c r="C19" s="23" t="s">
        <v>51</v>
      </c>
      <c r="D19" s="23">
        <v>1</v>
      </c>
      <c r="E19" s="85" t="str">
        <f>IF(D19&gt;1,(31)&amp;":"&amp;(31-D19+1),(31-D19+1)&amp;":"&amp;(31-D19+1))</f>
        <v>31:31</v>
      </c>
      <c r="F19" s="23" t="s">
        <v>7</v>
      </c>
      <c r="G19" s="23" t="s">
        <v>196</v>
      </c>
      <c r="H19" s="25" t="s">
        <v>37</v>
      </c>
      <c r="I19" s="26" t="s">
        <v>36</v>
      </c>
      <c r="J19" s="27" t="s">
        <v>6</v>
      </c>
      <c r="K19" s="23"/>
      <c r="L19" s="55"/>
      <c r="M19" s="55"/>
      <c r="N19" s="55"/>
      <c r="O19" s="75"/>
      <c r="P19" s="75"/>
      <c r="Q19" s="58"/>
    </row>
    <row r="20" spans="1:17">
      <c r="A20" s="67"/>
      <c r="B20" s="81"/>
      <c r="C20" s="23" t="s">
        <v>73</v>
      </c>
      <c r="D20" s="23">
        <v>1</v>
      </c>
      <c r="E20" s="83" t="str">
        <f>(MID(str_cnvt(E19),SEARCH(":",str_cnvt(E19))+1,2)-1) &amp; ":" &amp; (MID(str_cnvt(E19),SEARCH(":",str_cnvt(E19))+1,2)-D20)</f>
        <v>30:30</v>
      </c>
      <c r="F20" s="23" t="s">
        <v>38</v>
      </c>
      <c r="G20" s="23" t="s">
        <v>193</v>
      </c>
      <c r="H20" s="25" t="s">
        <v>37</v>
      </c>
      <c r="I20" s="26" t="s">
        <v>36</v>
      </c>
      <c r="J20" s="27" t="s">
        <v>6</v>
      </c>
      <c r="K20" s="23"/>
      <c r="L20" s="55"/>
      <c r="M20" s="55"/>
      <c r="N20" s="55"/>
      <c r="O20" s="75"/>
      <c r="P20" s="75"/>
      <c r="Q20" s="58"/>
    </row>
    <row r="21" spans="1:17">
      <c r="A21" s="67"/>
      <c r="B21" s="81"/>
      <c r="C21" s="23" t="s">
        <v>74</v>
      </c>
      <c r="D21" s="23">
        <v>18</v>
      </c>
      <c r="E21" s="83" t="str">
        <f>(MID(str_cnvt(E20),SEARCH(":",str_cnvt(E20))+1,2)-1) &amp; ":" &amp; (MID(str_cnvt(E20),SEARCH(":",str_cnvt(E20))+1,2)-D21)</f>
        <v>29:12</v>
      </c>
      <c r="F21" s="23" t="s">
        <v>144</v>
      </c>
      <c r="G21" s="23" t="s">
        <v>120</v>
      </c>
      <c r="H21" s="25" t="s">
        <v>37</v>
      </c>
      <c r="I21" s="26" t="s">
        <v>36</v>
      </c>
      <c r="J21" s="27" t="s">
        <v>6</v>
      </c>
      <c r="K21" s="23"/>
      <c r="L21" s="55"/>
      <c r="M21" s="55"/>
      <c r="N21" s="55"/>
      <c r="O21" s="75"/>
      <c r="P21" s="75"/>
      <c r="Q21" s="58"/>
    </row>
    <row r="22" spans="1:17">
      <c r="A22" s="67"/>
      <c r="B22" s="81"/>
      <c r="C22" s="23" t="s">
        <v>75</v>
      </c>
      <c r="D22" s="23">
        <v>4</v>
      </c>
      <c r="E22" s="83" t="str">
        <f>(MID(str_cnvt(E21),SEARCH(":",str_cnvt(E21))+1,2)-1) &amp; ":" &amp; (MID(str_cnvt(E21),SEARCH(":",str_cnvt(E21))+1,2)-D22)</f>
        <v>11:8</v>
      </c>
      <c r="F22" s="22" t="s">
        <v>56</v>
      </c>
      <c r="G22" s="21" t="s">
        <v>210</v>
      </c>
      <c r="H22" s="25" t="s">
        <v>37</v>
      </c>
      <c r="I22" s="26" t="s">
        <v>36</v>
      </c>
      <c r="J22" s="27" t="s">
        <v>6</v>
      </c>
      <c r="K22" s="23"/>
      <c r="L22" s="55"/>
      <c r="M22" s="55"/>
      <c r="N22" s="55"/>
      <c r="O22" s="75"/>
      <c r="P22" s="75"/>
      <c r="Q22" s="58"/>
    </row>
    <row r="23" spans="1:17">
      <c r="A23" s="67"/>
      <c r="B23" s="81"/>
      <c r="C23" s="23" t="s">
        <v>76</v>
      </c>
      <c r="D23" s="23">
        <v>5</v>
      </c>
      <c r="E23" s="83" t="str">
        <f>(MID(str_cnvt(E22),SEARCH(":",str_cnvt(E22))+1,2)-1) &amp; ":" &amp; (MID(str_cnvt(E22),SEARCH(":",str_cnvt(E22))+1,2)-D23)</f>
        <v>7:3</v>
      </c>
      <c r="F23" s="46" t="s">
        <v>201</v>
      </c>
      <c r="G23" s="23" t="s">
        <v>191</v>
      </c>
      <c r="H23" s="25" t="s">
        <v>37</v>
      </c>
      <c r="I23" s="26" t="s">
        <v>36</v>
      </c>
      <c r="J23" s="27" t="s">
        <v>6</v>
      </c>
      <c r="K23" s="23"/>
      <c r="L23" s="55"/>
      <c r="M23" s="55"/>
      <c r="N23" s="55"/>
      <c r="O23" s="75"/>
      <c r="P23" s="75"/>
      <c r="Q23" s="58"/>
    </row>
    <row r="24" spans="1:17" ht="15" thickBot="1">
      <c r="A24" s="68"/>
      <c r="B24" s="73"/>
      <c r="C24" s="23" t="s">
        <v>77</v>
      </c>
      <c r="D24" s="23">
        <v>3</v>
      </c>
      <c r="E24" s="83" t="str">
        <f>(MID(str_cnvt(E23),SEARCH(":",str_cnvt(E23))+1,2)-1) &amp; ":" &amp; (MID(str_cnvt(E23),SEARCH(":",str_cnvt(E23))+1,2)-D24)</f>
        <v>2:0</v>
      </c>
      <c r="F24" s="46" t="s">
        <v>200</v>
      </c>
      <c r="G24" s="23" t="s">
        <v>192</v>
      </c>
      <c r="H24" s="25" t="s">
        <v>37</v>
      </c>
      <c r="I24" s="26" t="s">
        <v>36</v>
      </c>
      <c r="J24" s="27" t="s">
        <v>6</v>
      </c>
      <c r="K24" s="23"/>
      <c r="L24" s="64"/>
      <c r="M24" s="64"/>
      <c r="N24" s="64"/>
      <c r="O24" s="76"/>
      <c r="P24" s="76"/>
      <c r="Q24" s="59"/>
    </row>
    <row r="25" spans="1:17">
      <c r="A25" s="66" t="s">
        <v>117</v>
      </c>
      <c r="B25" s="72" t="s">
        <v>83</v>
      </c>
      <c r="C25" s="78" t="str">
        <f>bitConcat(F26:F29)</f>
        <v>32'b00000000000000000000011100000000</v>
      </c>
      <c r="D25" s="79"/>
      <c r="E25" s="79"/>
      <c r="F25" s="79"/>
      <c r="G25" s="79"/>
      <c r="H25" s="79"/>
      <c r="I25" s="79"/>
      <c r="J25" s="79"/>
      <c r="K25" s="80"/>
      <c r="L25" s="63" t="str">
        <f>DEC2HEX(_xlfn.BITLSHIFT(N25,7)+4*O25)</f>
        <v>30C</v>
      </c>
      <c r="M25" s="63"/>
      <c r="N25" s="63">
        <v>6</v>
      </c>
      <c r="O25" s="77">
        <v>3</v>
      </c>
      <c r="P25" s="74" t="str">
        <f>DEC2HEX(_xlfn.BITLSHIFT(N25,5)+O25*4)</f>
        <v>CC</v>
      </c>
      <c r="Q25" s="57" t="str">
        <f t="shared" si="0"/>
        <v>00000700</v>
      </c>
    </row>
    <row r="26" spans="1:17" ht="15">
      <c r="A26" s="67"/>
      <c r="B26" s="81"/>
      <c r="C26" s="23" t="s">
        <v>78</v>
      </c>
      <c r="D26" s="21">
        <v>20</v>
      </c>
      <c r="E26" s="85" t="str">
        <f>IF(D26&gt;1,(31)&amp;":"&amp;(31-D26+1),(31-D26+1)&amp;":"&amp;(31-D26+1))</f>
        <v>31:12</v>
      </c>
      <c r="F26" s="21" t="s">
        <v>53</v>
      </c>
      <c r="G26" s="21" t="s">
        <v>120</v>
      </c>
      <c r="H26" s="25" t="s">
        <v>37</v>
      </c>
      <c r="I26" s="26" t="s">
        <v>36</v>
      </c>
      <c r="J26" s="27" t="s">
        <v>6</v>
      </c>
      <c r="K26" s="24"/>
      <c r="L26" s="55"/>
      <c r="M26" s="55"/>
      <c r="N26" s="55"/>
      <c r="O26" s="75"/>
      <c r="P26" s="75"/>
      <c r="Q26" s="58"/>
    </row>
    <row r="27" spans="1:17">
      <c r="A27" s="67"/>
      <c r="B27" s="81"/>
      <c r="C27" s="23" t="s">
        <v>79</v>
      </c>
      <c r="D27" s="21">
        <v>4</v>
      </c>
      <c r="E27" s="83" t="str">
        <f>(MID(str_cnvt(E26),SEARCH(":",str_cnvt(E26))+1,2)-1) &amp; ":" &amp; (MID(str_cnvt(E26),SEARCH(":",str_cnvt(E26))+1,2)-D27)</f>
        <v>11:8</v>
      </c>
      <c r="F27" s="22" t="s">
        <v>56</v>
      </c>
      <c r="G27" s="21" t="s">
        <v>210</v>
      </c>
      <c r="H27" s="25" t="s">
        <v>37</v>
      </c>
      <c r="I27" s="26" t="s">
        <v>36</v>
      </c>
      <c r="J27" s="27" t="s">
        <v>6</v>
      </c>
      <c r="K27" s="24"/>
      <c r="L27" s="55"/>
      <c r="M27" s="55"/>
      <c r="N27" s="55"/>
      <c r="O27" s="75"/>
      <c r="P27" s="75"/>
      <c r="Q27" s="58"/>
    </row>
    <row r="28" spans="1:17">
      <c r="A28" s="67"/>
      <c r="B28" s="81"/>
      <c r="C28" s="23" t="s">
        <v>80</v>
      </c>
      <c r="D28" s="21">
        <v>5</v>
      </c>
      <c r="E28" s="83" t="str">
        <f>(MID(str_cnvt(E27),SEARCH(":",str_cnvt(E27))+1,2)-1) &amp; ":" &amp; (MID(str_cnvt(E27),SEARCH(":",str_cnvt(E27))+1,2)-D28)</f>
        <v>7:3</v>
      </c>
      <c r="F28" s="46" t="s">
        <v>201</v>
      </c>
      <c r="G28" s="21" t="s">
        <v>191</v>
      </c>
      <c r="H28" s="25" t="s">
        <v>37</v>
      </c>
      <c r="I28" s="26" t="s">
        <v>36</v>
      </c>
      <c r="J28" s="27" t="s">
        <v>6</v>
      </c>
      <c r="K28" s="24"/>
      <c r="L28" s="55"/>
      <c r="M28" s="55"/>
      <c r="N28" s="55"/>
      <c r="O28" s="75"/>
      <c r="P28" s="75"/>
      <c r="Q28" s="58"/>
    </row>
    <row r="29" spans="1:17" ht="15" thickBot="1">
      <c r="A29" s="68"/>
      <c r="B29" s="73"/>
      <c r="C29" s="23" t="s">
        <v>81</v>
      </c>
      <c r="D29" s="21">
        <v>3</v>
      </c>
      <c r="E29" s="83" t="str">
        <f>(MID(str_cnvt(E28),SEARCH(":",str_cnvt(E28))+1,2)-1) &amp; ":" &amp; (MID(str_cnvt(E28),SEARCH(":",str_cnvt(E28))+1,2)-D29)</f>
        <v>2:0</v>
      </c>
      <c r="F29" s="46" t="s">
        <v>200</v>
      </c>
      <c r="G29" s="21" t="s">
        <v>192</v>
      </c>
      <c r="H29" s="25" t="s">
        <v>37</v>
      </c>
      <c r="I29" s="26" t="s">
        <v>36</v>
      </c>
      <c r="J29" s="27" t="s">
        <v>6</v>
      </c>
      <c r="K29" s="24"/>
      <c r="L29" s="64"/>
      <c r="M29" s="64"/>
      <c r="N29" s="64"/>
      <c r="O29" s="76"/>
      <c r="P29" s="76"/>
      <c r="Q29" s="59"/>
    </row>
    <row r="30" spans="1:17">
      <c r="A30" s="66" t="s">
        <v>82</v>
      </c>
      <c r="B30" s="72">
        <v>10</v>
      </c>
      <c r="C30" s="78" t="str">
        <f>bitConcat(F31:F31)</f>
        <v>32'b00000000000000000000000000000000</v>
      </c>
      <c r="D30" s="79"/>
      <c r="E30" s="79"/>
      <c r="F30" s="79"/>
      <c r="G30" s="79"/>
      <c r="H30" s="79"/>
      <c r="I30" s="79"/>
      <c r="J30" s="79"/>
      <c r="K30" s="80"/>
      <c r="L30" s="36" t="str">
        <f>DEC2HEX(_xlfn.BITLSHIFT(N30,7)+4*O30)</f>
        <v>310</v>
      </c>
      <c r="M30" s="36"/>
      <c r="N30" s="63">
        <v>6</v>
      </c>
      <c r="O30" s="63">
        <v>4</v>
      </c>
      <c r="P30" s="54" t="str">
        <f>DEC2HEX(_xlfn.BITLSHIFT(N30,5)+O30*4)</f>
        <v>D0</v>
      </c>
      <c r="Q30" s="57" t="str">
        <f t="shared" si="0"/>
        <v>00000000</v>
      </c>
    </row>
    <row r="31" spans="1:17" ht="15" thickBot="1">
      <c r="A31" s="68"/>
      <c r="B31" s="73"/>
      <c r="C31" s="23" t="s">
        <v>82</v>
      </c>
      <c r="D31" s="21">
        <v>32</v>
      </c>
      <c r="E31" s="21" t="str">
        <f>IF(D31&gt;1,(31)&amp;":"&amp;(31-D31+1),(31-D31+1)&amp;":"&amp;(31-D31+1))</f>
        <v>31:0</v>
      </c>
      <c r="F31" s="21" t="s">
        <v>55</v>
      </c>
      <c r="G31" s="24" t="s">
        <v>82</v>
      </c>
      <c r="H31" s="25" t="s">
        <v>37</v>
      </c>
      <c r="I31" s="26" t="s">
        <v>36</v>
      </c>
      <c r="J31" s="27" t="s">
        <v>6</v>
      </c>
      <c r="K31" s="24"/>
      <c r="L31" s="18"/>
      <c r="M31" s="18"/>
      <c r="N31" s="64"/>
      <c r="O31" s="64"/>
      <c r="P31" s="56"/>
      <c r="Q31" s="59"/>
    </row>
    <row r="32" spans="1:17">
      <c r="A32" s="66" t="s">
        <v>93</v>
      </c>
      <c r="B32" s="72">
        <v>14</v>
      </c>
      <c r="C32" s="78" t="str">
        <f>bitConcat(F33:F41)</f>
        <v>32'b00000000000011000000101010101010</v>
      </c>
      <c r="D32" s="79"/>
      <c r="E32" s="79"/>
      <c r="F32" s="79"/>
      <c r="G32" s="79"/>
      <c r="H32" s="79"/>
      <c r="I32" s="79"/>
      <c r="J32" s="79"/>
      <c r="K32" s="80"/>
      <c r="L32" s="63" t="str">
        <f>DEC2HEX(_xlfn.BITLSHIFT(N32,7)+4*O32)</f>
        <v>314</v>
      </c>
      <c r="M32" s="63"/>
      <c r="N32" s="63">
        <v>6</v>
      </c>
      <c r="O32" s="77">
        <v>5</v>
      </c>
      <c r="P32" s="74" t="str">
        <f>DEC2HEX(_xlfn.BITLSHIFT(N32,5)+O32*4)</f>
        <v>D4</v>
      </c>
      <c r="Q32" s="57" t="str">
        <f t="shared" si="0"/>
        <v>000C0AAA</v>
      </c>
    </row>
    <row r="33" spans="1:17" ht="15">
      <c r="A33" s="67"/>
      <c r="B33" s="81"/>
      <c r="C33" s="23" t="s">
        <v>84</v>
      </c>
      <c r="D33" s="21">
        <v>5</v>
      </c>
      <c r="E33" s="85" t="str">
        <f>IF(D33&gt;1,(31)&amp;":"&amp;(31-D33+1),(31-D33+1)&amp;":"&amp;(31-D33+1))</f>
        <v>31:27</v>
      </c>
      <c r="F33" s="21" t="s">
        <v>45</v>
      </c>
      <c r="G33" s="21" t="s">
        <v>120</v>
      </c>
      <c r="H33" s="25" t="s">
        <v>37</v>
      </c>
      <c r="I33" s="26" t="s">
        <v>36</v>
      </c>
      <c r="J33" s="27" t="s">
        <v>6</v>
      </c>
      <c r="K33" s="24"/>
      <c r="L33" s="55"/>
      <c r="M33" s="55"/>
      <c r="N33" s="55"/>
      <c r="O33" s="75"/>
      <c r="P33" s="75"/>
      <c r="Q33" s="58"/>
    </row>
    <row r="34" spans="1:17">
      <c r="A34" s="67"/>
      <c r="B34" s="81"/>
      <c r="C34" s="23" t="s">
        <v>85</v>
      </c>
      <c r="D34" s="21">
        <v>2</v>
      </c>
      <c r="E34" s="83" t="str">
        <f>(MID(str_cnvt(E33),SEARCH(":",str_cnvt(E33))+1,2)-1) &amp; ":" &amp; (MID(str_cnvt(E33),SEARCH(":",str_cnvt(E33))+1,2)-D34)</f>
        <v>26:25</v>
      </c>
      <c r="F34" s="21" t="s">
        <v>41</v>
      </c>
      <c r="G34" s="21" t="s">
        <v>121</v>
      </c>
      <c r="H34" s="25" t="s">
        <v>37</v>
      </c>
      <c r="I34" s="26" t="s">
        <v>36</v>
      </c>
      <c r="J34" s="27" t="s">
        <v>6</v>
      </c>
      <c r="K34" s="24"/>
      <c r="L34" s="55"/>
      <c r="M34" s="55"/>
      <c r="N34" s="55"/>
      <c r="O34" s="75"/>
      <c r="P34" s="75"/>
      <c r="Q34" s="58"/>
    </row>
    <row r="35" spans="1:17">
      <c r="A35" s="67"/>
      <c r="B35" s="81"/>
      <c r="C35" s="23" t="s">
        <v>86</v>
      </c>
      <c r="D35" s="21">
        <v>2</v>
      </c>
      <c r="E35" s="83" t="str">
        <f>(MID(str_cnvt(E34),SEARCH(":",str_cnvt(E34))+1,2)-1) &amp; ":" &amp; (MID(str_cnvt(E34),SEARCH(":",str_cnvt(E34))+1,2)-D35)</f>
        <v>24:23</v>
      </c>
      <c r="F35" s="21" t="s">
        <v>41</v>
      </c>
      <c r="G35" s="21" t="s">
        <v>122</v>
      </c>
      <c r="H35" s="25" t="s">
        <v>37</v>
      </c>
      <c r="I35" s="26" t="s">
        <v>36</v>
      </c>
      <c r="J35" s="27" t="s">
        <v>6</v>
      </c>
      <c r="K35" s="24"/>
      <c r="L35" s="55"/>
      <c r="M35" s="55"/>
      <c r="N35" s="55"/>
      <c r="O35" s="75"/>
      <c r="P35" s="75"/>
      <c r="Q35" s="58"/>
    </row>
    <row r="36" spans="1:17">
      <c r="A36" s="67"/>
      <c r="B36" s="81"/>
      <c r="C36" s="23" t="s">
        <v>87</v>
      </c>
      <c r="D36" s="21">
        <v>5</v>
      </c>
      <c r="E36" s="83" t="str">
        <f>(MID(str_cnvt(E35),SEARCH(":",str_cnvt(E35))+1,2)-1) &amp; ":" &amp; (MID(str_cnvt(E35),SEARCH(":",str_cnvt(E35))+1,2)-D36)</f>
        <v>22:18</v>
      </c>
      <c r="F36" s="21" t="s">
        <v>118</v>
      </c>
      <c r="G36" s="21" t="s">
        <v>123</v>
      </c>
      <c r="H36" s="25" t="s">
        <v>37</v>
      </c>
      <c r="I36" s="26" t="s">
        <v>36</v>
      </c>
      <c r="J36" s="27" t="s">
        <v>6</v>
      </c>
      <c r="K36" s="24"/>
      <c r="L36" s="55"/>
      <c r="M36" s="55"/>
      <c r="N36" s="55"/>
      <c r="O36" s="75"/>
      <c r="P36" s="75"/>
      <c r="Q36" s="58"/>
    </row>
    <row r="37" spans="1:17">
      <c r="A37" s="67"/>
      <c r="B37" s="81"/>
      <c r="C37" s="23" t="s">
        <v>88</v>
      </c>
      <c r="D37" s="21">
        <v>1</v>
      </c>
      <c r="E37" s="83" t="str">
        <f>(MID(str_cnvt(E36),SEARCH(":",str_cnvt(E36))+1,2)-1) &amp; ":" &amp; (MID(str_cnvt(E36),SEARCH(":",str_cnvt(E36))+1,2)-D37)</f>
        <v>17:17</v>
      </c>
      <c r="F37" s="21" t="s">
        <v>7</v>
      </c>
      <c r="G37" s="21" t="s">
        <v>124</v>
      </c>
      <c r="H37" s="25" t="s">
        <v>37</v>
      </c>
      <c r="I37" s="26" t="s">
        <v>36</v>
      </c>
      <c r="J37" s="27" t="s">
        <v>6</v>
      </c>
      <c r="K37" s="24"/>
      <c r="L37" s="55"/>
      <c r="M37" s="55"/>
      <c r="N37" s="55"/>
      <c r="O37" s="75"/>
      <c r="P37" s="75"/>
      <c r="Q37" s="58"/>
    </row>
    <row r="38" spans="1:17">
      <c r="A38" s="67"/>
      <c r="B38" s="81"/>
      <c r="C38" s="23" t="s">
        <v>89</v>
      </c>
      <c r="D38" s="21">
        <v>4</v>
      </c>
      <c r="E38" s="83" t="str">
        <f>(MID(str_cnvt(E37),SEARCH(":",str_cnvt(E37))+1,2)-1) &amp; ":" &amp; (MID(str_cnvt(E37),SEARCH(":",str_cnvt(E37))+1,2)-D38)</f>
        <v>16:13</v>
      </c>
      <c r="F38" s="21" t="s">
        <v>46</v>
      </c>
      <c r="G38" s="21" t="s">
        <v>125</v>
      </c>
      <c r="H38" s="25" t="s">
        <v>37</v>
      </c>
      <c r="I38" s="26" t="s">
        <v>36</v>
      </c>
      <c r="J38" s="27" t="s">
        <v>6</v>
      </c>
      <c r="K38" s="24"/>
      <c r="L38" s="55"/>
      <c r="M38" s="55"/>
      <c r="N38" s="55"/>
      <c r="O38" s="75"/>
      <c r="P38" s="75"/>
      <c r="Q38" s="58"/>
    </row>
    <row r="39" spans="1:17">
      <c r="A39" s="67"/>
      <c r="B39" s="81"/>
      <c r="C39" s="23" t="s">
        <v>90</v>
      </c>
      <c r="D39" s="21">
        <v>6</v>
      </c>
      <c r="E39" s="83" t="str">
        <f>(MID(str_cnvt(E38),SEARCH(":",str_cnvt(E38))+1,2)-1) &amp; ":" &amp; (MID(str_cnvt(E38),SEARCH(":",str_cnvt(E38))+1,2)-D39)</f>
        <v>12:7</v>
      </c>
      <c r="F39" s="21" t="s">
        <v>119</v>
      </c>
      <c r="G39" s="21" t="s">
        <v>126</v>
      </c>
      <c r="H39" s="25" t="s">
        <v>37</v>
      </c>
      <c r="I39" s="26" t="s">
        <v>36</v>
      </c>
      <c r="J39" s="27" t="s">
        <v>6</v>
      </c>
      <c r="K39" s="24"/>
      <c r="L39" s="55"/>
      <c r="M39" s="55"/>
      <c r="N39" s="55"/>
      <c r="O39" s="75"/>
      <c r="P39" s="75"/>
      <c r="Q39" s="58"/>
    </row>
    <row r="40" spans="1:17">
      <c r="A40" s="67"/>
      <c r="B40" s="81"/>
      <c r="C40" s="23" t="s">
        <v>91</v>
      </c>
      <c r="D40" s="21">
        <v>6</v>
      </c>
      <c r="E40" s="83" t="str">
        <f>(MID(str_cnvt(E39),SEARCH(":",str_cnvt(E39))+1,2)-1) &amp; ":" &amp; (MID(str_cnvt(E39),SEARCH(":",str_cnvt(E39))+1,2)-D40)</f>
        <v>6:1</v>
      </c>
      <c r="F40" s="21" t="s">
        <v>119</v>
      </c>
      <c r="G40" s="21" t="s">
        <v>127</v>
      </c>
      <c r="H40" s="25" t="s">
        <v>37</v>
      </c>
      <c r="I40" s="26" t="s">
        <v>36</v>
      </c>
      <c r="J40" s="27" t="s">
        <v>6</v>
      </c>
      <c r="K40" s="24"/>
      <c r="L40" s="55"/>
      <c r="M40" s="55"/>
      <c r="N40" s="55"/>
      <c r="O40" s="75"/>
      <c r="P40" s="75"/>
      <c r="Q40" s="58"/>
    </row>
    <row r="41" spans="1:17" ht="15" thickBot="1">
      <c r="A41" s="68"/>
      <c r="B41" s="73"/>
      <c r="C41" s="23" t="s">
        <v>92</v>
      </c>
      <c r="D41" s="21">
        <v>1</v>
      </c>
      <c r="E41" s="83" t="str">
        <f>(MID(str_cnvt(E40),SEARCH(":",str_cnvt(E40))+1,2)-1) &amp; ":" &amp; (MID(str_cnvt(E40),SEARCH(":",str_cnvt(E40))+1,2)-D41)</f>
        <v>0:0</v>
      </c>
      <c r="F41" s="21" t="s">
        <v>7</v>
      </c>
      <c r="G41" s="21" t="s">
        <v>211</v>
      </c>
      <c r="H41" s="25" t="s">
        <v>37</v>
      </c>
      <c r="I41" s="26" t="s">
        <v>36</v>
      </c>
      <c r="J41" s="27" t="s">
        <v>6</v>
      </c>
      <c r="K41" s="24"/>
      <c r="L41" s="64"/>
      <c r="M41" s="64"/>
      <c r="N41" s="64"/>
      <c r="O41" s="76"/>
      <c r="P41" s="76"/>
      <c r="Q41" s="59"/>
    </row>
    <row r="42" spans="1:17">
      <c r="A42" s="66" t="s">
        <v>95</v>
      </c>
      <c r="B42" s="72">
        <v>18</v>
      </c>
      <c r="C42" s="78" t="str">
        <f>bitConcat(F43:F51)</f>
        <v>32'b00000000000011000000101010101010</v>
      </c>
      <c r="D42" s="79"/>
      <c r="E42" s="79"/>
      <c r="F42" s="79"/>
      <c r="G42" s="79"/>
      <c r="H42" s="79"/>
      <c r="I42" s="79"/>
      <c r="J42" s="79"/>
      <c r="K42" s="80"/>
      <c r="L42" s="63" t="str">
        <f>DEC2HEX(_xlfn.BITLSHIFT(N42,7)+4*O42)</f>
        <v>318</v>
      </c>
      <c r="M42" s="63"/>
      <c r="N42" s="63">
        <v>6</v>
      </c>
      <c r="O42" s="77">
        <v>6</v>
      </c>
      <c r="P42" s="74" t="str">
        <f>DEC2HEX(_xlfn.BITLSHIFT(N42,5)+O42*4)</f>
        <v>D8</v>
      </c>
      <c r="Q42" s="57" t="str">
        <f t="shared" si="0"/>
        <v>000C0AAA</v>
      </c>
    </row>
    <row r="43" spans="1:17" ht="15">
      <c r="A43" s="67"/>
      <c r="B43" s="81"/>
      <c r="C43" s="23" t="s">
        <v>84</v>
      </c>
      <c r="D43" s="21">
        <v>5</v>
      </c>
      <c r="E43" s="85" t="str">
        <f>IF(D43&gt;1,(31)&amp;":"&amp;(31-D43+1),(31-D43+1)&amp;":"&amp;(31-D43+1))</f>
        <v>31:27</v>
      </c>
      <c r="F43" s="21" t="s">
        <v>45</v>
      </c>
      <c r="G43" s="21" t="s">
        <v>120</v>
      </c>
      <c r="H43" s="25" t="s">
        <v>37</v>
      </c>
      <c r="I43" s="26" t="s">
        <v>36</v>
      </c>
      <c r="J43" s="27" t="s">
        <v>6</v>
      </c>
      <c r="K43" s="24"/>
      <c r="L43" s="55"/>
      <c r="M43" s="55"/>
      <c r="N43" s="55"/>
      <c r="O43" s="75"/>
      <c r="P43" s="75"/>
      <c r="Q43" s="58"/>
    </row>
    <row r="44" spans="1:17">
      <c r="A44" s="67"/>
      <c r="B44" s="81"/>
      <c r="C44" s="23" t="s">
        <v>85</v>
      </c>
      <c r="D44" s="21">
        <v>2</v>
      </c>
      <c r="E44" s="83" t="str">
        <f>(MID(str_cnvt(E43),SEARCH(":",str_cnvt(E43))+1,2)-1) &amp; ":" &amp; (MID(str_cnvt(E43),SEARCH(":",str_cnvt(E43))+1,2)-D44)</f>
        <v>26:25</v>
      </c>
      <c r="F44" s="21" t="s">
        <v>41</v>
      </c>
      <c r="G44" s="21" t="s">
        <v>121</v>
      </c>
      <c r="H44" s="25" t="s">
        <v>37</v>
      </c>
      <c r="I44" s="26" t="s">
        <v>36</v>
      </c>
      <c r="J44" s="27" t="s">
        <v>6</v>
      </c>
      <c r="K44" s="24"/>
      <c r="L44" s="55"/>
      <c r="M44" s="55"/>
      <c r="N44" s="55"/>
      <c r="O44" s="75"/>
      <c r="P44" s="75"/>
      <c r="Q44" s="58"/>
    </row>
    <row r="45" spans="1:17">
      <c r="A45" s="67"/>
      <c r="B45" s="81"/>
      <c r="C45" s="23" t="s">
        <v>86</v>
      </c>
      <c r="D45" s="21">
        <v>2</v>
      </c>
      <c r="E45" s="83" t="str">
        <f>(MID(str_cnvt(E44),SEARCH(":",str_cnvt(E44))+1,2)-1) &amp; ":" &amp; (MID(str_cnvt(E44),SEARCH(":",str_cnvt(E44))+1,2)-D45)</f>
        <v>24:23</v>
      </c>
      <c r="F45" s="21" t="s">
        <v>41</v>
      </c>
      <c r="G45" s="21" t="s">
        <v>122</v>
      </c>
      <c r="H45" s="25" t="s">
        <v>37</v>
      </c>
      <c r="I45" s="26" t="s">
        <v>36</v>
      </c>
      <c r="J45" s="27" t="s">
        <v>6</v>
      </c>
      <c r="K45" s="24"/>
      <c r="L45" s="55"/>
      <c r="M45" s="55"/>
      <c r="N45" s="55"/>
      <c r="O45" s="75"/>
      <c r="P45" s="75"/>
      <c r="Q45" s="58"/>
    </row>
    <row r="46" spans="1:17">
      <c r="A46" s="67"/>
      <c r="B46" s="81"/>
      <c r="C46" s="23" t="s">
        <v>87</v>
      </c>
      <c r="D46" s="21">
        <v>5</v>
      </c>
      <c r="E46" s="83" t="str">
        <f>(MID(str_cnvt(E45),SEARCH(":",str_cnvt(E45))+1,2)-1) &amp; ":" &amp; (MID(str_cnvt(E45),SEARCH(":",str_cnvt(E45))+1,2)-D46)</f>
        <v>22:18</v>
      </c>
      <c r="F46" s="21" t="s">
        <v>118</v>
      </c>
      <c r="G46" s="21" t="s">
        <v>123</v>
      </c>
      <c r="H46" s="25" t="s">
        <v>37</v>
      </c>
      <c r="I46" s="26" t="s">
        <v>36</v>
      </c>
      <c r="J46" s="27" t="s">
        <v>6</v>
      </c>
      <c r="K46" s="24"/>
      <c r="L46" s="55"/>
      <c r="M46" s="55"/>
      <c r="N46" s="55"/>
      <c r="O46" s="75"/>
      <c r="P46" s="75"/>
      <c r="Q46" s="58"/>
    </row>
    <row r="47" spans="1:17">
      <c r="A47" s="67"/>
      <c r="B47" s="81"/>
      <c r="C47" s="23" t="s">
        <v>88</v>
      </c>
      <c r="D47" s="21">
        <v>1</v>
      </c>
      <c r="E47" s="83" t="str">
        <f>(MID(str_cnvt(E46),SEARCH(":",str_cnvt(E46))+1,2)-1) &amp; ":" &amp; (MID(str_cnvt(E46),SEARCH(":",str_cnvt(E46))+1,2)-D47)</f>
        <v>17:17</v>
      </c>
      <c r="F47" s="21" t="s">
        <v>7</v>
      </c>
      <c r="G47" s="21" t="s">
        <v>124</v>
      </c>
      <c r="H47" s="25" t="s">
        <v>37</v>
      </c>
      <c r="I47" s="26" t="s">
        <v>36</v>
      </c>
      <c r="J47" s="27" t="s">
        <v>6</v>
      </c>
      <c r="K47" s="24"/>
      <c r="L47" s="55"/>
      <c r="M47" s="55"/>
      <c r="N47" s="55"/>
      <c r="O47" s="75"/>
      <c r="P47" s="75"/>
      <c r="Q47" s="58"/>
    </row>
    <row r="48" spans="1:17">
      <c r="A48" s="67"/>
      <c r="B48" s="81"/>
      <c r="C48" s="23" t="s">
        <v>89</v>
      </c>
      <c r="D48" s="21">
        <v>4</v>
      </c>
      <c r="E48" s="83" t="str">
        <f>(MID(str_cnvt(E47),SEARCH(":",str_cnvt(E47))+1,2)-1) &amp; ":" &amp; (MID(str_cnvt(E47),SEARCH(":",str_cnvt(E47))+1,2)-D48)</f>
        <v>16:13</v>
      </c>
      <c r="F48" s="21" t="s">
        <v>46</v>
      </c>
      <c r="G48" s="21" t="s">
        <v>125</v>
      </c>
      <c r="H48" s="25" t="s">
        <v>37</v>
      </c>
      <c r="I48" s="26" t="s">
        <v>36</v>
      </c>
      <c r="J48" s="27" t="s">
        <v>6</v>
      </c>
      <c r="K48" s="24"/>
      <c r="L48" s="55"/>
      <c r="M48" s="55"/>
      <c r="N48" s="55"/>
      <c r="O48" s="75"/>
      <c r="P48" s="75"/>
      <c r="Q48" s="58"/>
    </row>
    <row r="49" spans="1:17">
      <c r="A49" s="67"/>
      <c r="B49" s="81"/>
      <c r="C49" s="23" t="s">
        <v>90</v>
      </c>
      <c r="D49" s="21">
        <v>6</v>
      </c>
      <c r="E49" s="83" t="str">
        <f>(MID(str_cnvt(E48),SEARCH(":",str_cnvt(E48))+1,2)-1) &amp; ":" &amp; (MID(str_cnvt(E48),SEARCH(":",str_cnvt(E48))+1,2)-D49)</f>
        <v>12:7</v>
      </c>
      <c r="F49" s="21" t="s">
        <v>119</v>
      </c>
      <c r="G49" s="21" t="s">
        <v>126</v>
      </c>
      <c r="H49" s="25" t="s">
        <v>37</v>
      </c>
      <c r="I49" s="26" t="s">
        <v>36</v>
      </c>
      <c r="J49" s="27" t="s">
        <v>6</v>
      </c>
      <c r="K49" s="24"/>
      <c r="L49" s="55"/>
      <c r="M49" s="55"/>
      <c r="N49" s="55"/>
      <c r="O49" s="75"/>
      <c r="P49" s="75"/>
      <c r="Q49" s="58"/>
    </row>
    <row r="50" spans="1:17">
      <c r="A50" s="67"/>
      <c r="B50" s="81"/>
      <c r="C50" s="23" t="s">
        <v>91</v>
      </c>
      <c r="D50" s="21">
        <v>6</v>
      </c>
      <c r="E50" s="83" t="str">
        <f>(MID(str_cnvt(E49),SEARCH(":",str_cnvt(E49))+1,2)-1) &amp; ":" &amp; (MID(str_cnvt(E49),SEARCH(":",str_cnvt(E49))+1,2)-D50)</f>
        <v>6:1</v>
      </c>
      <c r="F50" s="21" t="s">
        <v>119</v>
      </c>
      <c r="G50" s="21" t="s">
        <v>127</v>
      </c>
      <c r="H50" s="25" t="s">
        <v>37</v>
      </c>
      <c r="I50" s="26" t="s">
        <v>36</v>
      </c>
      <c r="J50" s="27" t="s">
        <v>6</v>
      </c>
      <c r="K50" s="24"/>
      <c r="L50" s="55"/>
      <c r="M50" s="55"/>
      <c r="N50" s="55"/>
      <c r="O50" s="75"/>
      <c r="P50" s="75"/>
      <c r="Q50" s="58"/>
    </row>
    <row r="51" spans="1:17" ht="15" thickBot="1">
      <c r="A51" s="68"/>
      <c r="B51" s="73"/>
      <c r="C51" s="23" t="s">
        <v>92</v>
      </c>
      <c r="D51" s="21">
        <v>1</v>
      </c>
      <c r="E51" s="83" t="str">
        <f>(MID(str_cnvt(E50),SEARCH(":",str_cnvt(E50))+1,2)-1) &amp; ":" &amp; (MID(str_cnvt(E50),SEARCH(":",str_cnvt(E50))+1,2)-D51)</f>
        <v>0:0</v>
      </c>
      <c r="F51" s="21" t="s">
        <v>7</v>
      </c>
      <c r="G51" s="21" t="s">
        <v>211</v>
      </c>
      <c r="H51" s="25" t="s">
        <v>37</v>
      </c>
      <c r="I51" s="26" t="s">
        <v>36</v>
      </c>
      <c r="J51" s="27" t="s">
        <v>6</v>
      </c>
      <c r="K51" s="24"/>
      <c r="L51" s="64"/>
      <c r="M51" s="64"/>
      <c r="N51" s="64"/>
      <c r="O51" s="76"/>
      <c r="P51" s="76"/>
      <c r="Q51" s="59"/>
    </row>
    <row r="52" spans="1:17">
      <c r="A52" s="66" t="s">
        <v>96</v>
      </c>
      <c r="B52" s="72" t="s">
        <v>94</v>
      </c>
      <c r="C52" s="78" t="str">
        <f>bitConcat(F53:F61)</f>
        <v>32'b00000000000011000000101010101010</v>
      </c>
      <c r="D52" s="79"/>
      <c r="E52" s="79"/>
      <c r="F52" s="79"/>
      <c r="G52" s="79"/>
      <c r="H52" s="79"/>
      <c r="I52" s="79"/>
      <c r="J52" s="79"/>
      <c r="K52" s="80"/>
      <c r="L52" s="63" t="str">
        <f>DEC2HEX(_xlfn.BITLSHIFT(N52,7)+4*O52)</f>
        <v>31C</v>
      </c>
      <c r="M52" s="63"/>
      <c r="N52" s="63">
        <v>6</v>
      </c>
      <c r="O52" s="77">
        <v>7</v>
      </c>
      <c r="P52" s="74" t="str">
        <f>DEC2HEX(_xlfn.BITLSHIFT(N52,5)+O52*4)</f>
        <v>DC</v>
      </c>
      <c r="Q52" s="57" t="str">
        <f t="shared" si="0"/>
        <v>000C0AAA</v>
      </c>
    </row>
    <row r="53" spans="1:17" ht="15">
      <c r="A53" s="67"/>
      <c r="B53" s="81"/>
      <c r="C53" s="23" t="s">
        <v>84</v>
      </c>
      <c r="D53" s="21">
        <v>5</v>
      </c>
      <c r="E53" s="85" t="str">
        <f>IF(D53&gt;1,(31)&amp;":"&amp;(31-D53+1),(31-D53+1)&amp;":"&amp;(31-D53+1))</f>
        <v>31:27</v>
      </c>
      <c r="F53" s="21" t="s">
        <v>45</v>
      </c>
      <c r="G53" s="21" t="s">
        <v>120</v>
      </c>
      <c r="H53" s="25" t="s">
        <v>37</v>
      </c>
      <c r="I53" s="26" t="s">
        <v>36</v>
      </c>
      <c r="J53" s="27" t="s">
        <v>6</v>
      </c>
      <c r="K53" s="24"/>
      <c r="L53" s="55"/>
      <c r="M53" s="55"/>
      <c r="N53" s="55"/>
      <c r="O53" s="75"/>
      <c r="P53" s="75"/>
      <c r="Q53" s="58"/>
    </row>
    <row r="54" spans="1:17">
      <c r="A54" s="67"/>
      <c r="B54" s="81"/>
      <c r="C54" s="23" t="s">
        <v>85</v>
      </c>
      <c r="D54" s="21">
        <v>2</v>
      </c>
      <c r="E54" s="83" t="str">
        <f>(MID(str_cnvt(E53),SEARCH(":",str_cnvt(E53))+1,2)-1) &amp; ":" &amp; (MID(str_cnvt(E53),SEARCH(":",str_cnvt(E53))+1,2)-D54)</f>
        <v>26:25</v>
      </c>
      <c r="F54" s="21" t="s">
        <v>41</v>
      </c>
      <c r="G54" s="21" t="s">
        <v>121</v>
      </c>
      <c r="H54" s="25" t="s">
        <v>37</v>
      </c>
      <c r="I54" s="26" t="s">
        <v>36</v>
      </c>
      <c r="J54" s="27" t="s">
        <v>6</v>
      </c>
      <c r="K54" s="24"/>
      <c r="L54" s="55"/>
      <c r="M54" s="55"/>
      <c r="N54" s="55"/>
      <c r="O54" s="75"/>
      <c r="P54" s="75"/>
      <c r="Q54" s="58"/>
    </row>
    <row r="55" spans="1:17">
      <c r="A55" s="67"/>
      <c r="B55" s="81"/>
      <c r="C55" s="23" t="s">
        <v>86</v>
      </c>
      <c r="D55" s="21">
        <v>2</v>
      </c>
      <c r="E55" s="83" t="str">
        <f>(MID(str_cnvt(E54),SEARCH(":",str_cnvt(E54))+1,2)-1) &amp; ":" &amp; (MID(str_cnvt(E54),SEARCH(":",str_cnvt(E54))+1,2)-D55)</f>
        <v>24:23</v>
      </c>
      <c r="F55" s="21" t="s">
        <v>41</v>
      </c>
      <c r="G55" s="21" t="s">
        <v>122</v>
      </c>
      <c r="H55" s="25" t="s">
        <v>37</v>
      </c>
      <c r="I55" s="26" t="s">
        <v>36</v>
      </c>
      <c r="J55" s="27" t="s">
        <v>6</v>
      </c>
      <c r="K55" s="24"/>
      <c r="L55" s="55"/>
      <c r="M55" s="55"/>
      <c r="N55" s="55"/>
      <c r="O55" s="75"/>
      <c r="P55" s="75"/>
      <c r="Q55" s="58"/>
    </row>
    <row r="56" spans="1:17">
      <c r="A56" s="67"/>
      <c r="B56" s="81"/>
      <c r="C56" s="23" t="s">
        <v>87</v>
      </c>
      <c r="D56" s="21">
        <v>5</v>
      </c>
      <c r="E56" s="83" t="str">
        <f>(MID(str_cnvt(E55),SEARCH(":",str_cnvt(E55))+1,2)-1) &amp; ":" &amp; (MID(str_cnvt(E55),SEARCH(":",str_cnvt(E55))+1,2)-D56)</f>
        <v>22:18</v>
      </c>
      <c r="F56" s="21" t="s">
        <v>118</v>
      </c>
      <c r="G56" s="21" t="s">
        <v>123</v>
      </c>
      <c r="H56" s="25" t="s">
        <v>37</v>
      </c>
      <c r="I56" s="26" t="s">
        <v>36</v>
      </c>
      <c r="J56" s="27" t="s">
        <v>6</v>
      </c>
      <c r="K56" s="24"/>
      <c r="L56" s="55"/>
      <c r="M56" s="55"/>
      <c r="N56" s="55"/>
      <c r="O56" s="75"/>
      <c r="P56" s="75"/>
      <c r="Q56" s="58"/>
    </row>
    <row r="57" spans="1:17">
      <c r="A57" s="67"/>
      <c r="B57" s="81"/>
      <c r="C57" s="23" t="s">
        <v>88</v>
      </c>
      <c r="D57" s="21">
        <v>1</v>
      </c>
      <c r="E57" s="83" t="str">
        <f>(MID(str_cnvt(E56),SEARCH(":",str_cnvt(E56))+1,2)-1) &amp; ":" &amp; (MID(str_cnvt(E56),SEARCH(":",str_cnvt(E56))+1,2)-D57)</f>
        <v>17:17</v>
      </c>
      <c r="F57" s="21" t="s">
        <v>7</v>
      </c>
      <c r="G57" s="21" t="s">
        <v>124</v>
      </c>
      <c r="H57" s="25" t="s">
        <v>37</v>
      </c>
      <c r="I57" s="26" t="s">
        <v>36</v>
      </c>
      <c r="J57" s="27" t="s">
        <v>6</v>
      </c>
      <c r="K57" s="24"/>
      <c r="L57" s="55"/>
      <c r="M57" s="55"/>
      <c r="N57" s="55"/>
      <c r="O57" s="75"/>
      <c r="P57" s="75"/>
      <c r="Q57" s="58"/>
    </row>
    <row r="58" spans="1:17">
      <c r="A58" s="67"/>
      <c r="B58" s="81"/>
      <c r="C58" s="23" t="s">
        <v>89</v>
      </c>
      <c r="D58" s="21">
        <v>4</v>
      </c>
      <c r="E58" s="83" t="str">
        <f>(MID(str_cnvt(E57),SEARCH(":",str_cnvt(E57))+1,2)-1) &amp; ":" &amp; (MID(str_cnvt(E57),SEARCH(":",str_cnvt(E57))+1,2)-D58)</f>
        <v>16:13</v>
      </c>
      <c r="F58" s="21" t="s">
        <v>46</v>
      </c>
      <c r="G58" s="21" t="s">
        <v>125</v>
      </c>
      <c r="H58" s="25" t="s">
        <v>37</v>
      </c>
      <c r="I58" s="26" t="s">
        <v>36</v>
      </c>
      <c r="J58" s="27" t="s">
        <v>6</v>
      </c>
      <c r="K58" s="24"/>
      <c r="L58" s="55"/>
      <c r="M58" s="55"/>
      <c r="N58" s="55"/>
      <c r="O58" s="75"/>
      <c r="P58" s="75"/>
      <c r="Q58" s="58"/>
    </row>
    <row r="59" spans="1:17">
      <c r="A59" s="67"/>
      <c r="B59" s="81"/>
      <c r="C59" s="23" t="s">
        <v>90</v>
      </c>
      <c r="D59" s="21">
        <v>6</v>
      </c>
      <c r="E59" s="83" t="str">
        <f>(MID(str_cnvt(E58),SEARCH(":",str_cnvt(E58))+1,2)-1) &amp; ":" &amp; (MID(str_cnvt(E58),SEARCH(":",str_cnvt(E58))+1,2)-D59)</f>
        <v>12:7</v>
      </c>
      <c r="F59" s="21" t="s">
        <v>119</v>
      </c>
      <c r="G59" s="21" t="s">
        <v>126</v>
      </c>
      <c r="H59" s="25" t="s">
        <v>37</v>
      </c>
      <c r="I59" s="26" t="s">
        <v>36</v>
      </c>
      <c r="J59" s="27" t="s">
        <v>6</v>
      </c>
      <c r="K59" s="24"/>
      <c r="L59" s="55"/>
      <c r="M59" s="55"/>
      <c r="N59" s="55"/>
      <c r="O59" s="75"/>
      <c r="P59" s="75"/>
      <c r="Q59" s="58"/>
    </row>
    <row r="60" spans="1:17">
      <c r="A60" s="67"/>
      <c r="B60" s="81"/>
      <c r="C60" s="23" t="s">
        <v>91</v>
      </c>
      <c r="D60" s="21">
        <v>6</v>
      </c>
      <c r="E60" s="83" t="str">
        <f>(MID(str_cnvt(E59),SEARCH(":",str_cnvt(E59))+1,2)-1) &amp; ":" &amp; (MID(str_cnvt(E59),SEARCH(":",str_cnvt(E59))+1,2)-D60)</f>
        <v>6:1</v>
      </c>
      <c r="F60" s="21" t="s">
        <v>119</v>
      </c>
      <c r="G60" s="21" t="s">
        <v>127</v>
      </c>
      <c r="H60" s="25" t="s">
        <v>37</v>
      </c>
      <c r="I60" s="26" t="s">
        <v>36</v>
      </c>
      <c r="J60" s="27" t="s">
        <v>6</v>
      </c>
      <c r="K60" s="24"/>
      <c r="L60" s="55"/>
      <c r="M60" s="55"/>
      <c r="N60" s="55"/>
      <c r="O60" s="75"/>
      <c r="P60" s="75"/>
      <c r="Q60" s="58"/>
    </row>
    <row r="61" spans="1:17" ht="15" thickBot="1">
      <c r="A61" s="68"/>
      <c r="B61" s="73"/>
      <c r="C61" s="23" t="s">
        <v>92</v>
      </c>
      <c r="D61" s="21">
        <v>1</v>
      </c>
      <c r="E61" s="83" t="str">
        <f>(MID(str_cnvt(E60),SEARCH(":",str_cnvt(E60))+1,2)-1) &amp; ":" &amp; (MID(str_cnvt(E60),SEARCH(":",str_cnvt(E60))+1,2)-D61)</f>
        <v>0:0</v>
      </c>
      <c r="F61" s="21" t="s">
        <v>7</v>
      </c>
      <c r="G61" s="21" t="s">
        <v>211</v>
      </c>
      <c r="H61" s="25" t="s">
        <v>37</v>
      </c>
      <c r="I61" s="26" t="s">
        <v>36</v>
      </c>
      <c r="J61" s="27" t="s">
        <v>6</v>
      </c>
      <c r="K61" s="24"/>
      <c r="L61" s="64"/>
      <c r="M61" s="64"/>
      <c r="N61" s="64"/>
      <c r="O61" s="76"/>
      <c r="P61" s="76"/>
      <c r="Q61" s="59"/>
    </row>
    <row r="62" spans="1:17">
      <c r="A62" s="66" t="s">
        <v>97</v>
      </c>
      <c r="B62" s="72">
        <v>20</v>
      </c>
      <c r="C62" s="78" t="str">
        <f>bitConcat(F63:F71)</f>
        <v>32'b00000000000011000000101010101010</v>
      </c>
      <c r="D62" s="79"/>
      <c r="E62" s="79"/>
      <c r="F62" s="79"/>
      <c r="G62" s="79"/>
      <c r="H62" s="79"/>
      <c r="I62" s="79"/>
      <c r="J62" s="79"/>
      <c r="K62" s="80"/>
      <c r="L62" s="63" t="str">
        <f>DEC2HEX(_xlfn.BITLSHIFT(N62,7)+4*O62)</f>
        <v>320</v>
      </c>
      <c r="M62" s="63"/>
      <c r="N62" s="63">
        <v>6</v>
      </c>
      <c r="O62" s="77">
        <v>8</v>
      </c>
      <c r="P62" s="74" t="str">
        <f>DEC2HEX(_xlfn.BITLSHIFT(N62,5)+O62*4)</f>
        <v>E0</v>
      </c>
      <c r="Q62" s="57" t="str">
        <f t="shared" si="0"/>
        <v>000C0AAA</v>
      </c>
    </row>
    <row r="63" spans="1:17" ht="15">
      <c r="A63" s="67"/>
      <c r="B63" s="81"/>
      <c r="C63" s="23" t="s">
        <v>84</v>
      </c>
      <c r="D63" s="21">
        <v>5</v>
      </c>
      <c r="E63" s="85" t="str">
        <f>IF(D63&gt;1,(31)&amp;":"&amp;(31-D63+1),(31-D63+1)&amp;":"&amp;(31-D63+1))</f>
        <v>31:27</v>
      </c>
      <c r="F63" s="21" t="s">
        <v>45</v>
      </c>
      <c r="G63" s="21" t="s">
        <v>120</v>
      </c>
      <c r="H63" s="25" t="s">
        <v>37</v>
      </c>
      <c r="I63" s="26" t="s">
        <v>36</v>
      </c>
      <c r="J63" s="27" t="s">
        <v>6</v>
      </c>
      <c r="K63" s="24"/>
      <c r="L63" s="55"/>
      <c r="M63" s="55"/>
      <c r="N63" s="55"/>
      <c r="O63" s="75"/>
      <c r="P63" s="75"/>
      <c r="Q63" s="58"/>
    </row>
    <row r="64" spans="1:17">
      <c r="A64" s="67"/>
      <c r="B64" s="81"/>
      <c r="C64" s="23" t="s">
        <v>85</v>
      </c>
      <c r="D64" s="21">
        <v>2</v>
      </c>
      <c r="E64" s="83" t="str">
        <f>(MID(str_cnvt(E63),SEARCH(":",str_cnvt(E63))+1,2)-1) &amp; ":" &amp; (MID(str_cnvt(E63),SEARCH(":",str_cnvt(E63))+1,2)-D64)</f>
        <v>26:25</v>
      </c>
      <c r="F64" s="21" t="s">
        <v>41</v>
      </c>
      <c r="G64" s="21" t="s">
        <v>121</v>
      </c>
      <c r="H64" s="25" t="s">
        <v>37</v>
      </c>
      <c r="I64" s="26" t="s">
        <v>36</v>
      </c>
      <c r="J64" s="27" t="s">
        <v>6</v>
      </c>
      <c r="K64" s="24"/>
      <c r="L64" s="55"/>
      <c r="M64" s="55"/>
      <c r="N64" s="55"/>
      <c r="O64" s="75"/>
      <c r="P64" s="75"/>
      <c r="Q64" s="58"/>
    </row>
    <row r="65" spans="1:17">
      <c r="A65" s="67"/>
      <c r="B65" s="81"/>
      <c r="C65" s="23" t="s">
        <v>86</v>
      </c>
      <c r="D65" s="21">
        <v>2</v>
      </c>
      <c r="E65" s="83" t="str">
        <f>(MID(str_cnvt(E64),SEARCH(":",str_cnvt(E64))+1,2)-1) &amp; ":" &amp; (MID(str_cnvt(E64),SEARCH(":",str_cnvt(E64))+1,2)-D65)</f>
        <v>24:23</v>
      </c>
      <c r="F65" s="21" t="s">
        <v>41</v>
      </c>
      <c r="G65" s="21" t="s">
        <v>122</v>
      </c>
      <c r="H65" s="25" t="s">
        <v>37</v>
      </c>
      <c r="I65" s="26" t="s">
        <v>36</v>
      </c>
      <c r="J65" s="27" t="s">
        <v>6</v>
      </c>
      <c r="K65" s="24"/>
      <c r="L65" s="55"/>
      <c r="M65" s="55"/>
      <c r="N65" s="55"/>
      <c r="O65" s="75"/>
      <c r="P65" s="75"/>
      <c r="Q65" s="58"/>
    </row>
    <row r="66" spans="1:17">
      <c r="A66" s="67"/>
      <c r="B66" s="81"/>
      <c r="C66" s="23" t="s">
        <v>87</v>
      </c>
      <c r="D66" s="21">
        <v>5</v>
      </c>
      <c r="E66" s="83" t="str">
        <f>(MID(str_cnvt(E65),SEARCH(":",str_cnvt(E65))+1,2)-1) &amp; ":" &amp; (MID(str_cnvt(E65),SEARCH(":",str_cnvt(E65))+1,2)-D66)</f>
        <v>22:18</v>
      </c>
      <c r="F66" s="21" t="s">
        <v>118</v>
      </c>
      <c r="G66" s="21" t="s">
        <v>123</v>
      </c>
      <c r="H66" s="25" t="s">
        <v>37</v>
      </c>
      <c r="I66" s="26" t="s">
        <v>36</v>
      </c>
      <c r="J66" s="27" t="s">
        <v>6</v>
      </c>
      <c r="K66" s="24"/>
      <c r="L66" s="55"/>
      <c r="M66" s="55"/>
      <c r="N66" s="55"/>
      <c r="O66" s="75"/>
      <c r="P66" s="75"/>
      <c r="Q66" s="58"/>
    </row>
    <row r="67" spans="1:17">
      <c r="A67" s="67"/>
      <c r="B67" s="81"/>
      <c r="C67" s="23" t="s">
        <v>88</v>
      </c>
      <c r="D67" s="21">
        <v>1</v>
      </c>
      <c r="E67" s="83" t="str">
        <f>(MID(str_cnvt(E66),SEARCH(":",str_cnvt(E66))+1,2)-1) &amp; ":" &amp; (MID(str_cnvt(E66),SEARCH(":",str_cnvt(E66))+1,2)-D67)</f>
        <v>17:17</v>
      </c>
      <c r="F67" s="21" t="s">
        <v>7</v>
      </c>
      <c r="G67" s="21" t="s">
        <v>124</v>
      </c>
      <c r="H67" s="25" t="s">
        <v>37</v>
      </c>
      <c r="I67" s="26" t="s">
        <v>36</v>
      </c>
      <c r="J67" s="27" t="s">
        <v>6</v>
      </c>
      <c r="K67" s="24"/>
      <c r="L67" s="55"/>
      <c r="M67" s="55"/>
      <c r="N67" s="55"/>
      <c r="O67" s="75"/>
      <c r="P67" s="75"/>
      <c r="Q67" s="58"/>
    </row>
    <row r="68" spans="1:17">
      <c r="A68" s="67"/>
      <c r="B68" s="81"/>
      <c r="C68" s="23" t="s">
        <v>89</v>
      </c>
      <c r="D68" s="21">
        <v>4</v>
      </c>
      <c r="E68" s="83" t="str">
        <f>(MID(str_cnvt(E67),SEARCH(":",str_cnvt(E67))+1,2)-1) &amp; ":" &amp; (MID(str_cnvt(E67),SEARCH(":",str_cnvt(E67))+1,2)-D68)</f>
        <v>16:13</v>
      </c>
      <c r="F68" s="21" t="s">
        <v>46</v>
      </c>
      <c r="G68" s="21" t="s">
        <v>125</v>
      </c>
      <c r="H68" s="25" t="s">
        <v>37</v>
      </c>
      <c r="I68" s="26" t="s">
        <v>36</v>
      </c>
      <c r="J68" s="27" t="s">
        <v>6</v>
      </c>
      <c r="K68" s="24"/>
      <c r="L68" s="55"/>
      <c r="M68" s="55"/>
      <c r="N68" s="55"/>
      <c r="O68" s="75"/>
      <c r="P68" s="75"/>
      <c r="Q68" s="58"/>
    </row>
    <row r="69" spans="1:17">
      <c r="A69" s="67"/>
      <c r="B69" s="81"/>
      <c r="C69" s="23" t="s">
        <v>90</v>
      </c>
      <c r="D69" s="21">
        <v>6</v>
      </c>
      <c r="E69" s="83" t="str">
        <f>(MID(str_cnvt(E68),SEARCH(":",str_cnvt(E68))+1,2)-1) &amp; ":" &amp; (MID(str_cnvt(E68),SEARCH(":",str_cnvt(E68))+1,2)-D69)</f>
        <v>12:7</v>
      </c>
      <c r="F69" s="21" t="s">
        <v>119</v>
      </c>
      <c r="G69" s="21" t="s">
        <v>126</v>
      </c>
      <c r="H69" s="25" t="s">
        <v>37</v>
      </c>
      <c r="I69" s="26" t="s">
        <v>36</v>
      </c>
      <c r="J69" s="27" t="s">
        <v>6</v>
      </c>
      <c r="K69" s="24"/>
      <c r="L69" s="55"/>
      <c r="M69" s="55"/>
      <c r="N69" s="55"/>
      <c r="O69" s="75"/>
      <c r="P69" s="75"/>
      <c r="Q69" s="58"/>
    </row>
    <row r="70" spans="1:17">
      <c r="A70" s="67"/>
      <c r="B70" s="81"/>
      <c r="C70" s="23" t="s">
        <v>91</v>
      </c>
      <c r="D70" s="21">
        <v>6</v>
      </c>
      <c r="E70" s="83" t="str">
        <f>(MID(str_cnvt(E69),SEARCH(":",str_cnvt(E69))+1,2)-1) &amp; ":" &amp; (MID(str_cnvt(E69),SEARCH(":",str_cnvt(E69))+1,2)-D70)</f>
        <v>6:1</v>
      </c>
      <c r="F70" s="21" t="s">
        <v>119</v>
      </c>
      <c r="G70" s="21" t="s">
        <v>127</v>
      </c>
      <c r="H70" s="25" t="s">
        <v>37</v>
      </c>
      <c r="I70" s="26" t="s">
        <v>36</v>
      </c>
      <c r="J70" s="27" t="s">
        <v>6</v>
      </c>
      <c r="K70" s="24"/>
      <c r="L70" s="55"/>
      <c r="M70" s="55"/>
      <c r="N70" s="55"/>
      <c r="O70" s="75"/>
      <c r="P70" s="75"/>
      <c r="Q70" s="58"/>
    </row>
    <row r="71" spans="1:17" ht="15" thickBot="1">
      <c r="A71" s="68"/>
      <c r="B71" s="73"/>
      <c r="C71" s="23" t="s">
        <v>92</v>
      </c>
      <c r="D71" s="21">
        <v>1</v>
      </c>
      <c r="E71" s="83" t="str">
        <f>(MID(str_cnvt(E70),SEARCH(":",str_cnvt(E70))+1,2)-1) &amp; ":" &amp; (MID(str_cnvt(E70),SEARCH(":",str_cnvt(E70))+1,2)-D71)</f>
        <v>0:0</v>
      </c>
      <c r="F71" s="21" t="s">
        <v>7</v>
      </c>
      <c r="G71" s="21" t="s">
        <v>211</v>
      </c>
      <c r="H71" s="25" t="s">
        <v>37</v>
      </c>
      <c r="I71" s="26" t="s">
        <v>36</v>
      </c>
      <c r="J71" s="27" t="s">
        <v>6</v>
      </c>
      <c r="K71" s="24"/>
      <c r="L71" s="64"/>
      <c r="M71" s="64"/>
      <c r="N71" s="64"/>
      <c r="O71" s="76"/>
      <c r="P71" s="76"/>
      <c r="Q71" s="59"/>
    </row>
    <row r="72" spans="1:17">
      <c r="A72" s="66" t="s">
        <v>82</v>
      </c>
      <c r="B72" s="72">
        <v>24</v>
      </c>
      <c r="C72" s="78" t="str">
        <f>bitConcat(F73:F73)</f>
        <v>32'b00000000000000000000000000000000</v>
      </c>
      <c r="D72" s="79"/>
      <c r="E72" s="79"/>
      <c r="F72" s="79"/>
      <c r="G72" s="79"/>
      <c r="H72" s="79"/>
      <c r="I72" s="79"/>
      <c r="J72" s="79"/>
      <c r="K72" s="80"/>
      <c r="L72" s="63" t="str">
        <f>DEC2HEX(_xlfn.BITLSHIFT(N72,7)+4*O72)</f>
        <v>324</v>
      </c>
      <c r="M72" s="63"/>
      <c r="N72" s="63">
        <v>6</v>
      </c>
      <c r="O72" s="63">
        <v>9</v>
      </c>
      <c r="P72" s="54" t="str">
        <f>DEC2HEX(_xlfn.BITLSHIFT(N72,5)+O72*4)</f>
        <v>E4</v>
      </c>
      <c r="Q72" s="57" t="str">
        <f t="shared" ref="Q72:Q74" si="1">BIN2HEX(LEFT(RIGHT(C72,32),4))&amp;BIN2HEX(LEFT(RIGHT(C72,28),4))&amp;BIN2HEX(LEFT(RIGHT(C72,24),4))&amp;BIN2HEX(LEFT(RIGHT(C72,20),4))&amp;BIN2HEX(LEFT(RIGHT(C72,16),4))&amp;BIN2HEX(LEFT(RIGHT(C72,12),4))&amp;BIN2HEX(LEFT(RIGHT(C72,8),4))&amp;BIN2HEX(LEFT(RIGHT(C72,4),4))</f>
        <v>00000000</v>
      </c>
    </row>
    <row r="73" spans="1:17" ht="15.6" thickBot="1">
      <c r="A73" s="68"/>
      <c r="B73" s="73"/>
      <c r="C73" s="23" t="s">
        <v>82</v>
      </c>
      <c r="D73" s="23">
        <v>32</v>
      </c>
      <c r="E73" s="85" t="str">
        <f>IF(D73&gt;1,(31)&amp;":"&amp;(31-D73+1),(31-D73+1)&amp;":"&amp;(31-D73+1))</f>
        <v>31:0</v>
      </c>
      <c r="F73" s="23" t="s">
        <v>55</v>
      </c>
      <c r="G73" s="23" t="s">
        <v>82</v>
      </c>
      <c r="H73" s="25" t="s">
        <v>37</v>
      </c>
      <c r="I73" s="26" t="s">
        <v>36</v>
      </c>
      <c r="J73" s="27" t="s">
        <v>6</v>
      </c>
      <c r="K73" s="23"/>
      <c r="L73" s="64"/>
      <c r="M73" s="64"/>
      <c r="N73" s="64"/>
      <c r="O73" s="64"/>
      <c r="P73" s="64"/>
      <c r="Q73" s="59"/>
    </row>
    <row r="74" spans="1:17">
      <c r="A74" s="66" t="s">
        <v>104</v>
      </c>
      <c r="B74" s="72">
        <v>28</v>
      </c>
      <c r="C74" s="78" t="str">
        <f>bitConcat(F75:F81)</f>
        <v>32'b11000110001100011000000000000000</v>
      </c>
      <c r="D74" s="79"/>
      <c r="E74" s="79"/>
      <c r="F74" s="79"/>
      <c r="G74" s="79"/>
      <c r="H74" s="79"/>
      <c r="I74" s="79"/>
      <c r="J74" s="79"/>
      <c r="K74" s="80"/>
      <c r="L74" s="63" t="str">
        <f>DEC2HEX(_xlfn.BITLSHIFT(N74,7)+4*O74)</f>
        <v>328</v>
      </c>
      <c r="M74" s="63"/>
      <c r="N74" s="63">
        <v>6</v>
      </c>
      <c r="O74" s="63">
        <v>10</v>
      </c>
      <c r="P74" s="54" t="str">
        <f>DEC2HEX(_xlfn.BITLSHIFT(N74,5)+O74*4)</f>
        <v>E8</v>
      </c>
      <c r="Q74" s="57" t="str">
        <f t="shared" si="1"/>
        <v>C6318000</v>
      </c>
    </row>
    <row r="75" spans="1:17" ht="15">
      <c r="A75" s="67"/>
      <c r="B75" s="81"/>
      <c r="C75" s="23" t="s">
        <v>98</v>
      </c>
      <c r="D75" s="21">
        <v>5</v>
      </c>
      <c r="E75" s="85" t="str">
        <f>IF(D75&gt;1,(31)&amp;":"&amp;(31-D75+1),(31-D75+1)&amp;":"&amp;(31-D75+1))</f>
        <v>31:27</v>
      </c>
      <c r="F75" s="21" t="s">
        <v>198</v>
      </c>
      <c r="G75" s="21" t="s">
        <v>199</v>
      </c>
      <c r="H75" s="25" t="s">
        <v>37</v>
      </c>
      <c r="I75" s="26" t="s">
        <v>36</v>
      </c>
      <c r="J75" s="27" t="s">
        <v>6</v>
      </c>
      <c r="K75" s="24"/>
      <c r="L75" s="55"/>
      <c r="M75" s="55"/>
      <c r="N75" s="55"/>
      <c r="O75" s="55"/>
      <c r="P75" s="55"/>
      <c r="Q75" s="58"/>
    </row>
    <row r="76" spans="1:17">
      <c r="A76" s="67"/>
      <c r="B76" s="81"/>
      <c r="C76" s="23" t="s">
        <v>99</v>
      </c>
      <c r="D76" s="21">
        <v>5</v>
      </c>
      <c r="E76" s="83" t="str">
        <f>(MID(str_cnvt(E75),SEARCH(":",str_cnvt(E75))+1,2)-1) &amp; ":" &amp; (MID(str_cnvt(E75),SEARCH(":",str_cnvt(E75))+1,2)-D76)</f>
        <v>26:22</v>
      </c>
      <c r="F76" s="21" t="s">
        <v>198</v>
      </c>
      <c r="G76" s="21" t="s">
        <v>199</v>
      </c>
      <c r="H76" s="25" t="s">
        <v>37</v>
      </c>
      <c r="I76" s="26" t="s">
        <v>36</v>
      </c>
      <c r="J76" s="27" t="s">
        <v>6</v>
      </c>
      <c r="K76" s="24"/>
      <c r="L76" s="55"/>
      <c r="M76" s="55"/>
      <c r="N76" s="55"/>
      <c r="O76" s="55"/>
      <c r="P76" s="55"/>
      <c r="Q76" s="58"/>
    </row>
    <row r="77" spans="1:17">
      <c r="A77" s="67"/>
      <c r="B77" s="81"/>
      <c r="C77" s="23" t="s">
        <v>100</v>
      </c>
      <c r="D77" s="21">
        <v>5</v>
      </c>
      <c r="E77" s="83" t="str">
        <f>(MID(str_cnvt(E76),SEARCH(":",str_cnvt(E76))+1,2)-1) &amp; ":" &amp; (MID(str_cnvt(E76),SEARCH(":",str_cnvt(E76))+1,2)-D77)</f>
        <v>21:17</v>
      </c>
      <c r="F77" s="21" t="s">
        <v>198</v>
      </c>
      <c r="G77" s="21" t="s">
        <v>199</v>
      </c>
      <c r="H77" s="25" t="s">
        <v>37</v>
      </c>
      <c r="I77" s="26" t="s">
        <v>36</v>
      </c>
      <c r="J77" s="27" t="s">
        <v>6</v>
      </c>
      <c r="K77" s="24"/>
      <c r="L77" s="55"/>
      <c r="M77" s="55"/>
      <c r="N77" s="55"/>
      <c r="O77" s="55"/>
      <c r="P77" s="55"/>
      <c r="Q77" s="58"/>
    </row>
    <row r="78" spans="1:17">
      <c r="A78" s="67"/>
      <c r="B78" s="81"/>
      <c r="C78" s="23" t="s">
        <v>101</v>
      </c>
      <c r="D78" s="21">
        <v>5</v>
      </c>
      <c r="E78" s="83" t="str">
        <f>(MID(str_cnvt(E77),SEARCH(":",str_cnvt(E77))+1,2)-1) &amp; ":" &amp; (MID(str_cnvt(E77),SEARCH(":",str_cnvt(E77))+1,2)-D78)</f>
        <v>16:12</v>
      </c>
      <c r="F78" s="21" t="s">
        <v>198</v>
      </c>
      <c r="G78" s="21" t="s">
        <v>199</v>
      </c>
      <c r="H78" s="25" t="s">
        <v>37</v>
      </c>
      <c r="I78" s="26" t="s">
        <v>36</v>
      </c>
      <c r="J78" s="27" t="s">
        <v>6</v>
      </c>
      <c r="K78" s="24"/>
      <c r="L78" s="55"/>
      <c r="M78" s="55"/>
      <c r="N78" s="55"/>
      <c r="O78" s="55"/>
      <c r="P78" s="55"/>
      <c r="Q78" s="58"/>
    </row>
    <row r="79" spans="1:17">
      <c r="A79" s="67"/>
      <c r="B79" s="81"/>
      <c r="C79" s="23" t="s">
        <v>102</v>
      </c>
      <c r="D79" s="21">
        <v>4</v>
      </c>
      <c r="E79" s="83" t="str">
        <f>(MID(str_cnvt(E78),SEARCH(":",str_cnvt(E78))+1,2)-1) &amp; ":" &amp; (MID(str_cnvt(E78),SEARCH(":",str_cnvt(E78))+1,2)-D79)</f>
        <v>11:8</v>
      </c>
      <c r="F79" s="21" t="s">
        <v>46</v>
      </c>
      <c r="G79" s="43" t="s">
        <v>151</v>
      </c>
      <c r="H79" s="25" t="s">
        <v>37</v>
      </c>
      <c r="I79" s="26" t="s">
        <v>36</v>
      </c>
      <c r="J79" s="27" t="s">
        <v>6</v>
      </c>
      <c r="K79" s="24"/>
      <c r="L79" s="55"/>
      <c r="M79" s="55"/>
      <c r="N79" s="55"/>
      <c r="O79" s="55"/>
      <c r="P79" s="55"/>
      <c r="Q79" s="58"/>
    </row>
    <row r="80" spans="1:17">
      <c r="A80" s="67"/>
      <c r="B80" s="81"/>
      <c r="C80" s="23" t="s">
        <v>202</v>
      </c>
      <c r="D80" s="21">
        <v>4</v>
      </c>
      <c r="E80" s="83" t="str">
        <f>(MID(str_cnvt(E79),SEARCH(":",str_cnvt(E79))+1,2)-1) &amp; ":" &amp; (MID(str_cnvt(E79),SEARCH(":",str_cnvt(E79))+1,2)-D80)</f>
        <v>7:4</v>
      </c>
      <c r="F80" s="21" t="s">
        <v>46</v>
      </c>
      <c r="G80" s="44" t="s">
        <v>204</v>
      </c>
      <c r="H80" s="25" t="s">
        <v>37</v>
      </c>
      <c r="I80" s="26" t="s">
        <v>36</v>
      </c>
      <c r="J80" s="27" t="s">
        <v>6</v>
      </c>
      <c r="K80" s="24"/>
      <c r="L80" s="55"/>
      <c r="M80" s="55"/>
      <c r="N80" s="55"/>
      <c r="O80" s="55"/>
      <c r="P80" s="55"/>
      <c r="Q80" s="58"/>
    </row>
    <row r="81" spans="1:17" ht="15" thickBot="1">
      <c r="A81" s="67"/>
      <c r="B81" s="81"/>
      <c r="C81" s="23" t="s">
        <v>203</v>
      </c>
      <c r="D81" s="21">
        <v>4</v>
      </c>
      <c r="E81" s="83" t="str">
        <f>(MID(str_cnvt(E80),SEARCH(":",str_cnvt(E80))+1,2)-1) &amp; ":" &amp; (MID(str_cnvt(E80),SEARCH(":",str_cnvt(E80))+1,2)-D81)</f>
        <v>3:0</v>
      </c>
      <c r="F81" s="21" t="s">
        <v>46</v>
      </c>
      <c r="G81" s="44" t="s">
        <v>204</v>
      </c>
      <c r="H81" s="25" t="s">
        <v>37</v>
      </c>
      <c r="I81" s="26" t="s">
        <v>36</v>
      </c>
      <c r="J81" s="27" t="s">
        <v>6</v>
      </c>
      <c r="K81" s="24"/>
      <c r="L81" s="55"/>
      <c r="M81" s="55"/>
      <c r="N81" s="55"/>
      <c r="O81" s="55"/>
      <c r="P81" s="55"/>
      <c r="Q81" s="58"/>
    </row>
    <row r="82" spans="1:17" ht="14.4" customHeight="1">
      <c r="A82" s="66" t="s">
        <v>105</v>
      </c>
      <c r="B82" s="72" t="s">
        <v>108</v>
      </c>
      <c r="C82" s="60" t="str">
        <f>bitConcat(F83:F89)</f>
        <v>32'b11000110001100011000000000000000</v>
      </c>
      <c r="D82" s="61"/>
      <c r="E82" s="61"/>
      <c r="F82" s="61"/>
      <c r="G82" s="61"/>
      <c r="H82" s="61"/>
      <c r="I82" s="61"/>
      <c r="J82" s="61"/>
      <c r="K82" s="62"/>
      <c r="L82" s="77" t="str">
        <f>DEC2HEX(_xlfn.BITLSHIFT(N82,7)+4*O82)</f>
        <v>32C</v>
      </c>
      <c r="M82" s="77"/>
      <c r="N82" s="63">
        <v>6</v>
      </c>
      <c r="O82" s="77">
        <v>11</v>
      </c>
      <c r="P82" s="54" t="str">
        <f>DEC2HEX(_xlfn.BITLSHIFT(N82,5)+O82*4)</f>
        <v>EC</v>
      </c>
      <c r="Q82" s="57" t="str">
        <f>BIN2HEX(LEFT(RIGHT(C82,32),4))&amp;BIN2HEX(LEFT(RIGHT(C82,28),4))&amp;BIN2HEX(LEFT(RIGHT(C82,24),4))&amp;BIN2HEX(LEFT(RIGHT(C82,20),4))&amp;BIN2HEX(LEFT(RIGHT(C82,16),4))&amp;BIN2HEX(LEFT(RIGHT(C82,12),4))&amp;BIN2HEX(LEFT(RIGHT(C82,8),4))&amp;BIN2HEX(LEFT(RIGHT(C82,4),4))</f>
        <v>C6318000</v>
      </c>
    </row>
    <row r="83" spans="1:17" ht="15">
      <c r="A83" s="67"/>
      <c r="B83" s="81"/>
      <c r="C83" s="23" t="s">
        <v>98</v>
      </c>
      <c r="D83" s="21">
        <v>5</v>
      </c>
      <c r="E83" s="85" t="str">
        <f>IF(D83&gt;1,(31)&amp;":"&amp;(31-D83+1),(31-D83+1)&amp;":"&amp;(31-D83+1))</f>
        <v>31:27</v>
      </c>
      <c r="F83" s="21" t="s">
        <v>198</v>
      </c>
      <c r="G83" s="21" t="s">
        <v>199</v>
      </c>
      <c r="H83" s="25" t="s">
        <v>37</v>
      </c>
      <c r="I83" s="26" t="s">
        <v>36</v>
      </c>
      <c r="J83" s="27" t="s">
        <v>6</v>
      </c>
      <c r="K83" s="24"/>
      <c r="L83" s="75"/>
      <c r="M83" s="75"/>
      <c r="N83" s="55"/>
      <c r="O83" s="75"/>
      <c r="P83" s="55"/>
      <c r="Q83" s="58"/>
    </row>
    <row r="84" spans="1:17">
      <c r="A84" s="67"/>
      <c r="B84" s="81"/>
      <c r="C84" s="23" t="s">
        <v>99</v>
      </c>
      <c r="D84" s="21">
        <v>5</v>
      </c>
      <c r="E84" s="83" t="str">
        <f>(MID(str_cnvt(E83),SEARCH(":",str_cnvt(E83))+1,2)-1) &amp; ":" &amp; (MID(str_cnvt(E83),SEARCH(":",str_cnvt(E83))+1,2)-D84)</f>
        <v>26:22</v>
      </c>
      <c r="F84" s="21" t="s">
        <v>198</v>
      </c>
      <c r="G84" s="21" t="s">
        <v>199</v>
      </c>
      <c r="H84" s="25" t="s">
        <v>37</v>
      </c>
      <c r="I84" s="26" t="s">
        <v>36</v>
      </c>
      <c r="J84" s="27" t="s">
        <v>6</v>
      </c>
      <c r="K84" s="24"/>
      <c r="L84" s="75"/>
      <c r="M84" s="75"/>
      <c r="N84" s="55"/>
      <c r="O84" s="75"/>
      <c r="P84" s="55"/>
      <c r="Q84" s="58"/>
    </row>
    <row r="85" spans="1:17">
      <c r="A85" s="67"/>
      <c r="B85" s="81"/>
      <c r="C85" s="23" t="s">
        <v>100</v>
      </c>
      <c r="D85" s="21">
        <v>5</v>
      </c>
      <c r="E85" s="83" t="str">
        <f>(MID(str_cnvt(E84),SEARCH(":",str_cnvt(E84))+1,2)-1) &amp; ":" &amp; (MID(str_cnvt(E84),SEARCH(":",str_cnvt(E84))+1,2)-D85)</f>
        <v>21:17</v>
      </c>
      <c r="F85" s="21" t="s">
        <v>198</v>
      </c>
      <c r="G85" s="21" t="s">
        <v>199</v>
      </c>
      <c r="H85" s="25" t="s">
        <v>37</v>
      </c>
      <c r="I85" s="26" t="s">
        <v>36</v>
      </c>
      <c r="J85" s="27" t="s">
        <v>6</v>
      </c>
      <c r="K85" s="24"/>
      <c r="L85" s="75"/>
      <c r="M85" s="75"/>
      <c r="N85" s="55"/>
      <c r="O85" s="75"/>
      <c r="P85" s="55"/>
      <c r="Q85" s="58"/>
    </row>
    <row r="86" spans="1:17">
      <c r="A86" s="67"/>
      <c r="B86" s="81"/>
      <c r="C86" s="23" t="s">
        <v>101</v>
      </c>
      <c r="D86" s="21">
        <v>5</v>
      </c>
      <c r="E86" s="83" t="str">
        <f>(MID(str_cnvt(E85),SEARCH(":",str_cnvt(E85))+1,2)-1) &amp; ":" &amp; (MID(str_cnvt(E85),SEARCH(":",str_cnvt(E85))+1,2)-D86)</f>
        <v>16:12</v>
      </c>
      <c r="F86" s="21" t="s">
        <v>198</v>
      </c>
      <c r="G86" s="21" t="s">
        <v>199</v>
      </c>
      <c r="H86" s="25" t="s">
        <v>37</v>
      </c>
      <c r="I86" s="26" t="s">
        <v>36</v>
      </c>
      <c r="J86" s="27" t="s">
        <v>6</v>
      </c>
      <c r="K86" s="24"/>
      <c r="L86" s="75"/>
      <c r="M86" s="75"/>
      <c r="N86" s="55"/>
      <c r="O86" s="75"/>
      <c r="P86" s="55"/>
      <c r="Q86" s="58"/>
    </row>
    <row r="87" spans="1:17">
      <c r="A87" s="67"/>
      <c r="B87" s="81"/>
      <c r="C87" s="23" t="s">
        <v>102</v>
      </c>
      <c r="D87" s="21">
        <v>4</v>
      </c>
      <c r="E87" s="83" t="str">
        <f>(MID(str_cnvt(E86),SEARCH(":",str_cnvt(E86))+1,2)-1) &amp; ":" &amp; (MID(str_cnvt(E86),SEARCH(":",str_cnvt(E86))+1,2)-D87)</f>
        <v>11:8</v>
      </c>
      <c r="F87" s="21" t="s">
        <v>46</v>
      </c>
      <c r="G87" s="43" t="s">
        <v>151</v>
      </c>
      <c r="H87" s="25" t="s">
        <v>37</v>
      </c>
      <c r="I87" s="26" t="s">
        <v>36</v>
      </c>
      <c r="J87" s="27" t="s">
        <v>6</v>
      </c>
      <c r="K87" s="24"/>
      <c r="L87" s="75"/>
      <c r="M87" s="75"/>
      <c r="N87" s="55"/>
      <c r="O87" s="75"/>
      <c r="P87" s="55"/>
      <c r="Q87" s="58"/>
    </row>
    <row r="88" spans="1:17">
      <c r="A88" s="67"/>
      <c r="B88" s="81"/>
      <c r="C88" s="23" t="s">
        <v>202</v>
      </c>
      <c r="D88" s="21">
        <v>4</v>
      </c>
      <c r="E88" s="83" t="str">
        <f>(MID(str_cnvt(E87),SEARCH(":",str_cnvt(E87))+1,2)-1) &amp; ":" &amp; (MID(str_cnvt(E87),SEARCH(":",str_cnvt(E87))+1,2)-D88)</f>
        <v>7:4</v>
      </c>
      <c r="F88" s="21" t="s">
        <v>46</v>
      </c>
      <c r="G88" s="44" t="s">
        <v>204</v>
      </c>
      <c r="H88" s="25" t="s">
        <v>37</v>
      </c>
      <c r="I88" s="26" t="s">
        <v>36</v>
      </c>
      <c r="J88" s="27" t="s">
        <v>6</v>
      </c>
      <c r="K88" s="24"/>
      <c r="L88" s="75"/>
      <c r="M88" s="75"/>
      <c r="N88" s="55"/>
      <c r="O88" s="75"/>
      <c r="P88" s="55"/>
      <c r="Q88" s="58"/>
    </row>
    <row r="89" spans="1:17" ht="15" thickBot="1">
      <c r="A89" s="67"/>
      <c r="B89" s="81"/>
      <c r="C89" s="23" t="s">
        <v>203</v>
      </c>
      <c r="D89" s="21">
        <v>4</v>
      </c>
      <c r="E89" s="83" t="str">
        <f>(MID(str_cnvt(E88),SEARCH(":",str_cnvt(E88))+1,2)-1) &amp; ":" &amp; (MID(str_cnvt(E88),SEARCH(":",str_cnvt(E88))+1,2)-D89)</f>
        <v>3:0</v>
      </c>
      <c r="F89" s="21" t="s">
        <v>46</v>
      </c>
      <c r="G89" s="44" t="s">
        <v>204</v>
      </c>
      <c r="H89" s="25" t="s">
        <v>37</v>
      </c>
      <c r="I89" s="26" t="s">
        <v>36</v>
      </c>
      <c r="J89" s="27" t="s">
        <v>6</v>
      </c>
      <c r="K89" s="24"/>
      <c r="L89" s="75"/>
      <c r="M89" s="75"/>
      <c r="N89" s="55"/>
      <c r="O89" s="75"/>
      <c r="P89" s="55"/>
      <c r="Q89" s="58"/>
    </row>
    <row r="90" spans="1:17" ht="14.4" customHeight="1">
      <c r="A90" s="66" t="s">
        <v>106</v>
      </c>
      <c r="B90" s="72">
        <v>30</v>
      </c>
      <c r="C90" s="60" t="str">
        <f>bitConcat(F91:F97)</f>
        <v>32'b11000110001100011000000000000000</v>
      </c>
      <c r="D90" s="61"/>
      <c r="E90" s="61"/>
      <c r="F90" s="61"/>
      <c r="G90" s="61"/>
      <c r="H90" s="61"/>
      <c r="I90" s="61"/>
      <c r="J90" s="61"/>
      <c r="K90" s="62"/>
      <c r="L90" s="77" t="str">
        <f>DEC2HEX(_xlfn.BITLSHIFT(N90,7)+4*O90)</f>
        <v>330</v>
      </c>
      <c r="M90" s="77"/>
      <c r="N90" s="63">
        <v>6</v>
      </c>
      <c r="O90" s="77">
        <v>12</v>
      </c>
      <c r="P90" s="54" t="str">
        <f>DEC2HEX(_xlfn.BITLSHIFT(N90,5)+O90*4)</f>
        <v>F0</v>
      </c>
      <c r="Q90" s="57" t="str">
        <f>BIN2HEX(LEFT(RIGHT(C90,32),4))&amp;BIN2HEX(LEFT(RIGHT(C90,28),4))&amp;BIN2HEX(LEFT(RIGHT(C90,24),4))&amp;BIN2HEX(LEFT(RIGHT(C90,20),4))&amp;BIN2HEX(LEFT(RIGHT(C90,16),4))&amp;BIN2HEX(LEFT(RIGHT(C90,12),4))&amp;BIN2HEX(LEFT(RIGHT(C90,8),4))&amp;BIN2HEX(LEFT(RIGHT(C90,4),4))</f>
        <v>C6318000</v>
      </c>
    </row>
    <row r="91" spans="1:17" ht="15">
      <c r="A91" s="67"/>
      <c r="B91" s="81"/>
      <c r="C91" s="23" t="s">
        <v>98</v>
      </c>
      <c r="D91" s="21">
        <v>5</v>
      </c>
      <c r="E91" s="85" t="str">
        <f>IF(D91&gt;1,(31)&amp;":"&amp;(31-D91+1),(31-D91+1)&amp;":"&amp;(31-D91+1))</f>
        <v>31:27</v>
      </c>
      <c r="F91" s="21" t="s">
        <v>198</v>
      </c>
      <c r="G91" s="21" t="s">
        <v>199</v>
      </c>
      <c r="H91" s="25" t="s">
        <v>37</v>
      </c>
      <c r="I91" s="26" t="s">
        <v>36</v>
      </c>
      <c r="J91" s="27" t="s">
        <v>6</v>
      </c>
      <c r="K91" s="24"/>
      <c r="L91" s="75"/>
      <c r="M91" s="75"/>
      <c r="N91" s="55"/>
      <c r="O91" s="75"/>
      <c r="P91" s="55"/>
      <c r="Q91" s="58"/>
    </row>
    <row r="92" spans="1:17">
      <c r="A92" s="67"/>
      <c r="B92" s="81"/>
      <c r="C92" s="23" t="s">
        <v>99</v>
      </c>
      <c r="D92" s="21">
        <v>5</v>
      </c>
      <c r="E92" s="83" t="str">
        <f>(MID(str_cnvt(E91),SEARCH(":",str_cnvt(E91))+1,2)-1) &amp; ":" &amp; (MID(str_cnvt(E91),SEARCH(":",str_cnvt(E91))+1,2)-D92)</f>
        <v>26:22</v>
      </c>
      <c r="F92" s="21" t="s">
        <v>198</v>
      </c>
      <c r="G92" s="21" t="s">
        <v>199</v>
      </c>
      <c r="H92" s="25" t="s">
        <v>37</v>
      </c>
      <c r="I92" s="26" t="s">
        <v>36</v>
      </c>
      <c r="J92" s="27" t="s">
        <v>6</v>
      </c>
      <c r="K92" s="24"/>
      <c r="L92" s="75"/>
      <c r="M92" s="75"/>
      <c r="N92" s="55"/>
      <c r="O92" s="75"/>
      <c r="P92" s="55"/>
      <c r="Q92" s="58"/>
    </row>
    <row r="93" spans="1:17">
      <c r="A93" s="67"/>
      <c r="B93" s="81"/>
      <c r="C93" s="23" t="s">
        <v>100</v>
      </c>
      <c r="D93" s="21">
        <v>5</v>
      </c>
      <c r="E93" s="83" t="str">
        <f>(MID(str_cnvt(E92),SEARCH(":",str_cnvt(E92))+1,2)-1) &amp; ":" &amp; (MID(str_cnvt(E92),SEARCH(":",str_cnvt(E92))+1,2)-D93)</f>
        <v>21:17</v>
      </c>
      <c r="F93" s="21" t="s">
        <v>198</v>
      </c>
      <c r="G93" s="21" t="s">
        <v>199</v>
      </c>
      <c r="H93" s="25" t="s">
        <v>37</v>
      </c>
      <c r="I93" s="26" t="s">
        <v>36</v>
      </c>
      <c r="J93" s="27" t="s">
        <v>6</v>
      </c>
      <c r="K93" s="24"/>
      <c r="L93" s="75"/>
      <c r="M93" s="75"/>
      <c r="N93" s="55"/>
      <c r="O93" s="75"/>
      <c r="P93" s="55"/>
      <c r="Q93" s="58"/>
    </row>
    <row r="94" spans="1:17">
      <c r="A94" s="67"/>
      <c r="B94" s="81"/>
      <c r="C94" s="23" t="s">
        <v>101</v>
      </c>
      <c r="D94" s="21">
        <v>5</v>
      </c>
      <c r="E94" s="83" t="str">
        <f>(MID(str_cnvt(E93),SEARCH(":",str_cnvt(E93))+1,2)-1) &amp; ":" &amp; (MID(str_cnvt(E93),SEARCH(":",str_cnvt(E93))+1,2)-D94)</f>
        <v>16:12</v>
      </c>
      <c r="F94" s="21" t="s">
        <v>198</v>
      </c>
      <c r="G94" s="21" t="s">
        <v>199</v>
      </c>
      <c r="H94" s="25" t="s">
        <v>37</v>
      </c>
      <c r="I94" s="26" t="s">
        <v>36</v>
      </c>
      <c r="J94" s="27" t="s">
        <v>6</v>
      </c>
      <c r="K94" s="24"/>
      <c r="L94" s="75"/>
      <c r="M94" s="75"/>
      <c r="N94" s="55"/>
      <c r="O94" s="75"/>
      <c r="P94" s="55"/>
      <c r="Q94" s="58"/>
    </row>
    <row r="95" spans="1:17">
      <c r="A95" s="67"/>
      <c r="B95" s="81"/>
      <c r="C95" s="23" t="s">
        <v>102</v>
      </c>
      <c r="D95" s="21">
        <v>4</v>
      </c>
      <c r="E95" s="83" t="str">
        <f>(MID(str_cnvt(E94),SEARCH(":",str_cnvt(E94))+1,2)-1) &amp; ":" &amp; (MID(str_cnvt(E94),SEARCH(":",str_cnvt(E94))+1,2)-D95)</f>
        <v>11:8</v>
      </c>
      <c r="F95" s="21" t="s">
        <v>46</v>
      </c>
      <c r="G95" s="43" t="s">
        <v>151</v>
      </c>
      <c r="H95" s="25" t="s">
        <v>37</v>
      </c>
      <c r="I95" s="26" t="s">
        <v>36</v>
      </c>
      <c r="J95" s="27" t="s">
        <v>6</v>
      </c>
      <c r="K95" s="24"/>
      <c r="L95" s="75"/>
      <c r="M95" s="75"/>
      <c r="N95" s="55"/>
      <c r="O95" s="75"/>
      <c r="P95" s="55"/>
      <c r="Q95" s="58"/>
    </row>
    <row r="96" spans="1:17">
      <c r="A96" s="67"/>
      <c r="B96" s="81"/>
      <c r="C96" s="23" t="s">
        <v>202</v>
      </c>
      <c r="D96" s="21">
        <v>4</v>
      </c>
      <c r="E96" s="83" t="str">
        <f>(MID(str_cnvt(E95),SEARCH(":",str_cnvt(E95))+1,2)-1) &amp; ":" &amp; (MID(str_cnvt(E95),SEARCH(":",str_cnvt(E95))+1,2)-D96)</f>
        <v>7:4</v>
      </c>
      <c r="F96" s="21" t="s">
        <v>46</v>
      </c>
      <c r="G96" s="44" t="s">
        <v>204</v>
      </c>
      <c r="H96" s="25" t="s">
        <v>37</v>
      </c>
      <c r="I96" s="26" t="s">
        <v>36</v>
      </c>
      <c r="J96" s="27" t="s">
        <v>6</v>
      </c>
      <c r="K96" s="24"/>
      <c r="L96" s="75"/>
      <c r="M96" s="75"/>
      <c r="N96" s="55"/>
      <c r="O96" s="75"/>
      <c r="P96" s="55"/>
      <c r="Q96" s="58"/>
    </row>
    <row r="97" spans="1:17" ht="15" thickBot="1">
      <c r="A97" s="67"/>
      <c r="B97" s="81"/>
      <c r="C97" s="23" t="s">
        <v>203</v>
      </c>
      <c r="D97" s="21">
        <v>4</v>
      </c>
      <c r="E97" s="83" t="str">
        <f>(MID(str_cnvt(E96),SEARCH(":",str_cnvt(E96))+1,2)-1) &amp; ":" &amp; (MID(str_cnvt(E96),SEARCH(":",str_cnvt(E96))+1,2)-D97)</f>
        <v>3:0</v>
      </c>
      <c r="F97" s="21" t="s">
        <v>46</v>
      </c>
      <c r="G97" s="44" t="s">
        <v>204</v>
      </c>
      <c r="H97" s="25" t="s">
        <v>37</v>
      </c>
      <c r="I97" s="26" t="s">
        <v>36</v>
      </c>
      <c r="J97" s="27" t="s">
        <v>6</v>
      </c>
      <c r="K97" s="24"/>
      <c r="L97" s="75"/>
      <c r="M97" s="75"/>
      <c r="N97" s="55"/>
      <c r="O97" s="75"/>
      <c r="P97" s="55"/>
      <c r="Q97" s="58"/>
    </row>
    <row r="98" spans="1:17" ht="14.4" customHeight="1">
      <c r="A98" s="66" t="s">
        <v>107</v>
      </c>
      <c r="B98" s="72">
        <v>34</v>
      </c>
      <c r="C98" s="60" t="str">
        <f>bitConcat(F99:F105)</f>
        <v>32'b11000110001100011000000000000000</v>
      </c>
      <c r="D98" s="61"/>
      <c r="E98" s="61"/>
      <c r="F98" s="61"/>
      <c r="G98" s="61"/>
      <c r="H98" s="61"/>
      <c r="I98" s="61"/>
      <c r="J98" s="61"/>
      <c r="K98" s="62"/>
      <c r="L98" s="77" t="str">
        <f>DEC2HEX(_xlfn.BITLSHIFT(N98,7)+4*O98)</f>
        <v>334</v>
      </c>
      <c r="M98" s="77"/>
      <c r="N98" s="63">
        <v>6</v>
      </c>
      <c r="O98" s="77">
        <v>13</v>
      </c>
      <c r="P98" s="54" t="str">
        <f>DEC2HEX(_xlfn.BITLSHIFT(N98,5)+O98*4)</f>
        <v>F4</v>
      </c>
      <c r="Q98" s="57" t="str">
        <f>BIN2HEX(LEFT(RIGHT(C98,32),4))&amp;BIN2HEX(LEFT(RIGHT(C98,28),4))&amp;BIN2HEX(LEFT(RIGHT(C98,24),4))&amp;BIN2HEX(LEFT(RIGHT(C98,20),4))&amp;BIN2HEX(LEFT(RIGHT(C98,16),4))&amp;BIN2HEX(LEFT(RIGHT(C98,12),4))&amp;BIN2HEX(LEFT(RIGHT(C98,8),4))&amp;BIN2HEX(LEFT(RIGHT(C98,4),4))</f>
        <v>C6318000</v>
      </c>
    </row>
    <row r="99" spans="1:17" ht="15">
      <c r="A99" s="67"/>
      <c r="B99" s="81"/>
      <c r="C99" s="23" t="s">
        <v>98</v>
      </c>
      <c r="D99" s="21">
        <v>5</v>
      </c>
      <c r="E99" s="85" t="str">
        <f>IF(D99&gt;1,(31)&amp;":"&amp;(31-D99+1),(31-D99+1)&amp;":"&amp;(31-D99+1))</f>
        <v>31:27</v>
      </c>
      <c r="F99" s="21" t="s">
        <v>198</v>
      </c>
      <c r="G99" s="21" t="s">
        <v>199</v>
      </c>
      <c r="H99" s="25" t="s">
        <v>37</v>
      </c>
      <c r="I99" s="26" t="s">
        <v>36</v>
      </c>
      <c r="J99" s="27" t="s">
        <v>6</v>
      </c>
      <c r="K99" s="24"/>
      <c r="L99" s="75"/>
      <c r="M99" s="75"/>
      <c r="N99" s="55"/>
      <c r="O99" s="75"/>
      <c r="P99" s="55"/>
      <c r="Q99" s="58"/>
    </row>
    <row r="100" spans="1:17">
      <c r="A100" s="67"/>
      <c r="B100" s="81"/>
      <c r="C100" s="23" t="s">
        <v>99</v>
      </c>
      <c r="D100" s="21">
        <v>5</v>
      </c>
      <c r="E100" s="83" t="str">
        <f>(MID(str_cnvt(E99),SEARCH(":",str_cnvt(E99))+1,2)-1) &amp; ":" &amp; (MID(str_cnvt(E99),SEARCH(":",str_cnvt(E99))+1,2)-D100)</f>
        <v>26:22</v>
      </c>
      <c r="F100" s="21" t="s">
        <v>198</v>
      </c>
      <c r="G100" s="21" t="s">
        <v>199</v>
      </c>
      <c r="H100" s="25" t="s">
        <v>37</v>
      </c>
      <c r="I100" s="26" t="s">
        <v>36</v>
      </c>
      <c r="J100" s="27" t="s">
        <v>6</v>
      </c>
      <c r="K100" s="24"/>
      <c r="L100" s="75"/>
      <c r="M100" s="75"/>
      <c r="N100" s="55"/>
      <c r="O100" s="75"/>
      <c r="P100" s="55"/>
      <c r="Q100" s="58"/>
    </row>
    <row r="101" spans="1:17">
      <c r="A101" s="67"/>
      <c r="B101" s="81"/>
      <c r="C101" s="23" t="s">
        <v>100</v>
      </c>
      <c r="D101" s="21">
        <v>5</v>
      </c>
      <c r="E101" s="83" t="str">
        <f>(MID(str_cnvt(E100),SEARCH(":",str_cnvt(E100))+1,2)-1) &amp; ":" &amp; (MID(str_cnvt(E100),SEARCH(":",str_cnvt(E100))+1,2)-D101)</f>
        <v>21:17</v>
      </c>
      <c r="F101" s="21" t="s">
        <v>198</v>
      </c>
      <c r="G101" s="21" t="s">
        <v>199</v>
      </c>
      <c r="H101" s="25" t="s">
        <v>37</v>
      </c>
      <c r="I101" s="26" t="s">
        <v>36</v>
      </c>
      <c r="J101" s="27" t="s">
        <v>6</v>
      </c>
      <c r="K101" s="24"/>
      <c r="L101" s="75"/>
      <c r="M101" s="75"/>
      <c r="N101" s="55"/>
      <c r="O101" s="75"/>
      <c r="P101" s="55"/>
      <c r="Q101" s="58"/>
    </row>
    <row r="102" spans="1:17">
      <c r="A102" s="67"/>
      <c r="B102" s="81"/>
      <c r="C102" s="23" t="s">
        <v>101</v>
      </c>
      <c r="D102" s="21">
        <v>5</v>
      </c>
      <c r="E102" s="83" t="str">
        <f>(MID(str_cnvt(E101),SEARCH(":",str_cnvt(E101))+1,2)-1) &amp; ":" &amp; (MID(str_cnvt(E101),SEARCH(":",str_cnvt(E101))+1,2)-D102)</f>
        <v>16:12</v>
      </c>
      <c r="F102" s="21" t="s">
        <v>198</v>
      </c>
      <c r="G102" s="21" t="s">
        <v>199</v>
      </c>
      <c r="H102" s="25" t="s">
        <v>37</v>
      </c>
      <c r="I102" s="26" t="s">
        <v>36</v>
      </c>
      <c r="J102" s="27" t="s">
        <v>6</v>
      </c>
      <c r="K102" s="24"/>
      <c r="L102" s="75"/>
      <c r="M102" s="75"/>
      <c r="N102" s="55"/>
      <c r="O102" s="75"/>
      <c r="P102" s="55"/>
      <c r="Q102" s="58"/>
    </row>
    <row r="103" spans="1:17">
      <c r="A103" s="67"/>
      <c r="B103" s="81"/>
      <c r="C103" s="23" t="s">
        <v>102</v>
      </c>
      <c r="D103" s="21">
        <v>4</v>
      </c>
      <c r="E103" s="83" t="str">
        <f>(MID(str_cnvt(E102),SEARCH(":",str_cnvt(E102))+1,2)-1) &amp; ":" &amp; (MID(str_cnvt(E102),SEARCH(":",str_cnvt(E102))+1,2)-D103)</f>
        <v>11:8</v>
      </c>
      <c r="F103" s="21" t="s">
        <v>46</v>
      </c>
      <c r="G103" s="43" t="s">
        <v>151</v>
      </c>
      <c r="H103" s="25" t="s">
        <v>37</v>
      </c>
      <c r="I103" s="26" t="s">
        <v>36</v>
      </c>
      <c r="J103" s="27" t="s">
        <v>6</v>
      </c>
      <c r="K103" s="24"/>
      <c r="L103" s="75"/>
      <c r="M103" s="75"/>
      <c r="N103" s="55"/>
      <c r="O103" s="75"/>
      <c r="P103" s="55"/>
      <c r="Q103" s="58"/>
    </row>
    <row r="104" spans="1:17">
      <c r="A104" s="67"/>
      <c r="B104" s="81"/>
      <c r="C104" s="23" t="s">
        <v>202</v>
      </c>
      <c r="D104" s="21">
        <v>4</v>
      </c>
      <c r="E104" s="83" t="str">
        <f>(MID(str_cnvt(E103),SEARCH(":",str_cnvt(E103))+1,2)-1) &amp; ":" &amp; (MID(str_cnvt(E103),SEARCH(":",str_cnvt(E103))+1,2)-D104)</f>
        <v>7:4</v>
      </c>
      <c r="F104" s="21" t="s">
        <v>46</v>
      </c>
      <c r="G104" s="44" t="s">
        <v>204</v>
      </c>
      <c r="H104" s="25" t="s">
        <v>37</v>
      </c>
      <c r="I104" s="26" t="s">
        <v>36</v>
      </c>
      <c r="J104" s="27" t="s">
        <v>6</v>
      </c>
      <c r="K104" s="24"/>
      <c r="L104" s="75"/>
      <c r="M104" s="75"/>
      <c r="N104" s="55"/>
      <c r="O104" s="75"/>
      <c r="P104" s="55"/>
      <c r="Q104" s="58"/>
    </row>
    <row r="105" spans="1:17" ht="15" thickBot="1">
      <c r="A105" s="67"/>
      <c r="B105" s="81"/>
      <c r="C105" s="23" t="s">
        <v>203</v>
      </c>
      <c r="D105" s="21">
        <v>4</v>
      </c>
      <c r="E105" s="83" t="str">
        <f>(MID(str_cnvt(E104),SEARCH(":",str_cnvt(E104))+1,2)-1) &amp; ":" &amp; (MID(str_cnvt(E104),SEARCH(":",str_cnvt(E104))+1,2)-D105)</f>
        <v>3:0</v>
      </c>
      <c r="F105" s="21" t="s">
        <v>46</v>
      </c>
      <c r="G105" s="44" t="s">
        <v>204</v>
      </c>
      <c r="H105" s="25" t="s">
        <v>37</v>
      </c>
      <c r="I105" s="26" t="s">
        <v>36</v>
      </c>
      <c r="J105" s="27" t="s">
        <v>6</v>
      </c>
      <c r="K105" s="24"/>
      <c r="L105" s="75"/>
      <c r="M105" s="75"/>
      <c r="N105" s="55"/>
      <c r="O105" s="75"/>
      <c r="P105" s="55"/>
      <c r="Q105" s="58"/>
    </row>
    <row r="106" spans="1:17" ht="14.4" customHeight="1">
      <c r="A106" s="66" t="s">
        <v>109</v>
      </c>
      <c r="B106" s="72">
        <v>38</v>
      </c>
      <c r="C106" s="60" t="str">
        <f>bitConcat(F107:F108)</f>
        <v>32'b00000000000000000000000000000000</v>
      </c>
      <c r="D106" s="61"/>
      <c r="E106" s="61"/>
      <c r="F106" s="61"/>
      <c r="G106" s="61"/>
      <c r="H106" s="61"/>
      <c r="I106" s="61"/>
      <c r="J106" s="61"/>
      <c r="K106" s="62"/>
      <c r="L106" s="63" t="str">
        <f>DEC2HEX(_xlfn.BITLSHIFT(N106,7)+4*O106)</f>
        <v>338</v>
      </c>
      <c r="M106" s="63"/>
      <c r="N106" s="63">
        <v>6</v>
      </c>
      <c r="O106" s="63">
        <v>14</v>
      </c>
      <c r="P106" s="63" t="str">
        <f>DEC2HEX(_xlfn.BITLSHIFT(N106,5)+O106*4)</f>
        <v>F8</v>
      </c>
      <c r="Q106" s="57" t="str">
        <f>BIN2HEX(LEFT(RIGHT(C106,32),4))&amp;BIN2HEX(LEFT(RIGHT(C106,28),4))&amp;BIN2HEX(LEFT(RIGHT(C106,24),4))&amp;BIN2HEX(LEFT(RIGHT(C106,20),4))&amp;BIN2HEX(LEFT(RIGHT(C106,16),4))&amp;BIN2HEX(LEFT(RIGHT(C106,12),4))&amp;BIN2HEX(LEFT(RIGHT(C106,8),4))&amp;BIN2HEX(LEFT(RIGHT(C106,4),4))</f>
        <v>00000000</v>
      </c>
    </row>
    <row r="107" spans="1:17" ht="15">
      <c r="A107" s="67"/>
      <c r="B107" s="81"/>
      <c r="C107" s="23" t="s">
        <v>120</v>
      </c>
      <c r="D107" s="21">
        <v>31</v>
      </c>
      <c r="E107" s="85" t="str">
        <f>IF(D107&gt;1,(31)&amp;":"&amp;(31-D107+1),(31-D107+1)&amp;":"&amp;(31-D107+1))</f>
        <v>31:1</v>
      </c>
      <c r="F107" s="21" t="s">
        <v>205</v>
      </c>
      <c r="G107" s="21" t="s">
        <v>120</v>
      </c>
      <c r="H107" s="25" t="s">
        <v>37</v>
      </c>
      <c r="I107" s="26" t="s">
        <v>36</v>
      </c>
      <c r="J107" s="27" t="s">
        <v>6</v>
      </c>
      <c r="K107" s="24"/>
      <c r="L107" s="55"/>
      <c r="M107" s="55"/>
      <c r="N107" s="55"/>
      <c r="O107" s="55"/>
      <c r="P107" s="55"/>
      <c r="Q107" s="58"/>
    </row>
    <row r="108" spans="1:17" ht="15" thickBot="1">
      <c r="A108" s="67"/>
      <c r="B108" s="81"/>
      <c r="C108" s="23" t="s">
        <v>103</v>
      </c>
      <c r="D108" s="21">
        <v>1</v>
      </c>
      <c r="E108" s="83" t="str">
        <f>(MID(str_cnvt(E107),SEARCH(":",str_cnvt(E107))+1,2)-1) &amp; ":" &amp; (MID(str_cnvt(E107),SEARCH(":",str_cnvt(E107))+1,2)-D108)</f>
        <v>0:0</v>
      </c>
      <c r="F108" s="21" t="s">
        <v>7</v>
      </c>
      <c r="G108" s="21" t="s">
        <v>206</v>
      </c>
      <c r="H108" s="25" t="s">
        <v>37</v>
      </c>
      <c r="I108" s="26" t="s">
        <v>36</v>
      </c>
      <c r="J108" s="27" t="s">
        <v>6</v>
      </c>
      <c r="K108" s="24"/>
      <c r="L108" s="55"/>
      <c r="M108" s="55"/>
      <c r="N108" s="55"/>
      <c r="O108" s="55"/>
      <c r="P108" s="55"/>
      <c r="Q108" s="58"/>
    </row>
    <row r="109" spans="1:17" ht="14.4" customHeight="1">
      <c r="A109" s="66" t="s">
        <v>110</v>
      </c>
      <c r="B109" s="72" t="s">
        <v>113</v>
      </c>
      <c r="C109" s="60" t="str">
        <f>bitConcat(F110:F111)</f>
        <v>32'b00000000000000000000000000000000</v>
      </c>
      <c r="D109" s="61"/>
      <c r="E109" s="61"/>
      <c r="F109" s="61"/>
      <c r="G109" s="61"/>
      <c r="H109" s="61"/>
      <c r="I109" s="61"/>
      <c r="J109" s="61"/>
      <c r="K109" s="62"/>
      <c r="L109" s="63" t="str">
        <f>DEC2HEX(_xlfn.BITLSHIFT(N109,7)+4*O109)</f>
        <v>33C</v>
      </c>
      <c r="M109" s="63"/>
      <c r="N109" s="63">
        <v>6</v>
      </c>
      <c r="O109" s="63">
        <v>15</v>
      </c>
      <c r="P109" s="63" t="str">
        <f>DEC2HEX(_xlfn.BITLSHIFT(N109,5)+O109*4)</f>
        <v>FC</v>
      </c>
      <c r="Q109" s="57" t="str">
        <f>BIN2HEX(LEFT(RIGHT(C109,32),4))&amp;BIN2HEX(LEFT(RIGHT(C109,28),4))&amp;BIN2HEX(LEFT(RIGHT(C109,24),4))&amp;BIN2HEX(LEFT(RIGHT(C109,20),4))&amp;BIN2HEX(LEFT(RIGHT(C109,16),4))&amp;BIN2HEX(LEFT(RIGHT(C109,12),4))&amp;BIN2HEX(LEFT(RIGHT(C109,8),4))&amp;BIN2HEX(LEFT(RIGHT(C109,4),4))</f>
        <v>00000000</v>
      </c>
    </row>
    <row r="110" spans="1:17" ht="15">
      <c r="A110" s="67"/>
      <c r="B110" s="81"/>
      <c r="C110" s="23" t="s">
        <v>120</v>
      </c>
      <c r="D110" s="21">
        <v>31</v>
      </c>
      <c r="E110" s="85" t="str">
        <f>IF(D110&gt;1,(31)&amp;":"&amp;(31-D110+1),(31-D110+1)&amp;":"&amp;(31-D110+1))</f>
        <v>31:1</v>
      </c>
      <c r="F110" s="21" t="s">
        <v>205</v>
      </c>
      <c r="G110" s="21" t="s">
        <v>120</v>
      </c>
      <c r="H110" s="25" t="s">
        <v>37</v>
      </c>
      <c r="I110" s="26" t="s">
        <v>36</v>
      </c>
      <c r="J110" s="27" t="s">
        <v>6</v>
      </c>
      <c r="K110" s="24"/>
      <c r="L110" s="55"/>
      <c r="M110" s="55"/>
      <c r="N110" s="55"/>
      <c r="O110" s="55"/>
      <c r="P110" s="55"/>
      <c r="Q110" s="58"/>
    </row>
    <row r="111" spans="1:17" ht="15" thickBot="1">
      <c r="A111" s="67"/>
      <c r="B111" s="81"/>
      <c r="C111" s="23" t="s">
        <v>103</v>
      </c>
      <c r="D111" s="21">
        <v>1</v>
      </c>
      <c r="E111" s="83" t="str">
        <f>(MID(str_cnvt(E110),SEARCH(":",str_cnvt(E110))+1,2)-1) &amp; ":" &amp; (MID(str_cnvt(E110),SEARCH(":",str_cnvt(E110))+1,2)-D111)</f>
        <v>0:0</v>
      </c>
      <c r="F111" s="21" t="s">
        <v>7</v>
      </c>
      <c r="G111" s="21" t="s">
        <v>82</v>
      </c>
      <c r="H111" s="25" t="s">
        <v>37</v>
      </c>
      <c r="I111" s="26" t="s">
        <v>36</v>
      </c>
      <c r="J111" s="27" t="s">
        <v>6</v>
      </c>
      <c r="K111" s="24"/>
      <c r="L111" s="55"/>
      <c r="M111" s="55"/>
      <c r="N111" s="55"/>
      <c r="O111" s="55"/>
      <c r="P111" s="55"/>
      <c r="Q111" s="58"/>
    </row>
    <row r="112" spans="1:17" ht="14.4" customHeight="1">
      <c r="A112" s="66" t="s">
        <v>111</v>
      </c>
      <c r="B112" s="72">
        <v>40</v>
      </c>
      <c r="C112" s="60" t="str">
        <f>bitConcat(F113:F114)</f>
        <v>32'b00000000000000000000000000000000</v>
      </c>
      <c r="D112" s="61"/>
      <c r="E112" s="61"/>
      <c r="F112" s="61"/>
      <c r="G112" s="61"/>
      <c r="H112" s="61"/>
      <c r="I112" s="61"/>
      <c r="J112" s="61"/>
      <c r="K112" s="62"/>
      <c r="L112" s="63" t="str">
        <f>DEC2HEX(_xlfn.BITLSHIFT(N112,7)+4*O112)</f>
        <v>340</v>
      </c>
      <c r="M112" s="63"/>
      <c r="N112" s="63">
        <v>6</v>
      </c>
      <c r="O112" s="63">
        <v>16</v>
      </c>
      <c r="P112" s="63" t="str">
        <f>DEC2HEX(_xlfn.BITLSHIFT(N112,5)+O112*4)</f>
        <v>100</v>
      </c>
      <c r="Q112" s="57" t="str">
        <f>BIN2HEX(LEFT(RIGHT(C112,32),4))&amp;BIN2HEX(LEFT(RIGHT(C112,28),4))&amp;BIN2HEX(LEFT(RIGHT(C112,24),4))&amp;BIN2HEX(LEFT(RIGHT(C112,20),4))&amp;BIN2HEX(LEFT(RIGHT(C112,16),4))&amp;BIN2HEX(LEFT(RIGHT(C112,12),4))&amp;BIN2HEX(LEFT(RIGHT(C112,8),4))&amp;BIN2HEX(LEFT(RIGHT(C112,4),4))</f>
        <v>00000000</v>
      </c>
    </row>
    <row r="113" spans="1:17" ht="15">
      <c r="A113" s="67"/>
      <c r="B113" s="81"/>
      <c r="C113" s="23" t="s">
        <v>120</v>
      </c>
      <c r="D113" s="21">
        <v>31</v>
      </c>
      <c r="E113" s="85" t="str">
        <f>IF(D113&gt;1,(31)&amp;":"&amp;(31-D113+1),(31-D113+1)&amp;":"&amp;(31-D113+1))</f>
        <v>31:1</v>
      </c>
      <c r="F113" s="21" t="s">
        <v>205</v>
      </c>
      <c r="G113" s="21" t="s">
        <v>120</v>
      </c>
      <c r="H113" s="25" t="s">
        <v>37</v>
      </c>
      <c r="I113" s="26" t="s">
        <v>36</v>
      </c>
      <c r="J113" s="27" t="s">
        <v>6</v>
      </c>
      <c r="K113" s="24"/>
      <c r="L113" s="55"/>
      <c r="M113" s="55"/>
      <c r="N113" s="55"/>
      <c r="O113" s="55"/>
      <c r="P113" s="55"/>
      <c r="Q113" s="58"/>
    </row>
    <row r="114" spans="1:17" ht="15" thickBot="1">
      <c r="A114" s="67"/>
      <c r="B114" s="81"/>
      <c r="C114" s="23" t="s">
        <v>103</v>
      </c>
      <c r="D114" s="21">
        <v>1</v>
      </c>
      <c r="E114" s="83" t="str">
        <f>(MID(str_cnvt(E113),SEARCH(":",str_cnvt(E113))+1,2)-1) &amp; ":" &amp; (MID(str_cnvt(E113),SEARCH(":",str_cnvt(E113))+1,2)-D114)</f>
        <v>0:0</v>
      </c>
      <c r="F114" s="21" t="s">
        <v>7</v>
      </c>
      <c r="G114" s="21" t="s">
        <v>82</v>
      </c>
      <c r="H114" s="25" t="s">
        <v>37</v>
      </c>
      <c r="I114" s="26" t="s">
        <v>36</v>
      </c>
      <c r="J114" s="27" t="s">
        <v>6</v>
      </c>
      <c r="K114" s="24"/>
      <c r="L114" s="55"/>
      <c r="M114" s="55"/>
      <c r="N114" s="55"/>
      <c r="O114" s="55"/>
      <c r="P114" s="55"/>
      <c r="Q114" s="58"/>
    </row>
    <row r="115" spans="1:17" ht="14.4" customHeight="1">
      <c r="A115" s="66" t="s">
        <v>112</v>
      </c>
      <c r="B115" s="72">
        <v>44</v>
      </c>
      <c r="C115" s="60" t="str">
        <f>bitConcat(F116:F117)</f>
        <v>32'b00000000000000000000000000000000</v>
      </c>
      <c r="D115" s="61"/>
      <c r="E115" s="61"/>
      <c r="F115" s="61"/>
      <c r="G115" s="61"/>
      <c r="H115" s="61"/>
      <c r="I115" s="61"/>
      <c r="J115" s="61"/>
      <c r="K115" s="62"/>
      <c r="L115" s="63" t="str">
        <f>DEC2HEX(_xlfn.BITLSHIFT(N115,7)+4*O115)</f>
        <v>344</v>
      </c>
      <c r="M115" s="63"/>
      <c r="N115" s="63">
        <v>6</v>
      </c>
      <c r="O115" s="63">
        <v>17</v>
      </c>
      <c r="P115" s="63" t="str">
        <f>DEC2HEX(_xlfn.BITLSHIFT(N115,5)+O115*4)</f>
        <v>104</v>
      </c>
      <c r="Q115" s="57" t="str">
        <f>BIN2HEX(LEFT(RIGHT(C115,32),4))&amp;BIN2HEX(LEFT(RIGHT(C115,28),4))&amp;BIN2HEX(LEFT(RIGHT(C115,24),4))&amp;BIN2HEX(LEFT(RIGHT(C115,20),4))&amp;BIN2HEX(LEFT(RIGHT(C115,16),4))&amp;BIN2HEX(LEFT(RIGHT(C115,12),4))&amp;BIN2HEX(LEFT(RIGHT(C115,8),4))&amp;BIN2HEX(LEFT(RIGHT(C115,4),4))</f>
        <v>00000000</v>
      </c>
    </row>
    <row r="116" spans="1:17" ht="15">
      <c r="A116" s="67"/>
      <c r="B116" s="81"/>
      <c r="C116" s="23" t="s">
        <v>120</v>
      </c>
      <c r="D116" s="21">
        <v>31</v>
      </c>
      <c r="E116" s="85" t="str">
        <f>IF(D116&gt;1,(31)&amp;":"&amp;(31-D116+1),(31-D116+1)&amp;":"&amp;(31-D116+1))</f>
        <v>31:1</v>
      </c>
      <c r="F116" s="21" t="s">
        <v>205</v>
      </c>
      <c r="G116" s="21" t="s">
        <v>120</v>
      </c>
      <c r="H116" s="25" t="s">
        <v>37</v>
      </c>
      <c r="I116" s="26" t="s">
        <v>36</v>
      </c>
      <c r="J116" s="27" t="s">
        <v>6</v>
      </c>
      <c r="K116" s="24"/>
      <c r="L116" s="55"/>
      <c r="M116" s="55"/>
      <c r="N116" s="55"/>
      <c r="O116" s="55"/>
      <c r="P116" s="55"/>
      <c r="Q116" s="58"/>
    </row>
    <row r="117" spans="1:17" ht="15" thickBot="1">
      <c r="A117" s="67"/>
      <c r="B117" s="81"/>
      <c r="C117" s="23" t="s">
        <v>103</v>
      </c>
      <c r="D117" s="21">
        <v>1</v>
      </c>
      <c r="E117" s="83" t="str">
        <f>(MID(str_cnvt(E116),SEARCH(":",str_cnvt(E116))+1,2)-1) &amp; ":" &amp; (MID(str_cnvt(E116),SEARCH(":",str_cnvt(E116))+1,2)-D117)</f>
        <v>0:0</v>
      </c>
      <c r="F117" s="21" t="s">
        <v>7</v>
      </c>
      <c r="G117" s="21" t="s">
        <v>82</v>
      </c>
      <c r="H117" s="25" t="s">
        <v>37</v>
      </c>
      <c r="I117" s="26" t="s">
        <v>36</v>
      </c>
      <c r="J117" s="27" t="s">
        <v>6</v>
      </c>
      <c r="K117" s="24"/>
      <c r="L117" s="55"/>
      <c r="M117" s="55"/>
      <c r="N117" s="55"/>
      <c r="O117" s="55"/>
      <c r="P117" s="55"/>
      <c r="Q117" s="58"/>
    </row>
    <row r="118" spans="1:17" ht="14.4" customHeight="1">
      <c r="A118" s="66" t="s">
        <v>82</v>
      </c>
      <c r="B118" s="72">
        <v>48</v>
      </c>
      <c r="C118" s="60" t="str">
        <f>bitConcat(F119:F119)</f>
        <v>32'b00000000000000000000000000000000</v>
      </c>
      <c r="D118" s="61"/>
      <c r="E118" s="61"/>
      <c r="F118" s="61"/>
      <c r="G118" s="61"/>
      <c r="H118" s="61"/>
      <c r="I118" s="61"/>
      <c r="J118" s="61"/>
      <c r="K118" s="62"/>
      <c r="L118" s="63" t="str">
        <f>DEC2HEX(_xlfn.BITLSHIFT(N118,7)+4*O118)</f>
        <v>348</v>
      </c>
      <c r="M118" s="63"/>
      <c r="N118" s="63">
        <v>6</v>
      </c>
      <c r="O118" s="63">
        <v>18</v>
      </c>
      <c r="P118" s="54" t="str">
        <f>DEC2HEX(_xlfn.BITLSHIFT(N118,5)+O118*4)</f>
        <v>108</v>
      </c>
      <c r="Q118" s="57" t="str">
        <f>BIN2HEX(LEFT(RIGHT(C118,32),4))&amp;BIN2HEX(LEFT(RIGHT(C118,28),4))&amp;BIN2HEX(LEFT(RIGHT(C118,24),4))&amp;BIN2HEX(LEFT(RIGHT(C118,20),4))&amp;BIN2HEX(LEFT(RIGHT(C118,16),4))&amp;BIN2HEX(LEFT(RIGHT(C118,12),4))&amp;BIN2HEX(LEFT(RIGHT(C118,8),4))&amp;BIN2HEX(LEFT(RIGHT(C118,4),4))</f>
        <v>00000000</v>
      </c>
    </row>
    <row r="119" spans="1:17" ht="15.6" thickBot="1">
      <c r="A119" s="68"/>
      <c r="B119" s="73"/>
      <c r="C119" s="23" t="s">
        <v>82</v>
      </c>
      <c r="D119" s="23">
        <v>32</v>
      </c>
      <c r="E119" s="85" t="str">
        <f>IF(D119&gt;1,(31)&amp;":"&amp;(31-D119+1),(31-D119+1)&amp;":"&amp;(31-D119+1))</f>
        <v>31:0</v>
      </c>
      <c r="F119" s="23" t="s">
        <v>55</v>
      </c>
      <c r="G119" s="23" t="s">
        <v>82</v>
      </c>
      <c r="H119" s="25" t="s">
        <v>37</v>
      </c>
      <c r="I119" s="26" t="s">
        <v>36</v>
      </c>
      <c r="J119" s="27" t="s">
        <v>6</v>
      </c>
      <c r="K119" s="23"/>
      <c r="L119" s="64"/>
      <c r="M119" s="64"/>
      <c r="N119" s="64"/>
      <c r="O119" s="64"/>
      <c r="P119" s="64"/>
      <c r="Q119" s="59"/>
    </row>
    <row r="120" spans="1:17" ht="14.4" customHeight="1">
      <c r="A120" s="66" t="s">
        <v>128</v>
      </c>
      <c r="B120" s="72" t="s">
        <v>129</v>
      </c>
      <c r="C120" s="60" t="str">
        <f>bitConcat(F121:F127)</f>
        <v>32'b10000110011000110100000010001000</v>
      </c>
      <c r="D120" s="61"/>
      <c r="E120" s="61"/>
      <c r="F120" s="61"/>
      <c r="G120" s="61"/>
      <c r="H120" s="61"/>
      <c r="I120" s="61"/>
      <c r="J120" s="61"/>
      <c r="K120" s="62"/>
      <c r="L120" s="63" t="str">
        <f>DEC2HEX(_xlfn.BITLSHIFT(N120,7)+4*O120)</f>
        <v>34C</v>
      </c>
      <c r="M120" s="63"/>
      <c r="N120" s="63">
        <v>6</v>
      </c>
      <c r="O120" s="63">
        <v>19</v>
      </c>
      <c r="P120" s="63" t="str">
        <f>DEC2HEX(_xlfn.BITLSHIFT(N120,5)+O120*4)</f>
        <v>10C</v>
      </c>
      <c r="Q120" s="57" t="str">
        <f>BIN2HEX(LEFT(RIGHT(C120,32),4))&amp;BIN2HEX(LEFT(RIGHT(C120,28),4))&amp;BIN2HEX(LEFT(RIGHT(C120,24),4))&amp;BIN2HEX(LEFT(RIGHT(C120,20),4))&amp;BIN2HEX(LEFT(RIGHT(C120,16),4))&amp;BIN2HEX(LEFT(RIGHT(C120,12),4))&amp;BIN2HEX(LEFT(RIGHT(C120,8),4))&amp;BIN2HEX(LEFT(RIGHT(C120,4),4))</f>
        <v>86634088</v>
      </c>
    </row>
    <row r="121" spans="1:17" ht="144">
      <c r="A121" s="67"/>
      <c r="B121" s="81"/>
      <c r="C121" s="23" t="s">
        <v>130</v>
      </c>
      <c r="D121" s="21">
        <v>5</v>
      </c>
      <c r="E121" s="85" t="str">
        <f>IF(D121&gt;1,(31)&amp;":"&amp;(31-D121+1),(31-D121+1)&amp;":"&amp;(31-D121+1))</f>
        <v>31:27</v>
      </c>
      <c r="F121" s="21" t="s">
        <v>207</v>
      </c>
      <c r="G121" s="44" t="s">
        <v>146</v>
      </c>
      <c r="H121" s="25" t="s">
        <v>37</v>
      </c>
      <c r="I121" s="26" t="s">
        <v>36</v>
      </c>
      <c r="J121" s="27" t="s">
        <v>6</v>
      </c>
      <c r="K121" s="21"/>
      <c r="L121" s="55"/>
      <c r="M121" s="55"/>
      <c r="N121" s="55"/>
      <c r="O121" s="55"/>
      <c r="P121" s="55"/>
      <c r="Q121" s="58"/>
    </row>
    <row r="122" spans="1:17">
      <c r="A122" s="67"/>
      <c r="B122" s="81"/>
      <c r="C122" s="23" t="s">
        <v>131</v>
      </c>
      <c r="D122" s="21">
        <v>4</v>
      </c>
      <c r="E122" s="83" t="str">
        <f>(MID(str_cnvt(E121),SEARCH(":",str_cnvt(E121))+1,2)-1) &amp; ":" &amp; (MID(str_cnvt(E121),SEARCH(":",str_cnvt(E121))+1,2)-D122)</f>
        <v>26:23</v>
      </c>
      <c r="F122" s="21" t="s">
        <v>208</v>
      </c>
      <c r="G122" s="21" t="s">
        <v>147</v>
      </c>
      <c r="H122" s="25" t="s">
        <v>37</v>
      </c>
      <c r="I122" s="26" t="s">
        <v>36</v>
      </c>
      <c r="J122" s="27" t="s">
        <v>6</v>
      </c>
      <c r="K122" s="21"/>
      <c r="L122" s="55"/>
      <c r="M122" s="55"/>
      <c r="N122" s="55"/>
      <c r="O122" s="55"/>
      <c r="P122" s="55"/>
      <c r="Q122" s="58"/>
    </row>
    <row r="123" spans="1:17">
      <c r="A123" s="67"/>
      <c r="B123" s="81"/>
      <c r="C123" s="23" t="s">
        <v>132</v>
      </c>
      <c r="D123" s="21">
        <v>4</v>
      </c>
      <c r="E123" s="83" t="str">
        <f>(MID(str_cnvt(E122),SEARCH(":",str_cnvt(E122))+1,2)-1) &amp; ":" &amp; (MID(str_cnvt(E122),SEARCH(":",str_cnvt(E122))+1,2)-D123)</f>
        <v>22:19</v>
      </c>
      <c r="F123" s="21" t="s">
        <v>208</v>
      </c>
      <c r="G123" s="21" t="s">
        <v>147</v>
      </c>
      <c r="H123" s="25" t="s">
        <v>37</v>
      </c>
      <c r="I123" s="26" t="s">
        <v>36</v>
      </c>
      <c r="J123" s="27" t="s">
        <v>6</v>
      </c>
      <c r="K123" s="21"/>
      <c r="L123" s="55"/>
      <c r="M123" s="55"/>
      <c r="N123" s="55"/>
      <c r="O123" s="55"/>
      <c r="P123" s="55"/>
      <c r="Q123" s="58"/>
    </row>
    <row r="124" spans="1:17">
      <c r="A124" s="67"/>
      <c r="B124" s="81"/>
      <c r="C124" s="23" t="s">
        <v>133</v>
      </c>
      <c r="D124" s="21">
        <v>1</v>
      </c>
      <c r="E124" s="83" t="str">
        <f>(MID(str_cnvt(E123),SEARCH(":",str_cnvt(E123))+1,2)-1) &amp; ":" &amp; (MID(str_cnvt(E123),SEARCH(":",str_cnvt(E123))+1,2)-D124)</f>
        <v>18:18</v>
      </c>
      <c r="F124" s="21" t="s">
        <v>7</v>
      </c>
      <c r="G124" s="21" t="s">
        <v>148</v>
      </c>
      <c r="H124" s="25" t="s">
        <v>37</v>
      </c>
      <c r="I124" s="26" t="s">
        <v>36</v>
      </c>
      <c r="J124" s="27" t="s">
        <v>6</v>
      </c>
      <c r="K124" s="21"/>
      <c r="L124" s="55"/>
      <c r="M124" s="55"/>
      <c r="N124" s="55"/>
      <c r="O124" s="55"/>
      <c r="P124" s="55"/>
      <c r="Q124" s="58"/>
    </row>
    <row r="125" spans="1:17">
      <c r="A125" s="67"/>
      <c r="B125" s="81"/>
      <c r="C125" s="23" t="s">
        <v>134</v>
      </c>
      <c r="D125" s="21">
        <v>14</v>
      </c>
      <c r="E125" s="83" t="str">
        <f>(MID(str_cnvt(E124),SEARCH(":",str_cnvt(E124))+1,2)-1) &amp; ":" &amp; (MID(str_cnvt(E124),SEARCH(":",str_cnvt(E124))+1,2)-D125)</f>
        <v>17:4</v>
      </c>
      <c r="F125" s="21" t="s">
        <v>209</v>
      </c>
      <c r="G125" s="21" t="s">
        <v>149</v>
      </c>
      <c r="H125" s="25" t="s">
        <v>37</v>
      </c>
      <c r="I125" s="26" t="s">
        <v>36</v>
      </c>
      <c r="J125" s="27" t="s">
        <v>6</v>
      </c>
      <c r="K125" s="21"/>
      <c r="L125" s="55"/>
      <c r="M125" s="55"/>
      <c r="N125" s="55"/>
      <c r="O125" s="55"/>
      <c r="P125" s="55"/>
      <c r="Q125" s="58"/>
    </row>
    <row r="126" spans="1:17">
      <c r="A126" s="67"/>
      <c r="B126" s="81"/>
      <c r="C126" s="23" t="s">
        <v>135</v>
      </c>
      <c r="D126" s="21">
        <v>1</v>
      </c>
      <c r="E126" s="83" t="str">
        <f>(MID(str_cnvt(E125),SEARCH(":",str_cnvt(E125))+1,2)-1) &amp; ":" &amp; (MID(str_cnvt(E125),SEARCH(":",str_cnvt(E125))+1,2)-D126)</f>
        <v>3:3</v>
      </c>
      <c r="F126" s="21" t="s">
        <v>38</v>
      </c>
      <c r="G126" s="21" t="s">
        <v>150</v>
      </c>
      <c r="H126" s="25" t="s">
        <v>37</v>
      </c>
      <c r="I126" s="26" t="s">
        <v>36</v>
      </c>
      <c r="J126" s="27" t="s">
        <v>6</v>
      </c>
      <c r="K126" s="21"/>
      <c r="L126" s="55"/>
      <c r="M126" s="55"/>
      <c r="N126" s="55"/>
      <c r="O126" s="55"/>
      <c r="P126" s="55"/>
      <c r="Q126" s="58"/>
    </row>
    <row r="127" spans="1:17" ht="15" thickBot="1">
      <c r="A127" s="68"/>
      <c r="B127" s="73"/>
      <c r="C127" s="23" t="s">
        <v>120</v>
      </c>
      <c r="D127" s="21">
        <v>3</v>
      </c>
      <c r="E127" s="83" t="str">
        <f>(MID(str_cnvt(E126),SEARCH(":",str_cnvt(E126))+1,2)-1) &amp; ":" &amp; (MID(str_cnvt(E126),SEARCH(":",str_cnvt(E126))+1,2)-D127)</f>
        <v>2:0</v>
      </c>
      <c r="F127" s="21" t="s">
        <v>42</v>
      </c>
      <c r="G127" s="21" t="s">
        <v>120</v>
      </c>
      <c r="H127" s="25" t="s">
        <v>37</v>
      </c>
      <c r="I127" s="26" t="s">
        <v>36</v>
      </c>
      <c r="J127" s="27" t="s">
        <v>6</v>
      </c>
      <c r="K127" s="21"/>
      <c r="L127" s="64"/>
      <c r="M127" s="64"/>
      <c r="N127" s="64"/>
      <c r="O127" s="64"/>
      <c r="P127" s="64"/>
      <c r="Q127" s="59"/>
    </row>
    <row r="128" spans="1:17" ht="14.4" customHeight="1">
      <c r="A128" s="66" t="s">
        <v>82</v>
      </c>
      <c r="B128" s="72">
        <v>50</v>
      </c>
      <c r="C128" s="60" t="str">
        <f>bitConcat(F129:F129)</f>
        <v>32'b00000000000000000000000000000000</v>
      </c>
      <c r="D128" s="61"/>
      <c r="E128" s="61"/>
      <c r="F128" s="61"/>
      <c r="G128" s="61"/>
      <c r="H128" s="61"/>
      <c r="I128" s="61"/>
      <c r="J128" s="61"/>
      <c r="K128" s="62"/>
      <c r="L128" s="63" t="str">
        <f>DEC2HEX(_xlfn.BITLSHIFT(N128,7)+4*O128)</f>
        <v>350</v>
      </c>
      <c r="M128" s="63"/>
      <c r="N128" s="63">
        <v>6</v>
      </c>
      <c r="O128" s="63">
        <v>20</v>
      </c>
      <c r="P128" s="54" t="str">
        <f>DEC2HEX(_xlfn.BITLSHIFT(N128,5)+O128*4)</f>
        <v>110</v>
      </c>
      <c r="Q128" s="57" t="str">
        <f>BIN2HEX(LEFT(RIGHT(C128,32),4))&amp;BIN2HEX(LEFT(RIGHT(C128,28),4))&amp;BIN2HEX(LEFT(RIGHT(C128,24),4))&amp;BIN2HEX(LEFT(RIGHT(C128,20),4))&amp;BIN2HEX(LEFT(RIGHT(C128,16),4))&amp;BIN2HEX(LEFT(RIGHT(C128,12),4))&amp;BIN2HEX(LEFT(RIGHT(C128,8),4))&amp;BIN2HEX(LEFT(RIGHT(C128,4),4))</f>
        <v>00000000</v>
      </c>
    </row>
    <row r="129" spans="1:91" ht="15.6" thickBot="1">
      <c r="A129" s="68"/>
      <c r="B129" s="73"/>
      <c r="C129" s="23" t="s">
        <v>82</v>
      </c>
      <c r="D129" s="21">
        <v>32</v>
      </c>
      <c r="E129" s="85" t="str">
        <f>IF(D129&gt;1,(31)&amp;":"&amp;(31-D129+1),(31-D129+1)&amp;":"&amp;(31-D129+1))</f>
        <v>31:0</v>
      </c>
      <c r="F129" s="21" t="s">
        <v>55</v>
      </c>
      <c r="G129" s="21" t="s">
        <v>82</v>
      </c>
      <c r="H129" s="25" t="s">
        <v>37</v>
      </c>
      <c r="I129" s="26" t="s">
        <v>36</v>
      </c>
      <c r="J129" s="27" t="s">
        <v>6</v>
      </c>
      <c r="K129" s="21"/>
      <c r="L129" s="64"/>
      <c r="M129" s="64"/>
      <c r="N129" s="64"/>
      <c r="O129" s="64"/>
      <c r="P129" s="64"/>
      <c r="Q129" s="59"/>
    </row>
    <row r="130" spans="1:91" s="1" customFormat="1" ht="14.4" customHeight="1">
      <c r="A130" s="66" t="s">
        <v>142</v>
      </c>
      <c r="B130" s="72">
        <v>54</v>
      </c>
      <c r="C130" s="60" t="str">
        <f>bitConcat(F131:F132)</f>
        <v>32'b00000000000000000000011111111111</v>
      </c>
      <c r="D130" s="61"/>
      <c r="E130" s="61"/>
      <c r="F130" s="61"/>
      <c r="G130" s="61"/>
      <c r="H130" s="61"/>
      <c r="I130" s="61"/>
      <c r="J130" s="61"/>
      <c r="K130" s="62"/>
      <c r="L130" s="63" t="str">
        <f>DEC2HEX(_xlfn.BITLSHIFT(N130,7)+4*O130)</f>
        <v>354</v>
      </c>
      <c r="M130" s="63"/>
      <c r="N130" s="63">
        <v>6</v>
      </c>
      <c r="O130" s="63">
        <v>21</v>
      </c>
      <c r="P130" s="54" t="str">
        <f>DEC2HEX(_xlfn.BITLSHIFT(N130,5)+O130*4)</f>
        <v>114</v>
      </c>
      <c r="Q130" s="57" t="str">
        <f>BIN2HEX(LEFT(RIGHT(C130,32),4))&amp;BIN2HEX(LEFT(RIGHT(C130,28),4))&amp;BIN2HEX(LEFT(RIGHT(C130,24),4))&amp;BIN2HEX(LEFT(RIGHT(C130,20),4))&amp;BIN2HEX(LEFT(RIGHT(C130,16),4))&amp;BIN2HEX(LEFT(RIGHT(C130,12),4))&amp;BIN2HEX(LEFT(RIGHT(C130,8),4))&amp;BIN2HEX(LEFT(RIGHT(C130,4),4))</f>
        <v>000007FF</v>
      </c>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1:91" s="1" customFormat="1" ht="15">
      <c r="A131" s="67"/>
      <c r="B131" s="81"/>
      <c r="C131" s="23" t="s">
        <v>136</v>
      </c>
      <c r="D131" s="23">
        <v>21</v>
      </c>
      <c r="E131" s="85" t="str">
        <f>IF(D131&gt;1,(31)&amp;":"&amp;(31-D131+1),(31-D131+1)&amp;":"&amp;(31-D131+1))</f>
        <v>31:11</v>
      </c>
      <c r="F131" s="21" t="s">
        <v>52</v>
      </c>
      <c r="G131" s="11"/>
      <c r="H131" s="12" t="s">
        <v>37</v>
      </c>
      <c r="I131" s="13" t="s">
        <v>36</v>
      </c>
      <c r="J131" s="14" t="s">
        <v>6</v>
      </c>
      <c r="K131" s="40"/>
      <c r="L131" s="55"/>
      <c r="M131" s="55"/>
      <c r="N131" s="55"/>
      <c r="O131" s="55"/>
      <c r="P131" s="55"/>
      <c r="Q131" s="58"/>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spans="1:91" s="1" customFormat="1" ht="15.75" customHeight="1" thickBot="1">
      <c r="A132" s="68"/>
      <c r="B132" s="81"/>
      <c r="C132" s="23" t="s">
        <v>137</v>
      </c>
      <c r="D132" s="23">
        <v>11</v>
      </c>
      <c r="E132" s="83" t="str">
        <f>(MID(str_cnvt(E131),SEARCH(":",str_cnvt(E131))+1,2)-1) &amp; ":" &amp; (MID(str_cnvt(E131),SEARCH(":",str_cnvt(E131))+1,2)-D132)</f>
        <v>10:0</v>
      </c>
      <c r="F132" s="21" t="s">
        <v>138</v>
      </c>
      <c r="G132" s="11"/>
      <c r="H132" s="12" t="s">
        <v>37</v>
      </c>
      <c r="I132" s="13" t="s">
        <v>36</v>
      </c>
      <c r="J132" s="14" t="s">
        <v>6</v>
      </c>
      <c r="K132" s="40"/>
      <c r="L132" s="64"/>
      <c r="M132" s="64"/>
      <c r="N132" s="64"/>
      <c r="O132" s="64"/>
      <c r="P132" s="64"/>
      <c r="Q132" s="59"/>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s="1" customFormat="1" ht="14.4" customHeight="1">
      <c r="A133" s="72" t="s">
        <v>143</v>
      </c>
      <c r="B133" s="72">
        <v>58</v>
      </c>
      <c r="C133" s="60" t="str">
        <f>bitConcat(F134:F135)</f>
        <v>32'b00000000000000000000000000000000</v>
      </c>
      <c r="D133" s="61"/>
      <c r="E133" s="61"/>
      <c r="F133" s="61"/>
      <c r="G133" s="61"/>
      <c r="H133" s="61"/>
      <c r="I133" s="61"/>
      <c r="J133" s="61"/>
      <c r="K133" s="62"/>
      <c r="L133" s="63" t="str">
        <f>DEC2HEX(_xlfn.BITLSHIFT(N133,7)+4*O133)</f>
        <v>358</v>
      </c>
      <c r="M133" s="63"/>
      <c r="N133" s="63">
        <v>6</v>
      </c>
      <c r="O133" s="63">
        <v>22</v>
      </c>
      <c r="P133" s="54" t="str">
        <f>DEC2HEX(_xlfn.BITLSHIFT(N133,5)+O133*4)</f>
        <v>118</v>
      </c>
      <c r="Q133" s="57" t="str">
        <f>BIN2HEX(LEFT(RIGHT(C133,32),4))&amp;BIN2HEX(LEFT(RIGHT(C133,28),4))&amp;BIN2HEX(LEFT(RIGHT(C133,24),4))&amp;BIN2HEX(LEFT(RIGHT(C133,20),4))&amp;BIN2HEX(LEFT(RIGHT(C133,16),4))&amp;BIN2HEX(LEFT(RIGHT(C133,12),4))&amp;BIN2HEX(LEFT(RIGHT(C133,8),4))&amp;BIN2HEX(LEFT(RIGHT(C133,4),4))</f>
        <v>00000000</v>
      </c>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1:91" s="1" customFormat="1" ht="15">
      <c r="A134" s="81"/>
      <c r="B134" s="81"/>
      <c r="C134" s="23" t="s">
        <v>139</v>
      </c>
      <c r="D134" s="23">
        <v>27</v>
      </c>
      <c r="E134" s="85" t="str">
        <f>IF(D134&gt;1,(31)&amp;":"&amp;(31-D134+1),(31-D134+1)&amp;":"&amp;(31-D134+1))</f>
        <v>31:5</v>
      </c>
      <c r="F134" s="21" t="s">
        <v>140</v>
      </c>
      <c r="G134" s="41"/>
      <c r="H134" s="12" t="s">
        <v>37</v>
      </c>
      <c r="I134" s="13" t="s">
        <v>36</v>
      </c>
      <c r="J134" s="14" t="s">
        <v>6</v>
      </c>
      <c r="K134" s="42"/>
      <c r="L134" s="55"/>
      <c r="M134" s="55"/>
      <c r="N134" s="55"/>
      <c r="O134" s="55"/>
      <c r="P134" s="55"/>
      <c r="Q134" s="58"/>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1" customFormat="1" ht="15" thickBot="1">
      <c r="A135" s="73"/>
      <c r="B135" s="73"/>
      <c r="C135" s="45" t="s">
        <v>141</v>
      </c>
      <c r="D135" s="45">
        <v>5</v>
      </c>
      <c r="E135" s="83" t="str">
        <f>(MID(str_cnvt(E134),SEARCH(":",str_cnvt(E134))+1,2)-1) &amp; ":" &amp; (MID(str_cnvt(E134),SEARCH(":",str_cnvt(E134))+1,2)-D135)</f>
        <v>4:0</v>
      </c>
      <c r="F135" s="47" t="s">
        <v>45</v>
      </c>
      <c r="G135" s="41"/>
      <c r="H135" s="15" t="s">
        <v>37</v>
      </c>
      <c r="I135" s="16" t="s">
        <v>36</v>
      </c>
      <c r="J135" s="17" t="s">
        <v>6</v>
      </c>
      <c r="K135" s="42"/>
      <c r="L135" s="64"/>
      <c r="M135" s="64"/>
      <c r="N135" s="64"/>
      <c r="O135" s="64"/>
      <c r="P135" s="64"/>
      <c r="Q135" s="59"/>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ht="14.4" customHeight="1">
      <c r="A136" s="66" t="s">
        <v>82</v>
      </c>
      <c r="B136" s="72" t="s">
        <v>164</v>
      </c>
      <c r="C136" s="60" t="str">
        <f>bitConcat(F137:F137)</f>
        <v>32'b00000000000000000000000000000000</v>
      </c>
      <c r="D136" s="61"/>
      <c r="E136" s="61"/>
      <c r="F136" s="61"/>
      <c r="G136" s="61"/>
      <c r="H136" s="61"/>
      <c r="I136" s="61"/>
      <c r="J136" s="61"/>
      <c r="K136" s="62"/>
      <c r="L136" s="63" t="str">
        <f>DEC2HEX(_xlfn.BITLSHIFT(N136,7)+4*O136)</f>
        <v>35C</v>
      </c>
      <c r="M136" s="63"/>
      <c r="N136" s="63">
        <v>6</v>
      </c>
      <c r="O136" s="63">
        <v>23</v>
      </c>
      <c r="P136" s="54" t="str">
        <f>DEC2HEX(_xlfn.BITLSHIFT(N136,5)+O136*4)</f>
        <v>11C</v>
      </c>
      <c r="Q136" s="57" t="str">
        <f>BIN2HEX(LEFT(RIGHT(C136,32),4))&amp;BIN2HEX(LEFT(RIGHT(C136,28),4))&amp;BIN2HEX(LEFT(RIGHT(C136,24),4))&amp;BIN2HEX(LEFT(RIGHT(C136,20),4))&amp;BIN2HEX(LEFT(RIGHT(C136,16),4))&amp;BIN2HEX(LEFT(RIGHT(C136,12),4))&amp;BIN2HEX(LEFT(RIGHT(C136,8),4))&amp;BIN2HEX(LEFT(RIGHT(C136,4),4))</f>
        <v>00000000</v>
      </c>
    </row>
    <row r="137" spans="1:91" ht="15.6" thickBot="1">
      <c r="A137" s="68"/>
      <c r="B137" s="73"/>
      <c r="C137" s="23" t="s">
        <v>82</v>
      </c>
      <c r="D137" s="23">
        <v>32</v>
      </c>
      <c r="E137" s="85" t="str">
        <f>IF(D137&gt;1,(31)&amp;":"&amp;(31-D137+1),(31-D137+1)&amp;":"&amp;(31-D137+1))</f>
        <v>31:0</v>
      </c>
      <c r="F137" s="23" t="s">
        <v>55</v>
      </c>
      <c r="G137" s="23" t="s">
        <v>82</v>
      </c>
      <c r="H137" s="25" t="s">
        <v>37</v>
      </c>
      <c r="I137" s="26" t="s">
        <v>36</v>
      </c>
      <c r="J137" s="27" t="s">
        <v>6</v>
      </c>
      <c r="K137" s="23"/>
      <c r="L137" s="64"/>
      <c r="M137" s="64"/>
      <c r="N137" s="64"/>
      <c r="O137" s="64"/>
      <c r="P137" s="64"/>
      <c r="Q137" s="59"/>
    </row>
    <row r="138" spans="1:91" ht="14.4" customHeight="1">
      <c r="A138" s="66" t="s">
        <v>82</v>
      </c>
      <c r="B138" s="72">
        <v>60</v>
      </c>
      <c r="C138" s="60" t="str">
        <f>bitConcat(F139:F139)</f>
        <v>32'b00000000000000000000000000000000</v>
      </c>
      <c r="D138" s="61"/>
      <c r="E138" s="61"/>
      <c r="F138" s="61"/>
      <c r="G138" s="61"/>
      <c r="H138" s="61"/>
      <c r="I138" s="61"/>
      <c r="J138" s="61"/>
      <c r="K138" s="62"/>
      <c r="L138" s="63" t="str">
        <f>DEC2HEX(_xlfn.BITLSHIFT(N138,7)+4*O138)</f>
        <v>360</v>
      </c>
      <c r="M138" s="63"/>
      <c r="N138" s="63">
        <v>6</v>
      </c>
      <c r="O138" s="63">
        <v>24</v>
      </c>
      <c r="P138" s="54" t="str">
        <f>DEC2HEX(_xlfn.BITLSHIFT(N138,5)+O138*4)</f>
        <v>120</v>
      </c>
      <c r="Q138" s="57" t="str">
        <f>BIN2HEX(LEFT(RIGHT(C138,32),4))&amp;BIN2HEX(LEFT(RIGHT(C138,28),4))&amp;BIN2HEX(LEFT(RIGHT(C138,24),4))&amp;BIN2HEX(LEFT(RIGHT(C138,20),4))&amp;BIN2HEX(LEFT(RIGHT(C138,16),4))&amp;BIN2HEX(LEFT(RIGHT(C138,12),4))&amp;BIN2HEX(LEFT(RIGHT(C138,8),4))&amp;BIN2HEX(LEFT(RIGHT(C138,4),4))</f>
        <v>00000000</v>
      </c>
    </row>
    <row r="139" spans="1:91" ht="15.6" thickBot="1">
      <c r="A139" s="68"/>
      <c r="B139" s="73"/>
      <c r="C139" s="23" t="s">
        <v>82</v>
      </c>
      <c r="D139" s="23">
        <v>32</v>
      </c>
      <c r="E139" s="85" t="str">
        <f>IF(D139&gt;1,(31)&amp;":"&amp;(31-D139+1),(31-D139+1)&amp;":"&amp;(31-D139+1))</f>
        <v>31:0</v>
      </c>
      <c r="F139" s="23" t="s">
        <v>55</v>
      </c>
      <c r="G139" s="23" t="s">
        <v>82</v>
      </c>
      <c r="H139" s="25" t="s">
        <v>37</v>
      </c>
      <c r="I139" s="26" t="s">
        <v>36</v>
      </c>
      <c r="J139" s="27" t="s">
        <v>6</v>
      </c>
      <c r="K139" s="23"/>
      <c r="L139" s="64"/>
      <c r="M139" s="64"/>
      <c r="N139" s="64"/>
      <c r="O139" s="64"/>
      <c r="P139" s="64"/>
      <c r="Q139" s="59"/>
    </row>
    <row r="140" spans="1:91" ht="14.4" customHeight="1">
      <c r="A140" s="66" t="s">
        <v>82</v>
      </c>
      <c r="B140" s="72">
        <v>64</v>
      </c>
      <c r="C140" s="60" t="str">
        <f>bitConcat(F141:F141)</f>
        <v>32'b00000000000000000000000000000000</v>
      </c>
      <c r="D140" s="61"/>
      <c r="E140" s="61"/>
      <c r="F140" s="61"/>
      <c r="G140" s="61"/>
      <c r="H140" s="61"/>
      <c r="I140" s="61"/>
      <c r="J140" s="61"/>
      <c r="K140" s="62"/>
      <c r="L140" s="63" t="str">
        <f>DEC2HEX(_xlfn.BITLSHIFT(N140,7)+4*O140)</f>
        <v>364</v>
      </c>
      <c r="M140" s="63"/>
      <c r="N140" s="63">
        <v>6</v>
      </c>
      <c r="O140" s="63">
        <v>25</v>
      </c>
      <c r="P140" s="54" t="str">
        <f>DEC2HEX(_xlfn.BITLSHIFT(N140,5)+O140*4)</f>
        <v>124</v>
      </c>
      <c r="Q140" s="57" t="str">
        <f>BIN2HEX(LEFT(RIGHT(C140,32),4))&amp;BIN2HEX(LEFT(RIGHT(C140,28),4))&amp;BIN2HEX(LEFT(RIGHT(C140,24),4))&amp;BIN2HEX(LEFT(RIGHT(C140,20),4))&amp;BIN2HEX(LEFT(RIGHT(C140,16),4))&amp;BIN2HEX(LEFT(RIGHT(C140,12),4))&amp;BIN2HEX(LEFT(RIGHT(C140,8),4))&amp;BIN2HEX(LEFT(RIGHT(C140,4),4))</f>
        <v>00000000</v>
      </c>
    </row>
    <row r="141" spans="1:91" ht="15.6" thickBot="1">
      <c r="A141" s="68"/>
      <c r="B141" s="73"/>
      <c r="C141" s="23" t="s">
        <v>82</v>
      </c>
      <c r="D141" s="23">
        <v>32</v>
      </c>
      <c r="E141" s="85" t="str">
        <f>IF(D141&gt;1,(31)&amp;":"&amp;(31-D141+1),(31-D141+1)&amp;":"&amp;(31-D141+1))</f>
        <v>31:0</v>
      </c>
      <c r="F141" s="23" t="s">
        <v>55</v>
      </c>
      <c r="G141" s="23" t="s">
        <v>82</v>
      </c>
      <c r="H141" s="25" t="s">
        <v>37</v>
      </c>
      <c r="I141" s="26" t="s">
        <v>36</v>
      </c>
      <c r="J141" s="27" t="s">
        <v>6</v>
      </c>
      <c r="K141" s="23"/>
      <c r="L141" s="64"/>
      <c r="M141" s="64"/>
      <c r="N141" s="64"/>
      <c r="O141" s="64"/>
      <c r="P141" s="64"/>
      <c r="Q141" s="59"/>
    </row>
    <row r="142" spans="1:91" ht="14.4" customHeight="1">
      <c r="A142" s="66" t="s">
        <v>82</v>
      </c>
      <c r="B142" s="72">
        <v>68</v>
      </c>
      <c r="C142" s="60" t="str">
        <f>bitConcat(F143:F143)</f>
        <v>32'b00000000000000000000000000000000</v>
      </c>
      <c r="D142" s="61"/>
      <c r="E142" s="61"/>
      <c r="F142" s="61"/>
      <c r="G142" s="61"/>
      <c r="H142" s="61"/>
      <c r="I142" s="61"/>
      <c r="J142" s="61"/>
      <c r="K142" s="62"/>
      <c r="L142" s="63" t="str">
        <f>DEC2HEX(_xlfn.BITLSHIFT(N142,7)+4*O142)</f>
        <v>368</v>
      </c>
      <c r="M142" s="63"/>
      <c r="N142" s="63">
        <v>6</v>
      </c>
      <c r="O142" s="63">
        <v>26</v>
      </c>
      <c r="P142" s="54" t="str">
        <f>DEC2HEX(_xlfn.BITLSHIFT(N142,5)+O142*4)</f>
        <v>128</v>
      </c>
      <c r="Q142" s="57" t="str">
        <f>BIN2HEX(LEFT(RIGHT(C142,32),4))&amp;BIN2HEX(LEFT(RIGHT(C142,28),4))&amp;BIN2HEX(LEFT(RIGHT(C142,24),4))&amp;BIN2HEX(LEFT(RIGHT(C142,20),4))&amp;BIN2HEX(LEFT(RIGHT(C142,16),4))&amp;BIN2HEX(LEFT(RIGHT(C142,12),4))&amp;BIN2HEX(LEFT(RIGHT(C142,8),4))&amp;BIN2HEX(LEFT(RIGHT(C142,4),4))</f>
        <v>00000000</v>
      </c>
    </row>
    <row r="143" spans="1:91" ht="15.6" thickBot="1">
      <c r="A143" s="68"/>
      <c r="B143" s="73"/>
      <c r="C143" s="23" t="s">
        <v>82</v>
      </c>
      <c r="D143" s="23">
        <v>32</v>
      </c>
      <c r="E143" s="85" t="str">
        <f>IF(D143&gt;1,(31)&amp;":"&amp;(31-D143+1),(31-D143+1)&amp;":"&amp;(31-D143+1))</f>
        <v>31:0</v>
      </c>
      <c r="F143" s="23" t="s">
        <v>55</v>
      </c>
      <c r="G143" s="23" t="s">
        <v>82</v>
      </c>
      <c r="H143" s="25" t="s">
        <v>37</v>
      </c>
      <c r="I143" s="26" t="s">
        <v>36</v>
      </c>
      <c r="J143" s="27" t="s">
        <v>6</v>
      </c>
      <c r="K143" s="23"/>
      <c r="L143" s="64"/>
      <c r="M143" s="64"/>
      <c r="N143" s="64"/>
      <c r="O143" s="64"/>
      <c r="P143" s="64"/>
      <c r="Q143" s="59"/>
    </row>
    <row r="144" spans="1:91" ht="14.4" customHeight="1">
      <c r="A144" s="66" t="s">
        <v>82</v>
      </c>
      <c r="B144" s="72" t="s">
        <v>165</v>
      </c>
      <c r="C144" s="60" t="str">
        <f>bitConcat(F145:F145)</f>
        <v>32'b00000000000000000000000000000000</v>
      </c>
      <c r="D144" s="61"/>
      <c r="E144" s="61"/>
      <c r="F144" s="61"/>
      <c r="G144" s="61"/>
      <c r="H144" s="61"/>
      <c r="I144" s="61"/>
      <c r="J144" s="61"/>
      <c r="K144" s="62"/>
      <c r="L144" s="63" t="str">
        <f>DEC2HEX(_xlfn.BITLSHIFT(N144,7)+4*O144)</f>
        <v>36C</v>
      </c>
      <c r="M144" s="63"/>
      <c r="N144" s="63">
        <v>6</v>
      </c>
      <c r="O144" s="63">
        <v>27</v>
      </c>
      <c r="P144" s="54" t="str">
        <f>DEC2HEX(_xlfn.BITLSHIFT(N144,5)+O144*4)</f>
        <v>12C</v>
      </c>
      <c r="Q144" s="57" t="str">
        <f>BIN2HEX(LEFT(RIGHT(C144,32),4))&amp;BIN2HEX(LEFT(RIGHT(C144,28),4))&amp;BIN2HEX(LEFT(RIGHT(C144,24),4))&amp;BIN2HEX(LEFT(RIGHT(C144,20),4))&amp;BIN2HEX(LEFT(RIGHT(C144,16),4))&amp;BIN2HEX(LEFT(RIGHT(C144,12),4))&amp;BIN2HEX(LEFT(RIGHT(C144,8),4))&amp;BIN2HEX(LEFT(RIGHT(C144,4),4))</f>
        <v>00000000</v>
      </c>
    </row>
    <row r="145" spans="1:17" ht="15.6" thickBot="1">
      <c r="A145" s="68"/>
      <c r="B145" s="73"/>
      <c r="C145" s="23" t="s">
        <v>82</v>
      </c>
      <c r="D145" s="23">
        <v>32</v>
      </c>
      <c r="E145" s="85" t="str">
        <f>IF(D145&gt;1,(31)&amp;":"&amp;(31-D145+1),(31-D145+1)&amp;":"&amp;(31-D145+1))</f>
        <v>31:0</v>
      </c>
      <c r="F145" s="23" t="s">
        <v>55</v>
      </c>
      <c r="G145" s="23" t="s">
        <v>82</v>
      </c>
      <c r="H145" s="25" t="s">
        <v>37</v>
      </c>
      <c r="I145" s="26" t="s">
        <v>36</v>
      </c>
      <c r="J145" s="27" t="s">
        <v>6</v>
      </c>
      <c r="K145" s="23"/>
      <c r="L145" s="64"/>
      <c r="M145" s="64"/>
      <c r="N145" s="64"/>
      <c r="O145" s="64"/>
      <c r="P145" s="64"/>
      <c r="Q145" s="59"/>
    </row>
    <row r="146" spans="1:17" ht="14.4" customHeight="1">
      <c r="A146" s="66" t="s">
        <v>82</v>
      </c>
      <c r="B146" s="72">
        <v>70</v>
      </c>
      <c r="C146" s="60" t="str">
        <f>bitConcat(F147:F147)</f>
        <v>32'b00000000000000000000000000000000</v>
      </c>
      <c r="D146" s="61"/>
      <c r="E146" s="61"/>
      <c r="F146" s="61"/>
      <c r="G146" s="61"/>
      <c r="H146" s="61"/>
      <c r="I146" s="61"/>
      <c r="J146" s="61"/>
      <c r="K146" s="62"/>
      <c r="L146" s="63" t="str">
        <f>DEC2HEX(_xlfn.BITLSHIFT(N146,7)+4*O146)</f>
        <v>370</v>
      </c>
      <c r="M146" s="63"/>
      <c r="N146" s="63">
        <v>6</v>
      </c>
      <c r="O146" s="63">
        <v>28</v>
      </c>
      <c r="P146" s="54" t="str">
        <f>DEC2HEX(_xlfn.BITLSHIFT(N146,5)+O146*4)</f>
        <v>130</v>
      </c>
      <c r="Q146" s="57" t="str">
        <f>BIN2HEX(LEFT(RIGHT(C146,32),4))&amp;BIN2HEX(LEFT(RIGHT(C146,28),4))&amp;BIN2HEX(LEFT(RIGHT(C146,24),4))&amp;BIN2HEX(LEFT(RIGHT(C146,20),4))&amp;BIN2HEX(LEFT(RIGHT(C146,16),4))&amp;BIN2HEX(LEFT(RIGHT(C146,12),4))&amp;BIN2HEX(LEFT(RIGHT(C146,8),4))&amp;BIN2HEX(LEFT(RIGHT(C146,4),4))</f>
        <v>00000000</v>
      </c>
    </row>
    <row r="147" spans="1:17" ht="15.6" thickBot="1">
      <c r="A147" s="68"/>
      <c r="B147" s="73"/>
      <c r="C147" s="23" t="s">
        <v>82</v>
      </c>
      <c r="D147" s="23">
        <v>32</v>
      </c>
      <c r="E147" s="85" t="str">
        <f>IF(D147&gt;1,(31)&amp;":"&amp;(31-D147+1),(31-D147+1)&amp;":"&amp;(31-D147+1))</f>
        <v>31:0</v>
      </c>
      <c r="F147" s="23" t="s">
        <v>55</v>
      </c>
      <c r="G147" s="23" t="s">
        <v>82</v>
      </c>
      <c r="H147" s="25" t="s">
        <v>37</v>
      </c>
      <c r="I147" s="26" t="s">
        <v>36</v>
      </c>
      <c r="J147" s="27" t="s">
        <v>6</v>
      </c>
      <c r="K147" s="23"/>
      <c r="L147" s="64"/>
      <c r="M147" s="64"/>
      <c r="N147" s="64"/>
      <c r="O147" s="64"/>
      <c r="P147" s="64"/>
      <c r="Q147" s="59"/>
    </row>
    <row r="148" spans="1:17" ht="14.4" customHeight="1">
      <c r="A148" s="66" t="s">
        <v>82</v>
      </c>
      <c r="B148" s="72">
        <v>74</v>
      </c>
      <c r="C148" s="60" t="str">
        <f>bitConcat(F149:F149)</f>
        <v>32'b00000000000000000000000000000000</v>
      </c>
      <c r="D148" s="61"/>
      <c r="E148" s="61"/>
      <c r="F148" s="61"/>
      <c r="G148" s="61"/>
      <c r="H148" s="61"/>
      <c r="I148" s="61"/>
      <c r="J148" s="61"/>
      <c r="K148" s="62"/>
      <c r="L148" s="63" t="str">
        <f>DEC2HEX(_xlfn.BITLSHIFT(N148,7)+4*O148)</f>
        <v>374</v>
      </c>
      <c r="M148" s="63"/>
      <c r="N148" s="63">
        <v>6</v>
      </c>
      <c r="O148" s="63">
        <v>29</v>
      </c>
      <c r="P148" s="54" t="str">
        <f>DEC2HEX(_xlfn.BITLSHIFT(N148,5)+O148*4)</f>
        <v>134</v>
      </c>
      <c r="Q148" s="57" t="str">
        <f>BIN2HEX(LEFT(RIGHT(C148,32),4))&amp;BIN2HEX(LEFT(RIGHT(C148,28),4))&amp;BIN2HEX(LEFT(RIGHT(C148,24),4))&amp;BIN2HEX(LEFT(RIGHT(C148,20),4))&amp;BIN2HEX(LEFT(RIGHT(C148,16),4))&amp;BIN2HEX(LEFT(RIGHT(C148,12),4))&amp;BIN2HEX(LEFT(RIGHT(C148,8),4))&amp;BIN2HEX(LEFT(RIGHT(C148,4),4))</f>
        <v>00000000</v>
      </c>
    </row>
    <row r="149" spans="1:17" ht="15.6" thickBot="1">
      <c r="A149" s="68"/>
      <c r="B149" s="73"/>
      <c r="C149" s="23" t="s">
        <v>82</v>
      </c>
      <c r="D149" s="23">
        <v>32</v>
      </c>
      <c r="E149" s="85" t="str">
        <f>IF(D149&gt;1,(31)&amp;":"&amp;(31-D149+1),(31-D149+1)&amp;":"&amp;(31-D149+1))</f>
        <v>31:0</v>
      </c>
      <c r="F149" s="23" t="s">
        <v>55</v>
      </c>
      <c r="G149" s="23" t="s">
        <v>82</v>
      </c>
      <c r="H149" s="25" t="s">
        <v>37</v>
      </c>
      <c r="I149" s="26" t="s">
        <v>36</v>
      </c>
      <c r="J149" s="27" t="s">
        <v>6</v>
      </c>
      <c r="K149" s="23"/>
      <c r="L149" s="64"/>
      <c r="M149" s="64"/>
      <c r="N149" s="64"/>
      <c r="O149" s="64"/>
      <c r="P149" s="64"/>
      <c r="Q149" s="59"/>
    </row>
    <row r="150" spans="1:17" ht="14.4" customHeight="1">
      <c r="A150" s="66" t="s">
        <v>82</v>
      </c>
      <c r="B150" s="72">
        <v>78</v>
      </c>
      <c r="C150" s="60" t="str">
        <f>bitConcat(F151:F151)</f>
        <v>32'b00000000000000000000000000000000</v>
      </c>
      <c r="D150" s="61"/>
      <c r="E150" s="61"/>
      <c r="F150" s="61"/>
      <c r="G150" s="61"/>
      <c r="H150" s="61"/>
      <c r="I150" s="61"/>
      <c r="J150" s="61"/>
      <c r="K150" s="62"/>
      <c r="L150" s="63" t="str">
        <f>DEC2HEX(_xlfn.BITLSHIFT(N150,7)+4*O150)</f>
        <v>378</v>
      </c>
      <c r="M150" s="63"/>
      <c r="N150" s="63">
        <v>6</v>
      </c>
      <c r="O150" s="63">
        <v>30</v>
      </c>
      <c r="P150" s="54" t="str">
        <f>DEC2HEX(_xlfn.BITLSHIFT(N150,5)+O150*4)</f>
        <v>138</v>
      </c>
      <c r="Q150" s="57" t="str">
        <f>BIN2HEX(LEFT(RIGHT(C150,32),4))&amp;BIN2HEX(LEFT(RIGHT(C150,28),4))&amp;BIN2HEX(LEFT(RIGHT(C150,24),4))&amp;BIN2HEX(LEFT(RIGHT(C150,20),4))&amp;BIN2HEX(LEFT(RIGHT(C150,16),4))&amp;BIN2HEX(LEFT(RIGHT(C150,12),4))&amp;BIN2HEX(LEFT(RIGHT(C150,8),4))&amp;BIN2HEX(LEFT(RIGHT(C150,4),4))</f>
        <v>00000000</v>
      </c>
    </row>
    <row r="151" spans="1:17" ht="15.6" thickBot="1">
      <c r="A151" s="68"/>
      <c r="B151" s="73"/>
      <c r="C151" s="23" t="s">
        <v>82</v>
      </c>
      <c r="D151" s="23">
        <v>32</v>
      </c>
      <c r="E151" s="85" t="str">
        <f>IF(D151&gt;1,(31)&amp;":"&amp;(31-D151+1),(31-D151+1)&amp;":"&amp;(31-D151+1))</f>
        <v>31:0</v>
      </c>
      <c r="F151" s="23" t="s">
        <v>55</v>
      </c>
      <c r="G151" s="23" t="s">
        <v>82</v>
      </c>
      <c r="H151" s="25" t="s">
        <v>37</v>
      </c>
      <c r="I151" s="26" t="s">
        <v>36</v>
      </c>
      <c r="J151" s="27" t="s">
        <v>6</v>
      </c>
      <c r="K151" s="23"/>
      <c r="L151" s="64"/>
      <c r="M151" s="64"/>
      <c r="N151" s="64"/>
      <c r="O151" s="64"/>
      <c r="P151" s="64"/>
      <c r="Q151" s="59"/>
    </row>
    <row r="152" spans="1:17" ht="14.4" customHeight="1">
      <c r="A152" s="66" t="s">
        <v>82</v>
      </c>
      <c r="B152" s="72" t="s">
        <v>166</v>
      </c>
      <c r="C152" s="60" t="str">
        <f>bitConcat(F153:F153)</f>
        <v>32'b00000000000000000000000000000000</v>
      </c>
      <c r="D152" s="61"/>
      <c r="E152" s="61"/>
      <c r="F152" s="61"/>
      <c r="G152" s="61"/>
      <c r="H152" s="61"/>
      <c r="I152" s="61"/>
      <c r="J152" s="61"/>
      <c r="K152" s="62"/>
      <c r="L152" s="63" t="str">
        <f>DEC2HEX(_xlfn.BITLSHIFT(N152,7)+4*O152)</f>
        <v>37C</v>
      </c>
      <c r="M152" s="63"/>
      <c r="N152" s="63">
        <v>6</v>
      </c>
      <c r="O152" s="63">
        <v>31</v>
      </c>
      <c r="P152" s="54" t="str">
        <f>DEC2HEX(_xlfn.BITLSHIFT(N152,5)+O152*4)</f>
        <v>13C</v>
      </c>
      <c r="Q152" s="57" t="str">
        <f>BIN2HEX(LEFT(RIGHT(C152,32),4))&amp;BIN2HEX(LEFT(RIGHT(C152,28),4))&amp;BIN2HEX(LEFT(RIGHT(C152,24),4))&amp;BIN2HEX(LEFT(RIGHT(C152,20),4))&amp;BIN2HEX(LEFT(RIGHT(C152,16),4))&amp;BIN2HEX(LEFT(RIGHT(C152,12),4))&amp;BIN2HEX(LEFT(RIGHT(C152,8),4))&amp;BIN2HEX(LEFT(RIGHT(C152,4),4))</f>
        <v>00000000</v>
      </c>
    </row>
    <row r="153" spans="1:17" ht="15">
      <c r="A153" s="68"/>
      <c r="B153" s="73"/>
      <c r="C153" s="23" t="s">
        <v>82</v>
      </c>
      <c r="D153" s="23">
        <v>32</v>
      </c>
      <c r="E153" s="85" t="str">
        <f>IF(D153&gt;1,(31)&amp;":"&amp;(31-D153+1),(31-D153+1)&amp;":"&amp;(31-D153+1))</f>
        <v>31:0</v>
      </c>
      <c r="F153" s="23" t="s">
        <v>55</v>
      </c>
      <c r="G153" s="23" t="s">
        <v>82</v>
      </c>
      <c r="H153" s="25" t="s">
        <v>37</v>
      </c>
      <c r="I153" s="26" t="s">
        <v>36</v>
      </c>
      <c r="J153" s="27" t="s">
        <v>6</v>
      </c>
      <c r="K153" s="23"/>
      <c r="L153" s="64"/>
      <c r="M153" s="64"/>
      <c r="N153" s="64"/>
      <c r="O153" s="64"/>
      <c r="P153" s="64"/>
      <c r="Q153" s="65"/>
    </row>
    <row r="154" spans="1:17" ht="14.4" customHeight="1">
      <c r="A154" s="66" t="s">
        <v>158</v>
      </c>
      <c r="B154" s="66">
        <v>0</v>
      </c>
      <c r="C154" s="60" t="str">
        <f>bitConcat(F155:F158)</f>
        <v>32'b00000000000000000000000100111111</v>
      </c>
      <c r="D154" s="61"/>
      <c r="E154" s="61"/>
      <c r="F154" s="61"/>
      <c r="G154" s="61"/>
      <c r="H154" s="61"/>
      <c r="I154" s="61"/>
      <c r="J154" s="61"/>
      <c r="K154" s="62"/>
      <c r="L154" s="63" t="str">
        <f t="shared" ref="L154" si="2">DEC2HEX(_xlfn.BITLSHIFT(N154,7)+4*O154)</f>
        <v>380</v>
      </c>
      <c r="M154" s="63"/>
      <c r="N154" s="63">
        <v>7</v>
      </c>
      <c r="O154" s="63">
        <v>0</v>
      </c>
      <c r="P154" s="54" t="str">
        <f t="shared" ref="P154" si="3">DEC2HEX(_xlfn.BITLSHIFT(N154,5)+O154*4)</f>
        <v>E0</v>
      </c>
      <c r="Q154" s="57" t="str">
        <f>BIN2HEX(LEFT(RIGHT(C154,32),4))&amp;BIN2HEX(LEFT(RIGHT(C154,28),4))&amp;BIN2HEX(LEFT(RIGHT(C154,24),4))&amp;BIN2HEX(LEFT(RIGHT(C154,20),4))&amp;BIN2HEX(LEFT(RIGHT(C154,16),4))&amp;BIN2HEX(LEFT(RIGHT(C154,12),4))&amp;BIN2HEX(LEFT(RIGHT(C154,8),4))&amp;BIN2HEX(LEFT(RIGHT(C154,4),4))</f>
        <v>0000013F</v>
      </c>
    </row>
    <row r="155" spans="1:17" ht="15">
      <c r="A155" s="67"/>
      <c r="B155" s="67"/>
      <c r="C155" s="23" t="s">
        <v>120</v>
      </c>
      <c r="D155" s="23">
        <v>23</v>
      </c>
      <c r="E155" s="85" t="str">
        <f>IF(D155&gt;1,(31)&amp;":"&amp;(31-D155+1),(31-D155+1)&amp;":"&amp;(31-D155+1))</f>
        <v>31:9</v>
      </c>
      <c r="F155" s="23" t="s">
        <v>155</v>
      </c>
      <c r="G155" s="23" t="s">
        <v>120</v>
      </c>
      <c r="H155" s="26" t="s">
        <v>37</v>
      </c>
      <c r="I155" s="26" t="s">
        <v>36</v>
      </c>
      <c r="J155" s="26" t="s">
        <v>6</v>
      </c>
      <c r="K155" s="23"/>
      <c r="L155" s="55"/>
      <c r="M155" s="55"/>
      <c r="N155" s="55"/>
      <c r="O155" s="55"/>
      <c r="P155" s="55"/>
      <c r="Q155" s="58"/>
    </row>
    <row r="156" spans="1:17">
      <c r="A156" s="67"/>
      <c r="B156" s="67"/>
      <c r="C156" s="23" t="s">
        <v>152</v>
      </c>
      <c r="D156" s="23">
        <v>3</v>
      </c>
      <c r="E156" s="83" t="str">
        <f>(MID(str_cnvt(E155),SEARCH(":",str_cnvt(E155))+1,2)-1) &amp; ":" &amp; (MID(str_cnvt(E155),SEARCH(":",str_cnvt(E155))+1,2)-D156)</f>
        <v>8:6</v>
      </c>
      <c r="F156" s="23" t="s">
        <v>156</v>
      </c>
      <c r="G156" s="23" t="s">
        <v>167</v>
      </c>
      <c r="H156" s="26" t="s">
        <v>37</v>
      </c>
      <c r="I156" s="26" t="s">
        <v>36</v>
      </c>
      <c r="J156" s="26" t="s">
        <v>6</v>
      </c>
      <c r="K156" s="23"/>
      <c r="L156" s="55"/>
      <c r="M156" s="55"/>
      <c r="N156" s="55"/>
      <c r="O156" s="55"/>
      <c r="P156" s="55"/>
      <c r="Q156" s="58"/>
    </row>
    <row r="157" spans="1:17">
      <c r="A157" s="67"/>
      <c r="B157" s="67"/>
      <c r="C157" s="23" t="s">
        <v>153</v>
      </c>
      <c r="D157" s="23">
        <v>1</v>
      </c>
      <c r="E157" s="83" t="str">
        <f>(MID(str_cnvt(E156),SEARCH(":",str_cnvt(E156))+1,2)-1) &amp; ":" &amp; (MID(str_cnvt(E156),SEARCH(":",str_cnvt(E156))+1,2)-D157)</f>
        <v>5:5</v>
      </c>
      <c r="F157" s="23" t="s">
        <v>38</v>
      </c>
      <c r="G157" s="23" t="s">
        <v>168</v>
      </c>
      <c r="H157" s="26" t="s">
        <v>37</v>
      </c>
      <c r="I157" s="26" t="s">
        <v>36</v>
      </c>
      <c r="J157" s="26" t="s">
        <v>6</v>
      </c>
      <c r="K157" s="23"/>
      <c r="L157" s="55"/>
      <c r="M157" s="55"/>
      <c r="N157" s="55"/>
      <c r="O157" s="55"/>
      <c r="P157" s="55"/>
      <c r="Q157" s="58"/>
    </row>
    <row r="158" spans="1:17">
      <c r="A158" s="68"/>
      <c r="B158" s="68"/>
      <c r="C158" s="23" t="s">
        <v>154</v>
      </c>
      <c r="D158" s="23">
        <v>5</v>
      </c>
      <c r="E158" s="83" t="str">
        <f>(MID(str_cnvt(E157),SEARCH(":",str_cnvt(E157))+1,2)-1) &amp; ":" &amp; (MID(str_cnvt(E157),SEARCH(":",str_cnvt(E157))+1,2)-D158)</f>
        <v>4:0</v>
      </c>
      <c r="F158" s="23" t="s">
        <v>157</v>
      </c>
      <c r="G158" s="23" t="s">
        <v>169</v>
      </c>
      <c r="H158" s="26" t="s">
        <v>37</v>
      </c>
      <c r="I158" s="26" t="s">
        <v>36</v>
      </c>
      <c r="J158" s="26" t="s">
        <v>6</v>
      </c>
      <c r="K158" s="23"/>
      <c r="L158" s="64"/>
      <c r="M158" s="64"/>
      <c r="N158" s="64"/>
      <c r="O158" s="64"/>
      <c r="P158" s="64"/>
      <c r="Q158" s="65"/>
    </row>
    <row r="159" spans="1:17" ht="14.4" customHeight="1">
      <c r="A159" s="66" t="s">
        <v>175</v>
      </c>
      <c r="B159" s="66">
        <v>4</v>
      </c>
      <c r="C159" s="60" t="str">
        <f>bitConcat(F160:F163)</f>
        <v>32'b00000000000000000000000100111111</v>
      </c>
      <c r="D159" s="61"/>
      <c r="E159" s="61"/>
      <c r="F159" s="61"/>
      <c r="G159" s="61"/>
      <c r="H159" s="61"/>
      <c r="I159" s="61"/>
      <c r="J159" s="61"/>
      <c r="K159" s="62"/>
      <c r="L159" s="63" t="str">
        <f t="shared" ref="L159" si="4">DEC2HEX(_xlfn.BITLSHIFT(N159,7)+4*O159)</f>
        <v>384</v>
      </c>
      <c r="M159" s="63"/>
      <c r="N159" s="63">
        <v>7</v>
      </c>
      <c r="O159" s="63">
        <v>1</v>
      </c>
      <c r="P159" s="54" t="str">
        <f t="shared" ref="P159" si="5">DEC2HEX(_xlfn.BITLSHIFT(N159,5)+O159*4)</f>
        <v>E4</v>
      </c>
      <c r="Q159" s="57" t="str">
        <f>BIN2HEX(LEFT(RIGHT(C159,32),4))&amp;BIN2HEX(LEFT(RIGHT(C159,28),4))&amp;BIN2HEX(LEFT(RIGHT(C159,24),4))&amp;BIN2HEX(LEFT(RIGHT(C159,20),4))&amp;BIN2HEX(LEFT(RIGHT(C159,16),4))&amp;BIN2HEX(LEFT(RIGHT(C159,12),4))&amp;BIN2HEX(LEFT(RIGHT(C159,8),4))&amp;BIN2HEX(LEFT(RIGHT(C159,4),4))</f>
        <v>0000013F</v>
      </c>
    </row>
    <row r="160" spans="1:17" ht="15">
      <c r="A160" s="67"/>
      <c r="B160" s="67"/>
      <c r="C160" s="23" t="s">
        <v>120</v>
      </c>
      <c r="D160" s="23">
        <v>23</v>
      </c>
      <c r="E160" s="85" t="str">
        <f>IF(D160&gt;1,(31)&amp;":"&amp;(31-D160+1),(31-D160+1)&amp;":"&amp;(31-D160+1))</f>
        <v>31:9</v>
      </c>
      <c r="F160" s="23" t="s">
        <v>155</v>
      </c>
      <c r="G160" s="23" t="s">
        <v>120</v>
      </c>
      <c r="H160" s="26" t="s">
        <v>37</v>
      </c>
      <c r="I160" s="26" t="s">
        <v>36</v>
      </c>
      <c r="J160" s="26" t="s">
        <v>6</v>
      </c>
      <c r="K160" s="23"/>
      <c r="L160" s="55"/>
      <c r="M160" s="55"/>
      <c r="N160" s="55"/>
      <c r="O160" s="55"/>
      <c r="P160" s="55"/>
      <c r="Q160" s="58"/>
    </row>
    <row r="161" spans="1:17">
      <c r="A161" s="67"/>
      <c r="B161" s="67"/>
      <c r="C161" s="23" t="s">
        <v>152</v>
      </c>
      <c r="D161" s="23">
        <v>3</v>
      </c>
      <c r="E161" s="83" t="str">
        <f>(MID(str_cnvt(E160),SEARCH(":",str_cnvt(E160))+1,2)-1) &amp; ":" &amp; (MID(str_cnvt(E160),SEARCH(":",str_cnvt(E160))+1,2)-D161)</f>
        <v>8:6</v>
      </c>
      <c r="F161" s="23" t="s">
        <v>156</v>
      </c>
      <c r="G161" s="23" t="s">
        <v>167</v>
      </c>
      <c r="H161" s="26" t="s">
        <v>37</v>
      </c>
      <c r="I161" s="26" t="s">
        <v>36</v>
      </c>
      <c r="J161" s="26" t="s">
        <v>6</v>
      </c>
      <c r="K161" s="23"/>
      <c r="L161" s="55"/>
      <c r="M161" s="55"/>
      <c r="N161" s="55"/>
      <c r="O161" s="55"/>
      <c r="P161" s="55"/>
      <c r="Q161" s="58"/>
    </row>
    <row r="162" spans="1:17">
      <c r="A162" s="67"/>
      <c r="B162" s="67"/>
      <c r="C162" s="23" t="s">
        <v>153</v>
      </c>
      <c r="D162" s="23">
        <v>1</v>
      </c>
      <c r="E162" s="83" t="str">
        <f>(MID(str_cnvt(E161),SEARCH(":",str_cnvt(E161))+1,2)-1) &amp; ":" &amp; (MID(str_cnvt(E161),SEARCH(":",str_cnvt(E161))+1,2)-D162)</f>
        <v>5:5</v>
      </c>
      <c r="F162" s="23" t="s">
        <v>38</v>
      </c>
      <c r="G162" s="23" t="s">
        <v>168</v>
      </c>
      <c r="H162" s="26" t="s">
        <v>37</v>
      </c>
      <c r="I162" s="26" t="s">
        <v>36</v>
      </c>
      <c r="J162" s="26" t="s">
        <v>6</v>
      </c>
      <c r="K162" s="23"/>
      <c r="L162" s="55"/>
      <c r="M162" s="55"/>
      <c r="N162" s="55"/>
      <c r="O162" s="55"/>
      <c r="P162" s="55"/>
      <c r="Q162" s="58"/>
    </row>
    <row r="163" spans="1:17">
      <c r="A163" s="68"/>
      <c r="B163" s="68"/>
      <c r="C163" s="23" t="s">
        <v>154</v>
      </c>
      <c r="D163" s="23">
        <v>5</v>
      </c>
      <c r="E163" s="83" t="str">
        <f>(MID(str_cnvt(E162),SEARCH(":",str_cnvt(E162))+1,2)-1) &amp; ":" &amp; (MID(str_cnvt(E162),SEARCH(":",str_cnvt(E162))+1,2)-D163)</f>
        <v>4:0</v>
      </c>
      <c r="F163" s="23" t="s">
        <v>157</v>
      </c>
      <c r="G163" s="23" t="s">
        <v>169</v>
      </c>
      <c r="H163" s="26" t="s">
        <v>37</v>
      </c>
      <c r="I163" s="26" t="s">
        <v>36</v>
      </c>
      <c r="J163" s="26" t="s">
        <v>6</v>
      </c>
      <c r="K163" s="23"/>
      <c r="L163" s="64"/>
      <c r="M163" s="64"/>
      <c r="N163" s="64"/>
      <c r="O163" s="64"/>
      <c r="P163" s="64"/>
      <c r="Q163" s="65"/>
    </row>
    <row r="164" spans="1:17" ht="14.4" customHeight="1">
      <c r="A164" s="66" t="s">
        <v>176</v>
      </c>
      <c r="B164" s="66">
        <v>8</v>
      </c>
      <c r="C164" s="60" t="str">
        <f>bitConcat(F165:F168)</f>
        <v>32'b00000000000000000000000100111111</v>
      </c>
      <c r="D164" s="61"/>
      <c r="E164" s="61"/>
      <c r="F164" s="61"/>
      <c r="G164" s="61"/>
      <c r="H164" s="61"/>
      <c r="I164" s="61"/>
      <c r="J164" s="61"/>
      <c r="K164" s="62"/>
      <c r="L164" s="63" t="str">
        <f t="shared" ref="L164" si="6">DEC2HEX(_xlfn.BITLSHIFT(N164,7)+4*O164)</f>
        <v>388</v>
      </c>
      <c r="M164" s="63"/>
      <c r="N164" s="63">
        <v>7</v>
      </c>
      <c r="O164" s="63">
        <v>2</v>
      </c>
      <c r="P164" s="54" t="str">
        <f t="shared" ref="P164" si="7">DEC2HEX(_xlfn.BITLSHIFT(N164,5)+O164*4)</f>
        <v>E8</v>
      </c>
      <c r="Q164" s="57" t="str">
        <f>BIN2HEX(LEFT(RIGHT(C164,32),4))&amp;BIN2HEX(LEFT(RIGHT(C164,28),4))&amp;BIN2HEX(LEFT(RIGHT(C164,24),4))&amp;BIN2HEX(LEFT(RIGHT(C164,20),4))&amp;BIN2HEX(LEFT(RIGHT(C164,16),4))&amp;BIN2HEX(LEFT(RIGHT(C164,12),4))&amp;BIN2HEX(LEFT(RIGHT(C164,8),4))&amp;BIN2HEX(LEFT(RIGHT(C164,4),4))</f>
        <v>0000013F</v>
      </c>
    </row>
    <row r="165" spans="1:17" ht="15">
      <c r="A165" s="67"/>
      <c r="B165" s="67"/>
      <c r="C165" s="23" t="s">
        <v>120</v>
      </c>
      <c r="D165" s="23">
        <v>23</v>
      </c>
      <c r="E165" s="85" t="str">
        <f>IF(D165&gt;1,(31)&amp;":"&amp;(31-D165+1),(31-D165+1)&amp;":"&amp;(31-D165+1))</f>
        <v>31:9</v>
      </c>
      <c r="F165" s="23" t="s">
        <v>155</v>
      </c>
      <c r="G165" s="23" t="s">
        <v>120</v>
      </c>
      <c r="H165" s="26" t="s">
        <v>37</v>
      </c>
      <c r="I165" s="26" t="s">
        <v>36</v>
      </c>
      <c r="J165" s="26" t="s">
        <v>6</v>
      </c>
      <c r="K165" s="23"/>
      <c r="L165" s="55"/>
      <c r="M165" s="55"/>
      <c r="N165" s="55"/>
      <c r="O165" s="55"/>
      <c r="P165" s="55"/>
      <c r="Q165" s="58"/>
    </row>
    <row r="166" spans="1:17">
      <c r="A166" s="67"/>
      <c r="B166" s="67"/>
      <c r="C166" s="23" t="s">
        <v>152</v>
      </c>
      <c r="D166" s="23">
        <v>3</v>
      </c>
      <c r="E166" s="83" t="str">
        <f>(MID(str_cnvt(E165),SEARCH(":",str_cnvt(E165))+1,2)-1) &amp; ":" &amp; (MID(str_cnvt(E165),SEARCH(":",str_cnvt(E165))+1,2)-D166)</f>
        <v>8:6</v>
      </c>
      <c r="F166" s="23" t="s">
        <v>156</v>
      </c>
      <c r="G166" s="23" t="s">
        <v>167</v>
      </c>
      <c r="H166" s="26" t="s">
        <v>37</v>
      </c>
      <c r="I166" s="26" t="s">
        <v>36</v>
      </c>
      <c r="J166" s="26" t="s">
        <v>6</v>
      </c>
      <c r="K166" s="23"/>
      <c r="L166" s="55"/>
      <c r="M166" s="55"/>
      <c r="N166" s="55"/>
      <c r="O166" s="55"/>
      <c r="P166" s="55"/>
      <c r="Q166" s="58"/>
    </row>
    <row r="167" spans="1:17">
      <c r="A167" s="67"/>
      <c r="B167" s="67"/>
      <c r="C167" s="23" t="s">
        <v>153</v>
      </c>
      <c r="D167" s="23">
        <v>1</v>
      </c>
      <c r="E167" s="83" t="str">
        <f>(MID(str_cnvt(E166),SEARCH(":",str_cnvt(E166))+1,2)-1) &amp; ":" &amp; (MID(str_cnvt(E166),SEARCH(":",str_cnvt(E166))+1,2)-D167)</f>
        <v>5:5</v>
      </c>
      <c r="F167" s="23" t="s">
        <v>38</v>
      </c>
      <c r="G167" s="23" t="s">
        <v>168</v>
      </c>
      <c r="H167" s="26" t="s">
        <v>37</v>
      </c>
      <c r="I167" s="26" t="s">
        <v>36</v>
      </c>
      <c r="J167" s="26" t="s">
        <v>6</v>
      </c>
      <c r="K167" s="23"/>
      <c r="L167" s="55"/>
      <c r="M167" s="55"/>
      <c r="N167" s="55"/>
      <c r="O167" s="55"/>
      <c r="P167" s="55"/>
      <c r="Q167" s="58"/>
    </row>
    <row r="168" spans="1:17">
      <c r="A168" s="68"/>
      <c r="B168" s="68"/>
      <c r="C168" s="23" t="s">
        <v>154</v>
      </c>
      <c r="D168" s="23">
        <v>5</v>
      </c>
      <c r="E168" s="83" t="str">
        <f>(MID(str_cnvt(E167),SEARCH(":",str_cnvt(E167))+1,2)-1) &amp; ":" &amp; (MID(str_cnvt(E167),SEARCH(":",str_cnvt(E167))+1,2)-D168)</f>
        <v>4:0</v>
      </c>
      <c r="F168" s="23" t="s">
        <v>157</v>
      </c>
      <c r="G168" s="23" t="s">
        <v>169</v>
      </c>
      <c r="H168" s="26" t="s">
        <v>37</v>
      </c>
      <c r="I168" s="26" t="s">
        <v>36</v>
      </c>
      <c r="J168" s="26" t="s">
        <v>6</v>
      </c>
      <c r="K168" s="23"/>
      <c r="L168" s="64"/>
      <c r="M168" s="64"/>
      <c r="N168" s="64"/>
      <c r="O168" s="64"/>
      <c r="P168" s="64"/>
      <c r="Q168" s="65"/>
    </row>
    <row r="169" spans="1:17" ht="14.4" customHeight="1">
      <c r="A169" s="66" t="s">
        <v>177</v>
      </c>
      <c r="B169" s="66" t="s">
        <v>83</v>
      </c>
      <c r="C169" s="60" t="str">
        <f>bitConcat(F170:F173)</f>
        <v>32'b00000000000000000000000100111111</v>
      </c>
      <c r="D169" s="61"/>
      <c r="E169" s="61"/>
      <c r="F169" s="61"/>
      <c r="G169" s="61"/>
      <c r="H169" s="61"/>
      <c r="I169" s="61"/>
      <c r="J169" s="61"/>
      <c r="K169" s="62"/>
      <c r="L169" s="63" t="str">
        <f t="shared" ref="L169" si="8">DEC2HEX(_xlfn.BITLSHIFT(N169,7)+4*O169)</f>
        <v>38C</v>
      </c>
      <c r="M169" s="63"/>
      <c r="N169" s="63">
        <v>7</v>
      </c>
      <c r="O169" s="63">
        <v>3</v>
      </c>
      <c r="P169" s="54" t="str">
        <f t="shared" ref="P169" si="9">DEC2HEX(_xlfn.BITLSHIFT(N169,5)+O169*4)</f>
        <v>EC</v>
      </c>
      <c r="Q169" s="57" t="str">
        <f>BIN2HEX(LEFT(RIGHT(C169,32),4))&amp;BIN2HEX(LEFT(RIGHT(C169,28),4))&amp;BIN2HEX(LEFT(RIGHT(C169,24),4))&amp;BIN2HEX(LEFT(RIGHT(C169,20),4))&amp;BIN2HEX(LEFT(RIGHT(C169,16),4))&amp;BIN2HEX(LEFT(RIGHT(C169,12),4))&amp;BIN2HEX(LEFT(RIGHT(C169,8),4))&amp;BIN2HEX(LEFT(RIGHT(C169,4),4))</f>
        <v>0000013F</v>
      </c>
    </row>
    <row r="170" spans="1:17" ht="15">
      <c r="A170" s="67"/>
      <c r="B170" s="67"/>
      <c r="C170" s="23" t="s">
        <v>120</v>
      </c>
      <c r="D170" s="23">
        <v>23</v>
      </c>
      <c r="E170" s="85" t="str">
        <f>IF(D170&gt;1,(31)&amp;":"&amp;(31-D170+1),(31-D170+1)&amp;":"&amp;(31-D170+1))</f>
        <v>31:9</v>
      </c>
      <c r="F170" s="23" t="s">
        <v>155</v>
      </c>
      <c r="G170" s="23" t="s">
        <v>120</v>
      </c>
      <c r="H170" s="26" t="s">
        <v>37</v>
      </c>
      <c r="I170" s="26" t="s">
        <v>36</v>
      </c>
      <c r="J170" s="26" t="s">
        <v>6</v>
      </c>
      <c r="K170" s="23"/>
      <c r="L170" s="55"/>
      <c r="M170" s="55"/>
      <c r="N170" s="55"/>
      <c r="O170" s="55"/>
      <c r="P170" s="55"/>
      <c r="Q170" s="58"/>
    </row>
    <row r="171" spans="1:17">
      <c r="A171" s="67"/>
      <c r="B171" s="67"/>
      <c r="C171" s="23" t="s">
        <v>152</v>
      </c>
      <c r="D171" s="23">
        <v>3</v>
      </c>
      <c r="E171" s="83" t="str">
        <f>(MID(str_cnvt(E170),SEARCH(":",str_cnvt(E170))+1,2)-1) &amp; ":" &amp; (MID(str_cnvt(E170),SEARCH(":",str_cnvt(E170))+1,2)-D171)</f>
        <v>8:6</v>
      </c>
      <c r="F171" s="23" t="s">
        <v>156</v>
      </c>
      <c r="G171" s="23" t="s">
        <v>167</v>
      </c>
      <c r="H171" s="26" t="s">
        <v>37</v>
      </c>
      <c r="I171" s="26" t="s">
        <v>36</v>
      </c>
      <c r="J171" s="26" t="s">
        <v>6</v>
      </c>
      <c r="K171" s="23"/>
      <c r="L171" s="55"/>
      <c r="M171" s="55"/>
      <c r="N171" s="55"/>
      <c r="O171" s="55"/>
      <c r="P171" s="55"/>
      <c r="Q171" s="58"/>
    </row>
    <row r="172" spans="1:17">
      <c r="A172" s="67"/>
      <c r="B172" s="67"/>
      <c r="C172" s="23" t="s">
        <v>153</v>
      </c>
      <c r="D172" s="23">
        <v>1</v>
      </c>
      <c r="E172" s="83" t="str">
        <f>(MID(str_cnvt(E171),SEARCH(":",str_cnvt(E171))+1,2)-1) &amp; ":" &amp; (MID(str_cnvt(E171),SEARCH(":",str_cnvt(E171))+1,2)-D172)</f>
        <v>5:5</v>
      </c>
      <c r="F172" s="23" t="s">
        <v>38</v>
      </c>
      <c r="G172" s="23" t="s">
        <v>168</v>
      </c>
      <c r="H172" s="26" t="s">
        <v>37</v>
      </c>
      <c r="I172" s="26" t="s">
        <v>36</v>
      </c>
      <c r="J172" s="26" t="s">
        <v>6</v>
      </c>
      <c r="K172" s="23"/>
      <c r="L172" s="55"/>
      <c r="M172" s="55"/>
      <c r="N172" s="55"/>
      <c r="O172" s="55"/>
      <c r="P172" s="55"/>
      <c r="Q172" s="58"/>
    </row>
    <row r="173" spans="1:17">
      <c r="A173" s="68"/>
      <c r="B173" s="68"/>
      <c r="C173" s="23" t="s">
        <v>154</v>
      </c>
      <c r="D173" s="23">
        <v>5</v>
      </c>
      <c r="E173" s="83" t="str">
        <f>(MID(str_cnvt(E172),SEARCH(":",str_cnvt(E172))+1,2)-1) &amp; ":" &amp; (MID(str_cnvt(E172),SEARCH(":",str_cnvt(E172))+1,2)-D173)</f>
        <v>4:0</v>
      </c>
      <c r="F173" s="23" t="s">
        <v>157</v>
      </c>
      <c r="G173" s="23" t="s">
        <v>169</v>
      </c>
      <c r="H173" s="26" t="s">
        <v>37</v>
      </c>
      <c r="I173" s="26" t="s">
        <v>36</v>
      </c>
      <c r="J173" s="26" t="s">
        <v>6</v>
      </c>
      <c r="K173" s="23"/>
      <c r="L173" s="64"/>
      <c r="M173" s="64"/>
      <c r="N173" s="64"/>
      <c r="O173" s="64"/>
      <c r="P173" s="64"/>
      <c r="Q173" s="65"/>
    </row>
    <row r="174" spans="1:17" ht="14.4" customHeight="1">
      <c r="A174" s="66" t="s">
        <v>181</v>
      </c>
      <c r="B174" s="66">
        <v>10</v>
      </c>
      <c r="C174" s="60" t="str">
        <f>bitConcat(F175:F178)</f>
        <v>32'b00000000000000000000000100111111</v>
      </c>
      <c r="D174" s="61"/>
      <c r="E174" s="61"/>
      <c r="F174" s="61"/>
      <c r="G174" s="61"/>
      <c r="H174" s="61"/>
      <c r="I174" s="61"/>
      <c r="J174" s="61"/>
      <c r="K174" s="62"/>
      <c r="L174" s="63" t="str">
        <f t="shared" ref="L174" si="10">DEC2HEX(_xlfn.BITLSHIFT(N174,7)+4*O174)</f>
        <v>390</v>
      </c>
      <c r="M174" s="63"/>
      <c r="N174" s="63">
        <v>7</v>
      </c>
      <c r="O174" s="63">
        <v>4</v>
      </c>
      <c r="P174" s="54" t="str">
        <f t="shared" ref="P174" si="11">DEC2HEX(_xlfn.BITLSHIFT(N174,5)+O174*4)</f>
        <v>F0</v>
      </c>
      <c r="Q174" s="57" t="str">
        <f>BIN2HEX(LEFT(RIGHT(C174,32),4))&amp;BIN2HEX(LEFT(RIGHT(C174,28),4))&amp;BIN2HEX(LEFT(RIGHT(C174,24),4))&amp;BIN2HEX(LEFT(RIGHT(C174,20),4))&amp;BIN2HEX(LEFT(RIGHT(C174,16),4))&amp;BIN2HEX(LEFT(RIGHT(C174,12),4))&amp;BIN2HEX(LEFT(RIGHT(C174,8),4))&amp;BIN2HEX(LEFT(RIGHT(C174,4),4))</f>
        <v>0000013F</v>
      </c>
    </row>
    <row r="175" spans="1:17" ht="15">
      <c r="A175" s="67"/>
      <c r="B175" s="67"/>
      <c r="C175" s="23" t="s">
        <v>120</v>
      </c>
      <c r="D175" s="23">
        <v>23</v>
      </c>
      <c r="E175" s="85" t="str">
        <f>IF(D175&gt;1,(31)&amp;":"&amp;(31-D175+1),(31-D175+1)&amp;":"&amp;(31-D175+1))</f>
        <v>31:9</v>
      </c>
      <c r="F175" s="23" t="s">
        <v>155</v>
      </c>
      <c r="G175" s="23" t="s">
        <v>120</v>
      </c>
      <c r="H175" s="26" t="s">
        <v>37</v>
      </c>
      <c r="I175" s="26" t="s">
        <v>36</v>
      </c>
      <c r="J175" s="26" t="s">
        <v>6</v>
      </c>
      <c r="K175" s="23"/>
      <c r="L175" s="55"/>
      <c r="M175" s="55"/>
      <c r="N175" s="55"/>
      <c r="O175" s="55"/>
      <c r="P175" s="55"/>
      <c r="Q175" s="58"/>
    </row>
    <row r="176" spans="1:17">
      <c r="A176" s="67"/>
      <c r="B176" s="67"/>
      <c r="C176" s="23" t="s">
        <v>152</v>
      </c>
      <c r="D176" s="23">
        <v>3</v>
      </c>
      <c r="E176" s="83" t="str">
        <f>(MID(str_cnvt(E175),SEARCH(":",str_cnvt(E175))+1,2)-1) &amp; ":" &amp; (MID(str_cnvt(E175),SEARCH(":",str_cnvt(E175))+1,2)-D176)</f>
        <v>8:6</v>
      </c>
      <c r="F176" s="23" t="s">
        <v>156</v>
      </c>
      <c r="G176" s="23" t="s">
        <v>167</v>
      </c>
      <c r="H176" s="26" t="s">
        <v>37</v>
      </c>
      <c r="I176" s="26" t="s">
        <v>36</v>
      </c>
      <c r="J176" s="26" t="s">
        <v>6</v>
      </c>
      <c r="K176" s="23"/>
      <c r="L176" s="55"/>
      <c r="M176" s="55"/>
      <c r="N176" s="55"/>
      <c r="O176" s="55"/>
      <c r="P176" s="55"/>
      <c r="Q176" s="58"/>
    </row>
    <row r="177" spans="1:17">
      <c r="A177" s="67"/>
      <c r="B177" s="67"/>
      <c r="C177" s="23" t="s">
        <v>153</v>
      </c>
      <c r="D177" s="23">
        <v>1</v>
      </c>
      <c r="E177" s="83" t="str">
        <f>(MID(str_cnvt(E176),SEARCH(":",str_cnvt(E176))+1,2)-1) &amp; ":" &amp; (MID(str_cnvt(E176),SEARCH(":",str_cnvt(E176))+1,2)-D177)</f>
        <v>5:5</v>
      </c>
      <c r="F177" s="23" t="s">
        <v>38</v>
      </c>
      <c r="G177" s="23" t="s">
        <v>168</v>
      </c>
      <c r="H177" s="26" t="s">
        <v>37</v>
      </c>
      <c r="I177" s="26" t="s">
        <v>36</v>
      </c>
      <c r="J177" s="26" t="s">
        <v>6</v>
      </c>
      <c r="K177" s="23"/>
      <c r="L177" s="55"/>
      <c r="M177" s="55"/>
      <c r="N177" s="55"/>
      <c r="O177" s="55"/>
      <c r="P177" s="55"/>
      <c r="Q177" s="58"/>
    </row>
    <row r="178" spans="1:17">
      <c r="A178" s="68"/>
      <c r="B178" s="68"/>
      <c r="C178" s="23" t="s">
        <v>154</v>
      </c>
      <c r="D178" s="23">
        <v>5</v>
      </c>
      <c r="E178" s="83" t="str">
        <f>(MID(str_cnvt(E177),SEARCH(":",str_cnvt(E177))+1,2)-1) &amp; ":" &amp; (MID(str_cnvt(E177),SEARCH(":",str_cnvt(E177))+1,2)-D178)</f>
        <v>4:0</v>
      </c>
      <c r="F178" s="23" t="s">
        <v>157</v>
      </c>
      <c r="G178" s="23" t="s">
        <v>169</v>
      </c>
      <c r="H178" s="26" t="s">
        <v>37</v>
      </c>
      <c r="I178" s="26" t="s">
        <v>36</v>
      </c>
      <c r="J178" s="26" t="s">
        <v>6</v>
      </c>
      <c r="K178" s="23"/>
      <c r="L178" s="64"/>
      <c r="M178" s="64"/>
      <c r="N178" s="64"/>
      <c r="O178" s="64"/>
      <c r="P178" s="64"/>
      <c r="Q178" s="65"/>
    </row>
    <row r="179" spans="1:17" ht="14.4" customHeight="1">
      <c r="A179" s="66" t="s">
        <v>180</v>
      </c>
      <c r="B179" s="66">
        <v>14</v>
      </c>
      <c r="C179" s="60" t="str">
        <f>bitConcat(F180:F183)</f>
        <v>32'b00000000000000000000000100111111</v>
      </c>
      <c r="D179" s="61"/>
      <c r="E179" s="61"/>
      <c r="F179" s="61"/>
      <c r="G179" s="61"/>
      <c r="H179" s="61"/>
      <c r="I179" s="61"/>
      <c r="J179" s="61"/>
      <c r="K179" s="62"/>
      <c r="L179" s="63" t="str">
        <f t="shared" ref="L179" si="12">DEC2HEX(_xlfn.BITLSHIFT(N179,7)+4*O179)</f>
        <v>394</v>
      </c>
      <c r="M179" s="63"/>
      <c r="N179" s="63">
        <v>7</v>
      </c>
      <c r="O179" s="63">
        <v>5</v>
      </c>
      <c r="P179" s="54" t="str">
        <f t="shared" ref="P179" si="13">DEC2HEX(_xlfn.BITLSHIFT(N179,5)+O179*4)</f>
        <v>F4</v>
      </c>
      <c r="Q179" s="57" t="str">
        <f>BIN2HEX(LEFT(RIGHT(C179,32),4))&amp;BIN2HEX(LEFT(RIGHT(C179,28),4))&amp;BIN2HEX(LEFT(RIGHT(C179,24),4))&amp;BIN2HEX(LEFT(RIGHT(C179,20),4))&amp;BIN2HEX(LEFT(RIGHT(C179,16),4))&amp;BIN2HEX(LEFT(RIGHT(C179,12),4))&amp;BIN2HEX(LEFT(RIGHT(C179,8),4))&amp;BIN2HEX(LEFT(RIGHT(C179,4),4))</f>
        <v>0000013F</v>
      </c>
    </row>
    <row r="180" spans="1:17" ht="15">
      <c r="A180" s="67"/>
      <c r="B180" s="67"/>
      <c r="C180" s="23" t="s">
        <v>120</v>
      </c>
      <c r="D180" s="23">
        <v>23</v>
      </c>
      <c r="E180" s="85" t="str">
        <f>IF(D180&gt;1,(31)&amp;":"&amp;(31-D180+1),(31-D180+1)&amp;":"&amp;(31-D180+1))</f>
        <v>31:9</v>
      </c>
      <c r="F180" s="23" t="s">
        <v>155</v>
      </c>
      <c r="G180" s="23" t="s">
        <v>120</v>
      </c>
      <c r="H180" s="26" t="s">
        <v>37</v>
      </c>
      <c r="I180" s="26" t="s">
        <v>36</v>
      </c>
      <c r="J180" s="26" t="s">
        <v>6</v>
      </c>
      <c r="K180" s="23"/>
      <c r="L180" s="55"/>
      <c r="M180" s="55"/>
      <c r="N180" s="55"/>
      <c r="O180" s="55"/>
      <c r="P180" s="55"/>
      <c r="Q180" s="58"/>
    </row>
    <row r="181" spans="1:17">
      <c r="A181" s="67"/>
      <c r="B181" s="67"/>
      <c r="C181" s="23" t="s">
        <v>152</v>
      </c>
      <c r="D181" s="23">
        <v>3</v>
      </c>
      <c r="E181" s="83" t="str">
        <f>(MID(str_cnvt(E180),SEARCH(":",str_cnvt(E180))+1,2)-1) &amp; ":" &amp; (MID(str_cnvt(E180),SEARCH(":",str_cnvt(E180))+1,2)-D181)</f>
        <v>8:6</v>
      </c>
      <c r="F181" s="23" t="s">
        <v>156</v>
      </c>
      <c r="G181" s="23" t="s">
        <v>167</v>
      </c>
      <c r="H181" s="26" t="s">
        <v>37</v>
      </c>
      <c r="I181" s="26" t="s">
        <v>36</v>
      </c>
      <c r="J181" s="26" t="s">
        <v>6</v>
      </c>
      <c r="K181" s="23"/>
      <c r="L181" s="55"/>
      <c r="M181" s="55"/>
      <c r="N181" s="55"/>
      <c r="O181" s="55"/>
      <c r="P181" s="55"/>
      <c r="Q181" s="58"/>
    </row>
    <row r="182" spans="1:17">
      <c r="A182" s="67"/>
      <c r="B182" s="67"/>
      <c r="C182" s="23" t="s">
        <v>153</v>
      </c>
      <c r="D182" s="23">
        <v>1</v>
      </c>
      <c r="E182" s="83" t="str">
        <f>(MID(str_cnvt(E181),SEARCH(":",str_cnvt(E181))+1,2)-1) &amp; ":" &amp; (MID(str_cnvt(E181),SEARCH(":",str_cnvt(E181))+1,2)-D182)</f>
        <v>5:5</v>
      </c>
      <c r="F182" s="23" t="s">
        <v>38</v>
      </c>
      <c r="G182" s="23" t="s">
        <v>168</v>
      </c>
      <c r="H182" s="26" t="s">
        <v>37</v>
      </c>
      <c r="I182" s="26" t="s">
        <v>36</v>
      </c>
      <c r="J182" s="26" t="s">
        <v>6</v>
      </c>
      <c r="K182" s="23"/>
      <c r="L182" s="55"/>
      <c r="M182" s="55"/>
      <c r="N182" s="55"/>
      <c r="O182" s="55"/>
      <c r="P182" s="55"/>
      <c r="Q182" s="58"/>
    </row>
    <row r="183" spans="1:17">
      <c r="A183" s="68"/>
      <c r="B183" s="68"/>
      <c r="C183" s="23" t="s">
        <v>154</v>
      </c>
      <c r="D183" s="23">
        <v>5</v>
      </c>
      <c r="E183" s="83" t="str">
        <f>(MID(str_cnvt(E182),SEARCH(":",str_cnvt(E182))+1,2)-1) &amp; ":" &amp; (MID(str_cnvt(E182),SEARCH(":",str_cnvt(E182))+1,2)-D183)</f>
        <v>4:0</v>
      </c>
      <c r="F183" s="23" t="s">
        <v>157</v>
      </c>
      <c r="G183" s="23" t="s">
        <v>169</v>
      </c>
      <c r="H183" s="26" t="s">
        <v>37</v>
      </c>
      <c r="I183" s="26" t="s">
        <v>36</v>
      </c>
      <c r="J183" s="26" t="s">
        <v>6</v>
      </c>
      <c r="K183" s="23"/>
      <c r="L183" s="64"/>
      <c r="M183" s="64"/>
      <c r="N183" s="64"/>
      <c r="O183" s="64"/>
      <c r="P183" s="64"/>
      <c r="Q183" s="65"/>
    </row>
    <row r="184" spans="1:17" ht="14.4" customHeight="1">
      <c r="A184" s="66" t="s">
        <v>179</v>
      </c>
      <c r="B184" s="66">
        <v>18</v>
      </c>
      <c r="C184" s="60" t="str">
        <f>bitConcat(F185:F188)</f>
        <v>32'b00000000000000000000000100111111</v>
      </c>
      <c r="D184" s="61"/>
      <c r="E184" s="61"/>
      <c r="F184" s="61"/>
      <c r="G184" s="61"/>
      <c r="H184" s="61"/>
      <c r="I184" s="61"/>
      <c r="J184" s="61"/>
      <c r="K184" s="62"/>
      <c r="L184" s="63" t="str">
        <f t="shared" ref="L184" si="14">DEC2HEX(_xlfn.BITLSHIFT(N184,7)+4*O184)</f>
        <v>398</v>
      </c>
      <c r="M184" s="63"/>
      <c r="N184" s="63">
        <v>7</v>
      </c>
      <c r="O184" s="63">
        <v>6</v>
      </c>
      <c r="P184" s="54" t="str">
        <f t="shared" ref="P184" si="15">DEC2HEX(_xlfn.BITLSHIFT(N184,5)+O184*4)</f>
        <v>F8</v>
      </c>
      <c r="Q184" s="57" t="str">
        <f>BIN2HEX(LEFT(RIGHT(C184,32),4))&amp;BIN2HEX(LEFT(RIGHT(C184,28),4))&amp;BIN2HEX(LEFT(RIGHT(C184,24),4))&amp;BIN2HEX(LEFT(RIGHT(C184,20),4))&amp;BIN2HEX(LEFT(RIGHT(C184,16),4))&amp;BIN2HEX(LEFT(RIGHT(C184,12),4))&amp;BIN2HEX(LEFT(RIGHT(C184,8),4))&amp;BIN2HEX(LEFT(RIGHT(C184,4),4))</f>
        <v>0000013F</v>
      </c>
    </row>
    <row r="185" spans="1:17" ht="15">
      <c r="A185" s="67"/>
      <c r="B185" s="67"/>
      <c r="C185" s="23" t="s">
        <v>120</v>
      </c>
      <c r="D185" s="23">
        <v>23</v>
      </c>
      <c r="E185" s="85" t="str">
        <f>IF(D185&gt;1,(31)&amp;":"&amp;(31-D185+1),(31-D185+1)&amp;":"&amp;(31-D185+1))</f>
        <v>31:9</v>
      </c>
      <c r="F185" s="23" t="s">
        <v>155</v>
      </c>
      <c r="G185" s="23" t="s">
        <v>120</v>
      </c>
      <c r="H185" s="26" t="s">
        <v>37</v>
      </c>
      <c r="I185" s="26" t="s">
        <v>36</v>
      </c>
      <c r="J185" s="26" t="s">
        <v>6</v>
      </c>
      <c r="K185" s="23"/>
      <c r="L185" s="55"/>
      <c r="M185" s="55"/>
      <c r="N185" s="55"/>
      <c r="O185" s="55"/>
      <c r="P185" s="55"/>
      <c r="Q185" s="58"/>
    </row>
    <row r="186" spans="1:17">
      <c r="A186" s="67"/>
      <c r="B186" s="67"/>
      <c r="C186" s="23" t="s">
        <v>152</v>
      </c>
      <c r="D186" s="23">
        <v>3</v>
      </c>
      <c r="E186" s="83" t="str">
        <f>(MID(str_cnvt(E185),SEARCH(":",str_cnvt(E185))+1,2)-1) &amp; ":" &amp; (MID(str_cnvt(E185),SEARCH(":",str_cnvt(E185))+1,2)-D186)</f>
        <v>8:6</v>
      </c>
      <c r="F186" s="23" t="s">
        <v>156</v>
      </c>
      <c r="G186" s="23" t="s">
        <v>167</v>
      </c>
      <c r="H186" s="26" t="s">
        <v>37</v>
      </c>
      <c r="I186" s="26" t="s">
        <v>36</v>
      </c>
      <c r="J186" s="26" t="s">
        <v>6</v>
      </c>
      <c r="K186" s="23"/>
      <c r="L186" s="55"/>
      <c r="M186" s="55"/>
      <c r="N186" s="55"/>
      <c r="O186" s="55"/>
      <c r="P186" s="55"/>
      <c r="Q186" s="58"/>
    </row>
    <row r="187" spans="1:17">
      <c r="A187" s="67"/>
      <c r="B187" s="67"/>
      <c r="C187" s="23" t="s">
        <v>153</v>
      </c>
      <c r="D187" s="23">
        <v>1</v>
      </c>
      <c r="E187" s="83" t="str">
        <f>(MID(str_cnvt(E186),SEARCH(":",str_cnvt(E186))+1,2)-1) &amp; ":" &amp; (MID(str_cnvt(E186),SEARCH(":",str_cnvt(E186))+1,2)-D187)</f>
        <v>5:5</v>
      </c>
      <c r="F187" s="23" t="s">
        <v>38</v>
      </c>
      <c r="G187" s="23" t="s">
        <v>168</v>
      </c>
      <c r="H187" s="26" t="s">
        <v>37</v>
      </c>
      <c r="I187" s="26" t="s">
        <v>36</v>
      </c>
      <c r="J187" s="26" t="s">
        <v>6</v>
      </c>
      <c r="K187" s="23"/>
      <c r="L187" s="55"/>
      <c r="M187" s="55"/>
      <c r="N187" s="55"/>
      <c r="O187" s="55"/>
      <c r="P187" s="55"/>
      <c r="Q187" s="58"/>
    </row>
    <row r="188" spans="1:17">
      <c r="A188" s="68"/>
      <c r="B188" s="68"/>
      <c r="C188" s="23" t="s">
        <v>154</v>
      </c>
      <c r="D188" s="23">
        <v>5</v>
      </c>
      <c r="E188" s="83" t="str">
        <f>(MID(str_cnvt(E187),SEARCH(":",str_cnvt(E187))+1,2)-1) &amp; ":" &amp; (MID(str_cnvt(E187),SEARCH(":",str_cnvt(E187))+1,2)-D188)</f>
        <v>4:0</v>
      </c>
      <c r="F188" s="23" t="s">
        <v>157</v>
      </c>
      <c r="G188" s="23" t="s">
        <v>169</v>
      </c>
      <c r="H188" s="26" t="s">
        <v>37</v>
      </c>
      <c r="I188" s="26" t="s">
        <v>36</v>
      </c>
      <c r="J188" s="26" t="s">
        <v>6</v>
      </c>
      <c r="K188" s="23"/>
      <c r="L188" s="64"/>
      <c r="M188" s="64"/>
      <c r="N188" s="64"/>
      <c r="O188" s="64"/>
      <c r="P188" s="64"/>
      <c r="Q188" s="65"/>
    </row>
    <row r="189" spans="1:17" ht="14.4" customHeight="1">
      <c r="A189" s="48" t="s">
        <v>178</v>
      </c>
      <c r="B189" s="48" t="s">
        <v>94</v>
      </c>
      <c r="C189" s="60" t="str">
        <f>bitConcat(F190:F193)</f>
        <v>32'b00000000000000000000000100111111</v>
      </c>
      <c r="D189" s="61"/>
      <c r="E189" s="61"/>
      <c r="F189" s="61"/>
      <c r="G189" s="61"/>
      <c r="H189" s="61"/>
      <c r="I189" s="61"/>
      <c r="J189" s="61"/>
      <c r="K189" s="62"/>
      <c r="L189" s="63" t="str">
        <f t="shared" ref="L189" si="16">DEC2HEX(_xlfn.BITLSHIFT(N189,7)+4*O189)</f>
        <v>39C</v>
      </c>
      <c r="M189" s="63"/>
      <c r="N189" s="63">
        <v>7</v>
      </c>
      <c r="O189" s="63">
        <v>7</v>
      </c>
      <c r="P189" s="54" t="str">
        <f t="shared" ref="P189" si="17">DEC2HEX(_xlfn.BITLSHIFT(N189,5)+O189*4)</f>
        <v>FC</v>
      </c>
      <c r="Q189" s="57" t="str">
        <f>BIN2HEX(LEFT(RIGHT(C189,32),4))&amp;BIN2HEX(LEFT(RIGHT(C189,28),4))&amp;BIN2HEX(LEFT(RIGHT(C189,24),4))&amp;BIN2HEX(LEFT(RIGHT(C189,20),4))&amp;BIN2HEX(LEFT(RIGHT(C189,16),4))&amp;BIN2HEX(LEFT(RIGHT(C189,12),4))&amp;BIN2HEX(LEFT(RIGHT(C189,8),4))&amp;BIN2HEX(LEFT(RIGHT(C189,4),4))</f>
        <v>0000013F</v>
      </c>
    </row>
    <row r="190" spans="1:17" ht="15">
      <c r="A190" s="49"/>
      <c r="B190" s="49"/>
      <c r="C190" s="23" t="s">
        <v>120</v>
      </c>
      <c r="D190" s="23">
        <v>23</v>
      </c>
      <c r="E190" s="85" t="str">
        <f>IF(D190&gt;1,(31)&amp;":"&amp;(31-D190+1),(31-D190+1)&amp;":"&amp;(31-D190+1))</f>
        <v>31:9</v>
      </c>
      <c r="F190" s="23" t="s">
        <v>155</v>
      </c>
      <c r="G190" s="23" t="s">
        <v>120</v>
      </c>
      <c r="H190" s="26" t="s">
        <v>37</v>
      </c>
      <c r="I190" s="26" t="s">
        <v>36</v>
      </c>
      <c r="J190" s="26" t="s">
        <v>6</v>
      </c>
      <c r="K190" s="23"/>
      <c r="L190" s="55"/>
      <c r="M190" s="55"/>
      <c r="N190" s="55"/>
      <c r="O190" s="55"/>
      <c r="P190" s="55"/>
      <c r="Q190" s="58"/>
    </row>
    <row r="191" spans="1:17">
      <c r="A191" s="49"/>
      <c r="B191" s="49"/>
      <c r="C191" s="23" t="s">
        <v>152</v>
      </c>
      <c r="D191" s="23">
        <v>3</v>
      </c>
      <c r="E191" s="83" t="str">
        <f>(MID(str_cnvt(E190),SEARCH(":",str_cnvt(E190))+1,2)-1) &amp; ":" &amp; (MID(str_cnvt(E190),SEARCH(":",str_cnvt(E190))+1,2)-D191)</f>
        <v>8:6</v>
      </c>
      <c r="F191" s="23" t="s">
        <v>156</v>
      </c>
      <c r="G191" s="23" t="s">
        <v>167</v>
      </c>
      <c r="H191" s="26" t="s">
        <v>37</v>
      </c>
      <c r="I191" s="26" t="s">
        <v>36</v>
      </c>
      <c r="J191" s="26" t="s">
        <v>6</v>
      </c>
      <c r="K191" s="23"/>
      <c r="L191" s="55"/>
      <c r="M191" s="55"/>
      <c r="N191" s="55"/>
      <c r="O191" s="55"/>
      <c r="P191" s="55"/>
      <c r="Q191" s="58"/>
    </row>
    <row r="192" spans="1:17">
      <c r="A192" s="49"/>
      <c r="B192" s="49"/>
      <c r="C192" s="23" t="s">
        <v>153</v>
      </c>
      <c r="D192" s="23">
        <v>1</v>
      </c>
      <c r="E192" s="83" t="str">
        <f>(MID(str_cnvt(E191),SEARCH(":",str_cnvt(E191))+1,2)-1) &amp; ":" &amp; (MID(str_cnvt(E191),SEARCH(":",str_cnvt(E191))+1,2)-D192)</f>
        <v>5:5</v>
      </c>
      <c r="F192" s="23" t="s">
        <v>38</v>
      </c>
      <c r="G192" s="23" t="s">
        <v>168</v>
      </c>
      <c r="H192" s="26" t="s">
        <v>37</v>
      </c>
      <c r="I192" s="26" t="s">
        <v>36</v>
      </c>
      <c r="J192" s="26" t="s">
        <v>6</v>
      </c>
      <c r="K192" s="23"/>
      <c r="L192" s="55"/>
      <c r="M192" s="55"/>
      <c r="N192" s="55"/>
      <c r="O192" s="55"/>
      <c r="P192" s="55"/>
      <c r="Q192" s="58"/>
    </row>
    <row r="193" spans="1:17" ht="15" thickBot="1">
      <c r="A193" s="50"/>
      <c r="B193" s="50"/>
      <c r="C193" s="23" t="s">
        <v>154</v>
      </c>
      <c r="D193" s="23">
        <v>5</v>
      </c>
      <c r="E193" s="83" t="str">
        <f>(MID(str_cnvt(E192),SEARCH(":",str_cnvt(E192))+1,2)-1) &amp; ":" &amp; (MID(str_cnvt(E192),SEARCH(":",str_cnvt(E192))+1,2)-D193)</f>
        <v>4:0</v>
      </c>
      <c r="F193" s="23" t="s">
        <v>157</v>
      </c>
      <c r="G193" s="23" t="s">
        <v>169</v>
      </c>
      <c r="H193" s="26" t="s">
        <v>37</v>
      </c>
      <c r="I193" s="26" t="s">
        <v>36</v>
      </c>
      <c r="J193" s="26" t="s">
        <v>6</v>
      </c>
      <c r="K193" s="23"/>
      <c r="L193" s="64"/>
      <c r="M193" s="64"/>
      <c r="N193" s="64"/>
      <c r="O193" s="64"/>
      <c r="P193" s="56"/>
      <c r="Q193" s="59"/>
    </row>
    <row r="194" spans="1:17" ht="14.4" customHeight="1">
      <c r="A194" s="48" t="s">
        <v>185</v>
      </c>
      <c r="B194" s="48">
        <v>20</v>
      </c>
      <c r="C194" s="60" t="str">
        <f>bitConcat(F195:F198)</f>
        <v>32'b00000000000000000000000100111111</v>
      </c>
      <c r="D194" s="61"/>
      <c r="E194" s="61"/>
      <c r="F194" s="61"/>
      <c r="G194" s="61"/>
      <c r="H194" s="61"/>
      <c r="I194" s="61"/>
      <c r="J194" s="61"/>
      <c r="K194" s="62"/>
      <c r="L194" s="63" t="str">
        <f t="shared" ref="L194" si="18">DEC2HEX(_xlfn.BITLSHIFT(N194,7)+4*O194)</f>
        <v>3A0</v>
      </c>
      <c r="M194" s="63"/>
      <c r="N194" s="63">
        <v>7</v>
      </c>
      <c r="O194" s="63">
        <v>8</v>
      </c>
      <c r="P194" s="54" t="str">
        <f t="shared" ref="P194" si="19">DEC2HEX(_xlfn.BITLSHIFT(N194,5)+O194*4)</f>
        <v>100</v>
      </c>
      <c r="Q194" s="57" t="str">
        <f>BIN2HEX(LEFT(RIGHT(C194,32),4))&amp;BIN2HEX(LEFT(RIGHT(C194,28),4))&amp;BIN2HEX(LEFT(RIGHT(C194,24),4))&amp;BIN2HEX(LEFT(RIGHT(C194,20),4))&amp;BIN2HEX(LEFT(RIGHT(C194,16),4))&amp;BIN2HEX(LEFT(RIGHT(C194,12),4))&amp;BIN2HEX(LEFT(RIGHT(C194,8),4))&amp;BIN2HEX(LEFT(RIGHT(C194,4),4))</f>
        <v>0000013F</v>
      </c>
    </row>
    <row r="195" spans="1:17" ht="15">
      <c r="A195" s="49"/>
      <c r="B195" s="49"/>
      <c r="C195" s="23" t="s">
        <v>120</v>
      </c>
      <c r="D195" s="23">
        <v>23</v>
      </c>
      <c r="E195" s="85" t="str">
        <f>IF(D195&gt;1,(31)&amp;":"&amp;(31-D195+1),(31-D195+1)&amp;":"&amp;(31-D195+1))</f>
        <v>31:9</v>
      </c>
      <c r="F195" s="23" t="s">
        <v>155</v>
      </c>
      <c r="G195" s="23" t="s">
        <v>120</v>
      </c>
      <c r="H195" s="26" t="s">
        <v>37</v>
      </c>
      <c r="I195" s="26" t="s">
        <v>36</v>
      </c>
      <c r="J195" s="26" t="s">
        <v>6</v>
      </c>
      <c r="K195" s="23"/>
      <c r="L195" s="55"/>
      <c r="M195" s="55"/>
      <c r="N195" s="55"/>
      <c r="O195" s="55"/>
      <c r="P195" s="55"/>
      <c r="Q195" s="58"/>
    </row>
    <row r="196" spans="1:17">
      <c r="A196" s="49"/>
      <c r="B196" s="49"/>
      <c r="C196" s="23" t="s">
        <v>152</v>
      </c>
      <c r="D196" s="23">
        <v>3</v>
      </c>
      <c r="E196" s="83" t="str">
        <f>(MID(str_cnvt(E195),SEARCH(":",str_cnvt(E195))+1,2)-1) &amp; ":" &amp; (MID(str_cnvt(E195),SEARCH(":",str_cnvt(E195))+1,2)-D196)</f>
        <v>8:6</v>
      </c>
      <c r="F196" s="23" t="s">
        <v>156</v>
      </c>
      <c r="G196" s="23" t="s">
        <v>167</v>
      </c>
      <c r="H196" s="26" t="s">
        <v>37</v>
      </c>
      <c r="I196" s="26" t="s">
        <v>36</v>
      </c>
      <c r="J196" s="26" t="s">
        <v>6</v>
      </c>
      <c r="K196" s="23"/>
      <c r="L196" s="55"/>
      <c r="M196" s="55"/>
      <c r="N196" s="55"/>
      <c r="O196" s="55"/>
      <c r="P196" s="55"/>
      <c r="Q196" s="58"/>
    </row>
    <row r="197" spans="1:17">
      <c r="A197" s="49"/>
      <c r="B197" s="49"/>
      <c r="C197" s="23" t="s">
        <v>153</v>
      </c>
      <c r="D197" s="23">
        <v>1</v>
      </c>
      <c r="E197" s="83" t="str">
        <f>(MID(str_cnvt(E196),SEARCH(":",str_cnvt(E196))+1,2)-1) &amp; ":" &amp; (MID(str_cnvt(E196),SEARCH(":",str_cnvt(E196))+1,2)-D197)</f>
        <v>5:5</v>
      </c>
      <c r="F197" s="23" t="s">
        <v>38</v>
      </c>
      <c r="G197" s="23" t="s">
        <v>168</v>
      </c>
      <c r="H197" s="26" t="s">
        <v>37</v>
      </c>
      <c r="I197" s="26" t="s">
        <v>36</v>
      </c>
      <c r="J197" s="26" t="s">
        <v>6</v>
      </c>
      <c r="K197" s="23"/>
      <c r="L197" s="55"/>
      <c r="M197" s="55"/>
      <c r="N197" s="55"/>
      <c r="O197" s="55"/>
      <c r="P197" s="55"/>
      <c r="Q197" s="58"/>
    </row>
    <row r="198" spans="1:17" ht="15" thickBot="1">
      <c r="A198" s="50"/>
      <c r="B198" s="50"/>
      <c r="C198" s="23" t="s">
        <v>154</v>
      </c>
      <c r="D198" s="23">
        <v>5</v>
      </c>
      <c r="E198" s="83" t="str">
        <f>(MID(str_cnvt(E197),SEARCH(":",str_cnvt(E197))+1,2)-1) &amp; ":" &amp; (MID(str_cnvt(E197),SEARCH(":",str_cnvt(E197))+1,2)-D198)</f>
        <v>4:0</v>
      </c>
      <c r="F198" s="23" t="s">
        <v>157</v>
      </c>
      <c r="G198" s="23" t="s">
        <v>169</v>
      </c>
      <c r="H198" s="26" t="s">
        <v>37</v>
      </c>
      <c r="I198" s="26" t="s">
        <v>36</v>
      </c>
      <c r="J198" s="26" t="s">
        <v>6</v>
      </c>
      <c r="K198" s="23"/>
      <c r="L198" s="64"/>
      <c r="M198" s="64"/>
      <c r="N198" s="64"/>
      <c r="O198" s="64"/>
      <c r="P198" s="56"/>
      <c r="Q198" s="59"/>
    </row>
    <row r="199" spans="1:17" ht="14.4" customHeight="1">
      <c r="A199" s="48" t="s">
        <v>184</v>
      </c>
      <c r="B199" s="48">
        <v>24</v>
      </c>
      <c r="C199" s="60" t="str">
        <f>bitConcat(F200:F203)</f>
        <v>32'b00000000000000000000000100111111</v>
      </c>
      <c r="D199" s="61"/>
      <c r="E199" s="61"/>
      <c r="F199" s="61"/>
      <c r="G199" s="61"/>
      <c r="H199" s="61"/>
      <c r="I199" s="61"/>
      <c r="J199" s="61"/>
      <c r="K199" s="62"/>
      <c r="L199" s="63" t="str">
        <f t="shared" ref="L199" si="20">DEC2HEX(_xlfn.BITLSHIFT(N199,7)+4*O199)</f>
        <v>3A4</v>
      </c>
      <c r="M199" s="63"/>
      <c r="N199" s="63">
        <v>7</v>
      </c>
      <c r="O199" s="63">
        <v>9</v>
      </c>
      <c r="P199" s="54" t="str">
        <f t="shared" ref="P199" si="21">DEC2HEX(_xlfn.BITLSHIFT(N199,5)+O199*4)</f>
        <v>104</v>
      </c>
      <c r="Q199" s="57" t="str">
        <f>BIN2HEX(LEFT(RIGHT(C199,32),4))&amp;BIN2HEX(LEFT(RIGHT(C199,28),4))&amp;BIN2HEX(LEFT(RIGHT(C199,24),4))&amp;BIN2HEX(LEFT(RIGHT(C199,20),4))&amp;BIN2HEX(LEFT(RIGHT(C199,16),4))&amp;BIN2HEX(LEFT(RIGHT(C199,12),4))&amp;BIN2HEX(LEFT(RIGHT(C199,8),4))&amp;BIN2HEX(LEFT(RIGHT(C199,4),4))</f>
        <v>0000013F</v>
      </c>
    </row>
    <row r="200" spans="1:17" ht="15">
      <c r="A200" s="49"/>
      <c r="B200" s="49"/>
      <c r="C200" s="23" t="s">
        <v>120</v>
      </c>
      <c r="D200" s="23">
        <v>23</v>
      </c>
      <c r="E200" s="85" t="str">
        <f>IF(D200&gt;1,(31)&amp;":"&amp;(31-D200+1),(31-D200+1)&amp;":"&amp;(31-D200+1))</f>
        <v>31:9</v>
      </c>
      <c r="F200" s="23" t="s">
        <v>155</v>
      </c>
      <c r="G200" s="23" t="s">
        <v>120</v>
      </c>
      <c r="H200" s="26" t="s">
        <v>37</v>
      </c>
      <c r="I200" s="26" t="s">
        <v>36</v>
      </c>
      <c r="J200" s="26" t="s">
        <v>6</v>
      </c>
      <c r="K200" s="23"/>
      <c r="L200" s="55"/>
      <c r="M200" s="55"/>
      <c r="N200" s="55"/>
      <c r="O200" s="55"/>
      <c r="P200" s="55"/>
      <c r="Q200" s="58"/>
    </row>
    <row r="201" spans="1:17">
      <c r="A201" s="49"/>
      <c r="B201" s="49"/>
      <c r="C201" s="23" t="s">
        <v>152</v>
      </c>
      <c r="D201" s="23">
        <v>3</v>
      </c>
      <c r="E201" s="83" t="str">
        <f>(MID(str_cnvt(E200),SEARCH(":",str_cnvt(E200))+1,2)-1) &amp; ":" &amp; (MID(str_cnvt(E200),SEARCH(":",str_cnvt(E200))+1,2)-D201)</f>
        <v>8:6</v>
      </c>
      <c r="F201" s="23" t="s">
        <v>156</v>
      </c>
      <c r="G201" s="23" t="s">
        <v>167</v>
      </c>
      <c r="H201" s="26" t="s">
        <v>37</v>
      </c>
      <c r="I201" s="26" t="s">
        <v>36</v>
      </c>
      <c r="J201" s="26" t="s">
        <v>6</v>
      </c>
      <c r="K201" s="23"/>
      <c r="L201" s="55"/>
      <c r="M201" s="55"/>
      <c r="N201" s="55"/>
      <c r="O201" s="55"/>
      <c r="P201" s="55"/>
      <c r="Q201" s="58"/>
    </row>
    <row r="202" spans="1:17">
      <c r="A202" s="49"/>
      <c r="B202" s="49"/>
      <c r="C202" s="23" t="s">
        <v>153</v>
      </c>
      <c r="D202" s="23">
        <v>1</v>
      </c>
      <c r="E202" s="83" t="str">
        <f>(MID(str_cnvt(E201),SEARCH(":",str_cnvt(E201))+1,2)-1) &amp; ":" &amp; (MID(str_cnvt(E201),SEARCH(":",str_cnvt(E201))+1,2)-D202)</f>
        <v>5:5</v>
      </c>
      <c r="F202" s="23" t="s">
        <v>38</v>
      </c>
      <c r="G202" s="23" t="s">
        <v>168</v>
      </c>
      <c r="H202" s="26" t="s">
        <v>37</v>
      </c>
      <c r="I202" s="26" t="s">
        <v>36</v>
      </c>
      <c r="J202" s="26" t="s">
        <v>6</v>
      </c>
      <c r="K202" s="23"/>
      <c r="L202" s="55"/>
      <c r="M202" s="55"/>
      <c r="N202" s="55"/>
      <c r="O202" s="55"/>
      <c r="P202" s="55"/>
      <c r="Q202" s="58"/>
    </row>
    <row r="203" spans="1:17" ht="15" thickBot="1">
      <c r="A203" s="50"/>
      <c r="B203" s="50"/>
      <c r="C203" s="23" t="s">
        <v>154</v>
      </c>
      <c r="D203" s="23">
        <v>5</v>
      </c>
      <c r="E203" s="83" t="str">
        <f>(MID(str_cnvt(E202),SEARCH(":",str_cnvt(E202))+1,2)-1) &amp; ":" &amp; (MID(str_cnvt(E202),SEARCH(":",str_cnvt(E202))+1,2)-D203)</f>
        <v>4:0</v>
      </c>
      <c r="F203" s="23" t="s">
        <v>157</v>
      </c>
      <c r="G203" s="23" t="s">
        <v>169</v>
      </c>
      <c r="H203" s="26" t="s">
        <v>37</v>
      </c>
      <c r="I203" s="26" t="s">
        <v>36</v>
      </c>
      <c r="J203" s="26" t="s">
        <v>6</v>
      </c>
      <c r="K203" s="23"/>
      <c r="L203" s="64"/>
      <c r="M203" s="64"/>
      <c r="N203" s="64"/>
      <c r="O203" s="64"/>
      <c r="P203" s="56"/>
      <c r="Q203" s="59"/>
    </row>
    <row r="204" spans="1:17" ht="14.4" customHeight="1">
      <c r="A204" s="48" t="s">
        <v>183</v>
      </c>
      <c r="B204" s="48">
        <v>28</v>
      </c>
      <c r="C204" s="60" t="str">
        <f>bitConcat(F205:F208)</f>
        <v>32'b00000000000000000000000100111111</v>
      </c>
      <c r="D204" s="61"/>
      <c r="E204" s="61"/>
      <c r="F204" s="61"/>
      <c r="G204" s="61"/>
      <c r="H204" s="61"/>
      <c r="I204" s="61"/>
      <c r="J204" s="61"/>
      <c r="K204" s="62"/>
      <c r="L204" s="63" t="str">
        <f t="shared" ref="L204" si="22">DEC2HEX(_xlfn.BITLSHIFT(N204,7)+4*O204)</f>
        <v>3A8</v>
      </c>
      <c r="M204" s="63"/>
      <c r="N204" s="63">
        <v>7</v>
      </c>
      <c r="O204" s="63">
        <v>10</v>
      </c>
      <c r="P204" s="54" t="str">
        <f t="shared" ref="P204" si="23">DEC2HEX(_xlfn.BITLSHIFT(N204,5)+O204*4)</f>
        <v>108</v>
      </c>
      <c r="Q204" s="57" t="str">
        <f>BIN2HEX(LEFT(RIGHT(C204,32),4))&amp;BIN2HEX(LEFT(RIGHT(C204,28),4))&amp;BIN2HEX(LEFT(RIGHT(C204,24),4))&amp;BIN2HEX(LEFT(RIGHT(C204,20),4))&amp;BIN2HEX(LEFT(RIGHT(C204,16),4))&amp;BIN2HEX(LEFT(RIGHT(C204,12),4))&amp;BIN2HEX(LEFT(RIGHT(C204,8),4))&amp;BIN2HEX(LEFT(RIGHT(C204,4),4))</f>
        <v>0000013F</v>
      </c>
    </row>
    <row r="205" spans="1:17" ht="15">
      <c r="A205" s="49"/>
      <c r="B205" s="49"/>
      <c r="C205" s="23" t="s">
        <v>120</v>
      </c>
      <c r="D205" s="23">
        <v>23</v>
      </c>
      <c r="E205" s="85" t="str">
        <f>IF(D205&gt;1,(31)&amp;":"&amp;(31-D205+1),(31-D205+1)&amp;":"&amp;(31-D205+1))</f>
        <v>31:9</v>
      </c>
      <c r="F205" s="23" t="s">
        <v>155</v>
      </c>
      <c r="G205" s="23" t="s">
        <v>120</v>
      </c>
      <c r="H205" s="26" t="s">
        <v>37</v>
      </c>
      <c r="I205" s="26" t="s">
        <v>36</v>
      </c>
      <c r="J205" s="26" t="s">
        <v>6</v>
      </c>
      <c r="K205" s="23"/>
      <c r="L205" s="55"/>
      <c r="M205" s="55"/>
      <c r="N205" s="55"/>
      <c r="O205" s="55"/>
      <c r="P205" s="55"/>
      <c r="Q205" s="58"/>
    </row>
    <row r="206" spans="1:17">
      <c r="A206" s="49"/>
      <c r="B206" s="49"/>
      <c r="C206" s="23" t="s">
        <v>152</v>
      </c>
      <c r="D206" s="23">
        <v>3</v>
      </c>
      <c r="E206" s="83" t="str">
        <f>(MID(str_cnvt(E205),SEARCH(":",str_cnvt(E205))+1,2)-1) &amp; ":" &amp; (MID(str_cnvt(E205),SEARCH(":",str_cnvt(E205))+1,2)-D206)</f>
        <v>8:6</v>
      </c>
      <c r="F206" s="23" t="s">
        <v>156</v>
      </c>
      <c r="G206" s="23" t="s">
        <v>167</v>
      </c>
      <c r="H206" s="26" t="s">
        <v>37</v>
      </c>
      <c r="I206" s="26" t="s">
        <v>36</v>
      </c>
      <c r="J206" s="26" t="s">
        <v>6</v>
      </c>
      <c r="K206" s="23"/>
      <c r="L206" s="55"/>
      <c r="M206" s="55"/>
      <c r="N206" s="55"/>
      <c r="O206" s="55"/>
      <c r="P206" s="55"/>
      <c r="Q206" s="58"/>
    </row>
    <row r="207" spans="1:17">
      <c r="A207" s="49"/>
      <c r="B207" s="49"/>
      <c r="C207" s="23" t="s">
        <v>153</v>
      </c>
      <c r="D207" s="23">
        <v>1</v>
      </c>
      <c r="E207" s="83" t="str">
        <f>(MID(str_cnvt(E206),SEARCH(":",str_cnvt(E206))+1,2)-1) &amp; ":" &amp; (MID(str_cnvt(E206),SEARCH(":",str_cnvt(E206))+1,2)-D207)</f>
        <v>5:5</v>
      </c>
      <c r="F207" s="23" t="s">
        <v>38</v>
      </c>
      <c r="G207" s="23" t="s">
        <v>168</v>
      </c>
      <c r="H207" s="26" t="s">
        <v>37</v>
      </c>
      <c r="I207" s="26" t="s">
        <v>36</v>
      </c>
      <c r="J207" s="26" t="s">
        <v>6</v>
      </c>
      <c r="K207" s="23"/>
      <c r="L207" s="55"/>
      <c r="M207" s="55"/>
      <c r="N207" s="55"/>
      <c r="O207" s="55"/>
      <c r="P207" s="55"/>
      <c r="Q207" s="58"/>
    </row>
    <row r="208" spans="1:17" ht="15" thickBot="1">
      <c r="A208" s="50"/>
      <c r="B208" s="50"/>
      <c r="C208" s="23" t="s">
        <v>154</v>
      </c>
      <c r="D208" s="23">
        <v>5</v>
      </c>
      <c r="E208" s="83" t="str">
        <f>(MID(str_cnvt(E207),SEARCH(":",str_cnvt(E207))+1,2)-1) &amp; ":" &amp; (MID(str_cnvt(E207),SEARCH(":",str_cnvt(E207))+1,2)-D208)</f>
        <v>4:0</v>
      </c>
      <c r="F208" s="23" t="s">
        <v>157</v>
      </c>
      <c r="G208" s="23" t="s">
        <v>169</v>
      </c>
      <c r="H208" s="26" t="s">
        <v>37</v>
      </c>
      <c r="I208" s="26" t="s">
        <v>36</v>
      </c>
      <c r="J208" s="26" t="s">
        <v>6</v>
      </c>
      <c r="K208" s="23"/>
      <c r="L208" s="64"/>
      <c r="M208" s="64"/>
      <c r="N208" s="64"/>
      <c r="O208" s="64"/>
      <c r="P208" s="56"/>
      <c r="Q208" s="59"/>
    </row>
    <row r="209" spans="1:17" ht="14.4" customHeight="1">
      <c r="A209" s="48" t="s">
        <v>182</v>
      </c>
      <c r="B209" s="48" t="s">
        <v>108</v>
      </c>
      <c r="C209" s="60" t="str">
        <f>bitConcat(F210:F213)</f>
        <v>32'b00000000000000000000000100111111</v>
      </c>
      <c r="D209" s="61"/>
      <c r="E209" s="61"/>
      <c r="F209" s="61"/>
      <c r="G209" s="61"/>
      <c r="H209" s="61"/>
      <c r="I209" s="61"/>
      <c r="J209" s="61"/>
      <c r="K209" s="62"/>
      <c r="L209" s="63" t="str">
        <f t="shared" ref="L209" si="24">DEC2HEX(_xlfn.BITLSHIFT(N209,7)+4*O209)</f>
        <v>3AC</v>
      </c>
      <c r="M209" s="63"/>
      <c r="N209" s="63">
        <v>7</v>
      </c>
      <c r="O209" s="63">
        <v>11</v>
      </c>
      <c r="P209" s="54" t="str">
        <f t="shared" ref="P209" si="25">DEC2HEX(_xlfn.BITLSHIFT(N209,5)+O209*4)</f>
        <v>10C</v>
      </c>
      <c r="Q209" s="57" t="str">
        <f>BIN2HEX(LEFT(RIGHT(C209,32),4))&amp;BIN2HEX(LEFT(RIGHT(C209,28),4))&amp;BIN2HEX(LEFT(RIGHT(C209,24),4))&amp;BIN2HEX(LEFT(RIGHT(C209,20),4))&amp;BIN2HEX(LEFT(RIGHT(C209,16),4))&amp;BIN2HEX(LEFT(RIGHT(C209,12),4))&amp;BIN2HEX(LEFT(RIGHT(C209,8),4))&amp;BIN2HEX(LEFT(RIGHT(C209,4),4))</f>
        <v>0000013F</v>
      </c>
    </row>
    <row r="210" spans="1:17" ht="15">
      <c r="A210" s="49"/>
      <c r="B210" s="49"/>
      <c r="C210" s="23" t="s">
        <v>120</v>
      </c>
      <c r="D210" s="23">
        <v>23</v>
      </c>
      <c r="E210" s="85" t="str">
        <f>IF(D210&gt;1,(31)&amp;":"&amp;(31-D210+1),(31-D210+1)&amp;":"&amp;(31-D210+1))</f>
        <v>31:9</v>
      </c>
      <c r="F210" s="23" t="s">
        <v>155</v>
      </c>
      <c r="G210" s="23" t="s">
        <v>120</v>
      </c>
      <c r="H210" s="26" t="s">
        <v>37</v>
      </c>
      <c r="I210" s="26" t="s">
        <v>36</v>
      </c>
      <c r="J210" s="26" t="s">
        <v>6</v>
      </c>
      <c r="K210" s="23"/>
      <c r="L210" s="55"/>
      <c r="M210" s="55"/>
      <c r="N210" s="55"/>
      <c r="O210" s="55"/>
      <c r="P210" s="55"/>
      <c r="Q210" s="58"/>
    </row>
    <row r="211" spans="1:17">
      <c r="A211" s="49"/>
      <c r="B211" s="49"/>
      <c r="C211" s="23" t="s">
        <v>152</v>
      </c>
      <c r="D211" s="23">
        <v>3</v>
      </c>
      <c r="E211" s="83" t="str">
        <f>(MID(str_cnvt(E210),SEARCH(":",str_cnvt(E210))+1,2)-1) &amp; ":" &amp; (MID(str_cnvt(E210),SEARCH(":",str_cnvt(E210))+1,2)-D211)</f>
        <v>8:6</v>
      </c>
      <c r="F211" s="23" t="s">
        <v>156</v>
      </c>
      <c r="G211" s="23" t="s">
        <v>167</v>
      </c>
      <c r="H211" s="26" t="s">
        <v>37</v>
      </c>
      <c r="I211" s="26" t="s">
        <v>36</v>
      </c>
      <c r="J211" s="26" t="s">
        <v>6</v>
      </c>
      <c r="K211" s="23"/>
      <c r="L211" s="55"/>
      <c r="M211" s="55"/>
      <c r="N211" s="55"/>
      <c r="O211" s="55"/>
      <c r="P211" s="55"/>
      <c r="Q211" s="58"/>
    </row>
    <row r="212" spans="1:17">
      <c r="A212" s="49"/>
      <c r="B212" s="49"/>
      <c r="C212" s="23" t="s">
        <v>153</v>
      </c>
      <c r="D212" s="23">
        <v>1</v>
      </c>
      <c r="E212" s="83" t="str">
        <f>(MID(str_cnvt(E211),SEARCH(":",str_cnvt(E211))+1,2)-1) &amp; ":" &amp; (MID(str_cnvt(E211),SEARCH(":",str_cnvt(E211))+1,2)-D212)</f>
        <v>5:5</v>
      </c>
      <c r="F212" s="23" t="s">
        <v>38</v>
      </c>
      <c r="G212" s="23" t="s">
        <v>168</v>
      </c>
      <c r="H212" s="26" t="s">
        <v>37</v>
      </c>
      <c r="I212" s="26" t="s">
        <v>36</v>
      </c>
      <c r="J212" s="26" t="s">
        <v>6</v>
      </c>
      <c r="K212" s="23"/>
      <c r="L212" s="55"/>
      <c r="M212" s="55"/>
      <c r="N212" s="55"/>
      <c r="O212" s="55"/>
      <c r="P212" s="55"/>
      <c r="Q212" s="58"/>
    </row>
    <row r="213" spans="1:17" ht="15" thickBot="1">
      <c r="A213" s="50"/>
      <c r="B213" s="50"/>
      <c r="C213" s="23" t="s">
        <v>154</v>
      </c>
      <c r="D213" s="23">
        <v>5</v>
      </c>
      <c r="E213" s="83" t="str">
        <f>(MID(str_cnvt(E212),SEARCH(":",str_cnvt(E212))+1,2)-1) &amp; ":" &amp; (MID(str_cnvt(E212),SEARCH(":",str_cnvt(E212))+1,2)-D213)</f>
        <v>4:0</v>
      </c>
      <c r="F213" s="23" t="s">
        <v>157</v>
      </c>
      <c r="G213" s="23" t="s">
        <v>169</v>
      </c>
      <c r="H213" s="26" t="s">
        <v>37</v>
      </c>
      <c r="I213" s="26" t="s">
        <v>36</v>
      </c>
      <c r="J213" s="26" t="s">
        <v>6</v>
      </c>
      <c r="K213" s="23"/>
      <c r="L213" s="64"/>
      <c r="M213" s="64"/>
      <c r="N213" s="64"/>
      <c r="O213" s="64"/>
      <c r="P213" s="56"/>
      <c r="Q213" s="59"/>
    </row>
    <row r="214" spans="1:17" ht="14.4" customHeight="1">
      <c r="A214" s="48" t="s">
        <v>189</v>
      </c>
      <c r="B214" s="48">
        <v>30</v>
      </c>
      <c r="C214" s="60" t="str">
        <f>bitConcat(F215:F218)</f>
        <v>32'b00000000000000000000000100111111</v>
      </c>
      <c r="D214" s="61"/>
      <c r="E214" s="61"/>
      <c r="F214" s="61"/>
      <c r="G214" s="61"/>
      <c r="H214" s="61"/>
      <c r="I214" s="61"/>
      <c r="J214" s="61"/>
      <c r="K214" s="62"/>
      <c r="L214" s="63" t="str">
        <f t="shared" ref="L214" si="26">DEC2HEX(_xlfn.BITLSHIFT(N214,7)+4*O214)</f>
        <v>3B0</v>
      </c>
      <c r="M214" s="63"/>
      <c r="N214" s="63">
        <v>7</v>
      </c>
      <c r="O214" s="63">
        <v>12</v>
      </c>
      <c r="P214" s="54" t="str">
        <f t="shared" ref="P214" si="27">DEC2HEX(_xlfn.BITLSHIFT(N214,5)+O214*4)</f>
        <v>110</v>
      </c>
      <c r="Q214" s="57" t="str">
        <f>BIN2HEX(LEFT(RIGHT(C214,32),4))&amp;BIN2HEX(LEFT(RIGHT(C214,28),4))&amp;BIN2HEX(LEFT(RIGHT(C214,24),4))&amp;BIN2HEX(LEFT(RIGHT(C214,20),4))&amp;BIN2HEX(LEFT(RIGHT(C214,16),4))&amp;BIN2HEX(LEFT(RIGHT(C214,12),4))&amp;BIN2HEX(LEFT(RIGHT(C214,8),4))&amp;BIN2HEX(LEFT(RIGHT(C214,4),4))</f>
        <v>0000013F</v>
      </c>
    </row>
    <row r="215" spans="1:17" ht="15">
      <c r="A215" s="49"/>
      <c r="B215" s="49"/>
      <c r="C215" s="23" t="s">
        <v>120</v>
      </c>
      <c r="D215" s="23">
        <v>23</v>
      </c>
      <c r="E215" s="85" t="str">
        <f>IF(D215&gt;1,(31)&amp;":"&amp;(31-D215+1),(31-D215+1)&amp;":"&amp;(31-D215+1))</f>
        <v>31:9</v>
      </c>
      <c r="F215" s="23" t="s">
        <v>155</v>
      </c>
      <c r="G215" s="23" t="s">
        <v>120</v>
      </c>
      <c r="H215" s="26" t="s">
        <v>37</v>
      </c>
      <c r="I215" s="26" t="s">
        <v>36</v>
      </c>
      <c r="J215" s="26" t="s">
        <v>6</v>
      </c>
      <c r="K215" s="23"/>
      <c r="L215" s="55"/>
      <c r="M215" s="55"/>
      <c r="N215" s="55"/>
      <c r="O215" s="55"/>
      <c r="P215" s="55"/>
      <c r="Q215" s="58"/>
    </row>
    <row r="216" spans="1:17">
      <c r="A216" s="49"/>
      <c r="B216" s="49"/>
      <c r="C216" s="23" t="s">
        <v>152</v>
      </c>
      <c r="D216" s="23">
        <v>3</v>
      </c>
      <c r="E216" s="83" t="str">
        <f>(MID(str_cnvt(E215),SEARCH(":",str_cnvt(E215))+1,2)-1) &amp; ":" &amp; (MID(str_cnvt(E215),SEARCH(":",str_cnvt(E215))+1,2)-D216)</f>
        <v>8:6</v>
      </c>
      <c r="F216" s="23" t="s">
        <v>156</v>
      </c>
      <c r="G216" s="23" t="s">
        <v>167</v>
      </c>
      <c r="H216" s="26" t="s">
        <v>37</v>
      </c>
      <c r="I216" s="26" t="s">
        <v>36</v>
      </c>
      <c r="J216" s="26" t="s">
        <v>6</v>
      </c>
      <c r="K216" s="23"/>
      <c r="L216" s="55"/>
      <c r="M216" s="55"/>
      <c r="N216" s="55"/>
      <c r="O216" s="55"/>
      <c r="P216" s="55"/>
      <c r="Q216" s="58"/>
    </row>
    <row r="217" spans="1:17">
      <c r="A217" s="49"/>
      <c r="B217" s="49"/>
      <c r="C217" s="23" t="s">
        <v>153</v>
      </c>
      <c r="D217" s="23">
        <v>1</v>
      </c>
      <c r="E217" s="83" t="str">
        <f>(MID(str_cnvt(E216),SEARCH(":",str_cnvt(E216))+1,2)-1) &amp; ":" &amp; (MID(str_cnvt(E216),SEARCH(":",str_cnvt(E216))+1,2)-D217)</f>
        <v>5:5</v>
      </c>
      <c r="F217" s="23" t="s">
        <v>38</v>
      </c>
      <c r="G217" s="23" t="s">
        <v>168</v>
      </c>
      <c r="H217" s="26" t="s">
        <v>37</v>
      </c>
      <c r="I217" s="26" t="s">
        <v>36</v>
      </c>
      <c r="J217" s="26" t="s">
        <v>6</v>
      </c>
      <c r="K217" s="23"/>
      <c r="L217" s="55"/>
      <c r="M217" s="55"/>
      <c r="N217" s="55"/>
      <c r="O217" s="55"/>
      <c r="P217" s="55"/>
      <c r="Q217" s="58"/>
    </row>
    <row r="218" spans="1:17" ht="15" thickBot="1">
      <c r="A218" s="50"/>
      <c r="B218" s="50"/>
      <c r="C218" s="23" t="s">
        <v>154</v>
      </c>
      <c r="D218" s="23">
        <v>5</v>
      </c>
      <c r="E218" s="83" t="str">
        <f>(MID(str_cnvt(E217),SEARCH(":",str_cnvt(E217))+1,2)-1) &amp; ":" &amp; (MID(str_cnvt(E217),SEARCH(":",str_cnvt(E217))+1,2)-D218)</f>
        <v>4:0</v>
      </c>
      <c r="F218" s="23" t="s">
        <v>157</v>
      </c>
      <c r="G218" s="23" t="s">
        <v>169</v>
      </c>
      <c r="H218" s="26" t="s">
        <v>37</v>
      </c>
      <c r="I218" s="26" t="s">
        <v>36</v>
      </c>
      <c r="J218" s="26" t="s">
        <v>6</v>
      </c>
      <c r="K218" s="23"/>
      <c r="L218" s="64"/>
      <c r="M218" s="64"/>
      <c r="N218" s="64"/>
      <c r="O218" s="64"/>
      <c r="P218" s="56"/>
      <c r="Q218" s="59"/>
    </row>
    <row r="219" spans="1:17" ht="14.4" customHeight="1">
      <c r="A219" s="48" t="s">
        <v>188</v>
      </c>
      <c r="B219" s="48">
        <v>34</v>
      </c>
      <c r="C219" s="60" t="str">
        <f>bitConcat(F220:F223)</f>
        <v>32'b00000000000000000000000100111111</v>
      </c>
      <c r="D219" s="61"/>
      <c r="E219" s="61"/>
      <c r="F219" s="61"/>
      <c r="G219" s="61"/>
      <c r="H219" s="61"/>
      <c r="I219" s="61"/>
      <c r="J219" s="61"/>
      <c r="K219" s="62"/>
      <c r="L219" s="63" t="str">
        <f t="shared" ref="L219" si="28">DEC2HEX(_xlfn.BITLSHIFT(N219,7)+4*O219)</f>
        <v>3B4</v>
      </c>
      <c r="M219" s="63"/>
      <c r="N219" s="63">
        <v>7</v>
      </c>
      <c r="O219" s="63">
        <v>13</v>
      </c>
      <c r="P219" s="54" t="str">
        <f t="shared" ref="P219" si="29">DEC2HEX(_xlfn.BITLSHIFT(N219,5)+O219*4)</f>
        <v>114</v>
      </c>
      <c r="Q219" s="57" t="str">
        <f>BIN2HEX(LEFT(RIGHT(C219,32),4))&amp;BIN2HEX(LEFT(RIGHT(C219,28),4))&amp;BIN2HEX(LEFT(RIGHT(C219,24),4))&amp;BIN2HEX(LEFT(RIGHT(C219,20),4))&amp;BIN2HEX(LEFT(RIGHT(C219,16),4))&amp;BIN2HEX(LEFT(RIGHT(C219,12),4))&amp;BIN2HEX(LEFT(RIGHT(C219,8),4))&amp;BIN2HEX(LEFT(RIGHT(C219,4),4))</f>
        <v>0000013F</v>
      </c>
    </row>
    <row r="220" spans="1:17" ht="15">
      <c r="A220" s="49"/>
      <c r="B220" s="49"/>
      <c r="C220" s="23" t="s">
        <v>120</v>
      </c>
      <c r="D220" s="23">
        <v>23</v>
      </c>
      <c r="E220" s="85" t="str">
        <f>IF(D220&gt;1,(31)&amp;":"&amp;(31-D220+1),(31-D220+1)&amp;":"&amp;(31-D220+1))</f>
        <v>31:9</v>
      </c>
      <c r="F220" s="23" t="s">
        <v>155</v>
      </c>
      <c r="G220" s="23" t="s">
        <v>120</v>
      </c>
      <c r="H220" s="26" t="s">
        <v>37</v>
      </c>
      <c r="I220" s="26" t="s">
        <v>36</v>
      </c>
      <c r="J220" s="26" t="s">
        <v>6</v>
      </c>
      <c r="K220" s="23"/>
      <c r="L220" s="55"/>
      <c r="M220" s="55"/>
      <c r="N220" s="55"/>
      <c r="O220" s="55"/>
      <c r="P220" s="55"/>
      <c r="Q220" s="58"/>
    </row>
    <row r="221" spans="1:17">
      <c r="A221" s="49"/>
      <c r="B221" s="49"/>
      <c r="C221" s="23" t="s">
        <v>152</v>
      </c>
      <c r="D221" s="23">
        <v>3</v>
      </c>
      <c r="E221" s="83" t="str">
        <f>(MID(str_cnvt(E220),SEARCH(":",str_cnvt(E220))+1,2)-1) &amp; ":" &amp; (MID(str_cnvt(E220),SEARCH(":",str_cnvt(E220))+1,2)-D221)</f>
        <v>8:6</v>
      </c>
      <c r="F221" s="23" t="s">
        <v>156</v>
      </c>
      <c r="G221" s="23" t="s">
        <v>167</v>
      </c>
      <c r="H221" s="26" t="s">
        <v>37</v>
      </c>
      <c r="I221" s="26" t="s">
        <v>36</v>
      </c>
      <c r="J221" s="26" t="s">
        <v>6</v>
      </c>
      <c r="K221" s="23"/>
      <c r="L221" s="55"/>
      <c r="M221" s="55"/>
      <c r="N221" s="55"/>
      <c r="O221" s="55"/>
      <c r="P221" s="55"/>
      <c r="Q221" s="58"/>
    </row>
    <row r="222" spans="1:17">
      <c r="A222" s="49"/>
      <c r="B222" s="49"/>
      <c r="C222" s="23" t="s">
        <v>153</v>
      </c>
      <c r="D222" s="23">
        <v>1</v>
      </c>
      <c r="E222" s="83" t="str">
        <f>(MID(str_cnvt(E221),SEARCH(":",str_cnvt(E221))+1,2)-1) &amp; ":" &amp; (MID(str_cnvt(E221),SEARCH(":",str_cnvt(E221))+1,2)-D222)</f>
        <v>5:5</v>
      </c>
      <c r="F222" s="23" t="s">
        <v>38</v>
      </c>
      <c r="G222" s="23" t="s">
        <v>168</v>
      </c>
      <c r="H222" s="26" t="s">
        <v>37</v>
      </c>
      <c r="I222" s="26" t="s">
        <v>36</v>
      </c>
      <c r="J222" s="26" t="s">
        <v>6</v>
      </c>
      <c r="K222" s="23"/>
      <c r="L222" s="55"/>
      <c r="M222" s="55"/>
      <c r="N222" s="55"/>
      <c r="O222" s="55"/>
      <c r="P222" s="55"/>
      <c r="Q222" s="58"/>
    </row>
    <row r="223" spans="1:17" ht="15" thickBot="1">
      <c r="A223" s="50"/>
      <c r="B223" s="50"/>
      <c r="C223" s="23" t="s">
        <v>154</v>
      </c>
      <c r="D223" s="23">
        <v>5</v>
      </c>
      <c r="E223" s="83" t="str">
        <f>(MID(str_cnvt(E222),SEARCH(":",str_cnvt(E222))+1,2)-1) &amp; ":" &amp; (MID(str_cnvt(E222),SEARCH(":",str_cnvt(E222))+1,2)-D223)</f>
        <v>4:0</v>
      </c>
      <c r="F223" s="23" t="s">
        <v>157</v>
      </c>
      <c r="G223" s="23" t="s">
        <v>169</v>
      </c>
      <c r="H223" s="26" t="s">
        <v>37</v>
      </c>
      <c r="I223" s="26" t="s">
        <v>36</v>
      </c>
      <c r="J223" s="26" t="s">
        <v>6</v>
      </c>
      <c r="K223" s="23"/>
      <c r="L223" s="64"/>
      <c r="M223" s="64"/>
      <c r="N223" s="64"/>
      <c r="O223" s="64"/>
      <c r="P223" s="56"/>
      <c r="Q223" s="59"/>
    </row>
    <row r="224" spans="1:17" ht="14.4" customHeight="1">
      <c r="A224" s="48" t="s">
        <v>187</v>
      </c>
      <c r="B224" s="48">
        <v>38</v>
      </c>
      <c r="C224" s="60" t="str">
        <f>bitConcat(F225:F228)</f>
        <v>32'b00000000000000000000000100111111</v>
      </c>
      <c r="D224" s="61"/>
      <c r="E224" s="61"/>
      <c r="F224" s="61"/>
      <c r="G224" s="61"/>
      <c r="H224" s="61"/>
      <c r="I224" s="61"/>
      <c r="J224" s="61"/>
      <c r="K224" s="62"/>
      <c r="L224" s="63" t="str">
        <f t="shared" ref="L224" si="30">DEC2HEX(_xlfn.BITLSHIFT(N224,7)+4*O224)</f>
        <v>3B8</v>
      </c>
      <c r="M224" s="63"/>
      <c r="N224" s="63">
        <v>7</v>
      </c>
      <c r="O224" s="63">
        <v>14</v>
      </c>
      <c r="P224" s="54" t="str">
        <f t="shared" ref="P224" si="31">DEC2HEX(_xlfn.BITLSHIFT(N224,5)+O224*4)</f>
        <v>118</v>
      </c>
      <c r="Q224" s="57" t="str">
        <f>BIN2HEX(LEFT(RIGHT(C224,32),4))&amp;BIN2HEX(LEFT(RIGHT(C224,28),4))&amp;BIN2HEX(LEFT(RIGHT(C224,24),4))&amp;BIN2HEX(LEFT(RIGHT(C224,20),4))&amp;BIN2HEX(LEFT(RIGHT(C224,16),4))&amp;BIN2HEX(LEFT(RIGHT(C224,12),4))&amp;BIN2HEX(LEFT(RIGHT(C224,8),4))&amp;BIN2HEX(LEFT(RIGHT(C224,4),4))</f>
        <v>0000013F</v>
      </c>
    </row>
    <row r="225" spans="1:17" ht="15">
      <c r="A225" s="49"/>
      <c r="B225" s="49"/>
      <c r="C225" s="23" t="s">
        <v>120</v>
      </c>
      <c r="D225" s="23">
        <v>23</v>
      </c>
      <c r="E225" s="85" t="str">
        <f>IF(D225&gt;1,(31)&amp;":"&amp;(31-D225+1),(31-D225+1)&amp;":"&amp;(31-D225+1))</f>
        <v>31:9</v>
      </c>
      <c r="F225" s="23" t="s">
        <v>155</v>
      </c>
      <c r="G225" s="23" t="s">
        <v>120</v>
      </c>
      <c r="H225" s="26" t="s">
        <v>37</v>
      </c>
      <c r="I225" s="26" t="s">
        <v>36</v>
      </c>
      <c r="J225" s="26" t="s">
        <v>6</v>
      </c>
      <c r="K225" s="23"/>
      <c r="L225" s="55"/>
      <c r="M225" s="55"/>
      <c r="N225" s="55"/>
      <c r="O225" s="55"/>
      <c r="P225" s="55"/>
      <c r="Q225" s="58"/>
    </row>
    <row r="226" spans="1:17">
      <c r="A226" s="49"/>
      <c r="B226" s="49"/>
      <c r="C226" s="23" t="s">
        <v>152</v>
      </c>
      <c r="D226" s="23">
        <v>3</v>
      </c>
      <c r="E226" s="83" t="str">
        <f>(MID(str_cnvt(E225),SEARCH(":",str_cnvt(E225))+1,2)-1) &amp; ":" &amp; (MID(str_cnvt(E225),SEARCH(":",str_cnvt(E225))+1,2)-D226)</f>
        <v>8:6</v>
      </c>
      <c r="F226" s="23" t="s">
        <v>156</v>
      </c>
      <c r="G226" s="23" t="s">
        <v>167</v>
      </c>
      <c r="H226" s="26" t="s">
        <v>37</v>
      </c>
      <c r="I226" s="26" t="s">
        <v>36</v>
      </c>
      <c r="J226" s="26" t="s">
        <v>6</v>
      </c>
      <c r="K226" s="23"/>
      <c r="L226" s="55"/>
      <c r="M226" s="55"/>
      <c r="N226" s="55"/>
      <c r="O226" s="55"/>
      <c r="P226" s="55"/>
      <c r="Q226" s="58"/>
    </row>
    <row r="227" spans="1:17">
      <c r="A227" s="49"/>
      <c r="B227" s="49"/>
      <c r="C227" s="23" t="s">
        <v>153</v>
      </c>
      <c r="D227" s="23">
        <v>1</v>
      </c>
      <c r="E227" s="83" t="str">
        <f>(MID(str_cnvt(E226),SEARCH(":",str_cnvt(E226))+1,2)-1) &amp; ":" &amp; (MID(str_cnvt(E226),SEARCH(":",str_cnvt(E226))+1,2)-D227)</f>
        <v>5:5</v>
      </c>
      <c r="F227" s="23" t="s">
        <v>38</v>
      </c>
      <c r="G227" s="23" t="s">
        <v>168</v>
      </c>
      <c r="H227" s="26" t="s">
        <v>37</v>
      </c>
      <c r="I227" s="26" t="s">
        <v>36</v>
      </c>
      <c r="J227" s="26" t="s">
        <v>6</v>
      </c>
      <c r="K227" s="23"/>
      <c r="L227" s="55"/>
      <c r="M227" s="55"/>
      <c r="N227" s="55"/>
      <c r="O227" s="55"/>
      <c r="P227" s="55"/>
      <c r="Q227" s="58"/>
    </row>
    <row r="228" spans="1:17" ht="15" thickBot="1">
      <c r="A228" s="50"/>
      <c r="B228" s="50"/>
      <c r="C228" s="23" t="s">
        <v>154</v>
      </c>
      <c r="D228" s="23">
        <v>5</v>
      </c>
      <c r="E228" s="83" t="str">
        <f>(MID(str_cnvt(E227),SEARCH(":",str_cnvt(E227))+1,2)-1) &amp; ":" &amp; (MID(str_cnvt(E227),SEARCH(":",str_cnvt(E227))+1,2)-D228)</f>
        <v>4:0</v>
      </c>
      <c r="F228" s="23" t="s">
        <v>157</v>
      </c>
      <c r="G228" s="23" t="s">
        <v>169</v>
      </c>
      <c r="H228" s="26" t="s">
        <v>37</v>
      </c>
      <c r="I228" s="26" t="s">
        <v>36</v>
      </c>
      <c r="J228" s="26" t="s">
        <v>6</v>
      </c>
      <c r="K228" s="23"/>
      <c r="L228" s="64"/>
      <c r="M228" s="64"/>
      <c r="N228" s="64"/>
      <c r="O228" s="64"/>
      <c r="P228" s="56"/>
      <c r="Q228" s="59"/>
    </row>
    <row r="229" spans="1:17" ht="14.4" customHeight="1">
      <c r="A229" s="48" t="s">
        <v>186</v>
      </c>
      <c r="B229" s="51" t="s">
        <v>113</v>
      </c>
      <c r="C229" s="60" t="s">
        <v>190</v>
      </c>
      <c r="D229" s="61"/>
      <c r="E229" s="61"/>
      <c r="F229" s="61"/>
      <c r="G229" s="61"/>
      <c r="H229" s="61"/>
      <c r="I229" s="61"/>
      <c r="J229" s="61"/>
      <c r="K229" s="62"/>
      <c r="L229" s="63" t="str">
        <f>DEC2HEX(_xlfn.BITLSHIFT(N229,7)+4*O229)</f>
        <v>3BC</v>
      </c>
      <c r="M229" s="63"/>
      <c r="N229" s="63">
        <v>7</v>
      </c>
      <c r="O229" s="63">
        <v>15</v>
      </c>
      <c r="P229" s="54" t="str">
        <f t="shared" ref="P229" si="32">DEC2HEX(_xlfn.BITLSHIFT(N229,5)+O229*4)</f>
        <v>11C</v>
      </c>
      <c r="Q229" s="57" t="str">
        <f>BIN2HEX(LEFT(RIGHT(C229,32),4))&amp;BIN2HEX(LEFT(RIGHT(C229,28),4))&amp;BIN2HEX(LEFT(RIGHT(C229,24),4))&amp;BIN2HEX(LEFT(RIGHT(C229,20),4))&amp;BIN2HEX(LEFT(RIGHT(C229,16),4))&amp;BIN2HEX(LEFT(RIGHT(C229,12),4))&amp;BIN2HEX(LEFT(RIGHT(C229,8),4))&amp;BIN2HEX(LEFT(RIGHT(C229,4),4))</f>
        <v>0000013F</v>
      </c>
    </row>
    <row r="230" spans="1:17" ht="15">
      <c r="A230" s="49"/>
      <c r="B230" s="52"/>
      <c r="C230" s="23" t="s">
        <v>120</v>
      </c>
      <c r="D230" s="23">
        <v>23</v>
      </c>
      <c r="E230" s="85" t="str">
        <f>IF(D230&gt;1,(31)&amp;":"&amp;(31-D230+1),(31-D230+1)&amp;":"&amp;(31-D230+1))</f>
        <v>31:9</v>
      </c>
      <c r="F230" s="23" t="s">
        <v>155</v>
      </c>
      <c r="G230" s="23" t="s">
        <v>120</v>
      </c>
      <c r="H230" s="26" t="s">
        <v>37</v>
      </c>
      <c r="I230" s="26" t="s">
        <v>36</v>
      </c>
      <c r="J230" s="26" t="s">
        <v>6</v>
      </c>
      <c r="K230" s="23"/>
      <c r="L230" s="55"/>
      <c r="M230" s="55"/>
      <c r="N230" s="55"/>
      <c r="O230" s="55"/>
      <c r="P230" s="55"/>
      <c r="Q230" s="58"/>
    </row>
    <row r="231" spans="1:17">
      <c r="A231" s="49"/>
      <c r="B231" s="52"/>
      <c r="C231" s="23" t="s">
        <v>152</v>
      </c>
      <c r="D231" s="23">
        <v>3</v>
      </c>
      <c r="E231" s="83" t="str">
        <f>(MID(str_cnvt(E230),SEARCH(":",str_cnvt(E230))+1,2)-1) &amp; ":" &amp; (MID(str_cnvt(E230),SEARCH(":",str_cnvt(E230))+1,2)-D231)</f>
        <v>8:6</v>
      </c>
      <c r="F231" s="23" t="s">
        <v>156</v>
      </c>
      <c r="G231" s="23" t="s">
        <v>167</v>
      </c>
      <c r="H231" s="26" t="s">
        <v>37</v>
      </c>
      <c r="I231" s="26" t="s">
        <v>36</v>
      </c>
      <c r="J231" s="26" t="s">
        <v>6</v>
      </c>
      <c r="K231" s="23"/>
      <c r="L231" s="55"/>
      <c r="M231" s="55"/>
      <c r="N231" s="55"/>
      <c r="O231" s="55"/>
      <c r="P231" s="55"/>
      <c r="Q231" s="58"/>
    </row>
    <row r="232" spans="1:17">
      <c r="A232" s="49"/>
      <c r="B232" s="52"/>
      <c r="C232" s="23" t="s">
        <v>153</v>
      </c>
      <c r="D232" s="23">
        <v>1</v>
      </c>
      <c r="E232" s="83" t="str">
        <f>(MID(str_cnvt(E231),SEARCH(":",str_cnvt(E231))+1,2)-1) &amp; ":" &amp; (MID(str_cnvt(E231),SEARCH(":",str_cnvt(E231))+1,2)-D232)</f>
        <v>5:5</v>
      </c>
      <c r="F232" s="23" t="s">
        <v>38</v>
      </c>
      <c r="G232" s="23" t="s">
        <v>168</v>
      </c>
      <c r="H232" s="26" t="s">
        <v>37</v>
      </c>
      <c r="I232" s="26" t="s">
        <v>36</v>
      </c>
      <c r="J232" s="26" t="s">
        <v>6</v>
      </c>
      <c r="K232" s="23"/>
      <c r="L232" s="55"/>
      <c r="M232" s="55"/>
      <c r="N232" s="55"/>
      <c r="O232" s="55"/>
      <c r="P232" s="55"/>
      <c r="Q232" s="58"/>
    </row>
    <row r="233" spans="1:17" ht="15" thickBot="1">
      <c r="A233" s="50"/>
      <c r="B233" s="53"/>
      <c r="C233" s="23" t="s">
        <v>154</v>
      </c>
      <c r="D233" s="23">
        <v>5</v>
      </c>
      <c r="E233" s="83" t="str">
        <f>(MID(str_cnvt(E232),SEARCH(":",str_cnvt(E232))+1,2)-1) &amp; ":" &amp; (MID(str_cnvt(E232),SEARCH(":",str_cnvt(E232))+1,2)-D233)</f>
        <v>4:0</v>
      </c>
      <c r="F233" s="23" t="s">
        <v>157</v>
      </c>
      <c r="G233" s="23" t="s">
        <v>169</v>
      </c>
      <c r="H233" s="26" t="s">
        <v>37</v>
      </c>
      <c r="I233" s="26" t="s">
        <v>36</v>
      </c>
      <c r="J233" s="26" t="s">
        <v>6</v>
      </c>
      <c r="K233" s="23"/>
      <c r="L233" s="64"/>
      <c r="M233" s="64"/>
      <c r="N233" s="64"/>
      <c r="O233" s="64"/>
      <c r="P233" s="56"/>
      <c r="Q233" s="59"/>
    </row>
    <row r="234" spans="1:17" ht="14.4" customHeight="1">
      <c r="A234" s="66" t="s">
        <v>217</v>
      </c>
      <c r="B234" s="66">
        <v>40</v>
      </c>
      <c r="C234" s="60" t="str">
        <f>bitConcat(F235:F240)</f>
        <v>32'b00000000000000100000000000000000</v>
      </c>
      <c r="D234" s="61"/>
      <c r="E234" s="61"/>
      <c r="F234" s="61"/>
      <c r="G234" s="61"/>
      <c r="H234" s="61"/>
      <c r="I234" s="61"/>
      <c r="J234" s="61"/>
      <c r="K234" s="62"/>
      <c r="L234" s="63" t="str">
        <f t="shared" ref="L234" si="33">DEC2HEX(_xlfn.BITLSHIFT(N234,7)+4*O234)</f>
        <v>3C0</v>
      </c>
      <c r="M234" s="63"/>
      <c r="N234" s="63">
        <v>7</v>
      </c>
      <c r="O234" s="69">
        <v>16</v>
      </c>
      <c r="P234" s="54" t="str">
        <f t="shared" ref="P234" si="34">DEC2HEX(_xlfn.BITLSHIFT(N234,5)+O234*4)</f>
        <v>120</v>
      </c>
      <c r="Q234" s="54" t="str">
        <f>BIN2HEX(LEFT(RIGHT(C234,32),4))&amp;BIN2HEX(LEFT(RIGHT(C234,28),4))&amp;BIN2HEX(LEFT(RIGHT(C234,24),4))&amp;BIN2HEX(LEFT(RIGHT(C234,20),4))&amp;BIN2HEX(LEFT(RIGHT(C234,16),4))&amp;BIN2HEX(LEFT(RIGHT(C234,12),4))&amp;BIN2HEX(LEFT(RIGHT(C234,8),4))&amp;BIN2HEX(LEFT(RIGHT(C234,4),4))</f>
        <v>00020000</v>
      </c>
    </row>
    <row r="235" spans="1:17" ht="15">
      <c r="A235" s="67"/>
      <c r="B235" s="67"/>
      <c r="C235" s="23" t="s">
        <v>120</v>
      </c>
      <c r="D235" s="23">
        <v>14</v>
      </c>
      <c r="E235" s="85" t="str">
        <f>IF(D235&gt;1,(31)&amp;":"&amp;(31-D235+1),(31-D235+1)&amp;":"&amp;(31-D235+1))</f>
        <v>31:18</v>
      </c>
      <c r="F235" s="23" t="s">
        <v>145</v>
      </c>
      <c r="G235" s="23" t="s">
        <v>120</v>
      </c>
      <c r="H235" s="26" t="s">
        <v>37</v>
      </c>
      <c r="I235" s="26" t="s">
        <v>36</v>
      </c>
      <c r="J235" s="26" t="s">
        <v>6</v>
      </c>
      <c r="L235" s="55"/>
      <c r="M235" s="55"/>
      <c r="N235" s="55"/>
      <c r="O235" s="70"/>
      <c r="P235" s="55"/>
      <c r="Q235" s="55"/>
    </row>
    <row r="236" spans="1:17">
      <c r="A236" s="67"/>
      <c r="B236" s="67"/>
      <c r="C236" s="23" t="s">
        <v>159</v>
      </c>
      <c r="D236" s="23">
        <v>3</v>
      </c>
      <c r="E236" s="83" t="str">
        <f>(MID(str_cnvt(E235),SEARCH(":",str_cnvt(E235))+1,2)-1) &amp; ":" &amp; (MID(str_cnvt(E235),SEARCH(":",str_cnvt(E235))+1,2)-D236)</f>
        <v>17:15</v>
      </c>
      <c r="F236" s="23" t="s">
        <v>156</v>
      </c>
      <c r="G236" s="23" t="s">
        <v>170</v>
      </c>
      <c r="H236" s="26" t="s">
        <v>37</v>
      </c>
      <c r="I236" s="26" t="s">
        <v>36</v>
      </c>
      <c r="J236" s="26" t="s">
        <v>6</v>
      </c>
      <c r="L236" s="55"/>
      <c r="M236" s="55"/>
      <c r="N236" s="55"/>
      <c r="O236" s="70"/>
      <c r="P236" s="55"/>
      <c r="Q236" s="55"/>
    </row>
    <row r="237" spans="1:17">
      <c r="A237" s="67"/>
      <c r="B237" s="67"/>
      <c r="C237" s="23" t="s">
        <v>160</v>
      </c>
      <c r="D237" s="23">
        <v>7</v>
      </c>
      <c r="E237" s="83" t="str">
        <f>(MID(str_cnvt(E236),SEARCH(":",str_cnvt(E236))+1,2)-1) &amp; ":" &amp; (MID(str_cnvt(E236),SEARCH(":",str_cnvt(E236))+1,2)-D237)</f>
        <v>14:8</v>
      </c>
      <c r="F237" s="23" t="s">
        <v>50</v>
      </c>
      <c r="G237" s="23" t="s">
        <v>171</v>
      </c>
      <c r="H237" s="26" t="s">
        <v>37</v>
      </c>
      <c r="I237" s="26" t="s">
        <v>36</v>
      </c>
      <c r="J237" s="26" t="s">
        <v>6</v>
      </c>
      <c r="L237" s="55"/>
      <c r="M237" s="55"/>
      <c r="N237" s="55"/>
      <c r="O237" s="70"/>
      <c r="P237" s="55"/>
      <c r="Q237" s="55"/>
    </row>
    <row r="238" spans="1:17">
      <c r="A238" s="67"/>
      <c r="B238" s="67"/>
      <c r="C238" s="23" t="s">
        <v>161</v>
      </c>
      <c r="D238" s="23">
        <v>1</v>
      </c>
      <c r="E238" s="83" t="str">
        <f>(MID(str_cnvt(E237),SEARCH(":",str_cnvt(E237))+1,2)-1) &amp; ":" &amp; (MID(str_cnvt(E237),SEARCH(":",str_cnvt(E237))+1,2)-D238)</f>
        <v>7:7</v>
      </c>
      <c r="F238" s="23" t="s">
        <v>7</v>
      </c>
      <c r="G238" s="23" t="s">
        <v>172</v>
      </c>
      <c r="H238" s="26" t="s">
        <v>37</v>
      </c>
      <c r="I238" s="26" t="s">
        <v>36</v>
      </c>
      <c r="J238" s="26" t="s">
        <v>6</v>
      </c>
      <c r="L238" s="55"/>
      <c r="M238" s="55"/>
      <c r="N238" s="55"/>
      <c r="O238" s="70"/>
      <c r="P238" s="55"/>
      <c r="Q238" s="55"/>
    </row>
    <row r="239" spans="1:17">
      <c r="A239" s="67"/>
      <c r="B239" s="67"/>
      <c r="C239" s="23" t="s">
        <v>162</v>
      </c>
      <c r="D239" s="23">
        <v>6</v>
      </c>
      <c r="E239" s="83" t="str">
        <f>(MID(str_cnvt(E238),SEARCH(":",str_cnvt(E238))+1,2)-1) &amp; ":" &amp; (MID(str_cnvt(E238),SEARCH(":",str_cnvt(E238))+1,2)-D239)</f>
        <v>6:1</v>
      </c>
      <c r="F239" s="23" t="s">
        <v>54</v>
      </c>
      <c r="G239" s="23" t="s">
        <v>173</v>
      </c>
      <c r="H239" s="26" t="s">
        <v>37</v>
      </c>
      <c r="I239" s="26" t="s">
        <v>36</v>
      </c>
      <c r="J239" s="26" t="s">
        <v>6</v>
      </c>
      <c r="L239" s="55"/>
      <c r="M239" s="55"/>
      <c r="N239" s="55"/>
      <c r="O239" s="70"/>
      <c r="P239" s="55"/>
      <c r="Q239" s="55"/>
    </row>
    <row r="240" spans="1:17">
      <c r="A240" s="68"/>
      <c r="B240" s="68"/>
      <c r="C240" s="23" t="s">
        <v>163</v>
      </c>
      <c r="D240" s="23">
        <v>1</v>
      </c>
      <c r="E240" s="83" t="str">
        <f>(MID(str_cnvt(E239),SEARCH(":",str_cnvt(E239))+1,2)-1) &amp; ":" &amp; (MID(str_cnvt(E239),SEARCH(":",str_cnvt(E239))+1,2)-D240)</f>
        <v>0:0</v>
      </c>
      <c r="F240" s="23" t="s">
        <v>7</v>
      </c>
      <c r="G240" s="23" t="s">
        <v>174</v>
      </c>
      <c r="H240" s="26" t="s">
        <v>37</v>
      </c>
      <c r="I240" s="26" t="s">
        <v>36</v>
      </c>
      <c r="J240" s="26" t="s">
        <v>6</v>
      </c>
      <c r="K240" s="22"/>
      <c r="L240" s="64"/>
      <c r="M240" s="64"/>
      <c r="N240" s="64"/>
      <c r="O240" s="71"/>
      <c r="P240" s="64"/>
      <c r="Q240" s="64"/>
    </row>
    <row r="241" spans="1:17" ht="14.4" customHeight="1">
      <c r="A241" s="66" t="s">
        <v>218</v>
      </c>
      <c r="B241" s="66">
        <v>44</v>
      </c>
      <c r="C241" s="60" t="str">
        <f>bitConcat(F242:F247)</f>
        <v>32'b00000000000000100000000000000000</v>
      </c>
      <c r="D241" s="61"/>
      <c r="E241" s="61"/>
      <c r="F241" s="61"/>
      <c r="G241" s="61"/>
      <c r="H241" s="61"/>
      <c r="I241" s="61"/>
      <c r="J241" s="61"/>
      <c r="K241" s="62"/>
      <c r="L241" s="63" t="str">
        <f t="shared" ref="L241" si="35">DEC2HEX(_xlfn.BITLSHIFT(N241,7)+4*O241)</f>
        <v>3C4</v>
      </c>
      <c r="M241" s="63"/>
      <c r="N241" s="63">
        <v>7</v>
      </c>
      <c r="O241" s="69">
        <v>17</v>
      </c>
      <c r="P241" s="54" t="str">
        <f t="shared" ref="P241" si="36">DEC2HEX(_xlfn.BITLSHIFT(N241,5)+O241*4)</f>
        <v>124</v>
      </c>
      <c r="Q241" s="54" t="str">
        <f>BIN2HEX(LEFT(RIGHT(C241,32),4))&amp;BIN2HEX(LEFT(RIGHT(C241,28),4))&amp;BIN2HEX(LEFT(RIGHT(C241,24),4))&amp;BIN2HEX(LEFT(RIGHT(C241,20),4))&amp;BIN2HEX(LEFT(RIGHT(C241,16),4))&amp;BIN2HEX(LEFT(RIGHT(C241,12),4))&amp;BIN2HEX(LEFT(RIGHT(C241,8),4))&amp;BIN2HEX(LEFT(RIGHT(C241,4),4))</f>
        <v>00020000</v>
      </c>
    </row>
    <row r="242" spans="1:17" ht="15">
      <c r="A242" s="67"/>
      <c r="B242" s="67"/>
      <c r="C242" s="23" t="s">
        <v>120</v>
      </c>
      <c r="D242" s="23">
        <v>14</v>
      </c>
      <c r="E242" s="85" t="str">
        <f>IF(D242&gt;1,(31)&amp;":"&amp;(31-D242+1),(31-D242+1)&amp;":"&amp;(31-D242+1))</f>
        <v>31:18</v>
      </c>
      <c r="F242" s="23" t="s">
        <v>145</v>
      </c>
      <c r="G242" s="23" t="s">
        <v>120</v>
      </c>
      <c r="H242" s="26" t="s">
        <v>37</v>
      </c>
      <c r="I242" s="26" t="s">
        <v>36</v>
      </c>
      <c r="J242" s="26" t="s">
        <v>6</v>
      </c>
      <c r="L242" s="55"/>
      <c r="M242" s="55"/>
      <c r="N242" s="55"/>
      <c r="O242" s="70"/>
      <c r="P242" s="55"/>
      <c r="Q242" s="55"/>
    </row>
    <row r="243" spans="1:17">
      <c r="A243" s="67"/>
      <c r="B243" s="67"/>
      <c r="C243" s="23" t="s">
        <v>159</v>
      </c>
      <c r="D243" s="23">
        <v>3</v>
      </c>
      <c r="E243" s="83" t="str">
        <f>(MID(str_cnvt(E242),SEARCH(":",str_cnvt(E242))+1,2)-1) &amp; ":" &amp; (MID(str_cnvt(E242),SEARCH(":",str_cnvt(E242))+1,2)-D243)</f>
        <v>17:15</v>
      </c>
      <c r="F243" s="23" t="s">
        <v>156</v>
      </c>
      <c r="G243" s="23" t="s">
        <v>170</v>
      </c>
      <c r="H243" s="26" t="s">
        <v>37</v>
      </c>
      <c r="I243" s="26" t="s">
        <v>36</v>
      </c>
      <c r="J243" s="26" t="s">
        <v>6</v>
      </c>
      <c r="L243" s="55"/>
      <c r="M243" s="55"/>
      <c r="N243" s="55"/>
      <c r="O243" s="70"/>
      <c r="P243" s="55"/>
      <c r="Q243" s="55"/>
    </row>
    <row r="244" spans="1:17">
      <c r="A244" s="67"/>
      <c r="B244" s="67"/>
      <c r="C244" s="23" t="s">
        <v>160</v>
      </c>
      <c r="D244" s="23">
        <v>7</v>
      </c>
      <c r="E244" s="83" t="str">
        <f>(MID(str_cnvt(E243),SEARCH(":",str_cnvt(E243))+1,2)-1) &amp; ":" &amp; (MID(str_cnvt(E243),SEARCH(":",str_cnvt(E243))+1,2)-D244)</f>
        <v>14:8</v>
      </c>
      <c r="F244" s="23" t="s">
        <v>50</v>
      </c>
      <c r="G244" s="23" t="s">
        <v>171</v>
      </c>
      <c r="H244" s="26" t="s">
        <v>37</v>
      </c>
      <c r="I244" s="26" t="s">
        <v>36</v>
      </c>
      <c r="J244" s="26" t="s">
        <v>6</v>
      </c>
      <c r="L244" s="55"/>
      <c r="M244" s="55"/>
      <c r="N244" s="55"/>
      <c r="O244" s="70"/>
      <c r="P244" s="55"/>
      <c r="Q244" s="55"/>
    </row>
    <row r="245" spans="1:17">
      <c r="A245" s="67"/>
      <c r="B245" s="67"/>
      <c r="C245" s="23" t="s">
        <v>161</v>
      </c>
      <c r="D245" s="23">
        <v>1</v>
      </c>
      <c r="E245" s="83" t="str">
        <f>(MID(str_cnvt(E244),SEARCH(":",str_cnvt(E244))+1,2)-1) &amp; ":" &amp; (MID(str_cnvt(E244),SEARCH(":",str_cnvt(E244))+1,2)-D245)</f>
        <v>7:7</v>
      </c>
      <c r="F245" s="23" t="s">
        <v>7</v>
      </c>
      <c r="G245" s="23" t="s">
        <v>172</v>
      </c>
      <c r="H245" s="26" t="s">
        <v>37</v>
      </c>
      <c r="I245" s="26" t="s">
        <v>36</v>
      </c>
      <c r="J245" s="26" t="s">
        <v>6</v>
      </c>
      <c r="L245" s="55"/>
      <c r="M245" s="55"/>
      <c r="N245" s="55"/>
      <c r="O245" s="70"/>
      <c r="P245" s="55"/>
      <c r="Q245" s="55"/>
    </row>
    <row r="246" spans="1:17">
      <c r="A246" s="67"/>
      <c r="B246" s="67"/>
      <c r="C246" s="23" t="s">
        <v>162</v>
      </c>
      <c r="D246" s="23">
        <v>6</v>
      </c>
      <c r="E246" s="83" t="str">
        <f>(MID(str_cnvt(E245),SEARCH(":",str_cnvt(E245))+1,2)-1) &amp; ":" &amp; (MID(str_cnvt(E245),SEARCH(":",str_cnvt(E245))+1,2)-D246)</f>
        <v>6:1</v>
      </c>
      <c r="F246" s="23" t="s">
        <v>54</v>
      </c>
      <c r="G246" s="23" t="s">
        <v>173</v>
      </c>
      <c r="H246" s="26" t="s">
        <v>37</v>
      </c>
      <c r="I246" s="26" t="s">
        <v>36</v>
      </c>
      <c r="J246" s="26" t="s">
        <v>6</v>
      </c>
      <c r="L246" s="55"/>
      <c r="M246" s="55"/>
      <c r="N246" s="55"/>
      <c r="O246" s="70"/>
      <c r="P246" s="55"/>
      <c r="Q246" s="55"/>
    </row>
    <row r="247" spans="1:17">
      <c r="A247" s="68"/>
      <c r="B247" s="68"/>
      <c r="C247" s="23" t="s">
        <v>163</v>
      </c>
      <c r="D247" s="23">
        <v>1</v>
      </c>
      <c r="E247" s="83" t="str">
        <f>(MID(str_cnvt(E246),SEARCH(":",str_cnvt(E246))+1,2)-1) &amp; ":" &amp; (MID(str_cnvt(E246),SEARCH(":",str_cnvt(E246))+1,2)-D247)</f>
        <v>0:0</v>
      </c>
      <c r="F247" s="23" t="s">
        <v>7</v>
      </c>
      <c r="G247" s="23" t="s">
        <v>174</v>
      </c>
      <c r="H247" s="26" t="s">
        <v>37</v>
      </c>
      <c r="I247" s="26" t="s">
        <v>36</v>
      </c>
      <c r="J247" s="26" t="s">
        <v>6</v>
      </c>
      <c r="K247" s="22"/>
      <c r="L247" s="64"/>
      <c r="M247" s="64"/>
      <c r="N247" s="64"/>
      <c r="O247" s="71"/>
      <c r="P247" s="64"/>
      <c r="Q247" s="64"/>
    </row>
    <row r="248" spans="1:17" ht="14.4" customHeight="1">
      <c r="A248" s="66" t="s">
        <v>219</v>
      </c>
      <c r="B248" s="66">
        <v>48</v>
      </c>
      <c r="C248" s="60" t="str">
        <f>bitConcat(F249:F254)</f>
        <v>32'b00000000000000100000000000000000</v>
      </c>
      <c r="D248" s="61"/>
      <c r="E248" s="61"/>
      <c r="F248" s="61"/>
      <c r="G248" s="61"/>
      <c r="H248" s="61"/>
      <c r="I248" s="61"/>
      <c r="J248" s="61"/>
      <c r="K248" s="62"/>
      <c r="L248" s="63" t="str">
        <f t="shared" ref="L248" si="37">DEC2HEX(_xlfn.BITLSHIFT(N248,7)+4*O248)</f>
        <v>3C8</v>
      </c>
      <c r="M248" s="63"/>
      <c r="N248" s="63">
        <v>7</v>
      </c>
      <c r="O248" s="69">
        <v>18</v>
      </c>
      <c r="P248" s="54" t="str">
        <f t="shared" ref="P248" si="38">DEC2HEX(_xlfn.BITLSHIFT(N248,5)+O248*4)</f>
        <v>128</v>
      </c>
      <c r="Q248" s="54" t="str">
        <f>BIN2HEX(LEFT(RIGHT(C248,32),4))&amp;BIN2HEX(LEFT(RIGHT(C248,28),4))&amp;BIN2HEX(LEFT(RIGHT(C248,24),4))&amp;BIN2HEX(LEFT(RIGHT(C248,20),4))&amp;BIN2HEX(LEFT(RIGHT(C248,16),4))&amp;BIN2HEX(LEFT(RIGHT(C248,12),4))&amp;BIN2HEX(LEFT(RIGHT(C248,8),4))&amp;BIN2HEX(LEFT(RIGHT(C248,4),4))</f>
        <v>00020000</v>
      </c>
    </row>
    <row r="249" spans="1:17" ht="15">
      <c r="A249" s="67"/>
      <c r="B249" s="67"/>
      <c r="C249" s="23" t="s">
        <v>120</v>
      </c>
      <c r="D249" s="23">
        <v>14</v>
      </c>
      <c r="E249" s="85" t="str">
        <f>IF(D249&gt;1,(31)&amp;":"&amp;(31-D249+1),(31-D249+1)&amp;":"&amp;(31-D249+1))</f>
        <v>31:18</v>
      </c>
      <c r="F249" s="23" t="s">
        <v>145</v>
      </c>
      <c r="G249" s="23" t="s">
        <v>120</v>
      </c>
      <c r="H249" s="26" t="s">
        <v>37</v>
      </c>
      <c r="I249" s="26" t="s">
        <v>36</v>
      </c>
      <c r="J249" s="26" t="s">
        <v>6</v>
      </c>
      <c r="L249" s="55"/>
      <c r="M249" s="55"/>
      <c r="N249" s="55"/>
      <c r="O249" s="70"/>
      <c r="P249" s="55"/>
      <c r="Q249" s="55"/>
    </row>
    <row r="250" spans="1:17">
      <c r="A250" s="67"/>
      <c r="B250" s="67"/>
      <c r="C250" s="23" t="s">
        <v>159</v>
      </c>
      <c r="D250" s="23">
        <v>3</v>
      </c>
      <c r="E250" s="83" t="str">
        <f>(MID(str_cnvt(E249),SEARCH(":",str_cnvt(E249))+1,2)-1) &amp; ":" &amp; (MID(str_cnvt(E249),SEARCH(":",str_cnvt(E249))+1,2)-D250)</f>
        <v>17:15</v>
      </c>
      <c r="F250" s="23" t="s">
        <v>156</v>
      </c>
      <c r="G250" s="23" t="s">
        <v>170</v>
      </c>
      <c r="H250" s="26" t="s">
        <v>37</v>
      </c>
      <c r="I250" s="26" t="s">
        <v>36</v>
      </c>
      <c r="J250" s="26" t="s">
        <v>6</v>
      </c>
      <c r="L250" s="55"/>
      <c r="M250" s="55"/>
      <c r="N250" s="55"/>
      <c r="O250" s="70"/>
      <c r="P250" s="55"/>
      <c r="Q250" s="55"/>
    </row>
    <row r="251" spans="1:17">
      <c r="A251" s="67"/>
      <c r="B251" s="67"/>
      <c r="C251" s="23" t="s">
        <v>160</v>
      </c>
      <c r="D251" s="23">
        <v>7</v>
      </c>
      <c r="E251" s="83" t="str">
        <f>(MID(str_cnvt(E250),SEARCH(":",str_cnvt(E250))+1,2)-1) &amp; ":" &amp; (MID(str_cnvt(E250),SEARCH(":",str_cnvt(E250))+1,2)-D251)</f>
        <v>14:8</v>
      </c>
      <c r="F251" s="23" t="s">
        <v>50</v>
      </c>
      <c r="G251" s="23" t="s">
        <v>171</v>
      </c>
      <c r="H251" s="26" t="s">
        <v>37</v>
      </c>
      <c r="I251" s="26" t="s">
        <v>36</v>
      </c>
      <c r="J251" s="26" t="s">
        <v>6</v>
      </c>
      <c r="L251" s="55"/>
      <c r="M251" s="55"/>
      <c r="N251" s="55"/>
      <c r="O251" s="70"/>
      <c r="P251" s="55"/>
      <c r="Q251" s="55"/>
    </row>
    <row r="252" spans="1:17">
      <c r="A252" s="67"/>
      <c r="B252" s="67"/>
      <c r="C252" s="23" t="s">
        <v>161</v>
      </c>
      <c r="D252" s="23">
        <v>1</v>
      </c>
      <c r="E252" s="83" t="str">
        <f>(MID(str_cnvt(E251),SEARCH(":",str_cnvt(E251))+1,2)-1) &amp; ":" &amp; (MID(str_cnvt(E251),SEARCH(":",str_cnvt(E251))+1,2)-D252)</f>
        <v>7:7</v>
      </c>
      <c r="F252" s="23" t="s">
        <v>7</v>
      </c>
      <c r="G252" s="23" t="s">
        <v>172</v>
      </c>
      <c r="H252" s="26" t="s">
        <v>37</v>
      </c>
      <c r="I252" s="26" t="s">
        <v>36</v>
      </c>
      <c r="J252" s="26" t="s">
        <v>6</v>
      </c>
      <c r="L252" s="55"/>
      <c r="M252" s="55"/>
      <c r="N252" s="55"/>
      <c r="O252" s="70"/>
      <c r="P252" s="55"/>
      <c r="Q252" s="55"/>
    </row>
    <row r="253" spans="1:17">
      <c r="A253" s="67"/>
      <c r="B253" s="67"/>
      <c r="C253" s="23" t="s">
        <v>162</v>
      </c>
      <c r="D253" s="23">
        <v>6</v>
      </c>
      <c r="E253" s="83" t="str">
        <f>(MID(str_cnvt(E252),SEARCH(":",str_cnvt(E252))+1,2)-1) &amp; ":" &amp; (MID(str_cnvt(E252),SEARCH(":",str_cnvt(E252))+1,2)-D253)</f>
        <v>6:1</v>
      </c>
      <c r="F253" s="23" t="s">
        <v>54</v>
      </c>
      <c r="G253" s="23" t="s">
        <v>173</v>
      </c>
      <c r="H253" s="26" t="s">
        <v>37</v>
      </c>
      <c r="I253" s="26" t="s">
        <v>36</v>
      </c>
      <c r="J253" s="26" t="s">
        <v>6</v>
      </c>
      <c r="L253" s="55"/>
      <c r="M253" s="55"/>
      <c r="N253" s="55"/>
      <c r="O253" s="70"/>
      <c r="P253" s="55"/>
      <c r="Q253" s="55"/>
    </row>
    <row r="254" spans="1:17">
      <c r="A254" s="68"/>
      <c r="B254" s="68"/>
      <c r="C254" s="23" t="s">
        <v>163</v>
      </c>
      <c r="D254" s="23">
        <v>1</v>
      </c>
      <c r="E254" s="83" t="str">
        <f>(MID(str_cnvt(E253),SEARCH(":",str_cnvt(E253))+1,2)-1) &amp; ":" &amp; (MID(str_cnvt(E253),SEARCH(":",str_cnvt(E253))+1,2)-D254)</f>
        <v>0:0</v>
      </c>
      <c r="F254" s="23" t="s">
        <v>7</v>
      </c>
      <c r="G254" s="23" t="s">
        <v>174</v>
      </c>
      <c r="H254" s="26" t="s">
        <v>37</v>
      </c>
      <c r="I254" s="26" t="s">
        <v>36</v>
      </c>
      <c r="J254" s="26" t="s">
        <v>6</v>
      </c>
      <c r="K254" s="22"/>
      <c r="L254" s="64"/>
      <c r="M254" s="64"/>
      <c r="N254" s="64"/>
      <c r="O254" s="71"/>
      <c r="P254" s="64"/>
      <c r="Q254" s="64"/>
    </row>
    <row r="255" spans="1:17" ht="14.4" customHeight="1">
      <c r="A255" s="66" t="s">
        <v>220</v>
      </c>
      <c r="B255" s="66" t="s">
        <v>129</v>
      </c>
      <c r="C255" s="60" t="str">
        <f>bitConcat(F256:F261)</f>
        <v>32'b00000000000000100000000000000000</v>
      </c>
      <c r="D255" s="61"/>
      <c r="E255" s="61"/>
      <c r="F255" s="61"/>
      <c r="G255" s="61"/>
      <c r="H255" s="61"/>
      <c r="I255" s="61"/>
      <c r="J255" s="61"/>
      <c r="K255" s="62"/>
      <c r="L255" s="63" t="str">
        <f t="shared" ref="L255" si="39">DEC2HEX(_xlfn.BITLSHIFT(N255,7)+4*O255)</f>
        <v>3CC</v>
      </c>
      <c r="M255" s="63"/>
      <c r="N255" s="63">
        <v>7</v>
      </c>
      <c r="O255" s="69">
        <v>19</v>
      </c>
      <c r="P255" s="54" t="str">
        <f t="shared" ref="P255" si="40">DEC2HEX(_xlfn.BITLSHIFT(N255,5)+O255*4)</f>
        <v>12C</v>
      </c>
      <c r="Q255" s="54" t="str">
        <f>BIN2HEX(LEFT(RIGHT(C255,32),4))&amp;BIN2HEX(LEFT(RIGHT(C255,28),4))&amp;BIN2HEX(LEFT(RIGHT(C255,24),4))&amp;BIN2HEX(LEFT(RIGHT(C255,20),4))&amp;BIN2HEX(LEFT(RIGHT(C255,16),4))&amp;BIN2HEX(LEFT(RIGHT(C255,12),4))&amp;BIN2HEX(LEFT(RIGHT(C255,8),4))&amp;BIN2HEX(LEFT(RIGHT(C255,4),4))</f>
        <v>00020000</v>
      </c>
    </row>
    <row r="256" spans="1:17" ht="15">
      <c r="A256" s="67"/>
      <c r="B256" s="67"/>
      <c r="C256" s="23" t="s">
        <v>120</v>
      </c>
      <c r="D256" s="23">
        <v>14</v>
      </c>
      <c r="E256" s="85" t="str">
        <f>IF(D256&gt;1,(31)&amp;":"&amp;(31-D256+1),(31-D256+1)&amp;":"&amp;(31-D256+1))</f>
        <v>31:18</v>
      </c>
      <c r="F256" s="23" t="s">
        <v>145</v>
      </c>
      <c r="G256" s="23" t="s">
        <v>120</v>
      </c>
      <c r="H256" s="26" t="s">
        <v>37</v>
      </c>
      <c r="I256" s="26" t="s">
        <v>36</v>
      </c>
      <c r="J256" s="26" t="s">
        <v>6</v>
      </c>
      <c r="L256" s="55"/>
      <c r="M256" s="55"/>
      <c r="N256" s="55"/>
      <c r="O256" s="70"/>
      <c r="P256" s="55"/>
      <c r="Q256" s="55"/>
    </row>
    <row r="257" spans="1:17">
      <c r="A257" s="67"/>
      <c r="B257" s="67"/>
      <c r="C257" s="23" t="s">
        <v>159</v>
      </c>
      <c r="D257" s="23">
        <v>3</v>
      </c>
      <c r="E257" s="83" t="str">
        <f>(MID(str_cnvt(E256),SEARCH(":",str_cnvt(E256))+1,2)-1) &amp; ":" &amp; (MID(str_cnvt(E256),SEARCH(":",str_cnvt(E256))+1,2)-D257)</f>
        <v>17:15</v>
      </c>
      <c r="F257" s="23" t="s">
        <v>156</v>
      </c>
      <c r="G257" s="23" t="s">
        <v>170</v>
      </c>
      <c r="H257" s="26" t="s">
        <v>37</v>
      </c>
      <c r="I257" s="26" t="s">
        <v>36</v>
      </c>
      <c r="J257" s="26" t="s">
        <v>6</v>
      </c>
      <c r="L257" s="55"/>
      <c r="M257" s="55"/>
      <c r="N257" s="55"/>
      <c r="O257" s="70"/>
      <c r="P257" s="55"/>
      <c r="Q257" s="55"/>
    </row>
    <row r="258" spans="1:17">
      <c r="A258" s="67"/>
      <c r="B258" s="67"/>
      <c r="C258" s="23" t="s">
        <v>160</v>
      </c>
      <c r="D258" s="23">
        <v>7</v>
      </c>
      <c r="E258" s="83" t="str">
        <f>(MID(str_cnvt(E257),SEARCH(":",str_cnvt(E257))+1,2)-1) &amp; ":" &amp; (MID(str_cnvt(E257),SEARCH(":",str_cnvt(E257))+1,2)-D258)</f>
        <v>14:8</v>
      </c>
      <c r="F258" s="23" t="s">
        <v>50</v>
      </c>
      <c r="G258" s="23" t="s">
        <v>171</v>
      </c>
      <c r="H258" s="26" t="s">
        <v>37</v>
      </c>
      <c r="I258" s="26" t="s">
        <v>36</v>
      </c>
      <c r="J258" s="26" t="s">
        <v>6</v>
      </c>
      <c r="L258" s="55"/>
      <c r="M258" s="55"/>
      <c r="N258" s="55"/>
      <c r="O258" s="70"/>
      <c r="P258" s="55"/>
      <c r="Q258" s="55"/>
    </row>
    <row r="259" spans="1:17">
      <c r="A259" s="67"/>
      <c r="B259" s="67"/>
      <c r="C259" s="23" t="s">
        <v>161</v>
      </c>
      <c r="D259" s="23">
        <v>1</v>
      </c>
      <c r="E259" s="83" t="str">
        <f>(MID(str_cnvt(E258),SEARCH(":",str_cnvt(E258))+1,2)-1) &amp; ":" &amp; (MID(str_cnvt(E258),SEARCH(":",str_cnvt(E258))+1,2)-D259)</f>
        <v>7:7</v>
      </c>
      <c r="F259" s="23" t="s">
        <v>7</v>
      </c>
      <c r="G259" s="23" t="s">
        <v>172</v>
      </c>
      <c r="H259" s="26" t="s">
        <v>37</v>
      </c>
      <c r="I259" s="26" t="s">
        <v>36</v>
      </c>
      <c r="J259" s="26" t="s">
        <v>6</v>
      </c>
      <c r="L259" s="55"/>
      <c r="M259" s="55"/>
      <c r="N259" s="55"/>
      <c r="O259" s="70"/>
      <c r="P259" s="55"/>
      <c r="Q259" s="55"/>
    </row>
    <row r="260" spans="1:17">
      <c r="A260" s="67"/>
      <c r="B260" s="67"/>
      <c r="C260" s="23" t="s">
        <v>162</v>
      </c>
      <c r="D260" s="23">
        <v>6</v>
      </c>
      <c r="E260" s="83" t="str">
        <f>(MID(str_cnvt(E259),SEARCH(":",str_cnvt(E259))+1,2)-1) &amp; ":" &amp; (MID(str_cnvt(E259),SEARCH(":",str_cnvt(E259))+1,2)-D260)</f>
        <v>6:1</v>
      </c>
      <c r="F260" s="23" t="s">
        <v>54</v>
      </c>
      <c r="G260" s="23" t="s">
        <v>173</v>
      </c>
      <c r="H260" s="26" t="s">
        <v>37</v>
      </c>
      <c r="I260" s="26" t="s">
        <v>36</v>
      </c>
      <c r="J260" s="26" t="s">
        <v>6</v>
      </c>
      <c r="L260" s="55"/>
      <c r="M260" s="55"/>
      <c r="N260" s="55"/>
      <c r="O260" s="70"/>
      <c r="P260" s="55"/>
      <c r="Q260" s="55"/>
    </row>
    <row r="261" spans="1:17">
      <c r="A261" s="68"/>
      <c r="B261" s="68"/>
      <c r="C261" s="23" t="s">
        <v>163</v>
      </c>
      <c r="D261" s="23">
        <v>1</v>
      </c>
      <c r="E261" s="83" t="str">
        <f>(MID(str_cnvt(E260),SEARCH(":",str_cnvt(E260))+1,2)-1) &amp; ":" &amp; (MID(str_cnvt(E260),SEARCH(":",str_cnvt(E260))+1,2)-D261)</f>
        <v>0:0</v>
      </c>
      <c r="F261" s="23" t="s">
        <v>7</v>
      </c>
      <c r="G261" s="23" t="s">
        <v>174</v>
      </c>
      <c r="H261" s="26" t="s">
        <v>37</v>
      </c>
      <c r="I261" s="26" t="s">
        <v>36</v>
      </c>
      <c r="J261" s="26" t="s">
        <v>6</v>
      </c>
      <c r="K261" s="22"/>
      <c r="L261" s="64"/>
      <c r="M261" s="64"/>
      <c r="N261" s="64"/>
      <c r="O261" s="71"/>
      <c r="P261" s="64"/>
      <c r="Q261" s="64"/>
    </row>
    <row r="262" spans="1:17" ht="14.4" customHeight="1">
      <c r="A262" s="66" t="s">
        <v>221</v>
      </c>
      <c r="B262" s="66">
        <v>50</v>
      </c>
      <c r="C262" s="60" t="str">
        <f>bitConcat(F263:F268)</f>
        <v>32'b00000000000000100000000000000000</v>
      </c>
      <c r="D262" s="61"/>
      <c r="E262" s="61"/>
      <c r="F262" s="61"/>
      <c r="G262" s="61"/>
      <c r="H262" s="61"/>
      <c r="I262" s="61"/>
      <c r="J262" s="61"/>
      <c r="K262" s="62"/>
      <c r="L262" s="63" t="str">
        <f t="shared" ref="L262" si="41">DEC2HEX(_xlfn.BITLSHIFT(N262,7)+4*O262)</f>
        <v>3D0</v>
      </c>
      <c r="M262" s="63"/>
      <c r="N262" s="63">
        <v>7</v>
      </c>
      <c r="O262" s="69">
        <v>20</v>
      </c>
      <c r="P262" s="54" t="str">
        <f t="shared" ref="P262" si="42">DEC2HEX(_xlfn.BITLSHIFT(N262,5)+O262*4)</f>
        <v>130</v>
      </c>
      <c r="Q262" s="54" t="str">
        <f>BIN2HEX(LEFT(RIGHT(C262,32),4))&amp;BIN2HEX(LEFT(RIGHT(C262,28),4))&amp;BIN2HEX(LEFT(RIGHT(C262,24),4))&amp;BIN2HEX(LEFT(RIGHT(C262,20),4))&amp;BIN2HEX(LEFT(RIGHT(C262,16),4))&amp;BIN2HEX(LEFT(RIGHT(C262,12),4))&amp;BIN2HEX(LEFT(RIGHT(C262,8),4))&amp;BIN2HEX(LEFT(RIGHT(C262,4),4))</f>
        <v>00020000</v>
      </c>
    </row>
    <row r="263" spans="1:17" ht="15">
      <c r="A263" s="67"/>
      <c r="B263" s="67"/>
      <c r="C263" s="23" t="s">
        <v>120</v>
      </c>
      <c r="D263" s="23">
        <v>14</v>
      </c>
      <c r="E263" s="85" t="str">
        <f>IF(D263&gt;1,(31)&amp;":"&amp;(31-D263+1),(31-D263+1)&amp;":"&amp;(31-D263+1))</f>
        <v>31:18</v>
      </c>
      <c r="F263" s="23" t="s">
        <v>145</v>
      </c>
      <c r="G263" s="23" t="s">
        <v>120</v>
      </c>
      <c r="H263" s="26" t="s">
        <v>37</v>
      </c>
      <c r="I263" s="26" t="s">
        <v>36</v>
      </c>
      <c r="J263" s="26" t="s">
        <v>6</v>
      </c>
      <c r="L263" s="55"/>
      <c r="M263" s="55"/>
      <c r="N263" s="55"/>
      <c r="O263" s="70"/>
      <c r="P263" s="55"/>
      <c r="Q263" s="55"/>
    </row>
    <row r="264" spans="1:17">
      <c r="A264" s="67"/>
      <c r="B264" s="67"/>
      <c r="C264" s="23" t="s">
        <v>159</v>
      </c>
      <c r="D264" s="23">
        <v>3</v>
      </c>
      <c r="E264" s="83" t="str">
        <f>(MID(str_cnvt(E263),SEARCH(":",str_cnvt(E263))+1,2)-1) &amp; ":" &amp; (MID(str_cnvt(E263),SEARCH(":",str_cnvt(E263))+1,2)-D264)</f>
        <v>17:15</v>
      </c>
      <c r="F264" s="23" t="s">
        <v>156</v>
      </c>
      <c r="G264" s="23" t="s">
        <v>170</v>
      </c>
      <c r="H264" s="26" t="s">
        <v>37</v>
      </c>
      <c r="I264" s="26" t="s">
        <v>36</v>
      </c>
      <c r="J264" s="26" t="s">
        <v>6</v>
      </c>
      <c r="L264" s="55"/>
      <c r="M264" s="55"/>
      <c r="N264" s="55"/>
      <c r="O264" s="70"/>
      <c r="P264" s="55"/>
      <c r="Q264" s="55"/>
    </row>
    <row r="265" spans="1:17">
      <c r="A265" s="67"/>
      <c r="B265" s="67"/>
      <c r="C265" s="23" t="s">
        <v>160</v>
      </c>
      <c r="D265" s="23">
        <v>7</v>
      </c>
      <c r="E265" s="83" t="str">
        <f>(MID(str_cnvt(E264),SEARCH(":",str_cnvt(E264))+1,2)-1) &amp; ":" &amp; (MID(str_cnvt(E264),SEARCH(":",str_cnvt(E264))+1,2)-D265)</f>
        <v>14:8</v>
      </c>
      <c r="F265" s="23" t="s">
        <v>50</v>
      </c>
      <c r="G265" s="23" t="s">
        <v>171</v>
      </c>
      <c r="H265" s="26" t="s">
        <v>37</v>
      </c>
      <c r="I265" s="26" t="s">
        <v>36</v>
      </c>
      <c r="J265" s="26" t="s">
        <v>6</v>
      </c>
      <c r="L265" s="55"/>
      <c r="M265" s="55"/>
      <c r="N265" s="55"/>
      <c r="O265" s="70"/>
      <c r="P265" s="55"/>
      <c r="Q265" s="55"/>
    </row>
    <row r="266" spans="1:17">
      <c r="A266" s="67"/>
      <c r="B266" s="67"/>
      <c r="C266" s="23" t="s">
        <v>161</v>
      </c>
      <c r="D266" s="23">
        <v>1</v>
      </c>
      <c r="E266" s="83" t="str">
        <f>(MID(str_cnvt(E265),SEARCH(":",str_cnvt(E265))+1,2)-1) &amp; ":" &amp; (MID(str_cnvt(E265),SEARCH(":",str_cnvt(E265))+1,2)-D266)</f>
        <v>7:7</v>
      </c>
      <c r="F266" s="23" t="s">
        <v>7</v>
      </c>
      <c r="G266" s="23" t="s">
        <v>172</v>
      </c>
      <c r="H266" s="26" t="s">
        <v>37</v>
      </c>
      <c r="I266" s="26" t="s">
        <v>36</v>
      </c>
      <c r="J266" s="26" t="s">
        <v>6</v>
      </c>
      <c r="L266" s="55"/>
      <c r="M266" s="55"/>
      <c r="N266" s="55"/>
      <c r="O266" s="70"/>
      <c r="P266" s="55"/>
      <c r="Q266" s="55"/>
    </row>
    <row r="267" spans="1:17">
      <c r="A267" s="67"/>
      <c r="B267" s="67"/>
      <c r="C267" s="23" t="s">
        <v>162</v>
      </c>
      <c r="D267" s="23">
        <v>6</v>
      </c>
      <c r="E267" s="83" t="str">
        <f>(MID(str_cnvt(E266),SEARCH(":",str_cnvt(E266))+1,2)-1) &amp; ":" &amp; (MID(str_cnvt(E266),SEARCH(":",str_cnvt(E266))+1,2)-D267)</f>
        <v>6:1</v>
      </c>
      <c r="F267" s="23" t="s">
        <v>54</v>
      </c>
      <c r="G267" s="23" t="s">
        <v>173</v>
      </c>
      <c r="H267" s="26" t="s">
        <v>37</v>
      </c>
      <c r="I267" s="26" t="s">
        <v>36</v>
      </c>
      <c r="J267" s="26" t="s">
        <v>6</v>
      </c>
      <c r="L267" s="55"/>
      <c r="M267" s="55"/>
      <c r="N267" s="55"/>
      <c r="O267" s="70"/>
      <c r="P267" s="55"/>
      <c r="Q267" s="55"/>
    </row>
    <row r="268" spans="1:17">
      <c r="A268" s="68"/>
      <c r="B268" s="68"/>
      <c r="C268" s="23" t="s">
        <v>163</v>
      </c>
      <c r="D268" s="23">
        <v>1</v>
      </c>
      <c r="E268" s="83" t="str">
        <f>(MID(str_cnvt(E267),SEARCH(":",str_cnvt(E267))+1,2)-1) &amp; ":" &amp; (MID(str_cnvt(E267),SEARCH(":",str_cnvt(E267))+1,2)-D268)</f>
        <v>0:0</v>
      </c>
      <c r="F268" s="23" t="s">
        <v>7</v>
      </c>
      <c r="G268" s="23" t="s">
        <v>174</v>
      </c>
      <c r="H268" s="26" t="s">
        <v>37</v>
      </c>
      <c r="I268" s="26" t="s">
        <v>36</v>
      </c>
      <c r="J268" s="26" t="s">
        <v>6</v>
      </c>
      <c r="K268" s="22"/>
      <c r="L268" s="64"/>
      <c r="M268" s="64"/>
      <c r="N268" s="64"/>
      <c r="O268" s="71"/>
      <c r="P268" s="64"/>
      <c r="Q268" s="64"/>
    </row>
    <row r="269" spans="1:17" ht="14.4" customHeight="1">
      <c r="A269" s="66" t="s">
        <v>222</v>
      </c>
      <c r="B269" s="66">
        <v>54</v>
      </c>
      <c r="C269" s="60" t="str">
        <f>bitConcat(F270:F275)</f>
        <v>32'b00000000000000100000000000000000</v>
      </c>
      <c r="D269" s="61"/>
      <c r="E269" s="61"/>
      <c r="F269" s="61"/>
      <c r="G269" s="61"/>
      <c r="H269" s="61"/>
      <c r="I269" s="61"/>
      <c r="J269" s="61"/>
      <c r="K269" s="62"/>
      <c r="L269" s="63" t="str">
        <f t="shared" ref="L269" si="43">DEC2HEX(_xlfn.BITLSHIFT(N269,7)+4*O269)</f>
        <v>3D4</v>
      </c>
      <c r="M269" s="63"/>
      <c r="N269" s="63">
        <v>7</v>
      </c>
      <c r="O269" s="69">
        <v>21</v>
      </c>
      <c r="P269" s="54" t="str">
        <f t="shared" ref="P269" si="44">DEC2HEX(_xlfn.BITLSHIFT(N269,5)+O269*4)</f>
        <v>134</v>
      </c>
      <c r="Q269" s="54" t="str">
        <f>BIN2HEX(LEFT(RIGHT(C269,32),4))&amp;BIN2HEX(LEFT(RIGHT(C269,28),4))&amp;BIN2HEX(LEFT(RIGHT(C269,24),4))&amp;BIN2HEX(LEFT(RIGHT(C269,20),4))&amp;BIN2HEX(LEFT(RIGHT(C269,16),4))&amp;BIN2HEX(LEFT(RIGHT(C269,12),4))&amp;BIN2HEX(LEFT(RIGHT(C269,8),4))&amp;BIN2HEX(LEFT(RIGHT(C269,4),4))</f>
        <v>00020000</v>
      </c>
    </row>
    <row r="270" spans="1:17" ht="15">
      <c r="A270" s="67"/>
      <c r="B270" s="67"/>
      <c r="C270" s="23" t="s">
        <v>120</v>
      </c>
      <c r="D270" s="23">
        <v>14</v>
      </c>
      <c r="E270" s="85" t="str">
        <f>IF(D270&gt;1,(31)&amp;":"&amp;(31-D270+1),(31-D270+1)&amp;":"&amp;(31-D270+1))</f>
        <v>31:18</v>
      </c>
      <c r="F270" s="23" t="s">
        <v>145</v>
      </c>
      <c r="G270" s="23" t="s">
        <v>120</v>
      </c>
      <c r="H270" s="26" t="s">
        <v>37</v>
      </c>
      <c r="I270" s="26" t="s">
        <v>36</v>
      </c>
      <c r="J270" s="26" t="s">
        <v>6</v>
      </c>
      <c r="L270" s="55"/>
      <c r="M270" s="55"/>
      <c r="N270" s="55"/>
      <c r="O270" s="70"/>
      <c r="P270" s="55"/>
      <c r="Q270" s="55"/>
    </row>
    <row r="271" spans="1:17">
      <c r="A271" s="67"/>
      <c r="B271" s="67"/>
      <c r="C271" s="23" t="s">
        <v>159</v>
      </c>
      <c r="D271" s="23">
        <v>3</v>
      </c>
      <c r="E271" s="83" t="str">
        <f>(MID(str_cnvt(E270),SEARCH(":",str_cnvt(E270))+1,2)-1) &amp; ":" &amp; (MID(str_cnvt(E270),SEARCH(":",str_cnvt(E270))+1,2)-D271)</f>
        <v>17:15</v>
      </c>
      <c r="F271" s="23" t="s">
        <v>156</v>
      </c>
      <c r="G271" s="23" t="s">
        <v>170</v>
      </c>
      <c r="H271" s="26" t="s">
        <v>37</v>
      </c>
      <c r="I271" s="26" t="s">
        <v>36</v>
      </c>
      <c r="J271" s="26" t="s">
        <v>6</v>
      </c>
      <c r="L271" s="55"/>
      <c r="M271" s="55"/>
      <c r="N271" s="55"/>
      <c r="O271" s="70"/>
      <c r="P271" s="55"/>
      <c r="Q271" s="55"/>
    </row>
    <row r="272" spans="1:17">
      <c r="A272" s="67"/>
      <c r="B272" s="67"/>
      <c r="C272" s="23" t="s">
        <v>160</v>
      </c>
      <c r="D272" s="23">
        <v>7</v>
      </c>
      <c r="E272" s="83" t="str">
        <f>(MID(str_cnvt(E271),SEARCH(":",str_cnvt(E271))+1,2)-1) &amp; ":" &amp; (MID(str_cnvt(E271),SEARCH(":",str_cnvt(E271))+1,2)-D272)</f>
        <v>14:8</v>
      </c>
      <c r="F272" s="23" t="s">
        <v>50</v>
      </c>
      <c r="G272" s="23" t="s">
        <v>171</v>
      </c>
      <c r="H272" s="26" t="s">
        <v>37</v>
      </c>
      <c r="I272" s="26" t="s">
        <v>36</v>
      </c>
      <c r="J272" s="26" t="s">
        <v>6</v>
      </c>
      <c r="L272" s="55"/>
      <c r="M272" s="55"/>
      <c r="N272" s="55"/>
      <c r="O272" s="70"/>
      <c r="P272" s="55"/>
      <c r="Q272" s="55"/>
    </row>
    <row r="273" spans="1:17">
      <c r="A273" s="67"/>
      <c r="B273" s="67"/>
      <c r="C273" s="23" t="s">
        <v>161</v>
      </c>
      <c r="D273" s="23">
        <v>1</v>
      </c>
      <c r="E273" s="83" t="str">
        <f>(MID(str_cnvt(E272),SEARCH(":",str_cnvt(E272))+1,2)-1) &amp; ":" &amp; (MID(str_cnvt(E272),SEARCH(":",str_cnvt(E272))+1,2)-D273)</f>
        <v>7:7</v>
      </c>
      <c r="F273" s="23" t="s">
        <v>7</v>
      </c>
      <c r="G273" s="23" t="s">
        <v>172</v>
      </c>
      <c r="H273" s="26" t="s">
        <v>37</v>
      </c>
      <c r="I273" s="26" t="s">
        <v>36</v>
      </c>
      <c r="J273" s="26" t="s">
        <v>6</v>
      </c>
      <c r="L273" s="55"/>
      <c r="M273" s="55"/>
      <c r="N273" s="55"/>
      <c r="O273" s="70"/>
      <c r="P273" s="55"/>
      <c r="Q273" s="55"/>
    </row>
    <row r="274" spans="1:17">
      <c r="A274" s="67"/>
      <c r="B274" s="67"/>
      <c r="C274" s="23" t="s">
        <v>162</v>
      </c>
      <c r="D274" s="23">
        <v>6</v>
      </c>
      <c r="E274" s="83" t="str">
        <f>(MID(str_cnvt(E273),SEARCH(":",str_cnvt(E273))+1,2)-1) &amp; ":" &amp; (MID(str_cnvt(E273),SEARCH(":",str_cnvt(E273))+1,2)-D274)</f>
        <v>6:1</v>
      </c>
      <c r="F274" s="23" t="s">
        <v>54</v>
      </c>
      <c r="G274" s="23" t="s">
        <v>173</v>
      </c>
      <c r="H274" s="26" t="s">
        <v>37</v>
      </c>
      <c r="I274" s="26" t="s">
        <v>36</v>
      </c>
      <c r="J274" s="26" t="s">
        <v>6</v>
      </c>
      <c r="L274" s="55"/>
      <c r="M274" s="55"/>
      <c r="N274" s="55"/>
      <c r="O274" s="70"/>
      <c r="P274" s="55"/>
      <c r="Q274" s="55"/>
    </row>
    <row r="275" spans="1:17">
      <c r="A275" s="68"/>
      <c r="B275" s="68"/>
      <c r="C275" s="23" t="s">
        <v>163</v>
      </c>
      <c r="D275" s="23">
        <v>1</v>
      </c>
      <c r="E275" s="83" t="str">
        <f>(MID(str_cnvt(E274),SEARCH(":",str_cnvt(E274))+1,2)-1) &amp; ":" &amp; (MID(str_cnvt(E274),SEARCH(":",str_cnvt(E274))+1,2)-D275)</f>
        <v>0:0</v>
      </c>
      <c r="F275" s="23" t="s">
        <v>7</v>
      </c>
      <c r="G275" s="23" t="s">
        <v>174</v>
      </c>
      <c r="H275" s="26" t="s">
        <v>37</v>
      </c>
      <c r="I275" s="26" t="s">
        <v>36</v>
      </c>
      <c r="J275" s="26" t="s">
        <v>6</v>
      </c>
      <c r="K275" s="22"/>
      <c r="L275" s="64"/>
      <c r="M275" s="64"/>
      <c r="N275" s="64"/>
      <c r="O275" s="71"/>
      <c r="P275" s="64"/>
      <c r="Q275" s="64"/>
    </row>
    <row r="276" spans="1:17" ht="14.4" customHeight="1">
      <c r="A276" s="66" t="s">
        <v>223</v>
      </c>
      <c r="B276" s="66">
        <v>58</v>
      </c>
      <c r="C276" s="60" t="str">
        <f>bitConcat(F277:F282)</f>
        <v>32'b00000000000000100000000000000000</v>
      </c>
      <c r="D276" s="61"/>
      <c r="E276" s="61"/>
      <c r="F276" s="61"/>
      <c r="G276" s="61"/>
      <c r="H276" s="61"/>
      <c r="I276" s="61"/>
      <c r="J276" s="61"/>
      <c r="K276" s="62"/>
      <c r="L276" s="63" t="str">
        <f t="shared" ref="L276" si="45">DEC2HEX(_xlfn.BITLSHIFT(N276,7)+4*O276)</f>
        <v>3D8</v>
      </c>
      <c r="M276" s="63"/>
      <c r="N276" s="63">
        <v>7</v>
      </c>
      <c r="O276" s="69">
        <v>22</v>
      </c>
      <c r="P276" s="54" t="str">
        <f t="shared" ref="P276" si="46">DEC2HEX(_xlfn.BITLSHIFT(N276,5)+O276*4)</f>
        <v>138</v>
      </c>
      <c r="Q276" s="54" t="str">
        <f>BIN2HEX(LEFT(RIGHT(C276,32),4))&amp;BIN2HEX(LEFT(RIGHT(C276,28),4))&amp;BIN2HEX(LEFT(RIGHT(C276,24),4))&amp;BIN2HEX(LEFT(RIGHT(C276,20),4))&amp;BIN2HEX(LEFT(RIGHT(C276,16),4))&amp;BIN2HEX(LEFT(RIGHT(C276,12),4))&amp;BIN2HEX(LEFT(RIGHT(C276,8),4))&amp;BIN2HEX(LEFT(RIGHT(C276,4),4))</f>
        <v>00020000</v>
      </c>
    </row>
    <row r="277" spans="1:17" ht="15">
      <c r="A277" s="67"/>
      <c r="B277" s="67"/>
      <c r="C277" s="23" t="s">
        <v>120</v>
      </c>
      <c r="D277" s="23">
        <v>14</v>
      </c>
      <c r="E277" s="85" t="str">
        <f>IF(D277&gt;1,(31)&amp;":"&amp;(31-D277+1),(31-D277+1)&amp;":"&amp;(31-D277+1))</f>
        <v>31:18</v>
      </c>
      <c r="F277" s="23" t="s">
        <v>145</v>
      </c>
      <c r="G277" s="23" t="s">
        <v>120</v>
      </c>
      <c r="H277" s="26" t="s">
        <v>37</v>
      </c>
      <c r="I277" s="26" t="s">
        <v>36</v>
      </c>
      <c r="J277" s="26" t="s">
        <v>6</v>
      </c>
      <c r="L277" s="55"/>
      <c r="M277" s="55"/>
      <c r="N277" s="55"/>
      <c r="O277" s="70"/>
      <c r="P277" s="55"/>
      <c r="Q277" s="55"/>
    </row>
    <row r="278" spans="1:17">
      <c r="A278" s="67"/>
      <c r="B278" s="67"/>
      <c r="C278" s="23" t="s">
        <v>159</v>
      </c>
      <c r="D278" s="23">
        <v>3</v>
      </c>
      <c r="E278" s="83" t="str">
        <f>(MID(str_cnvt(E277),SEARCH(":",str_cnvt(E277))+1,2)-1) &amp; ":" &amp; (MID(str_cnvt(E277),SEARCH(":",str_cnvt(E277))+1,2)-D278)</f>
        <v>17:15</v>
      </c>
      <c r="F278" s="23" t="s">
        <v>156</v>
      </c>
      <c r="G278" s="23" t="s">
        <v>170</v>
      </c>
      <c r="H278" s="26" t="s">
        <v>37</v>
      </c>
      <c r="I278" s="26" t="s">
        <v>36</v>
      </c>
      <c r="J278" s="26" t="s">
        <v>6</v>
      </c>
      <c r="L278" s="55"/>
      <c r="M278" s="55"/>
      <c r="N278" s="55"/>
      <c r="O278" s="70"/>
      <c r="P278" s="55"/>
      <c r="Q278" s="55"/>
    </row>
    <row r="279" spans="1:17">
      <c r="A279" s="67"/>
      <c r="B279" s="67"/>
      <c r="C279" s="23" t="s">
        <v>160</v>
      </c>
      <c r="D279" s="23">
        <v>7</v>
      </c>
      <c r="E279" s="83" t="str">
        <f>(MID(str_cnvt(E278),SEARCH(":",str_cnvt(E278))+1,2)-1) &amp; ":" &amp; (MID(str_cnvt(E278),SEARCH(":",str_cnvt(E278))+1,2)-D279)</f>
        <v>14:8</v>
      </c>
      <c r="F279" s="23" t="s">
        <v>50</v>
      </c>
      <c r="G279" s="23" t="s">
        <v>171</v>
      </c>
      <c r="H279" s="26" t="s">
        <v>37</v>
      </c>
      <c r="I279" s="26" t="s">
        <v>36</v>
      </c>
      <c r="J279" s="26" t="s">
        <v>6</v>
      </c>
      <c r="L279" s="55"/>
      <c r="M279" s="55"/>
      <c r="N279" s="55"/>
      <c r="O279" s="70"/>
      <c r="P279" s="55"/>
      <c r="Q279" s="55"/>
    </row>
    <row r="280" spans="1:17">
      <c r="A280" s="67"/>
      <c r="B280" s="67"/>
      <c r="C280" s="23" t="s">
        <v>161</v>
      </c>
      <c r="D280" s="23">
        <v>1</v>
      </c>
      <c r="E280" s="83" t="str">
        <f>(MID(str_cnvt(E279),SEARCH(":",str_cnvt(E279))+1,2)-1) &amp; ":" &amp; (MID(str_cnvt(E279),SEARCH(":",str_cnvt(E279))+1,2)-D280)</f>
        <v>7:7</v>
      </c>
      <c r="F280" s="23" t="s">
        <v>7</v>
      </c>
      <c r="G280" s="23" t="s">
        <v>172</v>
      </c>
      <c r="H280" s="26" t="s">
        <v>37</v>
      </c>
      <c r="I280" s="26" t="s">
        <v>36</v>
      </c>
      <c r="J280" s="26" t="s">
        <v>6</v>
      </c>
      <c r="L280" s="55"/>
      <c r="M280" s="55"/>
      <c r="N280" s="55"/>
      <c r="O280" s="70"/>
      <c r="P280" s="55"/>
      <c r="Q280" s="55"/>
    </row>
    <row r="281" spans="1:17">
      <c r="A281" s="67"/>
      <c r="B281" s="67"/>
      <c r="C281" s="23" t="s">
        <v>162</v>
      </c>
      <c r="D281" s="23">
        <v>6</v>
      </c>
      <c r="E281" s="83" t="str">
        <f>(MID(str_cnvt(E280),SEARCH(":",str_cnvt(E280))+1,2)-1) &amp; ":" &amp; (MID(str_cnvt(E280),SEARCH(":",str_cnvt(E280))+1,2)-D281)</f>
        <v>6:1</v>
      </c>
      <c r="F281" s="23" t="s">
        <v>54</v>
      </c>
      <c r="G281" s="23" t="s">
        <v>173</v>
      </c>
      <c r="H281" s="26" t="s">
        <v>37</v>
      </c>
      <c r="I281" s="26" t="s">
        <v>36</v>
      </c>
      <c r="J281" s="26" t="s">
        <v>6</v>
      </c>
      <c r="L281" s="55"/>
      <c r="M281" s="55"/>
      <c r="N281" s="55"/>
      <c r="O281" s="70"/>
      <c r="P281" s="55"/>
      <c r="Q281" s="55"/>
    </row>
    <row r="282" spans="1:17">
      <c r="A282" s="68"/>
      <c r="B282" s="68"/>
      <c r="C282" s="23" t="s">
        <v>163</v>
      </c>
      <c r="D282" s="23">
        <v>1</v>
      </c>
      <c r="E282" s="83" t="str">
        <f>(MID(str_cnvt(E281),SEARCH(":",str_cnvt(E281))+1,2)-1) &amp; ":" &amp; (MID(str_cnvt(E281),SEARCH(":",str_cnvt(E281))+1,2)-D282)</f>
        <v>0:0</v>
      </c>
      <c r="F282" s="23" t="s">
        <v>7</v>
      </c>
      <c r="G282" s="23" t="s">
        <v>174</v>
      </c>
      <c r="H282" s="26" t="s">
        <v>37</v>
      </c>
      <c r="I282" s="26" t="s">
        <v>36</v>
      </c>
      <c r="J282" s="26" t="s">
        <v>6</v>
      </c>
      <c r="K282" s="22"/>
      <c r="L282" s="64"/>
      <c r="M282" s="64"/>
      <c r="N282" s="64"/>
      <c r="O282" s="71"/>
      <c r="P282" s="64"/>
      <c r="Q282" s="64"/>
    </row>
    <row r="283" spans="1:17" ht="14.4" customHeight="1">
      <c r="A283" s="66" t="s">
        <v>224</v>
      </c>
      <c r="B283" s="66" t="s">
        <v>164</v>
      </c>
      <c r="C283" s="60" t="str">
        <f>bitConcat(F284:F289)</f>
        <v>32'b00000000000000100000000000000000</v>
      </c>
      <c r="D283" s="61"/>
      <c r="E283" s="61"/>
      <c r="F283" s="61"/>
      <c r="G283" s="61"/>
      <c r="H283" s="61"/>
      <c r="I283" s="61"/>
      <c r="J283" s="61"/>
      <c r="K283" s="62"/>
      <c r="L283" s="63" t="str">
        <f t="shared" ref="L283" si="47">DEC2HEX(_xlfn.BITLSHIFT(N283,7)+4*O283)</f>
        <v>3DC</v>
      </c>
      <c r="M283" s="63"/>
      <c r="N283" s="63">
        <v>7</v>
      </c>
      <c r="O283" s="69">
        <v>23</v>
      </c>
      <c r="P283" s="54" t="str">
        <f t="shared" ref="P283" si="48">DEC2HEX(_xlfn.BITLSHIFT(N283,5)+O283*4)</f>
        <v>13C</v>
      </c>
      <c r="Q283" s="54" t="str">
        <f>BIN2HEX(LEFT(RIGHT(C283,32),4))&amp;BIN2HEX(LEFT(RIGHT(C283,28),4))&amp;BIN2HEX(LEFT(RIGHT(C283,24),4))&amp;BIN2HEX(LEFT(RIGHT(C283,20),4))&amp;BIN2HEX(LEFT(RIGHT(C283,16),4))&amp;BIN2HEX(LEFT(RIGHT(C283,12),4))&amp;BIN2HEX(LEFT(RIGHT(C283,8),4))&amp;BIN2HEX(LEFT(RIGHT(C283,4),4))</f>
        <v>00020000</v>
      </c>
    </row>
    <row r="284" spans="1:17" ht="15">
      <c r="A284" s="67"/>
      <c r="B284" s="67"/>
      <c r="C284" s="23" t="s">
        <v>120</v>
      </c>
      <c r="D284" s="23">
        <v>14</v>
      </c>
      <c r="E284" s="85" t="str">
        <f>IF(D284&gt;1,(31)&amp;":"&amp;(31-D284+1),(31-D284+1)&amp;":"&amp;(31-D284+1))</f>
        <v>31:18</v>
      </c>
      <c r="F284" s="23" t="s">
        <v>145</v>
      </c>
      <c r="G284" s="23" t="s">
        <v>120</v>
      </c>
      <c r="H284" s="26" t="s">
        <v>37</v>
      </c>
      <c r="I284" s="26" t="s">
        <v>36</v>
      </c>
      <c r="J284" s="26" t="s">
        <v>6</v>
      </c>
      <c r="L284" s="55"/>
      <c r="M284" s="55"/>
      <c r="N284" s="55"/>
      <c r="O284" s="70"/>
      <c r="P284" s="55"/>
      <c r="Q284" s="55"/>
    </row>
    <row r="285" spans="1:17">
      <c r="A285" s="67"/>
      <c r="B285" s="67"/>
      <c r="C285" s="23" t="s">
        <v>159</v>
      </c>
      <c r="D285" s="23">
        <v>3</v>
      </c>
      <c r="E285" s="83" t="str">
        <f>(MID(str_cnvt(E284),SEARCH(":",str_cnvt(E284))+1,2)-1) &amp; ":" &amp; (MID(str_cnvt(E284),SEARCH(":",str_cnvt(E284))+1,2)-D285)</f>
        <v>17:15</v>
      </c>
      <c r="F285" s="23" t="s">
        <v>156</v>
      </c>
      <c r="G285" s="23" t="s">
        <v>170</v>
      </c>
      <c r="H285" s="26" t="s">
        <v>37</v>
      </c>
      <c r="I285" s="26" t="s">
        <v>36</v>
      </c>
      <c r="J285" s="26" t="s">
        <v>6</v>
      </c>
      <c r="L285" s="55"/>
      <c r="M285" s="55"/>
      <c r="N285" s="55"/>
      <c r="O285" s="70"/>
      <c r="P285" s="55"/>
      <c r="Q285" s="55"/>
    </row>
    <row r="286" spans="1:17">
      <c r="A286" s="67"/>
      <c r="B286" s="67"/>
      <c r="C286" s="23" t="s">
        <v>160</v>
      </c>
      <c r="D286" s="23">
        <v>7</v>
      </c>
      <c r="E286" s="83" t="str">
        <f>(MID(str_cnvt(E285),SEARCH(":",str_cnvt(E285))+1,2)-1) &amp; ":" &amp; (MID(str_cnvt(E285),SEARCH(":",str_cnvt(E285))+1,2)-D286)</f>
        <v>14:8</v>
      </c>
      <c r="F286" s="23" t="s">
        <v>50</v>
      </c>
      <c r="G286" s="23" t="s">
        <v>171</v>
      </c>
      <c r="H286" s="26" t="s">
        <v>37</v>
      </c>
      <c r="I286" s="26" t="s">
        <v>36</v>
      </c>
      <c r="J286" s="26" t="s">
        <v>6</v>
      </c>
      <c r="L286" s="55"/>
      <c r="M286" s="55"/>
      <c r="N286" s="55"/>
      <c r="O286" s="70"/>
      <c r="P286" s="55"/>
      <c r="Q286" s="55"/>
    </row>
    <row r="287" spans="1:17">
      <c r="A287" s="67"/>
      <c r="B287" s="67"/>
      <c r="C287" s="23" t="s">
        <v>161</v>
      </c>
      <c r="D287" s="23">
        <v>1</v>
      </c>
      <c r="E287" s="83" t="str">
        <f>(MID(str_cnvt(E286),SEARCH(":",str_cnvt(E286))+1,2)-1) &amp; ":" &amp; (MID(str_cnvt(E286),SEARCH(":",str_cnvt(E286))+1,2)-D287)</f>
        <v>7:7</v>
      </c>
      <c r="F287" s="23" t="s">
        <v>7</v>
      </c>
      <c r="G287" s="23" t="s">
        <v>172</v>
      </c>
      <c r="H287" s="26" t="s">
        <v>37</v>
      </c>
      <c r="I287" s="26" t="s">
        <v>36</v>
      </c>
      <c r="J287" s="26" t="s">
        <v>6</v>
      </c>
      <c r="L287" s="55"/>
      <c r="M287" s="55"/>
      <c r="N287" s="55"/>
      <c r="O287" s="70"/>
      <c r="P287" s="55"/>
      <c r="Q287" s="55"/>
    </row>
    <row r="288" spans="1:17">
      <c r="A288" s="67"/>
      <c r="B288" s="67"/>
      <c r="C288" s="23" t="s">
        <v>162</v>
      </c>
      <c r="D288" s="23">
        <v>6</v>
      </c>
      <c r="E288" s="83" t="str">
        <f>(MID(str_cnvt(E287),SEARCH(":",str_cnvt(E287))+1,2)-1) &amp; ":" &amp; (MID(str_cnvt(E287),SEARCH(":",str_cnvt(E287))+1,2)-D288)</f>
        <v>6:1</v>
      </c>
      <c r="F288" s="23" t="s">
        <v>54</v>
      </c>
      <c r="G288" s="23" t="s">
        <v>173</v>
      </c>
      <c r="H288" s="26" t="s">
        <v>37</v>
      </c>
      <c r="I288" s="26" t="s">
        <v>36</v>
      </c>
      <c r="J288" s="26" t="s">
        <v>6</v>
      </c>
      <c r="L288" s="55"/>
      <c r="M288" s="55"/>
      <c r="N288" s="55"/>
      <c r="O288" s="70"/>
      <c r="P288" s="55"/>
      <c r="Q288" s="55"/>
    </row>
    <row r="289" spans="1:17">
      <c r="A289" s="68"/>
      <c r="B289" s="68"/>
      <c r="C289" s="23" t="s">
        <v>163</v>
      </c>
      <c r="D289" s="23">
        <v>1</v>
      </c>
      <c r="E289" s="83" t="str">
        <f>(MID(str_cnvt(E288),SEARCH(":",str_cnvt(E288))+1,2)-1) &amp; ":" &amp; (MID(str_cnvt(E288),SEARCH(":",str_cnvt(E288))+1,2)-D289)</f>
        <v>0:0</v>
      </c>
      <c r="F289" s="23" t="s">
        <v>7</v>
      </c>
      <c r="G289" s="23" t="s">
        <v>174</v>
      </c>
      <c r="H289" s="26" t="s">
        <v>37</v>
      </c>
      <c r="I289" s="26" t="s">
        <v>36</v>
      </c>
      <c r="J289" s="26" t="s">
        <v>6</v>
      </c>
      <c r="K289" s="22"/>
      <c r="L289" s="64"/>
      <c r="M289" s="64"/>
      <c r="N289" s="64"/>
      <c r="O289" s="71"/>
      <c r="P289" s="64"/>
      <c r="Q289" s="64"/>
    </row>
    <row r="290" spans="1:17" ht="14.4" customHeight="1">
      <c r="A290" s="66" t="s">
        <v>225</v>
      </c>
      <c r="B290" s="66">
        <v>60</v>
      </c>
      <c r="C290" s="60" t="str">
        <f>bitConcat(F291:F296)</f>
        <v>32'b00000000000000100000000000000000</v>
      </c>
      <c r="D290" s="61"/>
      <c r="E290" s="61"/>
      <c r="F290" s="61"/>
      <c r="G290" s="61"/>
      <c r="H290" s="61"/>
      <c r="I290" s="61"/>
      <c r="J290" s="61"/>
      <c r="K290" s="62"/>
      <c r="L290" s="63" t="str">
        <f t="shared" ref="L290" si="49">DEC2HEX(_xlfn.BITLSHIFT(N290,7)+4*O290)</f>
        <v>3E0</v>
      </c>
      <c r="M290" s="63"/>
      <c r="N290" s="63">
        <v>7</v>
      </c>
      <c r="O290" s="69">
        <v>24</v>
      </c>
      <c r="P290" s="54" t="str">
        <f t="shared" ref="P290" si="50">DEC2HEX(_xlfn.BITLSHIFT(N290,5)+O290*4)</f>
        <v>140</v>
      </c>
      <c r="Q290" s="54" t="str">
        <f>BIN2HEX(LEFT(RIGHT(C290,32),4))&amp;BIN2HEX(LEFT(RIGHT(C290,28),4))&amp;BIN2HEX(LEFT(RIGHT(C290,24),4))&amp;BIN2HEX(LEFT(RIGHT(C290,20),4))&amp;BIN2HEX(LEFT(RIGHT(C290,16),4))&amp;BIN2HEX(LEFT(RIGHT(C290,12),4))&amp;BIN2HEX(LEFT(RIGHT(C290,8),4))&amp;BIN2HEX(LEFT(RIGHT(C290,4),4))</f>
        <v>00020000</v>
      </c>
    </row>
    <row r="291" spans="1:17" ht="15">
      <c r="A291" s="67"/>
      <c r="B291" s="67"/>
      <c r="C291" s="23" t="s">
        <v>120</v>
      </c>
      <c r="D291" s="23">
        <v>14</v>
      </c>
      <c r="E291" s="85" t="str">
        <f>IF(D291&gt;1,(31)&amp;":"&amp;(31-D291+1),(31-D291+1)&amp;":"&amp;(31-D291+1))</f>
        <v>31:18</v>
      </c>
      <c r="F291" s="23" t="s">
        <v>145</v>
      </c>
      <c r="G291" s="23" t="s">
        <v>120</v>
      </c>
      <c r="H291" s="26" t="s">
        <v>37</v>
      </c>
      <c r="I291" s="26" t="s">
        <v>36</v>
      </c>
      <c r="J291" s="26" t="s">
        <v>6</v>
      </c>
      <c r="L291" s="55"/>
      <c r="M291" s="55"/>
      <c r="N291" s="55"/>
      <c r="O291" s="70"/>
      <c r="P291" s="55"/>
      <c r="Q291" s="55"/>
    </row>
    <row r="292" spans="1:17">
      <c r="A292" s="67"/>
      <c r="B292" s="67"/>
      <c r="C292" s="23" t="s">
        <v>159</v>
      </c>
      <c r="D292" s="23">
        <v>3</v>
      </c>
      <c r="E292" s="83" t="str">
        <f>(MID(str_cnvt(E291),SEARCH(":",str_cnvt(E291))+1,2)-1) &amp; ":" &amp; (MID(str_cnvt(E291),SEARCH(":",str_cnvt(E291))+1,2)-D292)</f>
        <v>17:15</v>
      </c>
      <c r="F292" s="23" t="s">
        <v>156</v>
      </c>
      <c r="G292" s="23" t="s">
        <v>170</v>
      </c>
      <c r="H292" s="26" t="s">
        <v>37</v>
      </c>
      <c r="I292" s="26" t="s">
        <v>36</v>
      </c>
      <c r="J292" s="26" t="s">
        <v>6</v>
      </c>
      <c r="L292" s="55"/>
      <c r="M292" s="55"/>
      <c r="N292" s="55"/>
      <c r="O292" s="70"/>
      <c r="P292" s="55"/>
      <c r="Q292" s="55"/>
    </row>
    <row r="293" spans="1:17">
      <c r="A293" s="67"/>
      <c r="B293" s="67"/>
      <c r="C293" s="23" t="s">
        <v>160</v>
      </c>
      <c r="D293" s="23">
        <v>7</v>
      </c>
      <c r="E293" s="83" t="str">
        <f>(MID(str_cnvt(E292),SEARCH(":",str_cnvt(E292))+1,2)-1) &amp; ":" &amp; (MID(str_cnvt(E292),SEARCH(":",str_cnvt(E292))+1,2)-D293)</f>
        <v>14:8</v>
      </c>
      <c r="F293" s="23" t="s">
        <v>50</v>
      </c>
      <c r="G293" s="23" t="s">
        <v>171</v>
      </c>
      <c r="H293" s="26" t="s">
        <v>37</v>
      </c>
      <c r="I293" s="26" t="s">
        <v>36</v>
      </c>
      <c r="J293" s="26" t="s">
        <v>6</v>
      </c>
      <c r="L293" s="55"/>
      <c r="M293" s="55"/>
      <c r="N293" s="55"/>
      <c r="O293" s="70"/>
      <c r="P293" s="55"/>
      <c r="Q293" s="55"/>
    </row>
    <row r="294" spans="1:17">
      <c r="A294" s="67"/>
      <c r="B294" s="67"/>
      <c r="C294" s="23" t="s">
        <v>161</v>
      </c>
      <c r="D294" s="23">
        <v>1</v>
      </c>
      <c r="E294" s="83" t="str">
        <f>(MID(str_cnvt(E293),SEARCH(":",str_cnvt(E293))+1,2)-1) &amp; ":" &amp; (MID(str_cnvt(E293),SEARCH(":",str_cnvt(E293))+1,2)-D294)</f>
        <v>7:7</v>
      </c>
      <c r="F294" s="23" t="s">
        <v>7</v>
      </c>
      <c r="G294" s="23" t="s">
        <v>172</v>
      </c>
      <c r="H294" s="26" t="s">
        <v>37</v>
      </c>
      <c r="I294" s="26" t="s">
        <v>36</v>
      </c>
      <c r="J294" s="26" t="s">
        <v>6</v>
      </c>
      <c r="L294" s="55"/>
      <c r="M294" s="55"/>
      <c r="N294" s="55"/>
      <c r="O294" s="70"/>
      <c r="P294" s="55"/>
      <c r="Q294" s="55"/>
    </row>
    <row r="295" spans="1:17">
      <c r="A295" s="67"/>
      <c r="B295" s="67"/>
      <c r="C295" s="23" t="s">
        <v>162</v>
      </c>
      <c r="D295" s="23">
        <v>6</v>
      </c>
      <c r="E295" s="83" t="str">
        <f>(MID(str_cnvt(E294),SEARCH(":",str_cnvt(E294))+1,2)-1) &amp; ":" &amp; (MID(str_cnvt(E294),SEARCH(":",str_cnvt(E294))+1,2)-D295)</f>
        <v>6:1</v>
      </c>
      <c r="F295" s="23" t="s">
        <v>54</v>
      </c>
      <c r="G295" s="23" t="s">
        <v>173</v>
      </c>
      <c r="H295" s="26" t="s">
        <v>37</v>
      </c>
      <c r="I295" s="26" t="s">
        <v>36</v>
      </c>
      <c r="J295" s="26" t="s">
        <v>6</v>
      </c>
      <c r="L295" s="55"/>
      <c r="M295" s="55"/>
      <c r="N295" s="55"/>
      <c r="O295" s="70"/>
      <c r="P295" s="55"/>
      <c r="Q295" s="55"/>
    </row>
    <row r="296" spans="1:17">
      <c r="A296" s="68"/>
      <c r="B296" s="68"/>
      <c r="C296" s="23" t="s">
        <v>163</v>
      </c>
      <c r="D296" s="23">
        <v>1</v>
      </c>
      <c r="E296" s="83" t="str">
        <f>(MID(str_cnvt(E295),SEARCH(":",str_cnvt(E295))+1,2)-1) &amp; ":" &amp; (MID(str_cnvt(E295),SEARCH(":",str_cnvt(E295))+1,2)-D296)</f>
        <v>0:0</v>
      </c>
      <c r="F296" s="23" t="s">
        <v>7</v>
      </c>
      <c r="G296" s="23" t="s">
        <v>174</v>
      </c>
      <c r="H296" s="26" t="s">
        <v>37</v>
      </c>
      <c r="I296" s="26" t="s">
        <v>36</v>
      </c>
      <c r="J296" s="26" t="s">
        <v>6</v>
      </c>
      <c r="K296" s="22"/>
      <c r="L296" s="64"/>
      <c r="M296" s="64"/>
      <c r="N296" s="64"/>
      <c r="O296" s="71"/>
      <c r="P296" s="64"/>
      <c r="Q296" s="64"/>
    </row>
    <row r="297" spans="1:17" ht="14.4" customHeight="1">
      <c r="A297" s="66" t="s">
        <v>226</v>
      </c>
      <c r="B297" s="66">
        <v>64</v>
      </c>
      <c r="C297" s="60" t="str">
        <f>bitConcat(F298:F303)</f>
        <v>32'b00000000000000100000000000000000</v>
      </c>
      <c r="D297" s="61"/>
      <c r="E297" s="61"/>
      <c r="F297" s="61"/>
      <c r="G297" s="61"/>
      <c r="H297" s="61"/>
      <c r="I297" s="61"/>
      <c r="J297" s="61"/>
      <c r="K297" s="62"/>
      <c r="L297" s="63" t="str">
        <f t="shared" ref="L297" si="51">DEC2HEX(_xlfn.BITLSHIFT(N297,7)+4*O297)</f>
        <v>3E4</v>
      </c>
      <c r="M297" s="63"/>
      <c r="N297" s="63">
        <v>7</v>
      </c>
      <c r="O297" s="69">
        <v>25</v>
      </c>
      <c r="P297" s="54" t="str">
        <f t="shared" ref="P297" si="52">DEC2HEX(_xlfn.BITLSHIFT(N297,5)+O297*4)</f>
        <v>144</v>
      </c>
      <c r="Q297" s="54" t="str">
        <f>BIN2HEX(LEFT(RIGHT(C297,32),4))&amp;BIN2HEX(LEFT(RIGHT(C297,28),4))&amp;BIN2HEX(LEFT(RIGHT(C297,24),4))&amp;BIN2HEX(LEFT(RIGHT(C297,20),4))&amp;BIN2HEX(LEFT(RIGHT(C297,16),4))&amp;BIN2HEX(LEFT(RIGHT(C297,12),4))&amp;BIN2HEX(LEFT(RIGHT(C297,8),4))&amp;BIN2HEX(LEFT(RIGHT(C297,4),4))</f>
        <v>00020000</v>
      </c>
    </row>
    <row r="298" spans="1:17" ht="15">
      <c r="A298" s="67"/>
      <c r="B298" s="67"/>
      <c r="C298" s="23" t="s">
        <v>120</v>
      </c>
      <c r="D298" s="23">
        <v>14</v>
      </c>
      <c r="E298" s="85" t="str">
        <f>IF(D298&gt;1,(31)&amp;":"&amp;(31-D298+1),(31-D298+1)&amp;":"&amp;(31-D298+1))</f>
        <v>31:18</v>
      </c>
      <c r="F298" s="23" t="s">
        <v>145</v>
      </c>
      <c r="G298" s="23" t="s">
        <v>120</v>
      </c>
      <c r="H298" s="26" t="s">
        <v>37</v>
      </c>
      <c r="I298" s="26" t="s">
        <v>36</v>
      </c>
      <c r="J298" s="26" t="s">
        <v>6</v>
      </c>
      <c r="L298" s="55"/>
      <c r="M298" s="55"/>
      <c r="N298" s="55"/>
      <c r="O298" s="70"/>
      <c r="P298" s="55"/>
      <c r="Q298" s="55"/>
    </row>
    <row r="299" spans="1:17">
      <c r="A299" s="67"/>
      <c r="B299" s="67"/>
      <c r="C299" s="23" t="s">
        <v>159</v>
      </c>
      <c r="D299" s="23">
        <v>3</v>
      </c>
      <c r="E299" s="83" t="str">
        <f>(MID(str_cnvt(E298),SEARCH(":",str_cnvt(E298))+1,2)-1) &amp; ":" &amp; (MID(str_cnvt(E298),SEARCH(":",str_cnvt(E298))+1,2)-D299)</f>
        <v>17:15</v>
      </c>
      <c r="F299" s="23" t="s">
        <v>156</v>
      </c>
      <c r="G299" s="23" t="s">
        <v>170</v>
      </c>
      <c r="H299" s="26" t="s">
        <v>37</v>
      </c>
      <c r="I299" s="26" t="s">
        <v>36</v>
      </c>
      <c r="J299" s="26" t="s">
        <v>6</v>
      </c>
      <c r="L299" s="55"/>
      <c r="M299" s="55"/>
      <c r="N299" s="55"/>
      <c r="O299" s="70"/>
      <c r="P299" s="55"/>
      <c r="Q299" s="55"/>
    </row>
    <row r="300" spans="1:17">
      <c r="A300" s="67"/>
      <c r="B300" s="67"/>
      <c r="C300" s="23" t="s">
        <v>160</v>
      </c>
      <c r="D300" s="23">
        <v>7</v>
      </c>
      <c r="E300" s="83" t="str">
        <f>(MID(str_cnvt(E299),SEARCH(":",str_cnvt(E299))+1,2)-1) &amp; ":" &amp; (MID(str_cnvt(E299),SEARCH(":",str_cnvt(E299))+1,2)-D300)</f>
        <v>14:8</v>
      </c>
      <c r="F300" s="23" t="s">
        <v>50</v>
      </c>
      <c r="G300" s="23" t="s">
        <v>171</v>
      </c>
      <c r="H300" s="26" t="s">
        <v>37</v>
      </c>
      <c r="I300" s="26" t="s">
        <v>36</v>
      </c>
      <c r="J300" s="26" t="s">
        <v>6</v>
      </c>
      <c r="L300" s="55"/>
      <c r="M300" s="55"/>
      <c r="N300" s="55"/>
      <c r="O300" s="70"/>
      <c r="P300" s="55"/>
      <c r="Q300" s="55"/>
    </row>
    <row r="301" spans="1:17">
      <c r="A301" s="67"/>
      <c r="B301" s="67"/>
      <c r="C301" s="23" t="s">
        <v>161</v>
      </c>
      <c r="D301" s="23">
        <v>1</v>
      </c>
      <c r="E301" s="83" t="str">
        <f>(MID(str_cnvt(E300),SEARCH(":",str_cnvt(E300))+1,2)-1) &amp; ":" &amp; (MID(str_cnvt(E300),SEARCH(":",str_cnvt(E300))+1,2)-D301)</f>
        <v>7:7</v>
      </c>
      <c r="F301" s="23" t="s">
        <v>7</v>
      </c>
      <c r="G301" s="23" t="s">
        <v>172</v>
      </c>
      <c r="H301" s="26" t="s">
        <v>37</v>
      </c>
      <c r="I301" s="26" t="s">
        <v>36</v>
      </c>
      <c r="J301" s="26" t="s">
        <v>6</v>
      </c>
      <c r="L301" s="55"/>
      <c r="M301" s="55"/>
      <c r="N301" s="55"/>
      <c r="O301" s="70"/>
      <c r="P301" s="55"/>
      <c r="Q301" s="55"/>
    </row>
    <row r="302" spans="1:17">
      <c r="A302" s="67"/>
      <c r="B302" s="67"/>
      <c r="C302" s="23" t="s">
        <v>162</v>
      </c>
      <c r="D302" s="23">
        <v>6</v>
      </c>
      <c r="E302" s="83" t="str">
        <f>(MID(str_cnvt(E301),SEARCH(":",str_cnvt(E301))+1,2)-1) &amp; ":" &amp; (MID(str_cnvt(E301),SEARCH(":",str_cnvt(E301))+1,2)-D302)</f>
        <v>6:1</v>
      </c>
      <c r="F302" s="23" t="s">
        <v>54</v>
      </c>
      <c r="G302" s="23" t="s">
        <v>173</v>
      </c>
      <c r="H302" s="26" t="s">
        <v>37</v>
      </c>
      <c r="I302" s="26" t="s">
        <v>36</v>
      </c>
      <c r="J302" s="26" t="s">
        <v>6</v>
      </c>
      <c r="L302" s="55"/>
      <c r="M302" s="55"/>
      <c r="N302" s="55"/>
      <c r="O302" s="70"/>
      <c r="P302" s="55"/>
      <c r="Q302" s="55"/>
    </row>
    <row r="303" spans="1:17">
      <c r="A303" s="68"/>
      <c r="B303" s="68"/>
      <c r="C303" s="23" t="s">
        <v>163</v>
      </c>
      <c r="D303" s="23">
        <v>1</v>
      </c>
      <c r="E303" s="83" t="str">
        <f>(MID(str_cnvt(E302),SEARCH(":",str_cnvt(E302))+1,2)-1) &amp; ":" &amp; (MID(str_cnvt(E302),SEARCH(":",str_cnvt(E302))+1,2)-D303)</f>
        <v>0:0</v>
      </c>
      <c r="F303" s="23" t="s">
        <v>7</v>
      </c>
      <c r="G303" s="23" t="s">
        <v>174</v>
      </c>
      <c r="H303" s="26" t="s">
        <v>37</v>
      </c>
      <c r="I303" s="26" t="s">
        <v>36</v>
      </c>
      <c r="J303" s="26" t="s">
        <v>6</v>
      </c>
      <c r="K303" s="22"/>
      <c r="L303" s="64"/>
      <c r="M303" s="64"/>
      <c r="N303" s="64"/>
      <c r="O303" s="71"/>
      <c r="P303" s="64"/>
      <c r="Q303" s="64"/>
    </row>
    <row r="304" spans="1:17" ht="14.4" customHeight="1">
      <c r="A304" s="66" t="s">
        <v>227</v>
      </c>
      <c r="B304" s="66">
        <v>68</v>
      </c>
      <c r="C304" s="60" t="str">
        <f>bitConcat(F305:F310)</f>
        <v>32'b00000000000000100000000000000000</v>
      </c>
      <c r="D304" s="61"/>
      <c r="E304" s="61"/>
      <c r="F304" s="61"/>
      <c r="G304" s="61"/>
      <c r="H304" s="61"/>
      <c r="I304" s="61"/>
      <c r="J304" s="61"/>
      <c r="K304" s="62"/>
      <c r="L304" s="63" t="str">
        <f t="shared" ref="L304" si="53">DEC2HEX(_xlfn.BITLSHIFT(N304,7)+4*O304)</f>
        <v>3E8</v>
      </c>
      <c r="M304" s="63"/>
      <c r="N304" s="63">
        <v>7</v>
      </c>
      <c r="O304" s="69">
        <v>26</v>
      </c>
      <c r="P304" s="54" t="str">
        <f t="shared" ref="P304" si="54">DEC2HEX(_xlfn.BITLSHIFT(N304,5)+O304*4)</f>
        <v>148</v>
      </c>
      <c r="Q304" s="54" t="str">
        <f>BIN2HEX(LEFT(RIGHT(C304,32),4))&amp;BIN2HEX(LEFT(RIGHT(C304,28),4))&amp;BIN2HEX(LEFT(RIGHT(C304,24),4))&amp;BIN2HEX(LEFT(RIGHT(C304,20),4))&amp;BIN2HEX(LEFT(RIGHT(C304,16),4))&amp;BIN2HEX(LEFT(RIGHT(C304,12),4))&amp;BIN2HEX(LEFT(RIGHT(C304,8),4))&amp;BIN2HEX(LEFT(RIGHT(C304,4),4))</f>
        <v>00020000</v>
      </c>
    </row>
    <row r="305" spans="1:17" ht="15">
      <c r="A305" s="67"/>
      <c r="B305" s="67"/>
      <c r="C305" s="23" t="s">
        <v>120</v>
      </c>
      <c r="D305" s="23">
        <v>14</v>
      </c>
      <c r="E305" s="85" t="str">
        <f>IF(D305&gt;1,(31)&amp;":"&amp;(31-D305+1),(31-D305+1)&amp;":"&amp;(31-D305+1))</f>
        <v>31:18</v>
      </c>
      <c r="F305" s="23" t="s">
        <v>145</v>
      </c>
      <c r="G305" s="23" t="s">
        <v>120</v>
      </c>
      <c r="H305" s="26" t="s">
        <v>37</v>
      </c>
      <c r="I305" s="26" t="s">
        <v>36</v>
      </c>
      <c r="J305" s="26" t="s">
        <v>6</v>
      </c>
      <c r="L305" s="55"/>
      <c r="M305" s="55"/>
      <c r="N305" s="55"/>
      <c r="O305" s="70"/>
      <c r="P305" s="55"/>
      <c r="Q305" s="55"/>
    </row>
    <row r="306" spans="1:17">
      <c r="A306" s="67"/>
      <c r="B306" s="67"/>
      <c r="C306" s="23" t="s">
        <v>159</v>
      </c>
      <c r="D306" s="23">
        <v>3</v>
      </c>
      <c r="E306" s="83" t="str">
        <f>(MID(str_cnvt(E305),SEARCH(":",str_cnvt(E305))+1,2)-1) &amp; ":" &amp; (MID(str_cnvt(E305),SEARCH(":",str_cnvt(E305))+1,2)-D306)</f>
        <v>17:15</v>
      </c>
      <c r="F306" s="23" t="s">
        <v>156</v>
      </c>
      <c r="G306" s="23" t="s">
        <v>170</v>
      </c>
      <c r="H306" s="26" t="s">
        <v>37</v>
      </c>
      <c r="I306" s="26" t="s">
        <v>36</v>
      </c>
      <c r="J306" s="26" t="s">
        <v>6</v>
      </c>
      <c r="L306" s="55"/>
      <c r="M306" s="55"/>
      <c r="N306" s="55"/>
      <c r="O306" s="70"/>
      <c r="P306" s="55"/>
      <c r="Q306" s="55"/>
    </row>
    <row r="307" spans="1:17">
      <c r="A307" s="67"/>
      <c r="B307" s="67"/>
      <c r="C307" s="23" t="s">
        <v>160</v>
      </c>
      <c r="D307" s="23">
        <v>7</v>
      </c>
      <c r="E307" s="83" t="str">
        <f>(MID(str_cnvt(E306),SEARCH(":",str_cnvt(E306))+1,2)-1) &amp; ":" &amp; (MID(str_cnvt(E306),SEARCH(":",str_cnvt(E306))+1,2)-D307)</f>
        <v>14:8</v>
      </c>
      <c r="F307" s="23" t="s">
        <v>50</v>
      </c>
      <c r="G307" s="23" t="s">
        <v>171</v>
      </c>
      <c r="H307" s="26" t="s">
        <v>37</v>
      </c>
      <c r="I307" s="26" t="s">
        <v>36</v>
      </c>
      <c r="J307" s="26" t="s">
        <v>6</v>
      </c>
      <c r="L307" s="55"/>
      <c r="M307" s="55"/>
      <c r="N307" s="55"/>
      <c r="O307" s="70"/>
      <c r="P307" s="55"/>
      <c r="Q307" s="55"/>
    </row>
    <row r="308" spans="1:17">
      <c r="A308" s="67"/>
      <c r="B308" s="67"/>
      <c r="C308" s="23" t="s">
        <v>161</v>
      </c>
      <c r="D308" s="23">
        <v>1</v>
      </c>
      <c r="E308" s="83" t="str">
        <f>(MID(str_cnvt(E307),SEARCH(":",str_cnvt(E307))+1,2)-1) &amp; ":" &amp; (MID(str_cnvt(E307),SEARCH(":",str_cnvt(E307))+1,2)-D308)</f>
        <v>7:7</v>
      </c>
      <c r="F308" s="23" t="s">
        <v>7</v>
      </c>
      <c r="G308" s="23" t="s">
        <v>172</v>
      </c>
      <c r="H308" s="26" t="s">
        <v>37</v>
      </c>
      <c r="I308" s="26" t="s">
        <v>36</v>
      </c>
      <c r="J308" s="26" t="s">
        <v>6</v>
      </c>
      <c r="L308" s="55"/>
      <c r="M308" s="55"/>
      <c r="N308" s="55"/>
      <c r="O308" s="70"/>
      <c r="P308" s="55"/>
      <c r="Q308" s="55"/>
    </row>
    <row r="309" spans="1:17">
      <c r="A309" s="67"/>
      <c r="B309" s="67"/>
      <c r="C309" s="23" t="s">
        <v>162</v>
      </c>
      <c r="D309" s="23">
        <v>6</v>
      </c>
      <c r="E309" s="83" t="str">
        <f>(MID(str_cnvt(E308),SEARCH(":",str_cnvt(E308))+1,2)-1) &amp; ":" &amp; (MID(str_cnvt(E308),SEARCH(":",str_cnvt(E308))+1,2)-D309)</f>
        <v>6:1</v>
      </c>
      <c r="F309" s="23" t="s">
        <v>54</v>
      </c>
      <c r="G309" s="23" t="s">
        <v>173</v>
      </c>
      <c r="H309" s="26" t="s">
        <v>37</v>
      </c>
      <c r="I309" s="26" t="s">
        <v>36</v>
      </c>
      <c r="J309" s="26" t="s">
        <v>6</v>
      </c>
      <c r="L309" s="55"/>
      <c r="M309" s="55"/>
      <c r="N309" s="55"/>
      <c r="O309" s="70"/>
      <c r="P309" s="55"/>
      <c r="Q309" s="55"/>
    </row>
    <row r="310" spans="1:17">
      <c r="A310" s="68"/>
      <c r="B310" s="68"/>
      <c r="C310" s="23" t="s">
        <v>163</v>
      </c>
      <c r="D310" s="23">
        <v>1</v>
      </c>
      <c r="E310" s="83" t="str">
        <f>(MID(str_cnvt(E309),SEARCH(":",str_cnvt(E309))+1,2)-1) &amp; ":" &amp; (MID(str_cnvt(E309),SEARCH(":",str_cnvt(E309))+1,2)-D310)</f>
        <v>0:0</v>
      </c>
      <c r="F310" s="23" t="s">
        <v>7</v>
      </c>
      <c r="G310" s="23" t="s">
        <v>174</v>
      </c>
      <c r="H310" s="26" t="s">
        <v>37</v>
      </c>
      <c r="I310" s="26" t="s">
        <v>36</v>
      </c>
      <c r="J310" s="26" t="s">
        <v>6</v>
      </c>
      <c r="K310" s="22"/>
      <c r="L310" s="64"/>
      <c r="M310" s="64"/>
      <c r="N310" s="64"/>
      <c r="O310" s="71"/>
      <c r="P310" s="64"/>
      <c r="Q310" s="64"/>
    </row>
    <row r="311" spans="1:17" ht="14.4" customHeight="1">
      <c r="A311" s="66" t="s">
        <v>228</v>
      </c>
      <c r="B311" s="66" t="s">
        <v>165</v>
      </c>
      <c r="C311" s="60" t="str">
        <f>bitConcat(F312:F317)</f>
        <v>32'b00000000000000100000000000000000</v>
      </c>
      <c r="D311" s="61"/>
      <c r="E311" s="61"/>
      <c r="F311" s="61"/>
      <c r="G311" s="61"/>
      <c r="H311" s="61"/>
      <c r="I311" s="61"/>
      <c r="J311" s="61"/>
      <c r="K311" s="62"/>
      <c r="L311" s="63" t="str">
        <f t="shared" ref="L311" si="55">DEC2HEX(_xlfn.BITLSHIFT(N311,7)+4*O311)</f>
        <v>3EC</v>
      </c>
      <c r="M311" s="63"/>
      <c r="N311" s="63">
        <v>7</v>
      </c>
      <c r="O311" s="69">
        <v>27</v>
      </c>
      <c r="P311" s="54" t="str">
        <f t="shared" ref="P311" si="56">DEC2HEX(_xlfn.BITLSHIFT(N311,5)+O311*4)</f>
        <v>14C</v>
      </c>
      <c r="Q311" s="54" t="str">
        <f>BIN2HEX(LEFT(RIGHT(C311,32),4))&amp;BIN2HEX(LEFT(RIGHT(C311,28),4))&amp;BIN2HEX(LEFT(RIGHT(C311,24),4))&amp;BIN2HEX(LEFT(RIGHT(C311,20),4))&amp;BIN2HEX(LEFT(RIGHT(C311,16),4))&amp;BIN2HEX(LEFT(RIGHT(C311,12),4))&amp;BIN2HEX(LEFT(RIGHT(C311,8),4))&amp;BIN2HEX(LEFT(RIGHT(C311,4),4))</f>
        <v>00020000</v>
      </c>
    </row>
    <row r="312" spans="1:17" ht="15">
      <c r="A312" s="67"/>
      <c r="B312" s="67"/>
      <c r="C312" s="23" t="s">
        <v>120</v>
      </c>
      <c r="D312" s="23">
        <v>14</v>
      </c>
      <c r="E312" s="85" t="str">
        <f>IF(D312&gt;1,(31)&amp;":"&amp;(31-D312+1),(31-D312+1)&amp;":"&amp;(31-D312+1))</f>
        <v>31:18</v>
      </c>
      <c r="F312" s="23" t="s">
        <v>145</v>
      </c>
      <c r="G312" s="23" t="s">
        <v>120</v>
      </c>
      <c r="H312" s="26" t="s">
        <v>37</v>
      </c>
      <c r="I312" s="26" t="s">
        <v>36</v>
      </c>
      <c r="J312" s="26" t="s">
        <v>6</v>
      </c>
      <c r="L312" s="55"/>
      <c r="M312" s="55"/>
      <c r="N312" s="55"/>
      <c r="O312" s="70"/>
      <c r="P312" s="55"/>
      <c r="Q312" s="55"/>
    </row>
    <row r="313" spans="1:17">
      <c r="A313" s="67"/>
      <c r="B313" s="67"/>
      <c r="C313" s="23" t="s">
        <v>159</v>
      </c>
      <c r="D313" s="23">
        <v>3</v>
      </c>
      <c r="E313" s="83" t="str">
        <f>(MID(str_cnvt(E312),SEARCH(":",str_cnvt(E312))+1,2)-1) &amp; ":" &amp; (MID(str_cnvt(E312),SEARCH(":",str_cnvt(E312))+1,2)-D313)</f>
        <v>17:15</v>
      </c>
      <c r="F313" s="23" t="s">
        <v>156</v>
      </c>
      <c r="G313" s="23" t="s">
        <v>170</v>
      </c>
      <c r="H313" s="26" t="s">
        <v>37</v>
      </c>
      <c r="I313" s="26" t="s">
        <v>36</v>
      </c>
      <c r="J313" s="26" t="s">
        <v>6</v>
      </c>
      <c r="L313" s="55"/>
      <c r="M313" s="55"/>
      <c r="N313" s="55"/>
      <c r="O313" s="70"/>
      <c r="P313" s="55"/>
      <c r="Q313" s="55"/>
    </row>
    <row r="314" spans="1:17">
      <c r="A314" s="67"/>
      <c r="B314" s="67"/>
      <c r="C314" s="23" t="s">
        <v>160</v>
      </c>
      <c r="D314" s="23">
        <v>7</v>
      </c>
      <c r="E314" s="83" t="str">
        <f>(MID(str_cnvt(E313),SEARCH(":",str_cnvt(E313))+1,2)-1) &amp; ":" &amp; (MID(str_cnvt(E313),SEARCH(":",str_cnvt(E313))+1,2)-D314)</f>
        <v>14:8</v>
      </c>
      <c r="F314" s="23" t="s">
        <v>50</v>
      </c>
      <c r="G314" s="23" t="s">
        <v>171</v>
      </c>
      <c r="H314" s="26" t="s">
        <v>37</v>
      </c>
      <c r="I314" s="26" t="s">
        <v>36</v>
      </c>
      <c r="J314" s="26" t="s">
        <v>6</v>
      </c>
      <c r="L314" s="55"/>
      <c r="M314" s="55"/>
      <c r="N314" s="55"/>
      <c r="O314" s="70"/>
      <c r="P314" s="55"/>
      <c r="Q314" s="55"/>
    </row>
    <row r="315" spans="1:17">
      <c r="A315" s="67"/>
      <c r="B315" s="67"/>
      <c r="C315" s="23" t="s">
        <v>161</v>
      </c>
      <c r="D315" s="23">
        <v>1</v>
      </c>
      <c r="E315" s="83" t="str">
        <f>(MID(str_cnvt(E314),SEARCH(":",str_cnvt(E314))+1,2)-1) &amp; ":" &amp; (MID(str_cnvt(E314),SEARCH(":",str_cnvt(E314))+1,2)-D315)</f>
        <v>7:7</v>
      </c>
      <c r="F315" s="23" t="s">
        <v>7</v>
      </c>
      <c r="G315" s="23" t="s">
        <v>172</v>
      </c>
      <c r="H315" s="26" t="s">
        <v>37</v>
      </c>
      <c r="I315" s="26" t="s">
        <v>36</v>
      </c>
      <c r="J315" s="26" t="s">
        <v>6</v>
      </c>
      <c r="L315" s="55"/>
      <c r="M315" s="55"/>
      <c r="N315" s="55"/>
      <c r="O315" s="70"/>
      <c r="P315" s="55"/>
      <c r="Q315" s="55"/>
    </row>
    <row r="316" spans="1:17">
      <c r="A316" s="67"/>
      <c r="B316" s="67"/>
      <c r="C316" s="23" t="s">
        <v>162</v>
      </c>
      <c r="D316" s="23">
        <v>6</v>
      </c>
      <c r="E316" s="83" t="str">
        <f>(MID(str_cnvt(E315),SEARCH(":",str_cnvt(E315))+1,2)-1) &amp; ":" &amp; (MID(str_cnvt(E315),SEARCH(":",str_cnvt(E315))+1,2)-D316)</f>
        <v>6:1</v>
      </c>
      <c r="F316" s="23" t="s">
        <v>54</v>
      </c>
      <c r="G316" s="23" t="s">
        <v>173</v>
      </c>
      <c r="H316" s="26" t="s">
        <v>37</v>
      </c>
      <c r="I316" s="26" t="s">
        <v>36</v>
      </c>
      <c r="J316" s="26" t="s">
        <v>6</v>
      </c>
      <c r="L316" s="55"/>
      <c r="M316" s="55"/>
      <c r="N316" s="55"/>
      <c r="O316" s="70"/>
      <c r="P316" s="55"/>
      <c r="Q316" s="55"/>
    </row>
    <row r="317" spans="1:17">
      <c r="A317" s="68"/>
      <c r="B317" s="68"/>
      <c r="C317" s="23" t="s">
        <v>163</v>
      </c>
      <c r="D317" s="23">
        <v>1</v>
      </c>
      <c r="E317" s="83" t="str">
        <f>(MID(str_cnvt(E316),SEARCH(":",str_cnvt(E316))+1,2)-1) &amp; ":" &amp; (MID(str_cnvt(E316),SEARCH(":",str_cnvt(E316))+1,2)-D317)</f>
        <v>0:0</v>
      </c>
      <c r="F317" s="23" t="s">
        <v>7</v>
      </c>
      <c r="G317" s="23" t="s">
        <v>174</v>
      </c>
      <c r="H317" s="26" t="s">
        <v>37</v>
      </c>
      <c r="I317" s="26" t="s">
        <v>36</v>
      </c>
      <c r="J317" s="26" t="s">
        <v>6</v>
      </c>
      <c r="K317" s="22"/>
      <c r="L317" s="64"/>
      <c r="M317" s="64"/>
      <c r="N317" s="64"/>
      <c r="O317" s="71"/>
      <c r="P317" s="64"/>
      <c r="Q317" s="64"/>
    </row>
    <row r="318" spans="1:17" ht="14.4" customHeight="1">
      <c r="A318" s="66" t="s">
        <v>216</v>
      </c>
      <c r="B318" s="66">
        <v>70</v>
      </c>
      <c r="C318" s="60" t="str">
        <f>bitConcat(F319:F324)</f>
        <v>32'b00000000000000100000000000000000</v>
      </c>
      <c r="D318" s="61"/>
      <c r="E318" s="61"/>
      <c r="F318" s="61"/>
      <c r="G318" s="61"/>
      <c r="H318" s="61"/>
      <c r="I318" s="61"/>
      <c r="J318" s="61"/>
      <c r="K318" s="62"/>
      <c r="L318" s="63" t="str">
        <f t="shared" ref="L318" si="57">DEC2HEX(_xlfn.BITLSHIFT(N318,7)+4*O318)</f>
        <v>3F0</v>
      </c>
      <c r="M318" s="63"/>
      <c r="N318" s="63">
        <v>7</v>
      </c>
      <c r="O318" s="69">
        <v>28</v>
      </c>
      <c r="P318" s="54" t="str">
        <f t="shared" ref="P318" si="58">DEC2HEX(_xlfn.BITLSHIFT(N318,5)+O318*4)</f>
        <v>150</v>
      </c>
      <c r="Q318" s="54" t="str">
        <f>BIN2HEX(LEFT(RIGHT(C318,32),4))&amp;BIN2HEX(LEFT(RIGHT(C318,28),4))&amp;BIN2HEX(LEFT(RIGHT(C318,24),4))&amp;BIN2HEX(LEFT(RIGHT(C318,20),4))&amp;BIN2HEX(LEFT(RIGHT(C318,16),4))&amp;BIN2HEX(LEFT(RIGHT(C318,12),4))&amp;BIN2HEX(LEFT(RIGHT(C318,8),4))&amp;BIN2HEX(LEFT(RIGHT(C318,4),4))</f>
        <v>00020000</v>
      </c>
    </row>
    <row r="319" spans="1:17" ht="15">
      <c r="A319" s="67"/>
      <c r="B319" s="67"/>
      <c r="C319" s="23" t="s">
        <v>120</v>
      </c>
      <c r="D319" s="23">
        <v>14</v>
      </c>
      <c r="E319" s="85" t="str">
        <f>IF(D319&gt;1,(31)&amp;":"&amp;(31-D319+1),(31-D319+1)&amp;":"&amp;(31-D319+1))</f>
        <v>31:18</v>
      </c>
      <c r="F319" s="23" t="s">
        <v>145</v>
      </c>
      <c r="G319" s="23" t="s">
        <v>120</v>
      </c>
      <c r="H319" s="26" t="s">
        <v>37</v>
      </c>
      <c r="I319" s="26" t="s">
        <v>36</v>
      </c>
      <c r="J319" s="26" t="s">
        <v>6</v>
      </c>
      <c r="L319" s="55"/>
      <c r="M319" s="55"/>
      <c r="N319" s="55"/>
      <c r="O319" s="70"/>
      <c r="P319" s="55"/>
      <c r="Q319" s="55"/>
    </row>
    <row r="320" spans="1:17">
      <c r="A320" s="67"/>
      <c r="B320" s="67"/>
      <c r="C320" s="23" t="s">
        <v>159</v>
      </c>
      <c r="D320" s="23">
        <v>3</v>
      </c>
      <c r="E320" s="83" t="str">
        <f>(MID(str_cnvt(E319),SEARCH(":",str_cnvt(E319))+1,2)-1) &amp; ":" &amp; (MID(str_cnvt(E319),SEARCH(":",str_cnvt(E319))+1,2)-D320)</f>
        <v>17:15</v>
      </c>
      <c r="F320" s="23" t="s">
        <v>156</v>
      </c>
      <c r="G320" s="23" t="s">
        <v>170</v>
      </c>
      <c r="H320" s="26" t="s">
        <v>37</v>
      </c>
      <c r="I320" s="26" t="s">
        <v>36</v>
      </c>
      <c r="J320" s="26" t="s">
        <v>6</v>
      </c>
      <c r="L320" s="55"/>
      <c r="M320" s="55"/>
      <c r="N320" s="55"/>
      <c r="O320" s="70"/>
      <c r="P320" s="55"/>
      <c r="Q320" s="55"/>
    </row>
    <row r="321" spans="1:17">
      <c r="A321" s="67"/>
      <c r="B321" s="67"/>
      <c r="C321" s="23" t="s">
        <v>160</v>
      </c>
      <c r="D321" s="23">
        <v>7</v>
      </c>
      <c r="E321" s="83" t="str">
        <f>(MID(str_cnvt(E320),SEARCH(":",str_cnvt(E320))+1,2)-1) &amp; ":" &amp; (MID(str_cnvt(E320),SEARCH(":",str_cnvt(E320))+1,2)-D321)</f>
        <v>14:8</v>
      </c>
      <c r="F321" s="23" t="s">
        <v>50</v>
      </c>
      <c r="G321" s="23" t="s">
        <v>171</v>
      </c>
      <c r="H321" s="26" t="s">
        <v>37</v>
      </c>
      <c r="I321" s="26" t="s">
        <v>36</v>
      </c>
      <c r="J321" s="26" t="s">
        <v>6</v>
      </c>
      <c r="L321" s="55"/>
      <c r="M321" s="55"/>
      <c r="N321" s="55"/>
      <c r="O321" s="70"/>
      <c r="P321" s="55"/>
      <c r="Q321" s="55"/>
    </row>
    <row r="322" spans="1:17">
      <c r="A322" s="67"/>
      <c r="B322" s="67"/>
      <c r="C322" s="23" t="s">
        <v>161</v>
      </c>
      <c r="D322" s="23">
        <v>1</v>
      </c>
      <c r="E322" s="83" t="str">
        <f>(MID(str_cnvt(E321),SEARCH(":",str_cnvt(E321))+1,2)-1) &amp; ":" &amp; (MID(str_cnvt(E321),SEARCH(":",str_cnvt(E321))+1,2)-D322)</f>
        <v>7:7</v>
      </c>
      <c r="F322" s="23" t="s">
        <v>7</v>
      </c>
      <c r="G322" s="23" t="s">
        <v>172</v>
      </c>
      <c r="H322" s="26" t="s">
        <v>37</v>
      </c>
      <c r="I322" s="26" t="s">
        <v>36</v>
      </c>
      <c r="J322" s="26" t="s">
        <v>6</v>
      </c>
      <c r="L322" s="55"/>
      <c r="M322" s="55"/>
      <c r="N322" s="55"/>
      <c r="O322" s="70"/>
      <c r="P322" s="55"/>
      <c r="Q322" s="55"/>
    </row>
    <row r="323" spans="1:17">
      <c r="A323" s="67"/>
      <c r="B323" s="67"/>
      <c r="C323" s="23" t="s">
        <v>162</v>
      </c>
      <c r="D323" s="23">
        <v>6</v>
      </c>
      <c r="E323" s="83" t="str">
        <f>(MID(str_cnvt(E322),SEARCH(":",str_cnvt(E322))+1,2)-1) &amp; ":" &amp; (MID(str_cnvt(E322),SEARCH(":",str_cnvt(E322))+1,2)-D323)</f>
        <v>6:1</v>
      </c>
      <c r="F323" s="23" t="s">
        <v>54</v>
      </c>
      <c r="G323" s="23" t="s">
        <v>173</v>
      </c>
      <c r="H323" s="26" t="s">
        <v>37</v>
      </c>
      <c r="I323" s="26" t="s">
        <v>36</v>
      </c>
      <c r="J323" s="26" t="s">
        <v>6</v>
      </c>
      <c r="L323" s="55"/>
      <c r="M323" s="55"/>
      <c r="N323" s="55"/>
      <c r="O323" s="70"/>
      <c r="P323" s="55"/>
      <c r="Q323" s="55"/>
    </row>
    <row r="324" spans="1:17">
      <c r="A324" s="68"/>
      <c r="B324" s="68"/>
      <c r="C324" s="23" t="s">
        <v>163</v>
      </c>
      <c r="D324" s="23">
        <v>1</v>
      </c>
      <c r="E324" s="83" t="str">
        <f>(MID(str_cnvt(E323),SEARCH(":",str_cnvt(E323))+1,2)-1) &amp; ":" &amp; (MID(str_cnvt(E323),SEARCH(":",str_cnvt(E323))+1,2)-D324)</f>
        <v>0:0</v>
      </c>
      <c r="F324" s="23" t="s">
        <v>7</v>
      </c>
      <c r="G324" s="23" t="s">
        <v>174</v>
      </c>
      <c r="H324" s="26" t="s">
        <v>37</v>
      </c>
      <c r="I324" s="26" t="s">
        <v>36</v>
      </c>
      <c r="J324" s="26" t="s">
        <v>6</v>
      </c>
      <c r="K324" s="22"/>
      <c r="L324" s="64"/>
      <c r="M324" s="64"/>
      <c r="N324" s="64"/>
      <c r="O324" s="71"/>
      <c r="P324" s="64"/>
      <c r="Q324" s="64"/>
    </row>
    <row r="325" spans="1:17" ht="14.4" customHeight="1">
      <c r="A325" s="66" t="s">
        <v>229</v>
      </c>
      <c r="B325" s="66">
        <v>74</v>
      </c>
      <c r="C325" s="60" t="str">
        <f>bitConcat(F326:F331)</f>
        <v>32'b00000000000000100000000000000000</v>
      </c>
      <c r="D325" s="61"/>
      <c r="E325" s="61"/>
      <c r="F325" s="61"/>
      <c r="G325" s="61"/>
      <c r="H325" s="61"/>
      <c r="I325" s="61"/>
      <c r="J325" s="61"/>
      <c r="K325" s="62"/>
      <c r="L325" s="63" t="str">
        <f t="shared" ref="L325" si="59">DEC2HEX(_xlfn.BITLSHIFT(N325,7)+4*O325)</f>
        <v>3F4</v>
      </c>
      <c r="M325" s="63"/>
      <c r="N325" s="63">
        <v>7</v>
      </c>
      <c r="O325" s="69">
        <v>29</v>
      </c>
      <c r="P325" s="54" t="str">
        <f t="shared" ref="P325" si="60">DEC2HEX(_xlfn.BITLSHIFT(N325,5)+O325*4)</f>
        <v>154</v>
      </c>
      <c r="Q325" s="54" t="str">
        <f>BIN2HEX(LEFT(RIGHT(C325,32),4))&amp;BIN2HEX(LEFT(RIGHT(C325,28),4))&amp;BIN2HEX(LEFT(RIGHT(C325,24),4))&amp;BIN2HEX(LEFT(RIGHT(C325,20),4))&amp;BIN2HEX(LEFT(RIGHT(C325,16),4))&amp;BIN2HEX(LEFT(RIGHT(C325,12),4))&amp;BIN2HEX(LEFT(RIGHT(C325,8),4))&amp;BIN2HEX(LEFT(RIGHT(C325,4),4))</f>
        <v>00020000</v>
      </c>
    </row>
    <row r="326" spans="1:17" ht="15">
      <c r="A326" s="67"/>
      <c r="B326" s="67"/>
      <c r="C326" s="23" t="s">
        <v>120</v>
      </c>
      <c r="D326" s="23">
        <v>14</v>
      </c>
      <c r="E326" s="85" t="str">
        <f>IF(D326&gt;1,(31)&amp;":"&amp;(31-D326+1),(31-D326+1)&amp;":"&amp;(31-D326+1))</f>
        <v>31:18</v>
      </c>
      <c r="F326" s="23" t="s">
        <v>145</v>
      </c>
      <c r="G326" s="23" t="s">
        <v>120</v>
      </c>
      <c r="H326" s="26" t="s">
        <v>37</v>
      </c>
      <c r="I326" s="26" t="s">
        <v>36</v>
      </c>
      <c r="J326" s="26" t="s">
        <v>6</v>
      </c>
      <c r="L326" s="55"/>
      <c r="M326" s="55"/>
      <c r="N326" s="55"/>
      <c r="O326" s="70"/>
      <c r="P326" s="55"/>
      <c r="Q326" s="55"/>
    </row>
    <row r="327" spans="1:17">
      <c r="A327" s="67"/>
      <c r="B327" s="67"/>
      <c r="C327" s="23" t="s">
        <v>159</v>
      </c>
      <c r="D327" s="23">
        <v>3</v>
      </c>
      <c r="E327" s="83" t="str">
        <f>(MID(str_cnvt(E326),SEARCH(":",str_cnvt(E326))+1,2)-1) &amp; ":" &amp; (MID(str_cnvt(E326),SEARCH(":",str_cnvt(E326))+1,2)-D327)</f>
        <v>17:15</v>
      </c>
      <c r="F327" s="23" t="s">
        <v>156</v>
      </c>
      <c r="G327" s="23" t="s">
        <v>170</v>
      </c>
      <c r="H327" s="26" t="s">
        <v>37</v>
      </c>
      <c r="I327" s="26" t="s">
        <v>36</v>
      </c>
      <c r="J327" s="26" t="s">
        <v>6</v>
      </c>
      <c r="L327" s="55"/>
      <c r="M327" s="55"/>
      <c r="N327" s="55"/>
      <c r="O327" s="70"/>
      <c r="P327" s="55"/>
      <c r="Q327" s="55"/>
    </row>
    <row r="328" spans="1:17">
      <c r="A328" s="67"/>
      <c r="B328" s="67"/>
      <c r="C328" s="23" t="s">
        <v>160</v>
      </c>
      <c r="D328" s="23">
        <v>7</v>
      </c>
      <c r="E328" s="83" t="str">
        <f>(MID(str_cnvt(E327),SEARCH(":",str_cnvt(E327))+1,2)-1) &amp; ":" &amp; (MID(str_cnvt(E327),SEARCH(":",str_cnvt(E327))+1,2)-D328)</f>
        <v>14:8</v>
      </c>
      <c r="F328" s="23" t="s">
        <v>50</v>
      </c>
      <c r="G328" s="23" t="s">
        <v>171</v>
      </c>
      <c r="H328" s="26" t="s">
        <v>37</v>
      </c>
      <c r="I328" s="26" t="s">
        <v>36</v>
      </c>
      <c r="J328" s="26" t="s">
        <v>6</v>
      </c>
      <c r="L328" s="55"/>
      <c r="M328" s="55"/>
      <c r="N328" s="55"/>
      <c r="O328" s="70"/>
      <c r="P328" s="55"/>
      <c r="Q328" s="55"/>
    </row>
    <row r="329" spans="1:17">
      <c r="A329" s="67"/>
      <c r="B329" s="67"/>
      <c r="C329" s="23" t="s">
        <v>161</v>
      </c>
      <c r="D329" s="23">
        <v>1</v>
      </c>
      <c r="E329" s="83" t="str">
        <f>(MID(str_cnvt(E328),SEARCH(":",str_cnvt(E328))+1,2)-1) &amp; ":" &amp; (MID(str_cnvt(E328),SEARCH(":",str_cnvt(E328))+1,2)-D329)</f>
        <v>7:7</v>
      </c>
      <c r="F329" s="23" t="s">
        <v>7</v>
      </c>
      <c r="G329" s="23" t="s">
        <v>172</v>
      </c>
      <c r="H329" s="26" t="s">
        <v>37</v>
      </c>
      <c r="I329" s="26" t="s">
        <v>36</v>
      </c>
      <c r="J329" s="26" t="s">
        <v>6</v>
      </c>
      <c r="L329" s="55"/>
      <c r="M329" s="55"/>
      <c r="N329" s="55"/>
      <c r="O329" s="70"/>
      <c r="P329" s="55"/>
      <c r="Q329" s="55"/>
    </row>
    <row r="330" spans="1:17">
      <c r="A330" s="67"/>
      <c r="B330" s="67"/>
      <c r="C330" s="23" t="s">
        <v>162</v>
      </c>
      <c r="D330" s="23">
        <v>6</v>
      </c>
      <c r="E330" s="83" t="str">
        <f>(MID(str_cnvt(E329),SEARCH(":",str_cnvt(E329))+1,2)-1) &amp; ":" &amp; (MID(str_cnvt(E329),SEARCH(":",str_cnvt(E329))+1,2)-D330)</f>
        <v>6:1</v>
      </c>
      <c r="F330" s="23" t="s">
        <v>54</v>
      </c>
      <c r="G330" s="23" t="s">
        <v>173</v>
      </c>
      <c r="H330" s="26" t="s">
        <v>37</v>
      </c>
      <c r="I330" s="26" t="s">
        <v>36</v>
      </c>
      <c r="J330" s="26" t="s">
        <v>6</v>
      </c>
      <c r="L330" s="55"/>
      <c r="M330" s="55"/>
      <c r="N330" s="55"/>
      <c r="O330" s="70"/>
      <c r="P330" s="55"/>
      <c r="Q330" s="55"/>
    </row>
    <row r="331" spans="1:17">
      <c r="A331" s="68"/>
      <c r="B331" s="68"/>
      <c r="C331" s="23" t="s">
        <v>163</v>
      </c>
      <c r="D331" s="23">
        <v>1</v>
      </c>
      <c r="E331" s="83" t="str">
        <f>(MID(str_cnvt(E330),SEARCH(":",str_cnvt(E330))+1,2)-1) &amp; ":" &amp; (MID(str_cnvt(E330),SEARCH(":",str_cnvt(E330))+1,2)-D331)</f>
        <v>0:0</v>
      </c>
      <c r="F331" s="23" t="s">
        <v>7</v>
      </c>
      <c r="G331" s="23" t="s">
        <v>174</v>
      </c>
      <c r="H331" s="26" t="s">
        <v>37</v>
      </c>
      <c r="I331" s="26" t="s">
        <v>36</v>
      </c>
      <c r="J331" s="26" t="s">
        <v>6</v>
      </c>
      <c r="K331" s="22"/>
      <c r="L331" s="64"/>
      <c r="M331" s="64"/>
      <c r="N331" s="64"/>
      <c r="O331" s="71"/>
      <c r="P331" s="64"/>
      <c r="Q331" s="64"/>
    </row>
    <row r="332" spans="1:17" ht="14.4" customHeight="1">
      <c r="A332" s="66" t="s">
        <v>230</v>
      </c>
      <c r="B332" s="66">
        <v>78</v>
      </c>
      <c r="C332" s="60" t="str">
        <f>bitConcat(F333:F338)</f>
        <v>32'b00000000000000100000000000000000</v>
      </c>
      <c r="D332" s="61"/>
      <c r="E332" s="61"/>
      <c r="F332" s="61"/>
      <c r="G332" s="61"/>
      <c r="H332" s="61"/>
      <c r="I332" s="61"/>
      <c r="J332" s="61"/>
      <c r="K332" s="62"/>
      <c r="L332" s="63" t="str">
        <f t="shared" ref="L332" si="61">DEC2HEX(_xlfn.BITLSHIFT(N332,7)+4*O332)</f>
        <v>3F8</v>
      </c>
      <c r="M332" s="63"/>
      <c r="N332" s="63">
        <v>7</v>
      </c>
      <c r="O332" s="69">
        <v>30</v>
      </c>
      <c r="P332" s="54" t="str">
        <f t="shared" ref="P332" si="62">DEC2HEX(_xlfn.BITLSHIFT(N332,5)+O332*4)</f>
        <v>158</v>
      </c>
      <c r="Q332" s="54" t="str">
        <f>BIN2HEX(LEFT(RIGHT(C332,32),4))&amp;BIN2HEX(LEFT(RIGHT(C332,28),4))&amp;BIN2HEX(LEFT(RIGHT(C332,24),4))&amp;BIN2HEX(LEFT(RIGHT(C332,20),4))&amp;BIN2HEX(LEFT(RIGHT(C332,16),4))&amp;BIN2HEX(LEFT(RIGHT(C332,12),4))&amp;BIN2HEX(LEFT(RIGHT(C332,8),4))&amp;BIN2HEX(LEFT(RIGHT(C332,4),4))</f>
        <v>00020000</v>
      </c>
    </row>
    <row r="333" spans="1:17" ht="15">
      <c r="A333" s="67"/>
      <c r="B333" s="67"/>
      <c r="C333" s="23" t="s">
        <v>120</v>
      </c>
      <c r="D333" s="23">
        <v>14</v>
      </c>
      <c r="E333" s="85" t="str">
        <f>IF(D333&gt;1,(31)&amp;":"&amp;(31-D333+1),(31-D333+1)&amp;":"&amp;(31-D333+1))</f>
        <v>31:18</v>
      </c>
      <c r="F333" s="23" t="s">
        <v>145</v>
      </c>
      <c r="G333" s="23" t="s">
        <v>120</v>
      </c>
      <c r="H333" s="26" t="s">
        <v>37</v>
      </c>
      <c r="I333" s="26" t="s">
        <v>36</v>
      </c>
      <c r="J333" s="26" t="s">
        <v>6</v>
      </c>
      <c r="L333" s="55"/>
      <c r="M333" s="55"/>
      <c r="N333" s="55"/>
      <c r="O333" s="70"/>
      <c r="P333" s="55"/>
      <c r="Q333" s="55"/>
    </row>
    <row r="334" spans="1:17">
      <c r="A334" s="67"/>
      <c r="B334" s="67"/>
      <c r="C334" s="23" t="s">
        <v>159</v>
      </c>
      <c r="D334" s="23">
        <v>3</v>
      </c>
      <c r="E334" s="83" t="str">
        <f>(MID(str_cnvt(E333),SEARCH(":",str_cnvt(E333))+1,2)-1) &amp; ":" &amp; (MID(str_cnvt(E333),SEARCH(":",str_cnvt(E333))+1,2)-D334)</f>
        <v>17:15</v>
      </c>
      <c r="F334" s="23" t="s">
        <v>156</v>
      </c>
      <c r="G334" s="23" t="s">
        <v>170</v>
      </c>
      <c r="H334" s="26" t="s">
        <v>37</v>
      </c>
      <c r="I334" s="26" t="s">
        <v>36</v>
      </c>
      <c r="J334" s="26" t="s">
        <v>6</v>
      </c>
      <c r="L334" s="55"/>
      <c r="M334" s="55"/>
      <c r="N334" s="55"/>
      <c r="O334" s="70"/>
      <c r="P334" s="55"/>
      <c r="Q334" s="55"/>
    </row>
    <row r="335" spans="1:17">
      <c r="A335" s="67"/>
      <c r="B335" s="67"/>
      <c r="C335" s="23" t="s">
        <v>160</v>
      </c>
      <c r="D335" s="23">
        <v>7</v>
      </c>
      <c r="E335" s="83" t="str">
        <f>(MID(str_cnvt(E334),SEARCH(":",str_cnvt(E334))+1,2)-1) &amp; ":" &amp; (MID(str_cnvt(E334),SEARCH(":",str_cnvt(E334))+1,2)-D335)</f>
        <v>14:8</v>
      </c>
      <c r="F335" s="23" t="s">
        <v>50</v>
      </c>
      <c r="G335" s="23" t="s">
        <v>171</v>
      </c>
      <c r="H335" s="26" t="s">
        <v>37</v>
      </c>
      <c r="I335" s="26" t="s">
        <v>36</v>
      </c>
      <c r="J335" s="26" t="s">
        <v>6</v>
      </c>
      <c r="L335" s="55"/>
      <c r="M335" s="55"/>
      <c r="N335" s="55"/>
      <c r="O335" s="70"/>
      <c r="P335" s="55"/>
      <c r="Q335" s="55"/>
    </row>
    <row r="336" spans="1:17">
      <c r="A336" s="67"/>
      <c r="B336" s="67"/>
      <c r="C336" s="23" t="s">
        <v>161</v>
      </c>
      <c r="D336" s="23">
        <v>1</v>
      </c>
      <c r="E336" s="83" t="str">
        <f>(MID(str_cnvt(E335),SEARCH(":",str_cnvt(E335))+1,2)-1) &amp; ":" &amp; (MID(str_cnvt(E335),SEARCH(":",str_cnvt(E335))+1,2)-D336)</f>
        <v>7:7</v>
      </c>
      <c r="F336" s="23" t="s">
        <v>7</v>
      </c>
      <c r="G336" s="23" t="s">
        <v>172</v>
      </c>
      <c r="H336" s="26" t="s">
        <v>37</v>
      </c>
      <c r="I336" s="26" t="s">
        <v>36</v>
      </c>
      <c r="J336" s="26" t="s">
        <v>6</v>
      </c>
      <c r="L336" s="55"/>
      <c r="M336" s="55"/>
      <c r="N336" s="55"/>
      <c r="O336" s="70"/>
      <c r="P336" s="55"/>
      <c r="Q336" s="55"/>
    </row>
    <row r="337" spans="1:17">
      <c r="A337" s="67"/>
      <c r="B337" s="67"/>
      <c r="C337" s="23" t="s">
        <v>162</v>
      </c>
      <c r="D337" s="23">
        <v>6</v>
      </c>
      <c r="E337" s="83" t="str">
        <f>(MID(str_cnvt(E336),SEARCH(":",str_cnvt(E336))+1,2)-1) &amp; ":" &amp; (MID(str_cnvt(E336),SEARCH(":",str_cnvt(E336))+1,2)-D337)</f>
        <v>6:1</v>
      </c>
      <c r="F337" s="23" t="s">
        <v>54</v>
      </c>
      <c r="G337" s="23" t="s">
        <v>173</v>
      </c>
      <c r="H337" s="26" t="s">
        <v>37</v>
      </c>
      <c r="I337" s="26" t="s">
        <v>36</v>
      </c>
      <c r="J337" s="26" t="s">
        <v>6</v>
      </c>
      <c r="L337" s="55"/>
      <c r="M337" s="55"/>
      <c r="N337" s="55"/>
      <c r="O337" s="70"/>
      <c r="P337" s="55"/>
      <c r="Q337" s="55"/>
    </row>
    <row r="338" spans="1:17">
      <c r="A338" s="68"/>
      <c r="B338" s="68"/>
      <c r="C338" s="23" t="s">
        <v>163</v>
      </c>
      <c r="D338" s="23">
        <v>1</v>
      </c>
      <c r="E338" s="83" t="str">
        <f>(MID(str_cnvt(E337),SEARCH(":",str_cnvt(E337))+1,2)-1) &amp; ":" &amp; (MID(str_cnvt(E337),SEARCH(":",str_cnvt(E337))+1,2)-D338)</f>
        <v>0:0</v>
      </c>
      <c r="F338" s="23" t="s">
        <v>7</v>
      </c>
      <c r="G338" s="23" t="s">
        <v>174</v>
      </c>
      <c r="H338" s="26" t="s">
        <v>37</v>
      </c>
      <c r="I338" s="26" t="s">
        <v>36</v>
      </c>
      <c r="J338" s="26" t="s">
        <v>6</v>
      </c>
      <c r="K338" s="22"/>
      <c r="L338" s="64"/>
      <c r="M338" s="64"/>
      <c r="N338" s="64"/>
      <c r="O338" s="71"/>
      <c r="P338" s="64"/>
      <c r="Q338" s="64"/>
    </row>
    <row r="339" spans="1:17" ht="14.4" customHeight="1">
      <c r="A339" s="66" t="s">
        <v>231</v>
      </c>
      <c r="B339" s="66" t="s">
        <v>166</v>
      </c>
      <c r="C339" s="60" t="str">
        <f>bitConcat(F340:F345)</f>
        <v>32'b00000000000000100000000000000000</v>
      </c>
      <c r="D339" s="61"/>
      <c r="E339" s="61"/>
      <c r="F339" s="61"/>
      <c r="G339" s="61"/>
      <c r="H339" s="61"/>
      <c r="I339" s="61"/>
      <c r="J339" s="61"/>
      <c r="K339" s="62"/>
      <c r="L339" s="63" t="str">
        <f t="shared" ref="L339" si="63">DEC2HEX(_xlfn.BITLSHIFT(N339,7)+4*O339)</f>
        <v>3FC</v>
      </c>
      <c r="M339" s="63"/>
      <c r="N339" s="63">
        <v>7</v>
      </c>
      <c r="O339" s="69">
        <v>31</v>
      </c>
      <c r="P339" s="54" t="str">
        <f t="shared" ref="P339" si="64">DEC2HEX(_xlfn.BITLSHIFT(N339,5)+O339*4)</f>
        <v>15C</v>
      </c>
      <c r="Q339" s="54" t="str">
        <f>BIN2HEX(LEFT(RIGHT(C339,32),4))&amp;BIN2HEX(LEFT(RIGHT(C339,28),4))&amp;BIN2HEX(LEFT(RIGHT(C339,24),4))&amp;BIN2HEX(LEFT(RIGHT(C339,20),4))&amp;BIN2HEX(LEFT(RIGHT(C339,16),4))&amp;BIN2HEX(LEFT(RIGHT(C339,12),4))&amp;BIN2HEX(LEFT(RIGHT(C339,8),4))&amp;BIN2HEX(LEFT(RIGHT(C339,4),4))</f>
        <v>00020000</v>
      </c>
    </row>
    <row r="340" spans="1:17" ht="15">
      <c r="A340" s="67"/>
      <c r="B340" s="67"/>
      <c r="C340" s="23" t="s">
        <v>120</v>
      </c>
      <c r="D340" s="23">
        <v>14</v>
      </c>
      <c r="E340" s="85" t="str">
        <f>IF(D340&gt;1,(31)&amp;":"&amp;(31-D340+1),(31-D340+1)&amp;":"&amp;(31-D340+1))</f>
        <v>31:18</v>
      </c>
      <c r="F340" s="23" t="s">
        <v>145</v>
      </c>
      <c r="G340" s="23" t="s">
        <v>120</v>
      </c>
      <c r="H340" s="26" t="s">
        <v>37</v>
      </c>
      <c r="I340" s="26" t="s">
        <v>36</v>
      </c>
      <c r="J340" s="26" t="s">
        <v>6</v>
      </c>
      <c r="L340" s="55"/>
      <c r="M340" s="55"/>
      <c r="N340" s="55"/>
      <c r="O340" s="70"/>
      <c r="P340" s="55"/>
      <c r="Q340" s="55"/>
    </row>
    <row r="341" spans="1:17">
      <c r="A341" s="67"/>
      <c r="B341" s="67"/>
      <c r="C341" s="23" t="s">
        <v>159</v>
      </c>
      <c r="D341" s="23">
        <v>3</v>
      </c>
      <c r="E341" s="83" t="str">
        <f>(MID(str_cnvt(E340),SEARCH(":",str_cnvt(E340))+1,2)-1) &amp; ":" &amp; (MID(str_cnvt(E340),SEARCH(":",str_cnvt(E340))+1,2)-D341)</f>
        <v>17:15</v>
      </c>
      <c r="F341" s="23" t="s">
        <v>156</v>
      </c>
      <c r="G341" s="23" t="s">
        <v>170</v>
      </c>
      <c r="H341" s="26" t="s">
        <v>37</v>
      </c>
      <c r="I341" s="26" t="s">
        <v>36</v>
      </c>
      <c r="J341" s="26" t="s">
        <v>6</v>
      </c>
      <c r="L341" s="55"/>
      <c r="M341" s="55"/>
      <c r="N341" s="55"/>
      <c r="O341" s="70"/>
      <c r="P341" s="55"/>
      <c r="Q341" s="55"/>
    </row>
    <row r="342" spans="1:17">
      <c r="A342" s="67"/>
      <c r="B342" s="67"/>
      <c r="C342" s="23" t="s">
        <v>160</v>
      </c>
      <c r="D342" s="23">
        <v>7</v>
      </c>
      <c r="E342" s="83" t="str">
        <f>(MID(str_cnvt(E341),SEARCH(":",str_cnvt(E341))+1,2)-1) &amp; ":" &amp; (MID(str_cnvt(E341),SEARCH(":",str_cnvt(E341))+1,2)-D342)</f>
        <v>14:8</v>
      </c>
      <c r="F342" s="23" t="s">
        <v>50</v>
      </c>
      <c r="G342" s="23" t="s">
        <v>171</v>
      </c>
      <c r="H342" s="26" t="s">
        <v>37</v>
      </c>
      <c r="I342" s="26" t="s">
        <v>36</v>
      </c>
      <c r="J342" s="26" t="s">
        <v>6</v>
      </c>
      <c r="L342" s="55"/>
      <c r="M342" s="55"/>
      <c r="N342" s="55"/>
      <c r="O342" s="70"/>
      <c r="P342" s="55"/>
      <c r="Q342" s="55"/>
    </row>
    <row r="343" spans="1:17">
      <c r="A343" s="67"/>
      <c r="B343" s="67"/>
      <c r="C343" s="23" t="s">
        <v>161</v>
      </c>
      <c r="D343" s="23">
        <v>1</v>
      </c>
      <c r="E343" s="83" t="str">
        <f>(MID(str_cnvt(E342),SEARCH(":",str_cnvt(E342))+1,2)-1) &amp; ":" &amp; (MID(str_cnvt(E342),SEARCH(":",str_cnvt(E342))+1,2)-D343)</f>
        <v>7:7</v>
      </c>
      <c r="F343" s="23" t="s">
        <v>7</v>
      </c>
      <c r="G343" s="23" t="s">
        <v>172</v>
      </c>
      <c r="H343" s="26" t="s">
        <v>37</v>
      </c>
      <c r="I343" s="26" t="s">
        <v>36</v>
      </c>
      <c r="J343" s="26" t="s">
        <v>6</v>
      </c>
      <c r="L343" s="55"/>
      <c r="M343" s="55"/>
      <c r="N343" s="55"/>
      <c r="O343" s="70"/>
      <c r="P343" s="55"/>
      <c r="Q343" s="55"/>
    </row>
    <row r="344" spans="1:17">
      <c r="A344" s="67"/>
      <c r="B344" s="67"/>
      <c r="C344" s="23" t="s">
        <v>162</v>
      </c>
      <c r="D344" s="23">
        <v>6</v>
      </c>
      <c r="E344" s="83" t="str">
        <f>(MID(str_cnvt(E343),SEARCH(":",str_cnvt(E343))+1,2)-1) &amp; ":" &amp; (MID(str_cnvt(E343),SEARCH(":",str_cnvt(E343))+1,2)-D344)</f>
        <v>6:1</v>
      </c>
      <c r="F344" s="23" t="s">
        <v>54</v>
      </c>
      <c r="G344" s="23" t="s">
        <v>173</v>
      </c>
      <c r="H344" s="26" t="s">
        <v>37</v>
      </c>
      <c r="I344" s="26" t="s">
        <v>36</v>
      </c>
      <c r="J344" s="26" t="s">
        <v>6</v>
      </c>
      <c r="L344" s="55"/>
      <c r="M344" s="55"/>
      <c r="N344" s="55"/>
      <c r="O344" s="70"/>
      <c r="P344" s="55"/>
      <c r="Q344" s="55"/>
    </row>
    <row r="345" spans="1:17">
      <c r="A345" s="68"/>
      <c r="B345" s="68"/>
      <c r="C345" s="23" t="s">
        <v>163</v>
      </c>
      <c r="D345" s="23">
        <v>1</v>
      </c>
      <c r="E345" s="83" t="str">
        <f>(MID(str_cnvt(E344),SEARCH(":",str_cnvt(E344))+1,2)-1) &amp; ":" &amp; (MID(str_cnvt(E344),SEARCH(":",str_cnvt(E344))+1,2)-D345)</f>
        <v>0:0</v>
      </c>
      <c r="F345" s="23" t="s">
        <v>7</v>
      </c>
      <c r="G345" s="23" t="s">
        <v>174</v>
      </c>
      <c r="H345" s="26" t="s">
        <v>37</v>
      </c>
      <c r="I345" s="26" t="s">
        <v>36</v>
      </c>
      <c r="J345" s="26" t="s">
        <v>6</v>
      </c>
      <c r="K345" s="22"/>
      <c r="L345" s="64"/>
      <c r="M345" s="64"/>
      <c r="N345" s="64"/>
      <c r="O345" s="71"/>
      <c r="P345" s="64"/>
      <c r="Q345" s="64"/>
    </row>
  </sheetData>
  <autoFilter ref="A1:CM1" xr:uid="{CDF366AE-E36A-4BA7-AF35-049CDBF6FAA7}"/>
  <mergeCells count="556">
    <mergeCell ref="Q133:Q135"/>
    <mergeCell ref="P130:P132"/>
    <mergeCell ref="Q130:Q132"/>
    <mergeCell ref="A133:A135"/>
    <mergeCell ref="B133:B135"/>
    <mergeCell ref="C133:K133"/>
    <mergeCell ref="L133:L135"/>
    <mergeCell ref="M133:M135"/>
    <mergeCell ref="N133:N135"/>
    <mergeCell ref="O133:O135"/>
    <mergeCell ref="P133:P135"/>
    <mergeCell ref="O128:O129"/>
    <mergeCell ref="P128:P129"/>
    <mergeCell ref="Q128:Q129"/>
    <mergeCell ref="A130:A132"/>
    <mergeCell ref="B130:B132"/>
    <mergeCell ref="C130:K130"/>
    <mergeCell ref="L130:L132"/>
    <mergeCell ref="M130:M132"/>
    <mergeCell ref="N130:N132"/>
    <mergeCell ref="O130:O132"/>
    <mergeCell ref="A128:A129"/>
    <mergeCell ref="B128:B129"/>
    <mergeCell ref="C128:K128"/>
    <mergeCell ref="L128:L129"/>
    <mergeCell ref="M128:M129"/>
    <mergeCell ref="N128:N129"/>
    <mergeCell ref="O120:O127"/>
    <mergeCell ref="P120:P127"/>
    <mergeCell ref="Q120:Q127"/>
    <mergeCell ref="L120:L127"/>
    <mergeCell ref="B120:B127"/>
    <mergeCell ref="A120:A127"/>
    <mergeCell ref="M120:M127"/>
    <mergeCell ref="O118:O119"/>
    <mergeCell ref="P118:P119"/>
    <mergeCell ref="Q118:Q119"/>
    <mergeCell ref="P30:P31"/>
    <mergeCell ref="A118:A119"/>
    <mergeCell ref="B118:B119"/>
    <mergeCell ref="C118:K118"/>
    <mergeCell ref="L118:L119"/>
    <mergeCell ref="M118:M119"/>
    <mergeCell ref="N118:N119"/>
    <mergeCell ref="P109:P111"/>
    <mergeCell ref="L106:L108"/>
    <mergeCell ref="M106:M108"/>
    <mergeCell ref="N106:N108"/>
    <mergeCell ref="O106:O108"/>
    <mergeCell ref="P106:P108"/>
    <mergeCell ref="P74:P81"/>
    <mergeCell ref="P52:P61"/>
    <mergeCell ref="O42:O51"/>
    <mergeCell ref="P42:P51"/>
    <mergeCell ref="L32:L41"/>
    <mergeCell ref="M32:M41"/>
    <mergeCell ref="N32:N41"/>
    <mergeCell ref="O32:O41"/>
    <mergeCell ref="A109:A111"/>
    <mergeCell ref="B109:B111"/>
    <mergeCell ref="C109:K109"/>
    <mergeCell ref="Q112:Q114"/>
    <mergeCell ref="A115:A117"/>
    <mergeCell ref="B115:B117"/>
    <mergeCell ref="C115:K115"/>
    <mergeCell ref="L115:L117"/>
    <mergeCell ref="M115:M117"/>
    <mergeCell ref="N115:N117"/>
    <mergeCell ref="O115:O117"/>
    <mergeCell ref="P115:P117"/>
    <mergeCell ref="Q115:Q117"/>
    <mergeCell ref="A112:A114"/>
    <mergeCell ref="B112:B114"/>
    <mergeCell ref="C112:K112"/>
    <mergeCell ref="L112:L114"/>
    <mergeCell ref="M112:M114"/>
    <mergeCell ref="N112:N114"/>
    <mergeCell ref="O112:O114"/>
    <mergeCell ref="P112:P114"/>
    <mergeCell ref="A106:A108"/>
    <mergeCell ref="B106:B108"/>
    <mergeCell ref="A98:A105"/>
    <mergeCell ref="B98:B105"/>
    <mergeCell ref="C98:K98"/>
    <mergeCell ref="L98:L105"/>
    <mergeCell ref="M98:M105"/>
    <mergeCell ref="N98:N105"/>
    <mergeCell ref="Q109:Q111"/>
    <mergeCell ref="L109:L111"/>
    <mergeCell ref="M109:M111"/>
    <mergeCell ref="N109:N111"/>
    <mergeCell ref="Q106:Q108"/>
    <mergeCell ref="O109:O111"/>
    <mergeCell ref="O98:O105"/>
    <mergeCell ref="P98:P105"/>
    <mergeCell ref="Q98:Q105"/>
    <mergeCell ref="C106:K106"/>
    <mergeCell ref="Q82:Q89"/>
    <mergeCell ref="A90:A97"/>
    <mergeCell ref="B90:B97"/>
    <mergeCell ref="C90:K90"/>
    <mergeCell ref="L90:L97"/>
    <mergeCell ref="M90:M97"/>
    <mergeCell ref="N90:N97"/>
    <mergeCell ref="O90:O97"/>
    <mergeCell ref="P90:P97"/>
    <mergeCell ref="Q90:Q97"/>
    <mergeCell ref="A82:A89"/>
    <mergeCell ref="B82:B89"/>
    <mergeCell ref="C82:K82"/>
    <mergeCell ref="L82:L89"/>
    <mergeCell ref="M82:M89"/>
    <mergeCell ref="N82:N89"/>
    <mergeCell ref="O82:O89"/>
    <mergeCell ref="P82:P89"/>
    <mergeCell ref="L74:L81"/>
    <mergeCell ref="M74:M81"/>
    <mergeCell ref="O74:O81"/>
    <mergeCell ref="N74:N81"/>
    <mergeCell ref="C74:K74"/>
    <mergeCell ref="A74:A81"/>
    <mergeCell ref="B74:B81"/>
    <mergeCell ref="L72:L73"/>
    <mergeCell ref="Q62:Q71"/>
    <mergeCell ref="A72:A73"/>
    <mergeCell ref="B72:B73"/>
    <mergeCell ref="C72:K72"/>
    <mergeCell ref="M72:M73"/>
    <mergeCell ref="N72:N73"/>
    <mergeCell ref="O72:O73"/>
    <mergeCell ref="P72:P73"/>
    <mergeCell ref="Q74:Q81"/>
    <mergeCell ref="A62:A71"/>
    <mergeCell ref="B62:B71"/>
    <mergeCell ref="C62:K62"/>
    <mergeCell ref="L62:L71"/>
    <mergeCell ref="M62:M71"/>
    <mergeCell ref="N62:N71"/>
    <mergeCell ref="O62:O71"/>
    <mergeCell ref="P62:P71"/>
    <mergeCell ref="Q72:Q73"/>
    <mergeCell ref="Q42:Q51"/>
    <mergeCell ref="A52:A61"/>
    <mergeCell ref="B52:B61"/>
    <mergeCell ref="C52:K52"/>
    <mergeCell ref="L52:L61"/>
    <mergeCell ref="M52:M61"/>
    <mergeCell ref="N52:N61"/>
    <mergeCell ref="O52:O61"/>
    <mergeCell ref="A42:A51"/>
    <mergeCell ref="B42:B51"/>
    <mergeCell ref="C42:K42"/>
    <mergeCell ref="L42:L51"/>
    <mergeCell ref="M42:M51"/>
    <mergeCell ref="N42:N51"/>
    <mergeCell ref="Q52:Q61"/>
    <mergeCell ref="P18:P24"/>
    <mergeCell ref="Q18:Q24"/>
    <mergeCell ref="C18:K18"/>
    <mergeCell ref="C25:K25"/>
    <mergeCell ref="P10:P17"/>
    <mergeCell ref="Q10:Q17"/>
    <mergeCell ref="P32:P41"/>
    <mergeCell ref="Q32:Q41"/>
    <mergeCell ref="A32:A41"/>
    <mergeCell ref="B32:B41"/>
    <mergeCell ref="C32:K32"/>
    <mergeCell ref="L25:L29"/>
    <mergeCell ref="M25:M29"/>
    <mergeCell ref="N25:N29"/>
    <mergeCell ref="O25:O29"/>
    <mergeCell ref="P25:P29"/>
    <mergeCell ref="Q25:Q29"/>
    <mergeCell ref="A25:A29"/>
    <mergeCell ref="B25:B29"/>
    <mergeCell ref="A30:A31"/>
    <mergeCell ref="B30:B31"/>
    <mergeCell ref="C30:K30"/>
    <mergeCell ref="N30:N31"/>
    <mergeCell ref="O30:O31"/>
    <mergeCell ref="B10:B17"/>
    <mergeCell ref="A10:A17"/>
    <mergeCell ref="A18:A24"/>
    <mergeCell ref="B18:B24"/>
    <mergeCell ref="C10:K10"/>
    <mergeCell ref="L10:L17"/>
    <mergeCell ref="M10:M17"/>
    <mergeCell ref="N10:N17"/>
    <mergeCell ref="O10:O17"/>
    <mergeCell ref="L18:L24"/>
    <mergeCell ref="M18:M24"/>
    <mergeCell ref="N18:N24"/>
    <mergeCell ref="O18:O24"/>
    <mergeCell ref="L2:L9"/>
    <mergeCell ref="P2:P9"/>
    <mergeCell ref="Q2:Q9"/>
    <mergeCell ref="M2:M9"/>
    <mergeCell ref="N2:N9"/>
    <mergeCell ref="O2:O9"/>
    <mergeCell ref="C2:K2"/>
    <mergeCell ref="A2:A9"/>
    <mergeCell ref="B2:B9"/>
    <mergeCell ref="A136:A137"/>
    <mergeCell ref="B136:B137"/>
    <mergeCell ref="C136:K136"/>
    <mergeCell ref="L136:L137"/>
    <mergeCell ref="M136:M137"/>
    <mergeCell ref="N136:N137"/>
    <mergeCell ref="O136:O137"/>
    <mergeCell ref="P136:P137"/>
    <mergeCell ref="Q136:Q137"/>
    <mergeCell ref="A138:A139"/>
    <mergeCell ref="B138:B139"/>
    <mergeCell ref="C138:K138"/>
    <mergeCell ref="L138:L139"/>
    <mergeCell ref="M138:M139"/>
    <mergeCell ref="N138:N139"/>
    <mergeCell ref="O138:O139"/>
    <mergeCell ref="P138:P139"/>
    <mergeCell ref="Q138:Q139"/>
    <mergeCell ref="A140:A141"/>
    <mergeCell ref="B140:B141"/>
    <mergeCell ref="C140:K140"/>
    <mergeCell ref="L140:L141"/>
    <mergeCell ref="M140:M141"/>
    <mergeCell ref="N140:N141"/>
    <mergeCell ref="O140:O141"/>
    <mergeCell ref="P140:P141"/>
    <mergeCell ref="Q140:Q141"/>
    <mergeCell ref="A142:A143"/>
    <mergeCell ref="B142:B143"/>
    <mergeCell ref="C142:K142"/>
    <mergeCell ref="L142:L143"/>
    <mergeCell ref="M142:M143"/>
    <mergeCell ref="N142:N143"/>
    <mergeCell ref="O142:O143"/>
    <mergeCell ref="P142:P143"/>
    <mergeCell ref="Q142:Q143"/>
    <mergeCell ref="A144:A145"/>
    <mergeCell ref="B144:B145"/>
    <mergeCell ref="C144:K144"/>
    <mergeCell ref="L144:L145"/>
    <mergeCell ref="M144:M145"/>
    <mergeCell ref="N144:N145"/>
    <mergeCell ref="O144:O145"/>
    <mergeCell ref="P144:P145"/>
    <mergeCell ref="Q144:Q145"/>
    <mergeCell ref="Q30:Q31"/>
    <mergeCell ref="A150:A151"/>
    <mergeCell ref="B150:B151"/>
    <mergeCell ref="C150:K150"/>
    <mergeCell ref="L150:L151"/>
    <mergeCell ref="M150:M151"/>
    <mergeCell ref="N150:N151"/>
    <mergeCell ref="O150:O151"/>
    <mergeCell ref="P150:P151"/>
    <mergeCell ref="Q150:Q151"/>
    <mergeCell ref="A148:A149"/>
    <mergeCell ref="B148:B149"/>
    <mergeCell ref="C148:K148"/>
    <mergeCell ref="L148:L149"/>
    <mergeCell ref="M148:M149"/>
    <mergeCell ref="N148:N149"/>
    <mergeCell ref="O148:O149"/>
    <mergeCell ref="P148:P149"/>
    <mergeCell ref="Q148:Q149"/>
    <mergeCell ref="A146:A147"/>
    <mergeCell ref="B146:B147"/>
    <mergeCell ref="C146:K146"/>
    <mergeCell ref="L146:L147"/>
    <mergeCell ref="M146:M147"/>
    <mergeCell ref="A154:A158"/>
    <mergeCell ref="B154:B158"/>
    <mergeCell ref="A152:A153"/>
    <mergeCell ref="B152:B153"/>
    <mergeCell ref="C152:K152"/>
    <mergeCell ref="L152:L153"/>
    <mergeCell ref="M152:M153"/>
    <mergeCell ref="N152:N153"/>
    <mergeCell ref="O152:O153"/>
    <mergeCell ref="C204:K204"/>
    <mergeCell ref="C199:K199"/>
    <mergeCell ref="C194:K194"/>
    <mergeCell ref="C189:K189"/>
    <mergeCell ref="L154:L158"/>
    <mergeCell ref="M154:M158"/>
    <mergeCell ref="N154:N158"/>
    <mergeCell ref="O154:O158"/>
    <mergeCell ref="C154:K154"/>
    <mergeCell ref="L189:L193"/>
    <mergeCell ref="M189:M193"/>
    <mergeCell ref="N189:N193"/>
    <mergeCell ref="O189:O193"/>
    <mergeCell ref="C234:K234"/>
    <mergeCell ref="A234:A240"/>
    <mergeCell ref="L234:L240"/>
    <mergeCell ref="M234:M240"/>
    <mergeCell ref="N234:N240"/>
    <mergeCell ref="O234:O240"/>
    <mergeCell ref="P234:P240"/>
    <mergeCell ref="Q234:Q240"/>
    <mergeCell ref="B234:B240"/>
    <mergeCell ref="A159:A163"/>
    <mergeCell ref="B159:B163"/>
    <mergeCell ref="C159:K159"/>
    <mergeCell ref="L159:L163"/>
    <mergeCell ref="M159:M163"/>
    <mergeCell ref="N159:N163"/>
    <mergeCell ref="O159:O163"/>
    <mergeCell ref="P159:P163"/>
    <mergeCell ref="Q159:Q163"/>
    <mergeCell ref="A241:A247"/>
    <mergeCell ref="B241:B247"/>
    <mergeCell ref="C241:K241"/>
    <mergeCell ref="L241:L247"/>
    <mergeCell ref="M241:M247"/>
    <mergeCell ref="N241:N247"/>
    <mergeCell ref="O241:O247"/>
    <mergeCell ref="P241:P247"/>
    <mergeCell ref="Q241:Q247"/>
    <mergeCell ref="A164:A168"/>
    <mergeCell ref="B164:B168"/>
    <mergeCell ref="C164:K164"/>
    <mergeCell ref="L164:L168"/>
    <mergeCell ref="M164:M168"/>
    <mergeCell ref="N164:N168"/>
    <mergeCell ref="O164:O168"/>
    <mergeCell ref="P164:P168"/>
    <mergeCell ref="Q164:Q168"/>
    <mergeCell ref="A248:A254"/>
    <mergeCell ref="B248:B254"/>
    <mergeCell ref="C248:K248"/>
    <mergeCell ref="L248:L254"/>
    <mergeCell ref="M248:M254"/>
    <mergeCell ref="N248:N254"/>
    <mergeCell ref="O248:O254"/>
    <mergeCell ref="P248:P254"/>
    <mergeCell ref="Q248:Q254"/>
    <mergeCell ref="A169:A173"/>
    <mergeCell ref="B169:B173"/>
    <mergeCell ref="C169:K169"/>
    <mergeCell ref="L169:L173"/>
    <mergeCell ref="M169:M173"/>
    <mergeCell ref="N169:N173"/>
    <mergeCell ref="O169:O173"/>
    <mergeCell ref="P169:P173"/>
    <mergeCell ref="Q169:Q173"/>
    <mergeCell ref="A255:A261"/>
    <mergeCell ref="B255:B261"/>
    <mergeCell ref="C255:K255"/>
    <mergeCell ref="L255:L261"/>
    <mergeCell ref="M255:M261"/>
    <mergeCell ref="N255:N261"/>
    <mergeCell ref="O255:O261"/>
    <mergeCell ref="P255:P261"/>
    <mergeCell ref="Q255:Q261"/>
    <mergeCell ref="A174:A178"/>
    <mergeCell ref="B174:B178"/>
    <mergeCell ref="C174:K174"/>
    <mergeCell ref="L174:L178"/>
    <mergeCell ref="M174:M178"/>
    <mergeCell ref="N174:N178"/>
    <mergeCell ref="O174:O178"/>
    <mergeCell ref="P174:P178"/>
    <mergeCell ref="Q174:Q178"/>
    <mergeCell ref="A262:A268"/>
    <mergeCell ref="B262:B268"/>
    <mergeCell ref="C262:K262"/>
    <mergeCell ref="L262:L268"/>
    <mergeCell ref="M262:M268"/>
    <mergeCell ref="N262:N268"/>
    <mergeCell ref="O262:O268"/>
    <mergeCell ref="P262:P268"/>
    <mergeCell ref="Q262:Q268"/>
    <mergeCell ref="A179:A183"/>
    <mergeCell ref="B179:B183"/>
    <mergeCell ref="C179:K179"/>
    <mergeCell ref="L179:L183"/>
    <mergeCell ref="M179:M183"/>
    <mergeCell ref="N179:N183"/>
    <mergeCell ref="O179:O183"/>
    <mergeCell ref="P179:P183"/>
    <mergeCell ref="Q179:Q183"/>
    <mergeCell ref="A269:A275"/>
    <mergeCell ref="B269:B275"/>
    <mergeCell ref="C269:K269"/>
    <mergeCell ref="L269:L275"/>
    <mergeCell ref="M269:M275"/>
    <mergeCell ref="N269:N275"/>
    <mergeCell ref="O269:O275"/>
    <mergeCell ref="P269:P275"/>
    <mergeCell ref="Q269:Q275"/>
    <mergeCell ref="A184:A188"/>
    <mergeCell ref="B184:B188"/>
    <mergeCell ref="C184:K184"/>
    <mergeCell ref="L184:L188"/>
    <mergeCell ref="M184:M188"/>
    <mergeCell ref="N184:N188"/>
    <mergeCell ref="O184:O188"/>
    <mergeCell ref="P184:P188"/>
    <mergeCell ref="Q184:Q188"/>
    <mergeCell ref="L283:L289"/>
    <mergeCell ref="M283:M289"/>
    <mergeCell ref="N283:N289"/>
    <mergeCell ref="O283:O289"/>
    <mergeCell ref="P283:P289"/>
    <mergeCell ref="Q283:Q289"/>
    <mergeCell ref="A276:A282"/>
    <mergeCell ref="B276:B282"/>
    <mergeCell ref="C276:K276"/>
    <mergeCell ref="L276:L282"/>
    <mergeCell ref="M276:M282"/>
    <mergeCell ref="N276:N282"/>
    <mergeCell ref="O276:O282"/>
    <mergeCell ref="P276:P282"/>
    <mergeCell ref="Q276:Q282"/>
    <mergeCell ref="M297:M303"/>
    <mergeCell ref="N297:N303"/>
    <mergeCell ref="O297:O303"/>
    <mergeCell ref="P297:P303"/>
    <mergeCell ref="Q297:Q303"/>
    <mergeCell ref="A290:A296"/>
    <mergeCell ref="B290:B296"/>
    <mergeCell ref="C290:K290"/>
    <mergeCell ref="L290:L296"/>
    <mergeCell ref="M290:M296"/>
    <mergeCell ref="N290:N296"/>
    <mergeCell ref="O290:O296"/>
    <mergeCell ref="P290:P296"/>
    <mergeCell ref="Q290:Q296"/>
    <mergeCell ref="M311:M317"/>
    <mergeCell ref="N311:N317"/>
    <mergeCell ref="O311:O317"/>
    <mergeCell ref="P311:P317"/>
    <mergeCell ref="Q311:Q317"/>
    <mergeCell ref="A304:A310"/>
    <mergeCell ref="B304:B310"/>
    <mergeCell ref="C304:K304"/>
    <mergeCell ref="L304:L310"/>
    <mergeCell ref="M304:M310"/>
    <mergeCell ref="N304:N310"/>
    <mergeCell ref="O304:O310"/>
    <mergeCell ref="P304:P310"/>
    <mergeCell ref="Q304:Q310"/>
    <mergeCell ref="M325:M331"/>
    <mergeCell ref="N325:N331"/>
    <mergeCell ref="O325:O331"/>
    <mergeCell ref="P325:P331"/>
    <mergeCell ref="Q325:Q331"/>
    <mergeCell ref="A318:A324"/>
    <mergeCell ref="B318:B324"/>
    <mergeCell ref="C318:K318"/>
    <mergeCell ref="L318:L324"/>
    <mergeCell ref="M318:M324"/>
    <mergeCell ref="N318:N324"/>
    <mergeCell ref="O318:O324"/>
    <mergeCell ref="P318:P324"/>
    <mergeCell ref="Q318:Q324"/>
    <mergeCell ref="M339:M345"/>
    <mergeCell ref="N339:N345"/>
    <mergeCell ref="O339:O345"/>
    <mergeCell ref="P339:P345"/>
    <mergeCell ref="Q339:Q345"/>
    <mergeCell ref="A332:A338"/>
    <mergeCell ref="B332:B338"/>
    <mergeCell ref="C332:K332"/>
    <mergeCell ref="L332:L338"/>
    <mergeCell ref="M332:M338"/>
    <mergeCell ref="N332:N338"/>
    <mergeCell ref="O332:O338"/>
    <mergeCell ref="P332:P338"/>
    <mergeCell ref="Q332:Q338"/>
    <mergeCell ref="C229:K229"/>
    <mergeCell ref="C224:K224"/>
    <mergeCell ref="C219:K219"/>
    <mergeCell ref="C214:K214"/>
    <mergeCell ref="C209:K209"/>
    <mergeCell ref="A339:A345"/>
    <mergeCell ref="B339:B345"/>
    <mergeCell ref="C339:K339"/>
    <mergeCell ref="L339:L345"/>
    <mergeCell ref="A325:A331"/>
    <mergeCell ref="B325:B331"/>
    <mergeCell ref="C325:K325"/>
    <mergeCell ref="L325:L331"/>
    <mergeCell ref="A311:A317"/>
    <mergeCell ref="B311:B317"/>
    <mergeCell ref="C311:K311"/>
    <mergeCell ref="L311:L317"/>
    <mergeCell ref="A297:A303"/>
    <mergeCell ref="B297:B303"/>
    <mergeCell ref="C297:K297"/>
    <mergeCell ref="L297:L303"/>
    <mergeCell ref="A283:A289"/>
    <mergeCell ref="B283:B289"/>
    <mergeCell ref="C283:K283"/>
    <mergeCell ref="L229:L233"/>
    <mergeCell ref="M229:M233"/>
    <mergeCell ref="N229:N233"/>
    <mergeCell ref="O229:O233"/>
    <mergeCell ref="P229:P233"/>
    <mergeCell ref="Q229:Q233"/>
    <mergeCell ref="L224:L228"/>
    <mergeCell ref="M224:M228"/>
    <mergeCell ref="N224:N228"/>
    <mergeCell ref="O224:O228"/>
    <mergeCell ref="P224:P228"/>
    <mergeCell ref="Q224:Q228"/>
    <mergeCell ref="L219:L223"/>
    <mergeCell ref="M219:M223"/>
    <mergeCell ref="N219:N223"/>
    <mergeCell ref="O219:O223"/>
    <mergeCell ref="P219:P223"/>
    <mergeCell ref="Q219:Q223"/>
    <mergeCell ref="L214:L218"/>
    <mergeCell ref="M214:M218"/>
    <mergeCell ref="N214:N218"/>
    <mergeCell ref="O214:O218"/>
    <mergeCell ref="P214:P218"/>
    <mergeCell ref="Q214:Q218"/>
    <mergeCell ref="L209:L213"/>
    <mergeCell ref="M209:M213"/>
    <mergeCell ref="N209:N213"/>
    <mergeCell ref="O209:O213"/>
    <mergeCell ref="P209:P213"/>
    <mergeCell ref="Q209:Q213"/>
    <mergeCell ref="L204:L208"/>
    <mergeCell ref="M204:M208"/>
    <mergeCell ref="N204:N208"/>
    <mergeCell ref="O204:O208"/>
    <mergeCell ref="P204:P208"/>
    <mergeCell ref="Q204:Q208"/>
    <mergeCell ref="P189:P193"/>
    <mergeCell ref="Q189:Q193"/>
    <mergeCell ref="C120:K120"/>
    <mergeCell ref="L199:L203"/>
    <mergeCell ref="M199:M203"/>
    <mergeCell ref="N199:N203"/>
    <mergeCell ref="O199:O203"/>
    <mergeCell ref="P199:P203"/>
    <mergeCell ref="Q199:Q203"/>
    <mergeCell ref="L194:L198"/>
    <mergeCell ref="M194:M198"/>
    <mergeCell ref="N194:N198"/>
    <mergeCell ref="O194:O198"/>
    <mergeCell ref="P194:P198"/>
    <mergeCell ref="Q194:Q198"/>
    <mergeCell ref="P154:P158"/>
    <mergeCell ref="Q154:Q158"/>
    <mergeCell ref="P152:P153"/>
    <mergeCell ref="Q152:Q153"/>
    <mergeCell ref="N146:N147"/>
    <mergeCell ref="O146:O147"/>
    <mergeCell ref="P146:P147"/>
    <mergeCell ref="Q146:Q147"/>
    <mergeCell ref="N120:N127"/>
  </mergeCells>
  <dataValidations disablePrompts="1" xWindow="1500" yWindow="789" count="6">
    <dataValidation allowBlank="1" showInputMessage="1" sqref="F1:F2 F10 F18 F25 F30 F32 F42 F52 F62 F72 F74 F82 F90 F98 F106 F109 F112 F115 F118 F120 F128 F133 F130 F136 F138 F140 F142 F144 F146 F148 F150 F152 F154 F234 F159 F241 F164 F248 F169 F255 F174 F262 F179 F269 F184 F276 F311 F283 F339 F290 F318 F297 F332 F304 F325" xr:uid="{612AF50E-C9FD-4DD6-BF62-1C160D652A6E}"/>
    <dataValidation allowBlank="1" showInputMessage="1" showErrorMessage="1" prompt="8 bit Hexa number between 0x0 and 0xff. Offset within register space for block" sqref="B1:B2 L1:Q2 L18:Q18 L25:Q25 L30:Q30 L32:Q32 L42:Q42 L52:Q52 L62:Q62 L72:Q72 L74:Q74 L82:Q82 L90:Q90 L98:Q98 L106:Q106 L109:Q109 L112:Q112 L115:Q115 L118:Q118 L120:Q120 L128:Q128 L130:Q130 L133:Q133 L136:Q136 L138:Q138 L140:Q140 L142:Q142 L144:Q144 L146:Q146 L148:Q148 L150:Q150 L152:Q152 L10:Q10 L154:Q154 L234:Q234 L159:Q159 L241:Q241 L164:Q164 L248:Q248 L169:Q169 L255:Q255 L174:Q174 L262:Q262 L179:Q179 L269:Q269 L184:Q184 L276:Q276 L189:Q189 L283:Q283 L194:Q194 L290:Q290 L199:Q199 L297:Q297 L204:Q204 L304:Q304 L209:Q209 L311:Q311 L214:Q214 L318:Q318 L219:Q219 L325:Q325 L224:Q224 L332:Q332 L229:Q229 L339:Q339" xr:uid="{D81948FD-27C8-4973-81CD-E25CBAB1144F}">
      <formula1>0</formula1>
      <formula2>0</formula2>
    </dataValidation>
    <dataValidation type="list" allowBlank="1" showErrorMessage="1" sqref="H1" xr:uid="{0A824EE4-D492-45A8-A1E0-C1EDD56D76E7}">
      <formula1>"WR,RO"</formula1>
    </dataValidation>
    <dataValidation type="list" allowBlank="1" showInputMessage="1" showErrorMessage="1" sqref="J3:J9 J11:J17 J19:J24 J26:J29 J31 J33:J41 J43:J51 J53:J61 J63:J71 J73 J107:J108 J110:J111 J113:J114 J119 J121:J127 J129 J131:J132 J134:J135 J137 J139 J141 J143 J145 J147 J149 J151 J153 J155:J158 J235:J240 J160:J163 J242:J247 J165:J168 J249:J254 J170:J173 J256:J261 J175:J178 J263:J268 J180:J183 J270:J275 J185:J188 J277:J282 J190:J193 J284:J289 J195:J198 J291:J296 J200:J203 J298:J303 J205:J208 J305:J310 J210:J213 J312:J317 J215:J218 J319:J324 J220:J223 J326:J331 J225:J228 J333:J338 J230:J233 J340:J345 J116:J117 J75:J81 J83:J89 J91:J97 J99:J105" xr:uid="{AC749C82-0512-42A4-B2DB-D2A91DEA7185}">
      <formula1>BOOLEAN</formula1>
    </dataValidation>
    <dataValidation type="list" allowBlank="1" showInputMessage="1" showErrorMessage="1" sqref="H3:H9 H11:H17 H19:H24 H26:H29 H31 H33:H41 H43:H51 H53:H61 H63:H71 H73 H107:H108 H110:H111 H113:H114 H119 H121:H127 H129 H131:H132 H134:H135 H137 H139 H141 H143 H145 H147 H149 H151 H153 H155:H158 H235:H240 H160:H163 H242:H247 H165:H168 H249:H254 H170:H173 H256:H261 H175:H178 H263:H268 H180:H183 H270:H275 H185:H188 H277:H282 H190:H193 H284:H289 H195:H198 H291:H296 H200:H203 H298:H303 H205:H208 H305:H310 H210:H213 H312:H317 H215:H218 H319:H324 H220:H223 H326:H331 H225:H228 H333:H338 H230:H233 H340:H345 H116:H117 H75:H81 H83:H89 H91:H97 H99:H105" xr:uid="{524FEE75-ECDF-4756-A0FC-A6039E5325A2}">
      <formula1>"WR,RO"</formula1>
    </dataValidation>
    <dataValidation type="list" allowBlank="1" sqref="I230:I345 I225:I228 I220:I223 I215:I218 I210:I213 I205:I208 I200:I203 I195:I198 I190:I193 I1:I188" xr:uid="{7ABBDD09-B880-4093-AB38-743AE9A0EBFA}">
      <formula1>"Default, Soft Strap, Hard Strap, Fuse"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9:H15"/>
  <sheetViews>
    <sheetView workbookViewId="0">
      <selection activeCell="A10" sqref="A10"/>
    </sheetView>
  </sheetViews>
  <sheetFormatPr defaultRowHeight="14.4"/>
  <cols>
    <col min="1" max="1" width="13.44140625" customWidth="1"/>
  </cols>
  <sheetData>
    <row r="9" spans="1:8">
      <c r="D9" t="s">
        <v>17</v>
      </c>
    </row>
    <row r="10" spans="1:8">
      <c r="A10" t="s">
        <v>5</v>
      </c>
      <c r="C10" t="s">
        <v>15</v>
      </c>
      <c r="D10" t="s">
        <v>18</v>
      </c>
      <c r="F10" t="s">
        <v>11</v>
      </c>
      <c r="H10" t="s">
        <v>8</v>
      </c>
    </row>
    <row r="11" spans="1:8">
      <c r="A11" t="s">
        <v>20</v>
      </c>
      <c r="C11" t="s">
        <v>16</v>
      </c>
      <c r="D11" t="s">
        <v>19</v>
      </c>
      <c r="F11" t="s">
        <v>12</v>
      </c>
      <c r="H11" t="s">
        <v>6</v>
      </c>
    </row>
    <row r="12" spans="1:8">
      <c r="A12" t="s">
        <v>9</v>
      </c>
      <c r="C12" t="s">
        <v>13</v>
      </c>
    </row>
    <row r="13" spans="1:8">
      <c r="A13" t="s">
        <v>10</v>
      </c>
    </row>
    <row r="14" spans="1:8">
      <c r="A14" t="s">
        <v>14</v>
      </c>
    </row>
    <row r="15" spans="1:8">
      <c r="A15" t="s">
        <v>22</v>
      </c>
    </row>
  </sheetData>
  <customSheetViews>
    <customSheetView guid="{2BBBE5B5-B14C-4BF7-9B95-9EEB3666FF3B}" state="hidden">
      <selection activeCell="D22" sqref="D22"/>
      <pageMargins left="0.7" right="0.7" top="0.75" bottom="0.75" header="0.51180555555555551" footer="0.51180555555555551"/>
      <pageSetup firstPageNumber="0" orientation="portrait" horizontalDpi="300" verticalDpi="300"/>
      <headerFooter alignWithMargins="0"/>
    </customSheetView>
  </customSheetViews>
  <pageMargins left="0.7" right="0.7" top="0.75" bottom="0.75" header="0.51180555555555551" footer="0.51180555555555551"/>
  <pageSetup firstPageNumber="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6"/>
  <sheetViews>
    <sheetView workbookViewId="0">
      <selection activeCell="A40" sqref="A40"/>
    </sheetView>
  </sheetViews>
  <sheetFormatPr defaultRowHeight="14.4"/>
  <cols>
    <col min="1" max="1" width="9.5546875" bestFit="1" customWidth="1"/>
    <col min="2" max="2" width="14" bestFit="1" customWidth="1"/>
  </cols>
  <sheetData>
    <row r="1" spans="1:8" ht="15" thickBot="1">
      <c r="A1" s="8" t="s">
        <v>27</v>
      </c>
      <c r="B1" s="10" t="s">
        <v>28</v>
      </c>
      <c r="C1" s="9"/>
      <c r="D1" s="10"/>
      <c r="E1" s="9"/>
      <c r="F1" s="10"/>
      <c r="G1" s="9"/>
      <c r="H1" s="10"/>
    </row>
    <row r="2" spans="1:8">
      <c r="A2" s="5" t="s">
        <v>25</v>
      </c>
      <c r="B2" s="3" t="s">
        <v>30</v>
      </c>
      <c r="C2" s="2"/>
      <c r="D2" s="3"/>
      <c r="E2" s="2"/>
      <c r="F2" s="3"/>
      <c r="G2" s="2"/>
      <c r="H2" s="3"/>
    </row>
    <row r="3" spans="1:8">
      <c r="A3" s="5" t="s">
        <v>26</v>
      </c>
      <c r="B3" s="3" t="s">
        <v>29</v>
      </c>
      <c r="C3" s="2"/>
      <c r="D3" s="3"/>
      <c r="E3" s="2"/>
      <c r="F3" s="3"/>
      <c r="G3" s="2"/>
      <c r="H3" s="3"/>
    </row>
    <row r="4" spans="1:8">
      <c r="A4" s="5"/>
      <c r="B4" s="3" t="s">
        <v>31</v>
      </c>
      <c r="C4" s="2"/>
      <c r="D4" s="3"/>
      <c r="E4" s="2"/>
      <c r="F4" s="3"/>
      <c r="G4" s="2"/>
      <c r="H4" s="3"/>
    </row>
    <row r="5" spans="1:8">
      <c r="A5" s="5"/>
      <c r="B5" s="3" t="s">
        <v>32</v>
      </c>
      <c r="C5" s="2"/>
      <c r="D5" s="3"/>
      <c r="E5" s="2"/>
      <c r="F5" s="3"/>
      <c r="G5" s="2"/>
      <c r="H5" s="3"/>
    </row>
    <row r="6" spans="1:8">
      <c r="A6" s="5"/>
      <c r="B6" s="3"/>
      <c r="C6" s="2"/>
      <c r="D6" s="3"/>
      <c r="E6" s="2"/>
      <c r="F6" s="3"/>
      <c r="G6" s="2"/>
      <c r="H6" s="3"/>
    </row>
    <row r="7" spans="1:8">
      <c r="A7" s="5"/>
      <c r="B7" s="3"/>
      <c r="C7" s="2"/>
      <c r="D7" s="3"/>
      <c r="E7" s="2"/>
      <c r="F7" s="3"/>
      <c r="G7" s="2"/>
      <c r="H7" s="3"/>
    </row>
    <row r="8" spans="1:8">
      <c r="A8" s="5"/>
      <c r="B8" s="3"/>
      <c r="C8" s="2"/>
      <c r="D8" s="3"/>
      <c r="E8" s="2"/>
      <c r="F8" s="3"/>
      <c r="G8" s="2"/>
      <c r="H8" s="3"/>
    </row>
    <row r="9" spans="1:8">
      <c r="A9" s="5"/>
      <c r="B9" s="3"/>
      <c r="C9" s="2"/>
      <c r="D9" s="3"/>
      <c r="E9" s="2"/>
      <c r="F9" s="3"/>
      <c r="G9" s="2"/>
      <c r="H9" s="3"/>
    </row>
    <row r="10" spans="1:8">
      <c r="A10" s="5"/>
      <c r="B10" s="3"/>
      <c r="C10" s="2"/>
      <c r="D10" s="3"/>
      <c r="E10" s="2"/>
      <c r="F10" s="3"/>
      <c r="G10" s="2"/>
      <c r="H10" s="3"/>
    </row>
    <row r="11" spans="1:8">
      <c r="A11" s="5"/>
      <c r="B11" s="3"/>
      <c r="C11" s="2"/>
      <c r="D11" s="3"/>
      <c r="E11" s="2"/>
      <c r="F11" s="3"/>
      <c r="G11" s="2"/>
      <c r="H11" s="3"/>
    </row>
    <row r="12" spans="1:8">
      <c r="A12" s="5"/>
      <c r="B12" s="3"/>
      <c r="C12" s="2"/>
      <c r="D12" s="3"/>
      <c r="E12" s="2"/>
      <c r="F12" s="3"/>
      <c r="G12" s="2"/>
      <c r="H12" s="3"/>
    </row>
    <row r="13" spans="1:8">
      <c r="A13" s="5"/>
      <c r="B13" s="3"/>
      <c r="C13" s="2"/>
      <c r="D13" s="3"/>
      <c r="E13" s="2"/>
      <c r="F13" s="3"/>
      <c r="G13" s="2"/>
      <c r="H13" s="3"/>
    </row>
    <row r="14" spans="1:8">
      <c r="A14" s="5"/>
      <c r="B14" s="3"/>
      <c r="C14" s="2"/>
      <c r="D14" s="3"/>
      <c r="E14" s="2"/>
      <c r="F14" s="3"/>
      <c r="G14" s="2"/>
      <c r="H14" s="3"/>
    </row>
    <row r="15" spans="1:8">
      <c r="A15" s="5"/>
      <c r="B15" s="3"/>
      <c r="C15" s="2"/>
      <c r="D15" s="3"/>
      <c r="E15" s="2"/>
      <c r="F15" s="3"/>
      <c r="G15" s="2"/>
      <c r="H15" s="3"/>
    </row>
    <row r="16" spans="1:8">
      <c r="A16" s="5"/>
      <c r="B16" s="3"/>
      <c r="C16" s="2"/>
      <c r="D16" s="3"/>
      <c r="E16" s="2"/>
      <c r="F16" s="3"/>
      <c r="G16" s="2"/>
      <c r="H16" s="3"/>
    </row>
    <row r="17" spans="1:8">
      <c r="A17" s="5"/>
      <c r="B17" s="3"/>
      <c r="C17" s="2"/>
      <c r="D17" s="3"/>
      <c r="E17" s="2"/>
      <c r="F17" s="3"/>
      <c r="G17" s="2"/>
      <c r="H17" s="3"/>
    </row>
    <row r="18" spans="1:8">
      <c r="A18" s="5"/>
      <c r="B18" s="3"/>
      <c r="C18" s="2"/>
      <c r="D18" s="3"/>
      <c r="E18" s="2"/>
      <c r="F18" s="3"/>
      <c r="G18" s="2"/>
      <c r="H18" s="3"/>
    </row>
    <row r="19" spans="1:8">
      <c r="A19" s="5"/>
      <c r="B19" s="3"/>
      <c r="C19" s="2"/>
      <c r="D19" s="3"/>
      <c r="E19" s="2"/>
      <c r="F19" s="3"/>
      <c r="G19" s="2"/>
      <c r="H19" s="3"/>
    </row>
    <row r="20" spans="1:8">
      <c r="A20" s="5"/>
      <c r="B20" s="3"/>
      <c r="C20" s="2"/>
      <c r="D20" s="3"/>
      <c r="E20" s="2"/>
      <c r="F20" s="3"/>
      <c r="G20" s="2"/>
      <c r="H20" s="3"/>
    </row>
    <row r="21" spans="1:8">
      <c r="A21" s="5"/>
      <c r="B21" s="3"/>
      <c r="C21" s="2"/>
      <c r="D21" s="3"/>
      <c r="E21" s="2"/>
      <c r="F21" s="3"/>
      <c r="G21" s="2"/>
      <c r="H21" s="3"/>
    </row>
    <row r="22" spans="1:8">
      <c r="A22" s="5"/>
      <c r="B22" s="3"/>
      <c r="C22" s="2"/>
      <c r="D22" s="3"/>
      <c r="E22" s="2"/>
      <c r="F22" s="3"/>
      <c r="G22" s="2"/>
      <c r="H22" s="3"/>
    </row>
    <row r="23" spans="1:8">
      <c r="A23" s="5"/>
      <c r="B23" s="3"/>
      <c r="C23" s="2"/>
      <c r="D23" s="3"/>
      <c r="E23" s="2"/>
      <c r="F23" s="3"/>
      <c r="G23" s="2"/>
      <c r="H23" s="3"/>
    </row>
    <row r="24" spans="1:8">
      <c r="A24" s="5"/>
      <c r="B24" s="3"/>
      <c r="C24" s="2"/>
      <c r="D24" s="3"/>
      <c r="E24" s="2"/>
      <c r="F24" s="3"/>
      <c r="G24" s="2"/>
      <c r="H24" s="3"/>
    </row>
    <row r="25" spans="1:8">
      <c r="A25" s="5"/>
      <c r="B25" s="3"/>
      <c r="C25" s="2"/>
      <c r="D25" s="3"/>
      <c r="E25" s="2"/>
      <c r="F25" s="3"/>
      <c r="G25" s="2"/>
      <c r="H25" s="3"/>
    </row>
    <row r="26" spans="1:8" ht="15" thickBot="1">
      <c r="A26" s="6"/>
      <c r="B26" s="4"/>
      <c r="C26" s="7"/>
      <c r="D26" s="4"/>
      <c r="E26" s="7"/>
      <c r="F26" s="4"/>
      <c r="G26" s="7"/>
      <c r="H26" s="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843C0F9E50B914A96F8D271432EBC33" ma:contentTypeVersion="0" ma:contentTypeDescription="Create a new document." ma:contentTypeScope="" ma:versionID="5e835c43eb47666319830cdb216a144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6FEDBEE-D3F8-4B1A-80EF-A24D04DB9439}">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8B4EE478-C465-497B-9ECD-59BED9051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E56C059C-0B93-40BB-9822-6178BB3A15B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FLC_ADCFE</vt:lpstr>
      <vt:lpstr>Sheet2</vt:lpstr>
      <vt:lpstr>lists</vt:lpstr>
      <vt:lpstr>BLOCK_NAMES</vt:lpstr>
      <vt:lpstr>BOOLEAN</vt:lpstr>
      <vt:lpstr>DEFAULT_TYPE</vt:lpstr>
      <vt:lpstr>hw_type</vt:lpstr>
      <vt:lpstr>hwclr</vt:lpstr>
      <vt:lpstr>hwtype</vt:lpstr>
      <vt:lpstr>REG_TYPE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Yom Tov, Chanan</dc:creator>
  <cp:keywords>CTPClassification=CTP_IC:VisualMarkings=, CTPClassification=CTP_IC, CTPClassification=CTP_NT</cp:keywords>
  <cp:lastModifiedBy>Kovshov, Marina</cp:lastModifiedBy>
  <dcterms:created xsi:type="dcterms:W3CDTF">2011-12-18T09:45:58Z</dcterms:created>
  <dcterms:modified xsi:type="dcterms:W3CDTF">2019-12-18T06:17:12Z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aeb8ad9c-eb55-4ef0-901b-9794312511c1</vt:lpwstr>
  </property>
  <property fmtid="{D5CDD505-2E9C-101B-9397-08002B2CF9AE}" pid="3" name="CTP_BU">
    <vt:lpwstr>NA</vt:lpwstr>
  </property>
  <property fmtid="{D5CDD505-2E9C-101B-9397-08002B2CF9AE}" pid="4" name="CTP_TimeStamp">
    <vt:lpwstr>2019-12-16 09:41:01Z</vt:lpwstr>
  </property>
  <property fmtid="{D5CDD505-2E9C-101B-9397-08002B2CF9AE}" pid="5" name="ContentTypeId">
    <vt:lpwstr>0x010100A843C0F9E50B914A96F8D271432EBC33</vt:lpwstr>
  </property>
  <property fmtid="{D5CDD505-2E9C-101B-9397-08002B2CF9AE}" pid="6" name="CTP_IDSID">
    <vt:lpwstr>NA</vt:lpwstr>
  </property>
  <property fmtid="{D5CDD505-2E9C-101B-9397-08002B2CF9AE}" pid="7" name="CTP_WWID">
    <vt:lpwstr>NA</vt:lpwstr>
  </property>
  <property fmtid="{D5CDD505-2E9C-101B-9397-08002B2CF9AE}" pid="8" name="CTPClassification">
    <vt:lpwstr>CTP_NT</vt:lpwstr>
  </property>
</Properties>
</file>