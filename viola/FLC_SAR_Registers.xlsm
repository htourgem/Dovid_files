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fircoh\Desktop\BRKII\soconline\flc\"/>
    </mc:Choice>
  </mc:AlternateContent>
  <xr:revisionPtr revIDLastSave="0" documentId="13_ncr:1_{B6938FC2-2062-4D8D-978E-E7C6A3CA4820}" xr6:coauthVersionLast="41" xr6:coauthVersionMax="41" xr10:uidLastSave="{00000000-0000-0000-0000-000000000000}"/>
  <bookViews>
    <workbookView xWindow="28680" yWindow="2175" windowWidth="29040" windowHeight="17640" xr2:uid="{00000000-000D-0000-FFFF-FFFF00000000}"/>
  </bookViews>
  <sheets>
    <sheet name="FLC_sar" sheetId="24" r:id="rId1"/>
    <sheet name="Sheet2" sheetId="2" state="hidden" r:id="rId2"/>
    <sheet name="lists" sheetId="19" state="hidden" r:id="rId3"/>
  </sheets>
  <functionGroups builtInGroupCount="19"/>
  <externalReferences>
    <externalReference r:id="rId4"/>
  </externalReferences>
  <definedNames>
    <definedName name="BLOCK_NAMES">Sheet2!$A$10:$A$14</definedName>
    <definedName name="BOOLEAN">Sheet2!$H$10:$H$11</definedName>
    <definedName name="default">[1]List!$J$1:$J$5</definedName>
    <definedName name="DEFAULT_TYPE" comment="types for defining registers defaults.">lists!$B$2:$B$26</definedName>
    <definedName name="hw_type">Sheet2!$D$10:$D$12</definedName>
    <definedName name="hwclr">Sheet2!$D$10:$D$11</definedName>
    <definedName name="hwtype">Sheet2!$D$10:$D$11</definedName>
    <definedName name="REG_TYPE">lists!$A$2:$A$26</definedName>
  </definedNames>
  <calcPr calcId="191029"/>
  <customWorkbookViews>
    <customWorkbookView name="Virobnik, Udi - Personal View" guid="{2BBBE5B5-B14C-4BF7-9B95-9EEB3666FF3B}" mergeInterval="0" personalView="1" maximized="1" windowWidth="1920" windowHeight="855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12" i="24" l="1"/>
  <c r="L312" i="24"/>
  <c r="P310" i="24"/>
  <c r="L310" i="24"/>
  <c r="P308" i="24"/>
  <c r="L308" i="24"/>
  <c r="P306" i="24"/>
  <c r="L306" i="24"/>
  <c r="P304" i="24"/>
  <c r="L304" i="24"/>
  <c r="P302" i="24"/>
  <c r="L302" i="24"/>
  <c r="P300" i="24"/>
  <c r="L300" i="24"/>
  <c r="P298" i="24"/>
  <c r="L298" i="24"/>
  <c r="P296" i="24"/>
  <c r="L296" i="24"/>
  <c r="P294" i="24"/>
  <c r="L294" i="24"/>
  <c r="P292" i="24"/>
  <c r="L292" i="24"/>
  <c r="P290" i="24"/>
  <c r="L290" i="24"/>
  <c r="P288" i="24"/>
  <c r="L288" i="24"/>
  <c r="P282" i="24"/>
  <c r="L282" i="24"/>
  <c r="E273" i="24"/>
  <c r="P272" i="24"/>
  <c r="L272" i="24"/>
  <c r="B272" i="24"/>
  <c r="E259" i="24"/>
  <c r="P258" i="24"/>
  <c r="L258" i="24"/>
  <c r="B258" i="24"/>
  <c r="E242" i="24"/>
  <c r="P241" i="24"/>
  <c r="L241" i="24"/>
  <c r="B241" i="24"/>
  <c r="E225" i="24"/>
  <c r="P224" i="24"/>
  <c r="L224" i="24"/>
  <c r="B224" i="24"/>
  <c r="E208" i="24"/>
  <c r="P207" i="24"/>
  <c r="L207" i="24"/>
  <c r="B207" i="24"/>
  <c r="E195" i="24"/>
  <c r="P194" i="24"/>
  <c r="L194" i="24"/>
  <c r="B194" i="24"/>
  <c r="E178" i="24"/>
  <c r="P177" i="24"/>
  <c r="L177" i="24"/>
  <c r="B177" i="24"/>
  <c r="E161" i="24"/>
  <c r="P160" i="24"/>
  <c r="L160" i="24"/>
  <c r="B160" i="24"/>
  <c r="E144" i="24"/>
  <c r="P143" i="24"/>
  <c r="L143" i="24"/>
  <c r="B143" i="24"/>
  <c r="E131" i="24"/>
  <c r="P130" i="24"/>
  <c r="L130" i="24"/>
  <c r="B130" i="24"/>
  <c r="E114" i="24"/>
  <c r="P113" i="24"/>
  <c r="L113" i="24"/>
  <c r="B113" i="24"/>
  <c r="E97" i="24"/>
  <c r="P96" i="24"/>
  <c r="L96" i="24"/>
  <c r="B96" i="24"/>
  <c r="E80" i="24"/>
  <c r="P79" i="24"/>
  <c r="L79" i="24"/>
  <c r="B79" i="24"/>
  <c r="E67" i="24"/>
  <c r="P66" i="24"/>
  <c r="L66" i="24"/>
  <c r="B66" i="24"/>
  <c r="E50" i="24"/>
  <c r="P49" i="24"/>
  <c r="L49" i="24"/>
  <c r="B49" i="24"/>
  <c r="E33" i="24"/>
  <c r="P32" i="24"/>
  <c r="L32" i="24"/>
  <c r="B32" i="24"/>
  <c r="E16" i="24"/>
  <c r="P15" i="24"/>
  <c r="L15" i="24"/>
  <c r="B15" i="24"/>
  <c r="E3" i="24"/>
  <c r="P2" i="24"/>
  <c r="L2" i="24"/>
  <c r="B2" i="24"/>
  <c r="C300" i="24"/>
  <c r="E4" i="24"/>
  <c r="C2" i="24"/>
  <c r="C49" i="24"/>
  <c r="C306" i="24"/>
  <c r="C79" i="24"/>
  <c r="E34" i="24"/>
  <c r="C177" i="24"/>
  <c r="C304" i="24"/>
  <c r="E68" i="24"/>
  <c r="C66" i="24"/>
  <c r="E17" i="24"/>
  <c r="C288" i="24"/>
  <c r="E5" i="24"/>
  <c r="C310" i="24"/>
  <c r="E179" i="24"/>
  <c r="C282" i="24"/>
  <c r="C302" i="24"/>
  <c r="E132" i="24"/>
  <c r="E133" i="24" s="1"/>
  <c r="C160" i="24"/>
  <c r="C194" i="24"/>
  <c r="C96" i="24"/>
  <c r="C292" i="24"/>
  <c r="E81" i="24"/>
  <c r="E82" i="24" s="1"/>
  <c r="E274" i="24"/>
  <c r="C272" i="24"/>
  <c r="C298" i="24"/>
  <c r="E243" i="24"/>
  <c r="C113" i="24"/>
  <c r="C296" i="24"/>
  <c r="E209" i="24"/>
  <c r="C143" i="24"/>
  <c r="C32" i="24"/>
  <c r="C15" i="24"/>
  <c r="C308" i="24"/>
  <c r="E98" i="24"/>
  <c r="C312" i="24"/>
  <c r="E260" i="24"/>
  <c r="E261" i="24" s="1"/>
  <c r="C258" i="24"/>
  <c r="E162" i="24"/>
  <c r="C224" i="24"/>
  <c r="C290" i="24"/>
  <c r="E115" i="24"/>
  <c r="E145" i="24"/>
  <c r="C241" i="24"/>
  <c r="E226" i="24"/>
  <c r="C130" i="24"/>
  <c r="C207" i="24"/>
  <c r="E51" i="24"/>
  <c r="E196" i="24"/>
  <c r="C294" i="24"/>
  <c r="Q312" i="24" l="1"/>
  <c r="Q310" i="24"/>
  <c r="Q308" i="24"/>
  <c r="Q306" i="24"/>
  <c r="Q304" i="24"/>
  <c r="Q302" i="24"/>
  <c r="Q300" i="24"/>
  <c r="Q298" i="24"/>
  <c r="Q296" i="24"/>
  <c r="Q294" i="24"/>
  <c r="Q292" i="24"/>
  <c r="Q290" i="24"/>
  <c r="Q282" i="24"/>
  <c r="Q288" i="24"/>
  <c r="Q160" i="24"/>
  <c r="Q224" i="24"/>
  <c r="Q272" i="24"/>
  <c r="Q49" i="24"/>
  <c r="Q113" i="24"/>
  <c r="Q177" i="24"/>
  <c r="Q241" i="24"/>
  <c r="Q2" i="24"/>
  <c r="Q66" i="24"/>
  <c r="Q130" i="24"/>
  <c r="Q194" i="24"/>
  <c r="Q258" i="24"/>
  <c r="Q32" i="24"/>
  <c r="Q96" i="24"/>
  <c r="Q15" i="24"/>
  <c r="Q79" i="24"/>
  <c r="Q143" i="24"/>
  <c r="Q207" i="24"/>
  <c r="E210" i="24"/>
  <c r="E6" i="24"/>
  <c r="E7" i="24"/>
  <c r="E52" i="24"/>
  <c r="E227" i="24"/>
  <c r="E180" i="24"/>
  <c r="E275" i="24"/>
  <c r="E69" i="24"/>
  <c r="E70" i="24" s="1"/>
  <c r="E83" i="24"/>
  <c r="E18" i="24"/>
  <c r="E146" i="24"/>
  <c r="E71" i="24"/>
  <c r="E262" i="24"/>
  <c r="E211" i="24"/>
  <c r="E35" i="24"/>
  <c r="E163" i="24"/>
  <c r="E116" i="24"/>
  <c r="E197" i="24"/>
  <c r="E134" i="24"/>
  <c r="E135" i="24" s="1"/>
  <c r="E244" i="24"/>
  <c r="E99" i="24"/>
  <c r="E245" i="24"/>
  <c r="E276" i="24"/>
  <c r="E181" i="24"/>
  <c r="E263" i="24"/>
  <c r="E117" i="24"/>
  <c r="E136" i="24"/>
  <c r="E164" i="24"/>
  <c r="E53" i="24"/>
  <c r="E8" i="24"/>
  <c r="E198" i="24"/>
  <c r="E199" i="24" s="1"/>
  <c r="E19" i="24"/>
  <c r="E72" i="24"/>
  <c r="E200" i="24"/>
  <c r="E228" i="24"/>
  <c r="E100" i="24"/>
  <c r="E147" i="24"/>
  <c r="E212" i="24"/>
  <c r="E36" i="24"/>
  <c r="E84" i="24"/>
  <c r="E85" i="24"/>
  <c r="E54" i="24"/>
  <c r="E182" i="24"/>
  <c r="E55" i="24"/>
  <c r="E201" i="24"/>
  <c r="E86" i="24"/>
  <c r="E229" i="24"/>
  <c r="E246" i="24"/>
  <c r="E247" i="24" s="1"/>
  <c r="E248" i="24" s="1"/>
  <c r="E37" i="24"/>
  <c r="E264" i="24"/>
  <c r="E9" i="24"/>
  <c r="E118" i="24"/>
  <c r="E119" i="24" s="1"/>
  <c r="E213" i="24"/>
  <c r="E214" i="24" s="1"/>
  <c r="E165" i="24"/>
  <c r="E277" i="24"/>
  <c r="E10" i="24"/>
  <c r="E101" i="24"/>
  <c r="E120" i="24"/>
  <c r="E148" i="24"/>
  <c r="E137" i="24"/>
  <c r="E138" i="24" s="1"/>
  <c r="E230" i="24"/>
  <c r="E183" i="24"/>
  <c r="E73" i="24"/>
  <c r="E166" i="24"/>
  <c r="E278" i="24"/>
  <c r="E20" i="24"/>
  <c r="E249" i="24"/>
  <c r="E121" i="24"/>
  <c r="E74" i="24"/>
  <c r="E202" i="24"/>
  <c r="E231" i="24"/>
  <c r="E11" i="24"/>
  <c r="E167" i="24"/>
  <c r="E87" i="24"/>
  <c r="E102" i="24"/>
  <c r="E250" i="24"/>
  <c r="E279" i="24"/>
  <c r="E21" i="24"/>
  <c r="E139" i="24"/>
  <c r="E265" i="24"/>
  <c r="E215" i="24"/>
  <c r="E56" i="24"/>
  <c r="E149" i="24"/>
  <c r="E38" i="24"/>
  <c r="E184" i="24"/>
  <c r="E185" i="24"/>
  <c r="E57" i="24"/>
  <c r="E39" i="24"/>
  <c r="E140" i="24"/>
  <c r="E75" i="24"/>
  <c r="E216" i="24"/>
  <c r="E12" i="24"/>
  <c r="E103" i="24"/>
  <c r="E280" i="24"/>
  <c r="E22" i="24"/>
  <c r="E266" i="24"/>
  <c r="E88" i="24"/>
  <c r="E186" i="24"/>
  <c r="E150" i="24"/>
  <c r="E168" i="24"/>
  <c r="E232" i="24"/>
  <c r="E203" i="24"/>
  <c r="E122" i="24"/>
  <c r="E251" i="24"/>
  <c r="E141" i="24"/>
  <c r="E76" i="24"/>
  <c r="E23" i="24"/>
  <c r="E169" i="24"/>
  <c r="E217" i="24"/>
  <c r="E58" i="24"/>
  <c r="E123" i="24"/>
  <c r="E151" i="24"/>
  <c r="E267" i="24"/>
  <c r="E89" i="24"/>
  <c r="E281" i="24"/>
  <c r="E233" i="24"/>
  <c r="E13" i="24"/>
  <c r="E204" i="24"/>
  <c r="E187" i="24"/>
  <c r="E40" i="24"/>
  <c r="E104" i="24"/>
  <c r="E252" i="24"/>
  <c r="E41" i="24"/>
  <c r="E124" i="24"/>
  <c r="E268" i="24"/>
  <c r="E253" i="24"/>
  <c r="E142" i="24"/>
  <c r="E42" i="24"/>
  <c r="E234" i="24"/>
  <c r="E77" i="24"/>
  <c r="E59" i="24"/>
  <c r="E205" i="24"/>
  <c r="E90" i="24"/>
  <c r="E188" i="24"/>
  <c r="E218" i="24"/>
  <c r="E105" i="24"/>
  <c r="E24" i="24"/>
  <c r="E14" i="24"/>
  <c r="E152" i="24"/>
  <c r="E78" i="24"/>
  <c r="E170" i="24"/>
  <c r="E189" i="24"/>
  <c r="E254" i="24"/>
  <c r="E91" i="24"/>
  <c r="E269" i="24"/>
  <c r="E43" i="24"/>
  <c r="E106" i="24"/>
  <c r="E25" i="24"/>
  <c r="E125" i="24"/>
  <c r="E171" i="24"/>
  <c r="E219" i="24"/>
  <c r="E60" i="24"/>
  <c r="E206" i="24"/>
  <c r="E153" i="24"/>
  <c r="E235" i="24"/>
  <c r="E255" i="24"/>
  <c r="E220" i="24"/>
  <c r="E190" i="24"/>
  <c r="E172" i="24"/>
  <c r="E44" i="24"/>
  <c r="E270" i="24"/>
  <c r="E126" i="24"/>
  <c r="E61" i="24"/>
  <c r="E92" i="24"/>
  <c r="E26" i="24"/>
  <c r="E107" i="24"/>
  <c r="E154" i="24"/>
  <c r="E236" i="24"/>
  <c r="E237" i="24"/>
  <c r="E173" i="24"/>
  <c r="E271" i="24"/>
  <c r="E191" i="24"/>
  <c r="E62" i="24"/>
  <c r="E27" i="24"/>
  <c r="E127" i="24"/>
  <c r="E256" i="24"/>
  <c r="E155" i="24"/>
  <c r="E93" i="24"/>
  <c r="E45" i="24"/>
  <c r="E221" i="24"/>
  <c r="E108" i="24"/>
  <c r="E28" i="24"/>
  <c r="E174" i="24"/>
  <c r="E192" i="24"/>
  <c r="E238" i="24"/>
  <c r="E128" i="24"/>
  <c r="E109" i="24"/>
  <c r="E222" i="24"/>
  <c r="E156" i="24"/>
  <c r="E46" i="24"/>
  <c r="E63" i="24"/>
  <c r="E257" i="24"/>
  <c r="E94" i="24"/>
  <c r="E157" i="24" l="1"/>
  <c r="E193" i="24"/>
  <c r="E64" i="24"/>
  <c r="E175" i="24"/>
  <c r="E47" i="24"/>
  <c r="E129" i="24"/>
  <c r="E223" i="24"/>
  <c r="E239" i="24"/>
  <c r="E110" i="24"/>
  <c r="E29" i="24"/>
  <c r="E95" i="24"/>
  <c r="E48" i="24"/>
  <c r="E30" i="24"/>
  <c r="E240" i="24"/>
  <c r="E158" i="24"/>
  <c r="E176" i="24"/>
  <c r="E65" i="24"/>
  <c r="E111" i="24"/>
  <c r="E159" i="24"/>
  <c r="E31" i="24"/>
  <c r="E112" i="24"/>
</calcChain>
</file>

<file path=xl/sharedStrings.xml><?xml version="1.0" encoding="utf-8"?>
<sst xmlns="http://schemas.openxmlformats.org/spreadsheetml/2006/main" count="1775" uniqueCount="217">
  <si>
    <t>Field Name</t>
  </si>
  <si>
    <t>Width</t>
  </si>
  <si>
    <t>Bits</t>
  </si>
  <si>
    <t>Description</t>
  </si>
  <si>
    <t>Need to latch for at-speed scan?</t>
  </si>
  <si>
    <t>COMMON</t>
  </si>
  <si>
    <t>NO</t>
  </si>
  <si>
    <t>1'b0</t>
  </si>
  <si>
    <t>YES</t>
  </si>
  <si>
    <t>FFDIV</t>
  </si>
  <si>
    <t>DEBUF</t>
  </si>
  <si>
    <t>HEX2DEC</t>
  </si>
  <si>
    <t>DEC2HEX</t>
  </si>
  <si>
    <t>PULSE</t>
  </si>
  <si>
    <t>SEBUF</t>
  </si>
  <si>
    <t>wr</t>
  </si>
  <si>
    <t>r</t>
  </si>
  <si>
    <t>hw type</t>
  </si>
  <si>
    <t>hwclr</t>
  </si>
  <si>
    <t>we</t>
  </si>
  <si>
    <t>PHMOD</t>
  </si>
  <si>
    <t>Reg Offset</t>
  </si>
  <si>
    <t>CMU</t>
  </si>
  <si>
    <t>default type</t>
  </si>
  <si>
    <t>Reg Type</t>
  </si>
  <si>
    <t>WR</t>
  </si>
  <si>
    <t>RO</t>
  </si>
  <si>
    <t>REG_TYPE</t>
  </si>
  <si>
    <t>DEFAULT_TYPE</t>
  </si>
  <si>
    <t>soft strap</t>
  </si>
  <si>
    <t>default</t>
  </si>
  <si>
    <t>strap</t>
  </si>
  <si>
    <t>fuse</t>
  </si>
  <si>
    <t>Default value</t>
  </si>
  <si>
    <t>Reg Name</t>
  </si>
  <si>
    <t>Sus Well</t>
  </si>
  <si>
    <t>Default</t>
  </si>
  <si>
    <t>RW</t>
  </si>
  <si>
    <t>1'b1</t>
  </si>
  <si>
    <t>Reg Soconline Offset</t>
  </si>
  <si>
    <t>user define</t>
  </si>
  <si>
    <t>2'b0</t>
  </si>
  <si>
    <t>3'b0</t>
  </si>
  <si>
    <t xml:space="preserve">Domain </t>
  </si>
  <si>
    <t>decoder pin</t>
  </si>
  <si>
    <t>SPARE</t>
  </si>
  <si>
    <t>5'b0</t>
  </si>
  <si>
    <t>4'b0</t>
  </si>
  <si>
    <t>SA ADDRESS</t>
  </si>
  <si>
    <t>Default Value(HEX)</t>
  </si>
  <si>
    <t>9'b0</t>
  </si>
  <si>
    <t>2'b01</t>
  </si>
  <si>
    <t>32'b0</t>
  </si>
  <si>
    <t>nocon</t>
  </si>
  <si>
    <t>&lt;31:0&gt;</t>
  </si>
  <si>
    <t>spare</t>
  </si>
  <si>
    <t>4C</t>
  </si>
  <si>
    <t>18'b0</t>
  </si>
  <si>
    <t>14'b0</t>
  </si>
  <si>
    <t>5C</t>
  </si>
  <si>
    <t>6C</t>
  </si>
  <si>
    <t>7C</t>
  </si>
  <si>
    <t>&lt;31:24&gt;</t>
  </si>
  <si>
    <t>&lt;15&gt;</t>
  </si>
  <si>
    <t>2'b11</t>
  </si>
  <si>
    <t>QUAD0_QURTET0</t>
  </si>
  <si>
    <t>o_qrt0_init_clgc_fw</t>
  </si>
  <si>
    <t>initial clogic val</t>
  </si>
  <si>
    <t>o_qrt0_dis_clgc</t>
  </si>
  <si>
    <t>disable clgc</t>
  </si>
  <si>
    <t>o_qrt0_sar0_gain_per_sar_fw</t>
  </si>
  <si>
    <t>not implement yet</t>
  </si>
  <si>
    <t>o_qrt0_sar0_spare_fw</t>
  </si>
  <si>
    <t>SAR 0 spare</t>
  </si>
  <si>
    <t>o_qrt0_sar1_gain_per_sar_fw</t>
  </si>
  <si>
    <t>o_qrt0_sar1_spare_fw</t>
  </si>
  <si>
    <t>SAR 1 spare</t>
  </si>
  <si>
    <t>o_qrt0_sar2_gain_per_sar_fw</t>
  </si>
  <si>
    <t>o_qrt0_sar2_spare_fw</t>
  </si>
  <si>
    <t>SAR 2 spare</t>
  </si>
  <si>
    <t>o_qrt0_sar3_gain_per_sar_fw</t>
  </si>
  <si>
    <t>o_qrt0_sar3_spare_fw</t>
  </si>
  <si>
    <t>SAR 3 spare</t>
  </si>
  <si>
    <t>o_qrt0_dcmon_en</t>
  </si>
  <si>
    <t xml:space="preserve">"1" - open dcmon quad0 quartet0  , "0"  - close dcmon quad quartet0 </t>
  </si>
  <si>
    <t>oct0_qrt0_spare</t>
  </si>
  <si>
    <t>QUAD0_QURTET1</t>
  </si>
  <si>
    <t>o_qrt1_init_clgc_fw</t>
  </si>
  <si>
    <t>2'b10</t>
  </si>
  <si>
    <t>o_qrt1_dis_clgc</t>
  </si>
  <si>
    <t>o_qrt1_sar0_gain_per_sar_fw</t>
  </si>
  <si>
    <t>o_qrt1_sar0_spare_fw</t>
  </si>
  <si>
    <t>o_qrt1_sar1_gain_per_sar_fw</t>
  </si>
  <si>
    <t>o_qrt1_sar1_spare_fw</t>
  </si>
  <si>
    <t>o_qrt1_sar2_gain_per_sar_fw</t>
  </si>
  <si>
    <t>o_qrt1_sar2_spare_fw</t>
  </si>
  <si>
    <t>o_qrt1_sar3_gain_per_sar_fw</t>
  </si>
  <si>
    <t>o_qrt1_sar3_spare_fw</t>
  </si>
  <si>
    <t>o_qrt1_dcmon_en</t>
  </si>
  <si>
    <t>"1" - open dcmon quad0 quartet1  , "0"  - close dcmon quad quartet1</t>
  </si>
  <si>
    <t>o_octet0_dcmon_p_en</t>
  </si>
  <si>
    <t>"1" - open oct0 dcmon_p enable  , "0" - close oct0 dcmon_p enable</t>
  </si>
  <si>
    <t>o_octet0_dcmon_n_en</t>
  </si>
  <si>
    <t>"1" - open oct0 dcmon_n enable  , "0" - close oct0 dcmon_n enable</t>
  </si>
  <si>
    <t>o_octet1_dcmon_p_en</t>
  </si>
  <si>
    <t>"1" - open oct1 dcmon_p enable  , "0" - close oct0 dcmon_p enable</t>
  </si>
  <si>
    <t>o_octet1_dcmon_n_en</t>
  </si>
  <si>
    <t>"1" - open oct1 dcmon_n enable  , "0" - close oct0 dcmon_n enable</t>
  </si>
  <si>
    <t>oct1_qrt1_spare</t>
  </si>
  <si>
    <t>QUAD0_QURTET2</t>
  </si>
  <si>
    <t>o_qrt2_init_clgc_fw</t>
  </si>
  <si>
    <t>o_qrt2_dis_clgc</t>
  </si>
  <si>
    <t>o_qrt2_sar0_gain_per_sar_fw</t>
  </si>
  <si>
    <t>o_qrt2_sar0_spare_fw</t>
  </si>
  <si>
    <t>o_qrt2_sar1_gain_per_sar_fw</t>
  </si>
  <si>
    <t>o_qrt2_sar1_spare_fw</t>
  </si>
  <si>
    <t>o_qrt2_sar2_gain_per_sar_fw</t>
  </si>
  <si>
    <t>o_qrt2_sar2_spare_fw</t>
  </si>
  <si>
    <t>o_qrt2_sar3_gain_per_sar_fw</t>
  </si>
  <si>
    <t>o_qrt2_sar3_spare_fw</t>
  </si>
  <si>
    <t>o_qrt2_dcmon_en</t>
  </si>
  <si>
    <t>"1" - open dcmon quad0 quartet2  , "0"  - close dcmon quad quartet2</t>
  </si>
  <si>
    <t>o_oct1_dacdrv_rst_force_fw</t>
  </si>
  <si>
    <t xml:space="preserve">"1" - reset  dacdrv VREF =0  </t>
  </si>
  <si>
    <t>o_oct1_dacdrv_dcmon_0p9_fb_dfx</t>
  </si>
  <si>
    <t>dacdrv dcmon</t>
  </si>
  <si>
    <t>o_oct1_dacdrv_dcmon_vref_dfx</t>
  </si>
  <si>
    <t>o_oct1_dacdrv_dcmon_vref0_dfx</t>
  </si>
  <si>
    <t>oct1_qrt2_spare</t>
  </si>
  <si>
    <t>QUAD0_QURTET3</t>
  </si>
  <si>
    <t>o_qrt3_init_clgc_fw</t>
  </si>
  <si>
    <t>o_qrt3_dis_clgc</t>
  </si>
  <si>
    <t>o_qrt3_sar0_gain_per_sar_fw</t>
  </si>
  <si>
    <t>o_qrt3_sar0_spare_fw</t>
  </si>
  <si>
    <t>o_qrt3_sar1_gain_per_sar_fw</t>
  </si>
  <si>
    <t>o_qrt3_sar1_spare_fw</t>
  </si>
  <si>
    <t>o_qrt3_sar2_gain_per_sar_fw</t>
  </si>
  <si>
    <t>o_qrt3_sar2_spare_fw</t>
  </si>
  <si>
    <t>o_qrt3_sar3_gain_per_sar_fw</t>
  </si>
  <si>
    <t>o_qrt3_sar3_spare_fw</t>
  </si>
  <si>
    <t>o_qrt3_dcmon_en</t>
  </si>
  <si>
    <t>"1" - open dcmon quad0 quartet3  , "0"  - close dcmon quad quartet3</t>
  </si>
  <si>
    <t>o_oct0_dacdrv_rst_force_fw</t>
  </si>
  <si>
    <t>o_oct0_dacdrv_dcmon_0p9_fb_dfx</t>
  </si>
  <si>
    <t>o_oct0_dacdrv_dcmon_vref_dfx</t>
  </si>
  <si>
    <t>o_oct0_dacdrv_dcmon_vref0_dfx</t>
  </si>
  <si>
    <t>oct0_qrt3_spare</t>
  </si>
  <si>
    <t>QUAD1_QURTET0</t>
  </si>
  <si>
    <t>QUAD1_QURTET1</t>
  </si>
  <si>
    <t>QUAD1_QURTET2</t>
  </si>
  <si>
    <t>QUAD1_QURTET3</t>
  </si>
  <si>
    <t>QUAD2_QURTET0</t>
  </si>
  <si>
    <t>QUAD2_QURTET1</t>
  </si>
  <si>
    <t>QUAD2_QURTET2</t>
  </si>
  <si>
    <t>QUAD2_QURTET3</t>
  </si>
  <si>
    <t>QUAD3_QURTET0</t>
  </si>
  <si>
    <t>QUAD3_QURTET1</t>
  </si>
  <si>
    <t>QUAD3_QURTET2</t>
  </si>
  <si>
    <t>QUAD3_QURTET3</t>
  </si>
  <si>
    <t>SAR_COMMON_REG0</t>
  </si>
  <si>
    <t>o_quartet_dac_clr_disable</t>
  </si>
  <si>
    <t>"0" - enbale clear  , "1" disable clear</t>
  </si>
  <si>
    <t>o_quartet_dac_clr_dly_fw</t>
  </si>
  <si>
    <t xml:space="preserve">config clear width </t>
  </si>
  <si>
    <t>o_quartet_dac_byp_enb_fw</t>
  </si>
  <si>
    <t>dacdrv  power supply  "0" - vcc = 1v , "1" - vcc from ldo</t>
  </si>
  <si>
    <t>o_quartet_nob_fw</t>
  </si>
  <si>
    <t>cofig number of bit:
2'b00 - 3bit
2'b01 - 4bit
2'b10 - 5bit
2'b11 - 6bit</t>
  </si>
  <si>
    <t>o_quartet_rstb_fw</t>
  </si>
  <si>
    <t xml:space="preserve">SAR ARRAY RESET , "0" - set to reset ,"1" - relase from reset , </t>
  </si>
  <si>
    <t>o_quartet_slc_en_dly_ctrl</t>
  </si>
  <si>
    <t>confic slicer to slicer delay</t>
  </si>
  <si>
    <t>o_quartet_slc_tail_en_fw</t>
  </si>
  <si>
    <t xml:space="preserve">enable slicer tail delay  , "0" - disable tail delay , "1" - enable tail delay </t>
  </si>
  <si>
    <t>o_quartet_slc_tail_dly_fw</t>
  </si>
  <si>
    <t>config slicer tail delay</t>
  </si>
  <si>
    <t>o_quartet_dac_rst_force_fw</t>
  </si>
  <si>
    <t>need to implement</t>
  </si>
  <si>
    <t>o_quartet_dac_clr_force_fw</t>
  </si>
  <si>
    <t>o_sar_global_spare</t>
  </si>
  <si>
    <t>global spare</t>
  </si>
  <si>
    <t>o_clgc_rst</t>
  </si>
  <si>
    <t>clgc reset</t>
  </si>
  <si>
    <t>sar_com_spare</t>
  </si>
  <si>
    <t>11'b0</t>
  </si>
  <si>
    <t>REG spare</t>
  </si>
  <si>
    <t>SAR_COMMON_REG1</t>
  </si>
  <si>
    <t>o_sar_dcmon_sel_fw[3:0]</t>
  </si>
  <si>
    <t xml:space="preserve">sar_dcmon_select
code ** Dcmon_p    ** Dcmon_n  ** hsmon
0          ** highZ             ** highZ            ** 0
1          ** vss                  ** vss                  ** 0
2          ** vref                 ** run                  ** run
3          ** vss (vref0)   ** finish             ** finish
4          ** vcc0p65     ** vcc0p65     ** valid
5          ** vcc1p0        ** vcc1p0        ** 0
6          ** th_gate       ** cm_in            ** 0
7          ** ofc_p[0&gt;  ** ofc_p[3&gt;    ** 0
8          ** ofc_n[0&gt;  ** ofc_n[3&gt;    ** 0
9          ** ofc_p[1&gt;  ** ofc_p[4&gt;    ** 0
10       ** ofc_n[1&gt;  ** ofc_n[4&gt;    ** 0
11      ** ofc_p[2&gt;  ** ofc_p[5&gt;    ** 0
12      ** ofc_n[2&gt;  ** ofc_n[5&gt;    ** 0
13      ** --                    ** --                     ** 0
14      ** --                    ** --                     ** 0
15      ** --                    ** --                     ** 0
</t>
  </si>
  <si>
    <t>sar_dcmon_en_fw[3:0]</t>
  </si>
  <si>
    <t>sar_dcmon_en:
2'b00 - SAR0
2'b01 - SAR1
2'b10 - SAR2
2'b11 - SAR3</t>
  </si>
  <si>
    <t>o_refgen_dcmon_p_en</t>
  </si>
  <si>
    <t>dcmon refgen</t>
  </si>
  <si>
    <t>o_refgen_dcmon_n_en</t>
  </si>
  <si>
    <t>o_sararray_dcmon_p_en</t>
  </si>
  <si>
    <t>sararray dcmon</t>
  </si>
  <si>
    <t>o_sararray_dcmon_n_en</t>
  </si>
  <si>
    <t>saraary dcmon</t>
  </si>
  <si>
    <t>o_ldo_dcmon_p_en</t>
  </si>
  <si>
    <t xml:space="preserve">ldo dcmon </t>
  </si>
  <si>
    <t>o_ldo_dcmon_n_en</t>
  </si>
  <si>
    <t>spare_non_conn[23:0]</t>
  </si>
  <si>
    <t>REGS spare</t>
  </si>
  <si>
    <t>global_align_reg</t>
  </si>
  <si>
    <t>clk2cdr_phase_sel</t>
  </si>
  <si>
    <t>clk2galign_phase_sel</t>
  </si>
  <si>
    <t>clk_sync_sel</t>
  </si>
  <si>
    <t>clk_sync_rstb</t>
  </si>
  <si>
    <t>&lt;13:0&gt;</t>
  </si>
  <si>
    <t>&lt;23:16&gt;</t>
  </si>
  <si>
    <t>&lt;14&gt;</t>
  </si>
  <si>
    <t>8'b1001000</t>
  </si>
  <si>
    <t>8'b00110110</t>
  </si>
  <si>
    <t>clk to cdr phase control</t>
  </si>
  <si>
    <t xml:space="preserve">alobal align clk second (4 msb bits) and clk third (4 lsb bits) phase control </t>
  </si>
  <si>
    <t>rstb for syncronized rst</t>
  </si>
  <si>
    <t>select to choose clk for syncronized rst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</si>
</sst>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8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0"/>
      <color indexed="8"/>
      <name val="Neo Sans Intel"/>
      <family val="2"/>
    </font>
    <font>
      <b/>
      <sz val="10"/>
      <color indexed="60"/>
      <name val="Neo Sans Inte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Neo Sans Intel"/>
      <family val="2"/>
    </font>
    <font>
      <b/>
      <sz val="11"/>
      <color theme="5" tint="-0.249977111117893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BEFDBB"/>
        <bgColor indexed="26"/>
      </patternFill>
    </fill>
    <fill>
      <patternFill patternType="solid">
        <fgColor rgb="FFBBF2FD"/>
        <bgColor indexed="26"/>
      </patternFill>
    </fill>
    <fill>
      <patternFill patternType="solid">
        <fgColor rgb="FFBBF2FD"/>
        <bgColor indexed="64"/>
      </patternFill>
    </fill>
  </fills>
  <borders count="5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59">
    <xf numFmtId="0" fontId="0" fillId="0" borderId="0"/>
    <xf numFmtId="0" fontId="21" fillId="2" borderId="0" applyNumberFormat="0" applyBorder="0" applyAlignment="0" applyProtection="0"/>
    <xf numFmtId="0" fontId="21" fillId="3" borderId="0" applyNumberFormat="0" applyBorder="0" applyAlignment="0" applyProtection="0"/>
    <xf numFmtId="0" fontId="21" fillId="4" borderId="0" applyNumberFormat="0" applyBorder="0" applyAlignment="0" applyProtection="0"/>
    <xf numFmtId="0" fontId="21" fillId="5" borderId="0" applyNumberFormat="0" applyBorder="0" applyAlignment="0" applyProtection="0"/>
    <xf numFmtId="0" fontId="21" fillId="6" borderId="0" applyNumberFormat="0" applyBorder="0" applyAlignment="0" applyProtection="0"/>
    <xf numFmtId="0" fontId="21" fillId="7" borderId="0" applyNumberFormat="0" applyBorder="0" applyAlignment="0" applyProtection="0"/>
    <xf numFmtId="0" fontId="21" fillId="8" borderId="0" applyNumberFormat="0" applyBorder="0" applyAlignment="0" applyProtection="0"/>
    <xf numFmtId="0" fontId="21" fillId="9" borderId="0" applyNumberFormat="0" applyBorder="0" applyAlignment="0" applyProtection="0"/>
    <xf numFmtId="0" fontId="21" fillId="10" borderId="0" applyNumberFormat="0" applyBorder="0" applyAlignment="0" applyProtection="0"/>
    <xf numFmtId="0" fontId="21" fillId="5" borderId="0" applyNumberFormat="0" applyBorder="0" applyAlignment="0" applyProtection="0"/>
    <xf numFmtId="0" fontId="21" fillId="8" borderId="0" applyNumberFormat="0" applyBorder="0" applyAlignment="0" applyProtection="0"/>
    <xf numFmtId="0" fontId="21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5" fillId="0" borderId="0"/>
    <xf numFmtId="0" fontId="15" fillId="0" borderId="0"/>
    <xf numFmtId="0" fontId="22" fillId="0" borderId="0"/>
    <xf numFmtId="0" fontId="21" fillId="23" borderId="7" applyNumberFormat="0" applyAlignment="0" applyProtection="0"/>
    <xf numFmtId="0" fontId="16" fillId="20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5" fillId="25" borderId="0" applyNumberFormat="0" applyBorder="0" applyAlignment="0" applyProtection="0"/>
    <xf numFmtId="0" fontId="26" fillId="26" borderId="14" applyNumberFormat="0" applyAlignment="0" applyProtection="0"/>
    <xf numFmtId="0" fontId="16" fillId="20" borderId="23" applyNumberFormat="0" applyAlignment="0" applyProtection="0"/>
    <xf numFmtId="0" fontId="21" fillId="23" borderId="22" applyNumberFormat="0" applyAlignment="0" applyProtection="0"/>
    <xf numFmtId="0" fontId="18" fillId="0" borderId="28" applyNumberFormat="0" applyFill="0" applyAlignment="0" applyProtection="0"/>
    <xf numFmtId="0" fontId="16" fillId="20" borderId="27" applyNumberFormat="0" applyAlignment="0" applyProtection="0"/>
    <xf numFmtId="0" fontId="21" fillId="23" borderId="26" applyNumberFormat="0" applyAlignment="0" applyProtection="0"/>
    <xf numFmtId="0" fontId="12" fillId="7" borderId="21" applyNumberFormat="0" applyAlignment="0" applyProtection="0"/>
    <xf numFmtId="0" fontId="12" fillId="7" borderId="25" applyNumberFormat="0" applyAlignment="0" applyProtection="0"/>
    <xf numFmtId="0" fontId="5" fillId="20" borderId="21" applyNumberFormat="0" applyAlignment="0" applyProtection="0"/>
    <xf numFmtId="0" fontId="5" fillId="20" borderId="25" applyNumberFormat="0" applyAlignment="0" applyProtection="0"/>
    <xf numFmtId="0" fontId="2" fillId="0" borderId="0"/>
    <xf numFmtId="0" fontId="18" fillId="0" borderId="24" applyNumberFormat="0" applyFill="0" applyAlignment="0" applyProtection="0"/>
    <xf numFmtId="0" fontId="1" fillId="0" borderId="0"/>
  </cellStyleXfs>
  <cellXfs count="80">
    <xf numFmtId="0" fontId="0" fillId="0" borderId="0" xfId="0"/>
    <xf numFmtId="0" fontId="20" fillId="0" borderId="0" xfId="0" applyFont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0" xfId="0" applyBorder="1"/>
    <xf numFmtId="0" fontId="0" fillId="0" borderId="16" xfId="0" applyBorder="1"/>
    <xf numFmtId="0" fontId="0" fillId="0" borderId="17" xfId="0" applyBorder="1"/>
    <xf numFmtId="0" fontId="0" fillId="0" borderId="12" xfId="0" applyBorder="1"/>
    <xf numFmtId="0" fontId="0" fillId="0" borderId="13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5" xfId="0" applyBorder="1"/>
    <xf numFmtId="0" fontId="0" fillId="0" borderId="0" xfId="0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wrapText="1"/>
    </xf>
    <xf numFmtId="0" fontId="23" fillId="27" borderId="39" xfId="0" applyFont="1" applyFill="1" applyBorder="1" applyAlignment="1">
      <alignment horizontal="center" vertical="center" wrapText="1"/>
    </xf>
    <xf numFmtId="49" fontId="23" fillId="27" borderId="39" xfId="0" applyNumberFormat="1" applyFont="1" applyFill="1" applyBorder="1" applyAlignment="1">
      <alignment horizontal="center" vertical="center" wrapText="1"/>
    </xf>
    <xf numFmtId="0" fontId="23" fillId="27" borderId="40" xfId="0" applyFont="1" applyFill="1" applyBorder="1" applyAlignment="1">
      <alignment horizontal="center" vertical="center" wrapText="1"/>
    </xf>
    <xf numFmtId="0" fontId="23" fillId="27" borderId="31" xfId="0" applyFont="1" applyFill="1" applyBorder="1" applyAlignment="1">
      <alignment horizontal="center" vertical="center" wrapText="1"/>
    </xf>
    <xf numFmtId="0" fontId="27" fillId="0" borderId="38" xfId="39" applyFont="1" applyBorder="1" applyAlignment="1">
      <alignment wrapText="1"/>
    </xf>
    <xf numFmtId="49" fontId="23" fillId="0" borderId="38" xfId="0" applyNumberFormat="1" applyFont="1" applyFill="1" applyBorder="1" applyAlignment="1">
      <alignment horizontal="center" vertical="center" wrapText="1"/>
    </xf>
    <xf numFmtId="0" fontId="28" fillId="0" borderId="38" xfId="37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 wrapText="1"/>
    </xf>
    <xf numFmtId="0" fontId="23" fillId="24" borderId="38" xfId="0" applyFont="1" applyFill="1" applyBorder="1" applyAlignment="1">
      <alignment wrapText="1"/>
    </xf>
    <xf numFmtId="49" fontId="23" fillId="0" borderId="39" xfId="0" applyNumberFormat="1" applyFont="1" applyFill="1" applyBorder="1" applyAlignment="1">
      <alignment horizontal="center" vertical="center" wrapText="1"/>
    </xf>
    <xf numFmtId="0" fontId="28" fillId="0" borderId="39" xfId="37" applyFont="1" applyBorder="1" applyAlignment="1">
      <alignment horizontal="center" vertical="center" wrapText="1"/>
    </xf>
    <xf numFmtId="0" fontId="23" fillId="0" borderId="39" xfId="0" applyFont="1" applyBorder="1" applyAlignment="1">
      <alignment horizontal="center" vertical="center" wrapText="1"/>
    </xf>
    <xf numFmtId="0" fontId="23" fillId="24" borderId="39" xfId="0" applyFont="1" applyFill="1" applyBorder="1" applyAlignment="1">
      <alignment wrapText="1"/>
    </xf>
    <xf numFmtId="49" fontId="23" fillId="0" borderId="32" xfId="0" applyNumberFormat="1" applyFont="1" applyFill="1" applyBorder="1" applyAlignment="1">
      <alignment horizontal="center" vertical="center" wrapText="1"/>
    </xf>
    <xf numFmtId="0" fontId="28" fillId="0" borderId="32" xfId="37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27" fillId="0" borderId="32" xfId="39" applyFont="1" applyBorder="1" applyAlignment="1">
      <alignment wrapText="1"/>
    </xf>
    <xf numFmtId="0" fontId="27" fillId="0" borderId="39" xfId="39" applyFont="1" applyBorder="1" applyAlignment="1">
      <alignment wrapText="1"/>
    </xf>
    <xf numFmtId="0" fontId="24" fillId="28" borderId="29" xfId="36" applyNumberFormat="1" applyFont="1" applyFill="1" applyBorder="1" applyAlignment="1" applyProtection="1">
      <alignment horizontal="center" vertical="center" wrapText="1"/>
    </xf>
    <xf numFmtId="0" fontId="0" fillId="0" borderId="51" xfId="0" applyBorder="1"/>
    <xf numFmtId="49" fontId="0" fillId="0" borderId="51" xfId="0" applyNumberFormat="1" applyBorder="1"/>
    <xf numFmtId="0" fontId="0" fillId="0" borderId="38" xfId="0" applyBorder="1"/>
    <xf numFmtId="0" fontId="0" fillId="0" borderId="29" xfId="0" applyBorder="1"/>
    <xf numFmtId="49" fontId="23" fillId="0" borderId="51" xfId="0" applyNumberFormat="1" applyFont="1" applyFill="1" applyBorder="1" applyAlignment="1">
      <alignment horizontal="center" vertical="center" wrapText="1"/>
    </xf>
    <xf numFmtId="0" fontId="28" fillId="0" borderId="51" xfId="37" applyFont="1" applyBorder="1" applyAlignment="1">
      <alignment horizontal="center" vertical="center" wrapText="1"/>
    </xf>
    <xf numFmtId="0" fontId="23" fillId="0" borderId="51" xfId="0" applyFont="1" applyBorder="1" applyAlignment="1">
      <alignment horizontal="center" vertical="center" wrapText="1"/>
    </xf>
    <xf numFmtId="0" fontId="24" fillId="28" borderId="39" xfId="36" applyNumberFormat="1" applyFont="1" applyFill="1" applyBorder="1" applyAlignment="1" applyProtection="1">
      <alignment horizontal="center" vertical="center" wrapText="1"/>
    </xf>
    <xf numFmtId="0" fontId="0" fillId="0" borderId="51" xfId="0" applyBorder="1" applyAlignment="1">
      <alignment wrapText="1"/>
    </xf>
    <xf numFmtId="0" fontId="24" fillId="28" borderId="11" xfId="36" applyNumberFormat="1" applyFont="1" applyFill="1" applyBorder="1" applyAlignment="1" applyProtection="1">
      <alignment horizontal="center" vertical="center" wrapText="1"/>
    </xf>
    <xf numFmtId="0" fontId="24" fillId="28" borderId="35" xfId="36" applyNumberFormat="1" applyFont="1" applyFill="1" applyBorder="1" applyAlignment="1" applyProtection="1">
      <alignment horizontal="center" vertical="center" wrapText="1"/>
    </xf>
    <xf numFmtId="0" fontId="24" fillId="29" borderId="34" xfId="36" applyNumberFormat="1" applyFont="1" applyFill="1" applyBorder="1" applyAlignment="1" applyProtection="1">
      <alignment horizontal="center" vertical="center" wrapText="1"/>
    </xf>
    <xf numFmtId="0" fontId="24" fillId="29" borderId="10" xfId="36" applyNumberFormat="1" applyFont="1" applyFill="1" applyBorder="1" applyAlignment="1" applyProtection="1">
      <alignment horizontal="center" vertical="center" wrapText="1"/>
    </xf>
    <xf numFmtId="0" fontId="24" fillId="29" borderId="38" xfId="36" applyNumberFormat="1" applyFont="1" applyFill="1" applyBorder="1" applyAlignment="1" applyProtection="1">
      <alignment horizontal="center" vertical="center" wrapText="1"/>
    </xf>
    <xf numFmtId="0" fontId="24" fillId="22" borderId="38" xfId="36" applyNumberFormat="1" applyFont="1" applyBorder="1" applyAlignment="1" applyProtection="1">
      <alignment horizontal="center" vertical="center" wrapText="1"/>
    </xf>
    <xf numFmtId="0" fontId="24" fillId="28" borderId="10" xfId="36" applyNumberFormat="1" applyFont="1" applyFill="1" applyBorder="1" applyAlignment="1" applyProtection="1">
      <alignment horizontal="center" vertical="center" wrapText="1"/>
    </xf>
    <xf numFmtId="0" fontId="24" fillId="28" borderId="38" xfId="36" applyNumberFormat="1" applyFont="1" applyFill="1" applyBorder="1" applyAlignment="1" applyProtection="1">
      <alignment horizontal="center" vertical="center" wrapText="1"/>
    </xf>
    <xf numFmtId="0" fontId="24" fillId="29" borderId="33" xfId="36" applyNumberFormat="1" applyFont="1" applyFill="1" applyBorder="1" applyAlignment="1" applyProtection="1">
      <alignment horizontal="center" vertical="center" wrapText="1"/>
    </xf>
    <xf numFmtId="0" fontId="24" fillId="22" borderId="10" xfId="36" applyNumberFormat="1" applyFont="1" applyBorder="1" applyAlignment="1" applyProtection="1">
      <alignment horizontal="center" vertical="center" wrapText="1"/>
    </xf>
    <xf numFmtId="0" fontId="24" fillId="29" borderId="37" xfId="36" applyNumberFormat="1" applyFont="1" applyFill="1" applyBorder="1" applyAlignment="1" applyProtection="1">
      <alignment horizontal="center" vertical="center" wrapText="1"/>
    </xf>
    <xf numFmtId="0" fontId="24" fillId="28" borderId="39" xfId="36" applyNumberFormat="1" applyFont="1" applyFill="1" applyBorder="1" applyAlignment="1" applyProtection="1">
      <alignment horizontal="center" vertical="center" wrapText="1"/>
    </xf>
    <xf numFmtId="0" fontId="24" fillId="28" borderId="54" xfId="36" applyNumberFormat="1" applyFont="1" applyFill="1" applyBorder="1" applyAlignment="1" applyProtection="1">
      <alignment horizontal="center" vertical="center" wrapText="1"/>
    </xf>
    <xf numFmtId="0" fontId="24" fillId="28" borderId="41" xfId="36" applyNumberFormat="1" applyFont="1" applyFill="1" applyBorder="1" applyAlignment="1" applyProtection="1">
      <alignment horizontal="center" vertical="center" wrapText="1"/>
    </xf>
    <xf numFmtId="0" fontId="24" fillId="29" borderId="29" xfId="36" applyNumberFormat="1" applyFont="1" applyFill="1" applyBorder="1" applyAlignment="1" applyProtection="1">
      <alignment horizontal="center" vertical="center" wrapText="1"/>
    </xf>
    <xf numFmtId="0" fontId="24" fillId="28" borderId="29" xfId="36" applyNumberFormat="1" applyFont="1" applyFill="1" applyBorder="1" applyAlignment="1" applyProtection="1">
      <alignment horizontal="center" vertical="center" wrapText="1"/>
    </xf>
    <xf numFmtId="0" fontId="24" fillId="29" borderId="42" xfId="36" applyNumberFormat="1" applyFont="1" applyFill="1" applyBorder="1" applyAlignment="1" applyProtection="1">
      <alignment horizontal="center" vertical="center" wrapText="1"/>
    </xf>
    <xf numFmtId="0" fontId="24" fillId="29" borderId="36" xfId="36" applyNumberFormat="1" applyFont="1" applyFill="1" applyBorder="1" applyAlignment="1" applyProtection="1">
      <alignment horizontal="center" vertical="center" wrapText="1"/>
    </xf>
    <xf numFmtId="0" fontId="24" fillId="29" borderId="39" xfId="36" applyNumberFormat="1" applyFont="1" applyFill="1" applyBorder="1" applyAlignment="1" applyProtection="1">
      <alignment horizontal="center" vertical="center" wrapText="1"/>
    </xf>
    <xf numFmtId="0" fontId="24" fillId="29" borderId="32" xfId="36" applyNumberFormat="1" applyFont="1" applyFill="1" applyBorder="1" applyAlignment="1" applyProtection="1">
      <alignment horizontal="center" vertical="center" wrapText="1"/>
    </xf>
    <xf numFmtId="0" fontId="24" fillId="28" borderId="32" xfId="36" applyNumberFormat="1" applyFont="1" applyFill="1" applyBorder="1" applyAlignment="1" applyProtection="1">
      <alignment horizontal="center" vertical="center" wrapText="1"/>
    </xf>
    <xf numFmtId="0" fontId="24" fillId="28" borderId="47" xfId="36" applyNumberFormat="1" applyFont="1" applyFill="1" applyBorder="1" applyAlignment="1" applyProtection="1">
      <alignment horizontal="center" vertical="center" wrapText="1"/>
    </xf>
    <xf numFmtId="0" fontId="24" fillId="28" borderId="44" xfId="36" applyNumberFormat="1" applyFont="1" applyFill="1" applyBorder="1" applyAlignment="1" applyProtection="1">
      <alignment horizontal="center" vertical="center" wrapText="1"/>
    </xf>
    <xf numFmtId="0" fontId="24" fillId="28" borderId="30" xfId="36" applyNumberFormat="1" applyFont="1" applyFill="1" applyBorder="1" applyAlignment="1" applyProtection="1">
      <alignment horizontal="center" vertical="center" wrapText="1"/>
    </xf>
    <xf numFmtId="0" fontId="24" fillId="28" borderId="43" xfId="36" applyNumberFormat="1" applyFont="1" applyFill="1" applyBorder="1" applyAlignment="1" applyProtection="1">
      <alignment horizontal="center" vertical="center" wrapText="1"/>
    </xf>
    <xf numFmtId="0" fontId="24" fillId="28" borderId="46" xfId="36" applyNumberFormat="1" applyFont="1" applyFill="1" applyBorder="1" applyAlignment="1" applyProtection="1">
      <alignment horizontal="center" vertical="center" wrapText="1"/>
    </xf>
    <xf numFmtId="0" fontId="29" fillId="30" borderId="55" xfId="0" applyFont="1" applyFill="1" applyBorder="1" applyAlignment="1">
      <alignment horizontal="center" vertical="center"/>
    </xf>
    <xf numFmtId="0" fontId="29" fillId="30" borderId="53" xfId="0" applyFont="1" applyFill="1" applyBorder="1" applyAlignment="1">
      <alignment horizontal="center" vertical="center"/>
    </xf>
    <xf numFmtId="0" fontId="29" fillId="30" borderId="50" xfId="0" applyFont="1" applyFill="1" applyBorder="1" applyAlignment="1">
      <alignment horizontal="center" vertical="center"/>
    </xf>
    <xf numFmtId="0" fontId="29" fillId="30" borderId="48" xfId="0" applyFont="1" applyFill="1" applyBorder="1" applyAlignment="1">
      <alignment horizontal="center" vertical="center"/>
    </xf>
    <xf numFmtId="0" fontId="29" fillId="30" borderId="39" xfId="0" applyFont="1" applyFill="1" applyBorder="1" applyAlignment="1">
      <alignment horizontal="center" vertical="center"/>
    </xf>
    <xf numFmtId="0" fontId="29" fillId="30" borderId="29" xfId="0" applyFont="1" applyFill="1" applyBorder="1" applyAlignment="1">
      <alignment horizontal="center" vertical="center"/>
    </xf>
    <xf numFmtId="0" fontId="24" fillId="22" borderId="52" xfId="36" applyNumberFormat="1" applyFont="1" applyBorder="1" applyAlignment="1" applyProtection="1">
      <alignment horizontal="center" vertical="center" wrapText="1"/>
    </xf>
    <xf numFmtId="0" fontId="24" fillId="22" borderId="49" xfId="36" applyNumberFormat="1" applyFont="1" applyBorder="1" applyAlignment="1" applyProtection="1">
      <alignment horizontal="center" vertical="center" wrapText="1"/>
    </xf>
    <xf numFmtId="0" fontId="24" fillId="22" borderId="50" xfId="36" applyNumberFormat="1" applyFont="1" applyBorder="1" applyAlignment="1" applyProtection="1">
      <alignment horizontal="center" vertical="center" wrapText="1"/>
    </xf>
    <xf numFmtId="0" fontId="24" fillId="28" borderId="45" xfId="36" applyNumberFormat="1" applyFont="1" applyFill="1" applyBorder="1" applyAlignment="1" applyProtection="1">
      <alignment horizontal="center" vertical="center" wrapText="1"/>
    </xf>
  </cellXfs>
  <cellStyles count="5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alculation 2" xfId="54" xr:uid="{00000000-0005-0000-0000-00001A000000}"/>
    <cellStyle name="Calculation 3" xfId="55" xr:uid="{00000000-0005-0000-0000-00001B000000}"/>
    <cellStyle name="Check Cell" xfId="27" builtinId="23" customBuiltin="1"/>
    <cellStyle name="Check Cell 2" xfId="46" xr:uid="{00000000-0005-0000-0000-00001D000000}"/>
    <cellStyle name="Explanatory Text" xfId="28" builtinId="53" customBuiltin="1"/>
    <cellStyle name="Good" xfId="29" builtinId="26" customBuiltin="1"/>
    <cellStyle name="Good 2" xfId="45" xr:uid="{00000000-0005-0000-0000-000020000000}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Input 2" xfId="52" xr:uid="{00000000-0005-0000-0000-000026000000}"/>
    <cellStyle name="Input 3" xfId="53" xr:uid="{00000000-0005-0000-0000-000027000000}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B000000}"/>
    <cellStyle name="Normal 2 2" xfId="38" xr:uid="{00000000-0005-0000-0000-00002C000000}"/>
    <cellStyle name="Normal 3" xfId="39" xr:uid="{00000000-0005-0000-0000-00002D000000}"/>
    <cellStyle name="Normal 3 2" xfId="56" xr:uid="{00000000-0005-0000-0000-00002E000000}"/>
    <cellStyle name="Normal 3 3" xfId="58" xr:uid="{FE9D1D86-7B45-4C7C-BC67-550AFF10726D}"/>
    <cellStyle name="Note" xfId="40" builtinId="10" customBuiltin="1"/>
    <cellStyle name="Note 2" xfId="48" xr:uid="{00000000-0005-0000-0000-000030000000}"/>
    <cellStyle name="Note 3" xfId="51" xr:uid="{00000000-0005-0000-0000-000031000000}"/>
    <cellStyle name="Output" xfId="41" builtinId="21" customBuiltin="1"/>
    <cellStyle name="Output 2" xfId="47" xr:uid="{00000000-0005-0000-0000-000033000000}"/>
    <cellStyle name="Output 3" xfId="50" xr:uid="{00000000-0005-0000-0000-000034000000}"/>
    <cellStyle name="Title" xfId="42" builtinId="15" customBuiltin="1"/>
    <cellStyle name="Total" xfId="43" builtinId="25" customBuiltin="1"/>
    <cellStyle name="Total 2" xfId="57" xr:uid="{00000000-0005-0000-0000-000037000000}"/>
    <cellStyle name="Total 3" xfId="49" xr:uid="{00000000-0005-0000-0000-000038000000}"/>
    <cellStyle name="Warning Text" xfId="44" builtinId="11" customBuiltin="1"/>
  </cellStyles>
  <dxfs count="103"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  <dxf>
      <font>
        <b val="0"/>
        <condense val="0"/>
        <extend val="0"/>
        <sz val="11"/>
        <color indexed="23"/>
      </font>
    </dxf>
  </dxfs>
  <tableStyles count="0" defaultTableStyle="TableStyleMedium2" defaultPivotStyle="PivotStyleLight16"/>
  <colors>
    <mruColors>
      <color rgb="FFBBF2FD"/>
      <color rgb="FF66CCFF"/>
      <color rgb="FF00CCFF"/>
      <color rgb="FFFF9999"/>
      <color rgb="FFFCBCFC"/>
      <color rgb="FFC6FFB9"/>
      <color rgb="FFBEFD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point.ger.ith.intel.com/Users/uvirobni/AppData/Local/Microsoft/Windows/Temporary%20Internet%20Files/Content.Outlook/KURMAHKO/p1269_iCLK_CAS_Signal_Bucketing_LP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SC_Grandioso"/>
      <sheetName val="SSCa"/>
      <sheetName val="SSCa_PI"/>
      <sheetName val="SSCa_Postdiv"/>
      <sheetName val="SSCa_AsyncLogic"/>
      <sheetName val="SSCd"/>
      <sheetName val="GEN Diff Buffer"/>
      <sheetName val="GEN MoDDIV"/>
      <sheetName val="GEN SE Buffer"/>
      <sheetName val="Non-SSC Divtop"/>
      <sheetName val="Diff Buffer"/>
      <sheetName val="CBTOP"/>
      <sheetName val="CBANA"/>
      <sheetName val="CBTOP_OLD"/>
      <sheetName val="iref bias"/>
      <sheetName val="OSC"/>
      <sheetName val="SFR"/>
      <sheetName val="LCPLLTOP"/>
      <sheetName val="Mon Port"/>
      <sheetName val="CML2CMOS"/>
      <sheetName val="c69pxpllshr_inbufreftop"/>
      <sheetName val="c69pxpllshr_inbuftop"/>
      <sheetName val="List"/>
      <sheetName val="sandbox"/>
      <sheetName val="Sheet1"/>
      <sheetName val="Crapo"/>
      <sheetName val="Sheet8"/>
      <sheetName val="Sheet9"/>
      <sheetName val="Sheet10"/>
      <sheetName val="Sheet11"/>
      <sheetName val="Sheet11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1">
          <cell r="J1" t="str">
            <v>FUSE (high priority)  w/ internally hard tied register default</v>
          </cell>
        </row>
        <row r="2">
          <cell r="J2" t="str">
            <v>FUSE (nice to have)  w/ internally hard tied register default</v>
          </cell>
        </row>
        <row r="3">
          <cell r="J3" t="str">
            <v>PIN/STRAP - externally hard tied register default</v>
          </cell>
        </row>
        <row r="4">
          <cell r="J4" t="str">
            <v>Internally hard tied register default (no fuse)</v>
          </cell>
        </row>
        <row r="5">
          <cell r="J5" t="str">
            <v>N/A</v>
          </cell>
        </row>
      </sheetData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9CE41-EB9F-45D5-9FD0-D10669044B27}">
  <dimension ref="A1:Q313"/>
  <sheetViews>
    <sheetView tabSelected="1" topLeftCell="A49" zoomScale="90" zoomScaleNormal="90" workbookViewId="0">
      <selection activeCell="A66" sqref="A66:A78"/>
    </sheetView>
  </sheetViews>
  <sheetFormatPr defaultRowHeight="15"/>
  <cols>
    <col min="1" max="1" width="20.7109375" style="14" bestFit="1" customWidth="1"/>
    <col min="2" max="2" width="10.5703125" style="15" bestFit="1" customWidth="1"/>
    <col min="3" max="3" width="32.28515625" style="12" bestFit="1" customWidth="1"/>
    <col min="4" max="4" width="6.28515625" style="12" bestFit="1" customWidth="1"/>
    <col min="5" max="5" width="7.85546875" style="13" bestFit="1" customWidth="1"/>
    <col min="6" max="6" width="13.140625" style="13" bestFit="1" customWidth="1"/>
    <col min="7" max="7" width="68.5703125" style="1" bestFit="1" customWidth="1"/>
    <col min="8" max="8" width="9.5703125" style="12" bestFit="1" customWidth="1"/>
    <col min="9" max="9" width="11.7109375" style="12" bestFit="1" customWidth="1"/>
    <col min="10" max="10" width="9" style="14" bestFit="1" customWidth="1"/>
    <col min="11" max="11" width="31" style="14" bestFit="1" customWidth="1"/>
    <col min="12" max="12" width="20.28515625" style="15" bestFit="1" customWidth="1"/>
    <col min="13" max="13" width="11.28515625" style="15" bestFit="1" customWidth="1"/>
    <col min="14" max="14" width="8" style="15" bestFit="1" customWidth="1"/>
    <col min="15" max="15" width="11.85546875" style="15" bestFit="1" customWidth="1"/>
    <col min="16" max="16" width="13.140625" style="15" bestFit="1" customWidth="1"/>
    <col min="17" max="17" width="18.42578125" style="15" bestFit="1" customWidth="1"/>
  </cols>
  <sheetData>
    <row r="1" spans="1:17" ht="20.45" customHeight="1" thickBot="1">
      <c r="A1" s="16" t="s">
        <v>34</v>
      </c>
      <c r="B1" s="16" t="s">
        <v>21</v>
      </c>
      <c r="C1" s="16" t="s">
        <v>0</v>
      </c>
      <c r="D1" s="16" t="s">
        <v>1</v>
      </c>
      <c r="E1" s="17" t="s">
        <v>2</v>
      </c>
      <c r="F1" s="17" t="s">
        <v>33</v>
      </c>
      <c r="G1" s="16" t="s">
        <v>3</v>
      </c>
      <c r="H1" s="16" t="s">
        <v>24</v>
      </c>
      <c r="I1" s="16" t="s">
        <v>23</v>
      </c>
      <c r="J1" s="16" t="s">
        <v>35</v>
      </c>
      <c r="K1" s="16" t="s">
        <v>4</v>
      </c>
      <c r="L1" s="18" t="s">
        <v>39</v>
      </c>
      <c r="M1" s="19" t="s">
        <v>40</v>
      </c>
      <c r="N1" s="19" t="s">
        <v>43</v>
      </c>
      <c r="O1" s="19" t="s">
        <v>44</v>
      </c>
      <c r="P1" s="19" t="s">
        <v>48</v>
      </c>
      <c r="Q1" s="19" t="s">
        <v>49</v>
      </c>
    </row>
    <row r="2" spans="1:17">
      <c r="A2" s="52" t="s">
        <v>65</v>
      </c>
      <c r="B2" s="47" t="str">
        <f>DEC2HEX(O2*4)</f>
        <v>0</v>
      </c>
      <c r="C2" s="53" t="str">
        <f>bitConcat(F3:F14)</f>
        <v>32'b11000000000000000000000000000000</v>
      </c>
      <c r="D2" s="53"/>
      <c r="E2" s="53"/>
      <c r="F2" s="53"/>
      <c r="G2" s="53"/>
      <c r="H2" s="53"/>
      <c r="I2" s="53"/>
      <c r="J2" s="53"/>
      <c r="K2" s="53"/>
      <c r="L2" s="50" t="str">
        <f>DEC2HEX(_xlfn.BITLSHIFT(N2,7)+4*O2)</f>
        <v>200</v>
      </c>
      <c r="M2" s="50"/>
      <c r="N2" s="50">
        <v>4</v>
      </c>
      <c r="O2" s="44">
        <v>0</v>
      </c>
      <c r="P2" s="44" t="str">
        <f>DEC2HEX(_xlfn.BITLSHIFT(N2,5)+O2*4)</f>
        <v>80</v>
      </c>
      <c r="Q2" s="44" t="str">
        <f>BIN2HEX(LEFT(RIGHT(C2,32),4))&amp;BIN2HEX(LEFT(RIGHT(C2,28),4))&amp;BIN2HEX(LEFT(RIGHT(C2,24),4))&amp;BIN2HEX(LEFT(RIGHT(C2,20),4))&amp;BIN2HEX(LEFT(RIGHT(C2,16),4))&amp;BIN2HEX(LEFT(RIGHT(C2,12),4))&amp;BIN2HEX(LEFT(RIGHT(C2,8),4))&amp;BIN2HEX(LEFT(RIGHT(C2,4),4))</f>
        <v>C0000000</v>
      </c>
    </row>
    <row r="3" spans="1:17">
      <c r="A3" s="46"/>
      <c r="B3" s="48"/>
      <c r="C3" s="38" t="s">
        <v>66</v>
      </c>
      <c r="D3" s="35">
        <v>2</v>
      </c>
      <c r="E3" s="36" t="str">
        <f>IF(D3&gt;1,(31)&amp;":"&amp;(31-D3+1),(31-D3+1)&amp;":"&amp;(31-D3+1))</f>
        <v>31:30</v>
      </c>
      <c r="F3" s="35" t="s">
        <v>64</v>
      </c>
      <c r="G3" s="35" t="s">
        <v>67</v>
      </c>
      <c r="H3" s="39" t="s">
        <v>37</v>
      </c>
      <c r="I3" s="40" t="s">
        <v>36</v>
      </c>
      <c r="J3" s="41" t="s">
        <v>6</v>
      </c>
      <c r="K3" s="35"/>
      <c r="L3" s="51"/>
      <c r="M3" s="51"/>
      <c r="N3" s="51"/>
      <c r="O3" s="45"/>
      <c r="P3" s="45"/>
      <c r="Q3" s="45"/>
    </row>
    <row r="4" spans="1:17">
      <c r="A4" s="46"/>
      <c r="B4" s="48"/>
      <c r="C4" s="38" t="s">
        <v>68</v>
      </c>
      <c r="D4" s="35">
        <v>4</v>
      </c>
      <c r="E4" s="36" t="str">
        <f t="shared" ref="E4:E14" si="0">(MID(str_cnvt(E3),SEARCH(":",str_cnvt(E3))+1,2)-1) &amp; ":" &amp; (MID(str_cnvt(E3),SEARCH(":",str_cnvt(E3))+1,2)-D4)</f>
        <v>29:26</v>
      </c>
      <c r="F4" s="35" t="s">
        <v>47</v>
      </c>
      <c r="G4" s="35" t="s">
        <v>69</v>
      </c>
      <c r="H4" s="39" t="s">
        <v>37</v>
      </c>
      <c r="I4" s="40" t="s">
        <v>36</v>
      </c>
      <c r="J4" s="41" t="s">
        <v>6</v>
      </c>
      <c r="K4" s="35"/>
      <c r="L4" s="51"/>
      <c r="M4" s="51"/>
      <c r="N4" s="51"/>
      <c r="O4" s="45"/>
      <c r="P4" s="45"/>
      <c r="Q4" s="45"/>
    </row>
    <row r="5" spans="1:17">
      <c r="A5" s="46"/>
      <c r="B5" s="48"/>
      <c r="C5" s="38" t="s">
        <v>70</v>
      </c>
      <c r="D5" s="35">
        <v>3</v>
      </c>
      <c r="E5" s="36" t="str">
        <f t="shared" si="0"/>
        <v>25:23</v>
      </c>
      <c r="F5" s="35" t="s">
        <v>42</v>
      </c>
      <c r="G5" s="35" t="s">
        <v>71</v>
      </c>
      <c r="H5" s="39" t="s">
        <v>37</v>
      </c>
      <c r="I5" s="40" t="s">
        <v>36</v>
      </c>
      <c r="J5" s="41" t="s">
        <v>6</v>
      </c>
      <c r="K5" s="35"/>
      <c r="L5" s="51"/>
      <c r="M5" s="51"/>
      <c r="N5" s="51"/>
      <c r="O5" s="45"/>
      <c r="P5" s="45"/>
      <c r="Q5" s="45"/>
    </row>
    <row r="6" spans="1:17">
      <c r="A6" s="46"/>
      <c r="B6" s="48"/>
      <c r="C6" s="38" t="s">
        <v>72</v>
      </c>
      <c r="D6" s="35">
        <v>1</v>
      </c>
      <c r="E6" s="36" t="str">
        <f t="shared" si="0"/>
        <v>22:22</v>
      </c>
      <c r="F6" s="35" t="s">
        <v>7</v>
      </c>
      <c r="G6" s="35" t="s">
        <v>73</v>
      </c>
      <c r="H6" s="39" t="s">
        <v>37</v>
      </c>
      <c r="I6" s="40" t="s">
        <v>36</v>
      </c>
      <c r="J6" s="41" t="s">
        <v>6</v>
      </c>
      <c r="K6" s="35"/>
      <c r="L6" s="51"/>
      <c r="M6" s="51"/>
      <c r="N6" s="51"/>
      <c r="O6" s="45"/>
      <c r="P6" s="45"/>
      <c r="Q6" s="45"/>
    </row>
    <row r="7" spans="1:17">
      <c r="A7" s="46"/>
      <c r="B7" s="48"/>
      <c r="C7" s="38" t="s">
        <v>74</v>
      </c>
      <c r="D7" s="35">
        <v>3</v>
      </c>
      <c r="E7" s="36" t="str">
        <f t="shared" si="0"/>
        <v>21:19</v>
      </c>
      <c r="F7" s="35" t="s">
        <v>42</v>
      </c>
      <c r="G7" s="35" t="s">
        <v>71</v>
      </c>
      <c r="H7" s="39" t="s">
        <v>37</v>
      </c>
      <c r="I7" s="40" t="s">
        <v>36</v>
      </c>
      <c r="J7" s="41" t="s">
        <v>6</v>
      </c>
      <c r="K7" s="35"/>
      <c r="L7" s="51"/>
      <c r="M7" s="51"/>
      <c r="N7" s="51"/>
      <c r="O7" s="45"/>
      <c r="P7" s="45"/>
      <c r="Q7" s="45"/>
    </row>
    <row r="8" spans="1:17">
      <c r="A8" s="46"/>
      <c r="B8" s="48"/>
      <c r="C8" s="38" t="s">
        <v>75</v>
      </c>
      <c r="D8" s="35">
        <v>1</v>
      </c>
      <c r="E8" s="36" t="str">
        <f t="shared" si="0"/>
        <v>18:18</v>
      </c>
      <c r="F8" s="35" t="s">
        <v>7</v>
      </c>
      <c r="G8" s="35" t="s">
        <v>76</v>
      </c>
      <c r="H8" s="39" t="s">
        <v>37</v>
      </c>
      <c r="I8" s="40" t="s">
        <v>36</v>
      </c>
      <c r="J8" s="41" t="s">
        <v>6</v>
      </c>
      <c r="K8" s="35"/>
      <c r="L8" s="51"/>
      <c r="M8" s="51"/>
      <c r="N8" s="51"/>
      <c r="O8" s="45"/>
      <c r="P8" s="45"/>
      <c r="Q8" s="45"/>
    </row>
    <row r="9" spans="1:17">
      <c r="A9" s="46"/>
      <c r="B9" s="48"/>
      <c r="C9" s="38" t="s">
        <v>77</v>
      </c>
      <c r="D9" s="35">
        <v>3</v>
      </c>
      <c r="E9" s="36" t="str">
        <f t="shared" si="0"/>
        <v>17:15</v>
      </c>
      <c r="F9" s="35" t="s">
        <v>42</v>
      </c>
      <c r="G9" s="35" t="s">
        <v>71</v>
      </c>
      <c r="H9" s="39" t="s">
        <v>37</v>
      </c>
      <c r="I9" s="40" t="s">
        <v>36</v>
      </c>
      <c r="J9" s="41" t="s">
        <v>6</v>
      </c>
      <c r="K9" s="35"/>
      <c r="L9" s="51"/>
      <c r="M9" s="51"/>
      <c r="N9" s="51"/>
      <c r="O9" s="45"/>
      <c r="P9" s="45"/>
      <c r="Q9" s="45"/>
    </row>
    <row r="10" spans="1:17">
      <c r="A10" s="46"/>
      <c r="B10" s="48"/>
      <c r="C10" s="38" t="s">
        <v>78</v>
      </c>
      <c r="D10" s="35">
        <v>1</v>
      </c>
      <c r="E10" s="36" t="str">
        <f t="shared" si="0"/>
        <v>14:14</v>
      </c>
      <c r="F10" s="35" t="s">
        <v>7</v>
      </c>
      <c r="G10" s="35" t="s">
        <v>79</v>
      </c>
      <c r="H10" s="39" t="s">
        <v>37</v>
      </c>
      <c r="I10" s="40" t="s">
        <v>36</v>
      </c>
      <c r="J10" s="41" t="s">
        <v>6</v>
      </c>
      <c r="K10" s="35"/>
      <c r="L10" s="51"/>
      <c r="M10" s="51"/>
      <c r="N10" s="51"/>
      <c r="O10" s="45"/>
      <c r="P10" s="45"/>
      <c r="Q10" s="45"/>
    </row>
    <row r="11" spans="1:17">
      <c r="A11" s="46"/>
      <c r="B11" s="48"/>
      <c r="C11" s="38" t="s">
        <v>80</v>
      </c>
      <c r="D11" s="35">
        <v>3</v>
      </c>
      <c r="E11" s="36" t="str">
        <f t="shared" si="0"/>
        <v>13:11</v>
      </c>
      <c r="F11" s="35" t="s">
        <v>42</v>
      </c>
      <c r="G11" s="35" t="s">
        <v>71</v>
      </c>
      <c r="H11" s="39" t="s">
        <v>37</v>
      </c>
      <c r="I11" s="40" t="s">
        <v>36</v>
      </c>
      <c r="J11" s="41" t="s">
        <v>6</v>
      </c>
      <c r="K11" s="35"/>
      <c r="L11" s="51"/>
      <c r="M11" s="51"/>
      <c r="N11" s="51"/>
      <c r="O11" s="45"/>
      <c r="P11" s="45"/>
      <c r="Q11" s="45"/>
    </row>
    <row r="12" spans="1:17">
      <c r="A12" s="46"/>
      <c r="B12" s="48"/>
      <c r="C12" s="38" t="s">
        <v>81</v>
      </c>
      <c r="D12" s="35">
        <v>1</v>
      </c>
      <c r="E12" s="36" t="str">
        <f t="shared" si="0"/>
        <v>10:10</v>
      </c>
      <c r="F12" s="35" t="s">
        <v>7</v>
      </c>
      <c r="G12" s="35" t="s">
        <v>82</v>
      </c>
      <c r="H12" s="39" t="s">
        <v>37</v>
      </c>
      <c r="I12" s="40" t="s">
        <v>36</v>
      </c>
      <c r="J12" s="41" t="s">
        <v>6</v>
      </c>
      <c r="K12" s="35"/>
      <c r="L12" s="51"/>
      <c r="M12" s="51"/>
      <c r="N12" s="51"/>
      <c r="O12" s="45"/>
      <c r="P12" s="45"/>
      <c r="Q12" s="45"/>
    </row>
    <row r="13" spans="1:17">
      <c r="A13" s="46"/>
      <c r="B13" s="48"/>
      <c r="C13" s="38" t="s">
        <v>83</v>
      </c>
      <c r="D13" s="35">
        <v>1</v>
      </c>
      <c r="E13" s="36" t="str">
        <f t="shared" si="0"/>
        <v>9:9</v>
      </c>
      <c r="F13" s="35" t="s">
        <v>7</v>
      </c>
      <c r="G13" s="35" t="s">
        <v>84</v>
      </c>
      <c r="H13" s="39" t="s">
        <v>37</v>
      </c>
      <c r="I13" s="40" t="s">
        <v>36</v>
      </c>
      <c r="J13" s="41" t="s">
        <v>6</v>
      </c>
      <c r="K13" s="35"/>
      <c r="L13" s="51"/>
      <c r="M13" s="51"/>
      <c r="N13" s="51"/>
      <c r="O13" s="45"/>
      <c r="P13" s="45"/>
      <c r="Q13" s="45"/>
    </row>
    <row r="14" spans="1:17" ht="15.75" thickBot="1">
      <c r="A14" s="46"/>
      <c r="B14" s="48"/>
      <c r="C14" s="38" t="s">
        <v>85</v>
      </c>
      <c r="D14" s="35">
        <v>9</v>
      </c>
      <c r="E14" s="36" t="str">
        <f t="shared" si="0"/>
        <v>8:0</v>
      </c>
      <c r="F14" s="35" t="s">
        <v>50</v>
      </c>
      <c r="G14" s="35" t="s">
        <v>45</v>
      </c>
      <c r="H14" s="39" t="s">
        <v>37</v>
      </c>
      <c r="I14" s="40" t="s">
        <v>36</v>
      </c>
      <c r="J14" s="41" t="s">
        <v>6</v>
      </c>
      <c r="K14" s="35"/>
      <c r="L14" s="51"/>
      <c r="M14" s="51"/>
      <c r="N14" s="51"/>
      <c r="O14" s="45"/>
      <c r="P14" s="45"/>
      <c r="Q14" s="45"/>
    </row>
    <row r="15" spans="1:17">
      <c r="A15" s="46" t="s">
        <v>86</v>
      </c>
      <c r="B15" s="47" t="str">
        <f t="shared" ref="B15" si="1">DEC2HEX(O15*4)</f>
        <v>4</v>
      </c>
      <c r="C15" s="49" t="str">
        <f>bitConcat(F16:F31)</f>
        <v>32'b10000000000000000000000000000000</v>
      </c>
      <c r="D15" s="49"/>
      <c r="E15" s="49"/>
      <c r="F15" s="49"/>
      <c r="G15" s="49"/>
      <c r="H15" s="49"/>
      <c r="I15" s="49"/>
      <c r="J15" s="49"/>
      <c r="K15" s="49"/>
      <c r="L15" s="50" t="str">
        <f t="shared" ref="L15" si="2">DEC2HEX(_xlfn.BITLSHIFT(N15,7)+4*O15)</f>
        <v>204</v>
      </c>
      <c r="M15" s="51"/>
      <c r="N15" s="51">
        <v>4</v>
      </c>
      <c r="O15" s="45">
        <v>1</v>
      </c>
      <c r="P15" s="44" t="str">
        <f t="shared" ref="P15" si="3">DEC2HEX(_xlfn.BITLSHIFT(N15,5)+O15*4)</f>
        <v>84</v>
      </c>
      <c r="Q15" s="44" t="str">
        <f t="shared" ref="Q15" si="4">BIN2HEX(LEFT(RIGHT(C15,32),4))&amp;BIN2HEX(LEFT(RIGHT(C15,28),4))&amp;BIN2HEX(LEFT(RIGHT(C15,24),4))&amp;BIN2HEX(LEFT(RIGHT(C15,20),4))&amp;BIN2HEX(LEFT(RIGHT(C15,16),4))&amp;BIN2HEX(LEFT(RIGHT(C15,12),4))&amp;BIN2HEX(LEFT(RIGHT(C15,8),4))&amp;BIN2HEX(LEFT(RIGHT(C15,4),4))</f>
        <v>80000000</v>
      </c>
    </row>
    <row r="16" spans="1:17">
      <c r="A16" s="46"/>
      <c r="B16" s="48"/>
      <c r="C16" s="38" t="s">
        <v>87</v>
      </c>
      <c r="D16" s="35">
        <v>2</v>
      </c>
      <c r="E16" s="36" t="str">
        <f>IF(D16&gt;1,(31)&amp;":"&amp;(31-D16+1),(31-D16+1)&amp;":"&amp;(31-D16+1))</f>
        <v>31:30</v>
      </c>
      <c r="F16" s="35" t="s">
        <v>88</v>
      </c>
      <c r="G16" s="35" t="s">
        <v>67</v>
      </c>
      <c r="H16" s="21" t="s">
        <v>37</v>
      </c>
      <c r="I16" s="22" t="s">
        <v>36</v>
      </c>
      <c r="J16" s="23" t="s">
        <v>6</v>
      </c>
      <c r="K16" s="24"/>
      <c r="L16" s="51"/>
      <c r="M16" s="51"/>
      <c r="N16" s="51"/>
      <c r="O16" s="45"/>
      <c r="P16" s="45"/>
      <c r="Q16" s="45"/>
    </row>
    <row r="17" spans="1:17">
      <c r="A17" s="46"/>
      <c r="B17" s="48"/>
      <c r="C17" s="38" t="s">
        <v>89</v>
      </c>
      <c r="D17" s="35">
        <v>4</v>
      </c>
      <c r="E17" s="36" t="str">
        <f t="shared" ref="E17:E31" si="5">(MID(str_cnvt(E16),SEARCH(":",str_cnvt(E16))+1,2)-1) &amp; ":" &amp; (MID(str_cnvt(E16),SEARCH(":",str_cnvt(E16))+1,2)-D17)</f>
        <v>29:26</v>
      </c>
      <c r="F17" s="35" t="s">
        <v>47</v>
      </c>
      <c r="G17" s="35" t="s">
        <v>69</v>
      </c>
      <c r="H17" s="21" t="s">
        <v>37</v>
      </c>
      <c r="I17" s="22" t="s">
        <v>36</v>
      </c>
      <c r="J17" s="23" t="s">
        <v>6</v>
      </c>
      <c r="K17" s="24"/>
      <c r="L17" s="51"/>
      <c r="M17" s="51"/>
      <c r="N17" s="51"/>
      <c r="O17" s="45"/>
      <c r="P17" s="45"/>
      <c r="Q17" s="45"/>
    </row>
    <row r="18" spans="1:17">
      <c r="A18" s="46"/>
      <c r="B18" s="48"/>
      <c r="C18" s="38" t="s">
        <v>90</v>
      </c>
      <c r="D18" s="35">
        <v>3</v>
      </c>
      <c r="E18" s="36" t="str">
        <f t="shared" si="5"/>
        <v>25:23</v>
      </c>
      <c r="F18" s="35" t="s">
        <v>42</v>
      </c>
      <c r="G18" s="35" t="s">
        <v>71</v>
      </c>
      <c r="H18" s="21" t="s">
        <v>37</v>
      </c>
      <c r="I18" s="22" t="s">
        <v>36</v>
      </c>
      <c r="J18" s="23" t="s">
        <v>6</v>
      </c>
      <c r="K18" s="24"/>
      <c r="L18" s="51"/>
      <c r="M18" s="51"/>
      <c r="N18" s="51"/>
      <c r="O18" s="45"/>
      <c r="P18" s="45"/>
      <c r="Q18" s="45"/>
    </row>
    <row r="19" spans="1:17">
      <c r="A19" s="46"/>
      <c r="B19" s="48"/>
      <c r="C19" s="38" t="s">
        <v>91</v>
      </c>
      <c r="D19" s="35">
        <v>1</v>
      </c>
      <c r="E19" s="36" t="str">
        <f t="shared" si="5"/>
        <v>22:22</v>
      </c>
      <c r="F19" s="35" t="s">
        <v>7</v>
      </c>
      <c r="G19" s="35" t="s">
        <v>73</v>
      </c>
      <c r="H19" s="21" t="s">
        <v>37</v>
      </c>
      <c r="I19" s="22" t="s">
        <v>36</v>
      </c>
      <c r="J19" s="23" t="s">
        <v>6</v>
      </c>
      <c r="K19" s="24"/>
      <c r="L19" s="51"/>
      <c r="M19" s="51"/>
      <c r="N19" s="51"/>
      <c r="O19" s="45"/>
      <c r="P19" s="45"/>
      <c r="Q19" s="45"/>
    </row>
    <row r="20" spans="1:17">
      <c r="A20" s="46"/>
      <c r="B20" s="48"/>
      <c r="C20" s="38" t="s">
        <v>92</v>
      </c>
      <c r="D20" s="35">
        <v>3</v>
      </c>
      <c r="E20" s="36" t="str">
        <f t="shared" si="5"/>
        <v>21:19</v>
      </c>
      <c r="F20" s="35" t="s">
        <v>42</v>
      </c>
      <c r="G20" s="35" t="s">
        <v>71</v>
      </c>
      <c r="H20" s="21" t="s">
        <v>37</v>
      </c>
      <c r="I20" s="22" t="s">
        <v>36</v>
      </c>
      <c r="J20" s="23" t="s">
        <v>6</v>
      </c>
      <c r="K20" s="24"/>
      <c r="L20" s="51"/>
      <c r="M20" s="51"/>
      <c r="N20" s="51"/>
      <c r="O20" s="45"/>
      <c r="P20" s="45"/>
      <c r="Q20" s="45"/>
    </row>
    <row r="21" spans="1:17">
      <c r="A21" s="46"/>
      <c r="B21" s="48"/>
      <c r="C21" s="38" t="s">
        <v>93</v>
      </c>
      <c r="D21" s="35">
        <v>1</v>
      </c>
      <c r="E21" s="36" t="str">
        <f t="shared" si="5"/>
        <v>18:18</v>
      </c>
      <c r="F21" s="35" t="s">
        <v>7</v>
      </c>
      <c r="G21" s="35" t="s">
        <v>76</v>
      </c>
      <c r="H21" s="21" t="s">
        <v>37</v>
      </c>
      <c r="I21" s="22" t="s">
        <v>36</v>
      </c>
      <c r="J21" s="23" t="s">
        <v>6</v>
      </c>
      <c r="K21" s="24"/>
      <c r="L21" s="51"/>
      <c r="M21" s="51"/>
      <c r="N21" s="51"/>
      <c r="O21" s="45"/>
      <c r="P21" s="45"/>
      <c r="Q21" s="45"/>
    </row>
    <row r="22" spans="1:17">
      <c r="A22" s="46"/>
      <c r="B22" s="48"/>
      <c r="C22" s="38" t="s">
        <v>94</v>
      </c>
      <c r="D22" s="35">
        <v>3</v>
      </c>
      <c r="E22" s="36" t="str">
        <f t="shared" si="5"/>
        <v>17:15</v>
      </c>
      <c r="F22" s="35" t="s">
        <v>42</v>
      </c>
      <c r="G22" s="35" t="s">
        <v>71</v>
      </c>
      <c r="H22" s="21" t="s">
        <v>37</v>
      </c>
      <c r="I22" s="22" t="s">
        <v>36</v>
      </c>
      <c r="J22" s="23" t="s">
        <v>6</v>
      </c>
      <c r="K22" s="24"/>
      <c r="L22" s="51"/>
      <c r="M22" s="51"/>
      <c r="N22" s="51"/>
      <c r="O22" s="45"/>
      <c r="P22" s="45"/>
      <c r="Q22" s="45"/>
    </row>
    <row r="23" spans="1:17">
      <c r="A23" s="46"/>
      <c r="B23" s="48"/>
      <c r="C23" s="38" t="s">
        <v>95</v>
      </c>
      <c r="D23" s="35">
        <v>1</v>
      </c>
      <c r="E23" s="36" t="str">
        <f t="shared" si="5"/>
        <v>14:14</v>
      </c>
      <c r="F23" s="35" t="s">
        <v>7</v>
      </c>
      <c r="G23" s="35" t="s">
        <v>79</v>
      </c>
      <c r="H23" s="21" t="s">
        <v>37</v>
      </c>
      <c r="I23" s="22" t="s">
        <v>36</v>
      </c>
      <c r="J23" s="23" t="s">
        <v>6</v>
      </c>
      <c r="K23" s="24"/>
      <c r="L23" s="51"/>
      <c r="M23" s="51"/>
      <c r="N23" s="51"/>
      <c r="O23" s="45"/>
      <c r="P23" s="45"/>
      <c r="Q23" s="45"/>
    </row>
    <row r="24" spans="1:17">
      <c r="A24" s="46"/>
      <c r="B24" s="48"/>
      <c r="C24" s="38" t="s">
        <v>96</v>
      </c>
      <c r="D24" s="35">
        <v>3</v>
      </c>
      <c r="E24" s="36" t="str">
        <f t="shared" si="5"/>
        <v>13:11</v>
      </c>
      <c r="F24" s="35" t="s">
        <v>42</v>
      </c>
      <c r="G24" s="35" t="s">
        <v>71</v>
      </c>
      <c r="H24" s="21" t="s">
        <v>37</v>
      </c>
      <c r="I24" s="22" t="s">
        <v>36</v>
      </c>
      <c r="J24" s="23" t="s">
        <v>6</v>
      </c>
      <c r="K24" s="24"/>
      <c r="L24" s="51"/>
      <c r="M24" s="51"/>
      <c r="N24" s="51"/>
      <c r="O24" s="45"/>
      <c r="P24" s="45"/>
      <c r="Q24" s="45"/>
    </row>
    <row r="25" spans="1:17">
      <c r="A25" s="46"/>
      <c r="B25" s="48"/>
      <c r="C25" s="38" t="s">
        <v>97</v>
      </c>
      <c r="D25" s="35">
        <v>1</v>
      </c>
      <c r="E25" s="36" t="str">
        <f t="shared" si="5"/>
        <v>10:10</v>
      </c>
      <c r="F25" s="35" t="s">
        <v>7</v>
      </c>
      <c r="G25" s="35" t="s">
        <v>82</v>
      </c>
      <c r="H25" s="21" t="s">
        <v>37</v>
      </c>
      <c r="I25" s="22" t="s">
        <v>36</v>
      </c>
      <c r="J25" s="23" t="s">
        <v>6</v>
      </c>
      <c r="K25" s="24"/>
      <c r="L25" s="51"/>
      <c r="M25" s="51"/>
      <c r="N25" s="51"/>
      <c r="O25" s="45"/>
      <c r="P25" s="45"/>
      <c r="Q25" s="45"/>
    </row>
    <row r="26" spans="1:17">
      <c r="A26" s="46"/>
      <c r="B26" s="48"/>
      <c r="C26" s="38" t="s">
        <v>98</v>
      </c>
      <c r="D26" s="35">
        <v>1</v>
      </c>
      <c r="E26" s="36" t="str">
        <f t="shared" si="5"/>
        <v>9:9</v>
      </c>
      <c r="F26" s="35" t="s">
        <v>7</v>
      </c>
      <c r="G26" s="35" t="s">
        <v>99</v>
      </c>
      <c r="H26" s="21" t="s">
        <v>37</v>
      </c>
      <c r="I26" s="22" t="s">
        <v>36</v>
      </c>
      <c r="J26" s="23" t="s">
        <v>6</v>
      </c>
      <c r="K26" s="24"/>
      <c r="L26" s="51"/>
      <c r="M26" s="51"/>
      <c r="N26" s="51"/>
      <c r="O26" s="45"/>
      <c r="P26" s="45"/>
      <c r="Q26" s="45"/>
    </row>
    <row r="27" spans="1:17">
      <c r="A27" s="46"/>
      <c r="B27" s="48"/>
      <c r="C27" s="38" t="s">
        <v>100</v>
      </c>
      <c r="D27" s="35">
        <v>1</v>
      </c>
      <c r="E27" s="36" t="str">
        <f t="shared" si="5"/>
        <v>8:8</v>
      </c>
      <c r="F27" s="35" t="s">
        <v>7</v>
      </c>
      <c r="G27" s="35" t="s">
        <v>101</v>
      </c>
      <c r="H27" s="21" t="s">
        <v>37</v>
      </c>
      <c r="I27" s="22" t="s">
        <v>36</v>
      </c>
      <c r="J27" s="23" t="s">
        <v>6</v>
      </c>
      <c r="K27" s="24"/>
      <c r="L27" s="51"/>
      <c r="M27" s="51"/>
      <c r="N27" s="51"/>
      <c r="O27" s="45"/>
      <c r="P27" s="45"/>
      <c r="Q27" s="45"/>
    </row>
    <row r="28" spans="1:17">
      <c r="A28" s="46"/>
      <c r="B28" s="48"/>
      <c r="C28" s="38" t="s">
        <v>102</v>
      </c>
      <c r="D28" s="35">
        <v>1</v>
      </c>
      <c r="E28" s="36" t="str">
        <f t="shared" si="5"/>
        <v>7:7</v>
      </c>
      <c r="F28" s="35" t="s">
        <v>7</v>
      </c>
      <c r="G28" s="35" t="s">
        <v>103</v>
      </c>
      <c r="H28" s="21" t="s">
        <v>37</v>
      </c>
      <c r="I28" s="22" t="s">
        <v>36</v>
      </c>
      <c r="J28" s="23" t="s">
        <v>6</v>
      </c>
      <c r="K28" s="24"/>
      <c r="L28" s="51"/>
      <c r="M28" s="51"/>
      <c r="N28" s="51"/>
      <c r="O28" s="45"/>
      <c r="P28" s="45"/>
      <c r="Q28" s="45"/>
    </row>
    <row r="29" spans="1:17">
      <c r="A29" s="46"/>
      <c r="B29" s="48"/>
      <c r="C29" s="38" t="s">
        <v>104</v>
      </c>
      <c r="D29" s="35">
        <v>1</v>
      </c>
      <c r="E29" s="36" t="str">
        <f t="shared" si="5"/>
        <v>6:6</v>
      </c>
      <c r="F29" s="35" t="s">
        <v>7</v>
      </c>
      <c r="G29" s="35" t="s">
        <v>105</v>
      </c>
      <c r="H29" s="21" t="s">
        <v>37</v>
      </c>
      <c r="I29" s="22" t="s">
        <v>36</v>
      </c>
      <c r="J29" s="23" t="s">
        <v>6</v>
      </c>
      <c r="K29" s="24"/>
      <c r="L29" s="51"/>
      <c r="M29" s="51"/>
      <c r="N29" s="51"/>
      <c r="O29" s="45"/>
      <c r="P29" s="45"/>
      <c r="Q29" s="45"/>
    </row>
    <row r="30" spans="1:17">
      <c r="A30" s="46"/>
      <c r="B30" s="48"/>
      <c r="C30" s="38" t="s">
        <v>106</v>
      </c>
      <c r="D30" s="35">
        <v>1</v>
      </c>
      <c r="E30" s="36" t="str">
        <f t="shared" si="5"/>
        <v>5:5</v>
      </c>
      <c r="F30" s="35" t="s">
        <v>7</v>
      </c>
      <c r="G30" s="35" t="s">
        <v>107</v>
      </c>
      <c r="H30" s="21" t="s">
        <v>37</v>
      </c>
      <c r="I30" s="22" t="s">
        <v>36</v>
      </c>
      <c r="J30" s="23" t="s">
        <v>6</v>
      </c>
      <c r="K30" s="24"/>
      <c r="L30" s="51"/>
      <c r="M30" s="51"/>
      <c r="N30" s="51"/>
      <c r="O30" s="45"/>
      <c r="P30" s="45"/>
      <c r="Q30" s="45"/>
    </row>
    <row r="31" spans="1:17" ht="15.75" thickBot="1">
      <c r="A31" s="46"/>
      <c r="B31" s="48"/>
      <c r="C31" s="38" t="s">
        <v>108</v>
      </c>
      <c r="D31" s="35">
        <v>5</v>
      </c>
      <c r="E31" s="36" t="str">
        <f t="shared" si="5"/>
        <v>4:0</v>
      </c>
      <c r="F31" s="35" t="s">
        <v>46</v>
      </c>
      <c r="G31" s="35" t="s">
        <v>45</v>
      </c>
      <c r="H31" s="21" t="s">
        <v>37</v>
      </c>
      <c r="I31" s="22" t="s">
        <v>36</v>
      </c>
      <c r="J31" s="23" t="s">
        <v>6</v>
      </c>
      <c r="K31" s="24"/>
      <c r="L31" s="51"/>
      <c r="M31" s="51"/>
      <c r="N31" s="51"/>
      <c r="O31" s="45"/>
      <c r="P31" s="45"/>
      <c r="Q31" s="45"/>
    </row>
    <row r="32" spans="1:17">
      <c r="A32" s="46" t="s">
        <v>109</v>
      </c>
      <c r="B32" s="47" t="str">
        <f t="shared" ref="B32" si="6">DEC2HEX(O32*4)</f>
        <v>8</v>
      </c>
      <c r="C32" s="49" t="str">
        <f>bitConcat(F33:F48)</f>
        <v>32'b01000000000000000000000000000000</v>
      </c>
      <c r="D32" s="49"/>
      <c r="E32" s="49"/>
      <c r="F32" s="49"/>
      <c r="G32" s="49"/>
      <c r="H32" s="49"/>
      <c r="I32" s="49"/>
      <c r="J32" s="49"/>
      <c r="K32" s="49"/>
      <c r="L32" s="50" t="str">
        <f t="shared" ref="L32" si="7">DEC2HEX(_xlfn.BITLSHIFT(N32,7)+4*O32)</f>
        <v>208</v>
      </c>
      <c r="M32" s="51"/>
      <c r="N32" s="51">
        <v>4</v>
      </c>
      <c r="O32" s="45">
        <v>2</v>
      </c>
      <c r="P32" s="44" t="str">
        <f t="shared" ref="P32" si="8">DEC2HEX(_xlfn.BITLSHIFT(N32,5)+O32*4)</f>
        <v>88</v>
      </c>
      <c r="Q32" s="44" t="str">
        <f t="shared" ref="Q32" si="9">BIN2HEX(LEFT(RIGHT(C32,32),4))&amp;BIN2HEX(LEFT(RIGHT(C32,28),4))&amp;BIN2HEX(LEFT(RIGHT(C32,24),4))&amp;BIN2HEX(LEFT(RIGHT(C32,20),4))&amp;BIN2HEX(LEFT(RIGHT(C32,16),4))&amp;BIN2HEX(LEFT(RIGHT(C32,12),4))&amp;BIN2HEX(LEFT(RIGHT(C32,8),4))&amp;BIN2HEX(LEFT(RIGHT(C32,4),4))</f>
        <v>40000000</v>
      </c>
    </row>
    <row r="33" spans="1:17">
      <c r="A33" s="46"/>
      <c r="B33" s="48"/>
      <c r="C33" s="38" t="s">
        <v>110</v>
      </c>
      <c r="D33" s="35">
        <v>2</v>
      </c>
      <c r="E33" s="36" t="str">
        <f>IF(D33&gt;1,(31)&amp;":"&amp;(31-D33+1),(31-D33+1)&amp;":"&amp;(31-D33+1))</f>
        <v>31:30</v>
      </c>
      <c r="F33" s="35" t="s">
        <v>51</v>
      </c>
      <c r="G33" s="35" t="s">
        <v>67</v>
      </c>
      <c r="H33" s="21" t="s">
        <v>37</v>
      </c>
      <c r="I33" s="22" t="s">
        <v>36</v>
      </c>
      <c r="J33" s="23" t="s">
        <v>6</v>
      </c>
      <c r="K33" s="24"/>
      <c r="L33" s="51"/>
      <c r="M33" s="51"/>
      <c r="N33" s="51"/>
      <c r="O33" s="45"/>
      <c r="P33" s="45"/>
      <c r="Q33" s="45"/>
    </row>
    <row r="34" spans="1:17">
      <c r="A34" s="46"/>
      <c r="B34" s="48"/>
      <c r="C34" s="38" t="s">
        <v>111</v>
      </c>
      <c r="D34" s="35">
        <v>4</v>
      </c>
      <c r="E34" s="36" t="str">
        <f t="shared" ref="E34:E48" si="10">(MID(str_cnvt(E33),SEARCH(":",str_cnvt(E33))+1,2)-1) &amp; ":" &amp; (MID(str_cnvt(E33),SEARCH(":",str_cnvt(E33))+1,2)-D34)</f>
        <v>29:26</v>
      </c>
      <c r="F34" s="35" t="s">
        <v>47</v>
      </c>
      <c r="G34" s="35" t="s">
        <v>69</v>
      </c>
      <c r="H34" s="21" t="s">
        <v>37</v>
      </c>
      <c r="I34" s="22" t="s">
        <v>36</v>
      </c>
      <c r="J34" s="23" t="s">
        <v>6</v>
      </c>
      <c r="K34" s="24"/>
      <c r="L34" s="51"/>
      <c r="M34" s="51"/>
      <c r="N34" s="51"/>
      <c r="O34" s="45"/>
      <c r="P34" s="45"/>
      <c r="Q34" s="45"/>
    </row>
    <row r="35" spans="1:17">
      <c r="A35" s="46"/>
      <c r="B35" s="48"/>
      <c r="C35" s="38" t="s">
        <v>112</v>
      </c>
      <c r="D35" s="35">
        <v>3</v>
      </c>
      <c r="E35" s="36" t="str">
        <f t="shared" si="10"/>
        <v>25:23</v>
      </c>
      <c r="F35" s="35" t="s">
        <v>42</v>
      </c>
      <c r="G35" s="35" t="s">
        <v>71</v>
      </c>
      <c r="H35" s="21" t="s">
        <v>37</v>
      </c>
      <c r="I35" s="22" t="s">
        <v>36</v>
      </c>
      <c r="J35" s="23" t="s">
        <v>6</v>
      </c>
      <c r="K35" s="24"/>
      <c r="L35" s="51"/>
      <c r="M35" s="51"/>
      <c r="N35" s="51"/>
      <c r="O35" s="45"/>
      <c r="P35" s="45"/>
      <c r="Q35" s="45"/>
    </row>
    <row r="36" spans="1:17">
      <c r="A36" s="46"/>
      <c r="B36" s="48"/>
      <c r="C36" s="38" t="s">
        <v>113</v>
      </c>
      <c r="D36" s="35">
        <v>1</v>
      </c>
      <c r="E36" s="36" t="str">
        <f t="shared" si="10"/>
        <v>22:22</v>
      </c>
      <c r="F36" s="35" t="s">
        <v>7</v>
      </c>
      <c r="G36" s="35" t="s">
        <v>73</v>
      </c>
      <c r="H36" s="21" t="s">
        <v>37</v>
      </c>
      <c r="I36" s="22" t="s">
        <v>36</v>
      </c>
      <c r="J36" s="23" t="s">
        <v>6</v>
      </c>
      <c r="K36" s="24"/>
      <c r="L36" s="51"/>
      <c r="M36" s="51"/>
      <c r="N36" s="51"/>
      <c r="O36" s="45"/>
      <c r="P36" s="45"/>
      <c r="Q36" s="45"/>
    </row>
    <row r="37" spans="1:17">
      <c r="A37" s="46"/>
      <c r="B37" s="48"/>
      <c r="C37" s="38" t="s">
        <v>114</v>
      </c>
      <c r="D37" s="35">
        <v>3</v>
      </c>
      <c r="E37" s="36" t="str">
        <f t="shared" si="10"/>
        <v>21:19</v>
      </c>
      <c r="F37" s="35" t="s">
        <v>42</v>
      </c>
      <c r="G37" s="35" t="s">
        <v>71</v>
      </c>
      <c r="H37" s="21" t="s">
        <v>37</v>
      </c>
      <c r="I37" s="22" t="s">
        <v>36</v>
      </c>
      <c r="J37" s="23" t="s">
        <v>6</v>
      </c>
      <c r="K37" s="24"/>
      <c r="L37" s="51"/>
      <c r="M37" s="51"/>
      <c r="N37" s="51"/>
      <c r="O37" s="45"/>
      <c r="P37" s="45"/>
      <c r="Q37" s="45"/>
    </row>
    <row r="38" spans="1:17">
      <c r="A38" s="46"/>
      <c r="B38" s="48"/>
      <c r="C38" s="38" t="s">
        <v>115</v>
      </c>
      <c r="D38" s="35">
        <v>1</v>
      </c>
      <c r="E38" s="36" t="str">
        <f t="shared" si="10"/>
        <v>18:18</v>
      </c>
      <c r="F38" s="35" t="s">
        <v>7</v>
      </c>
      <c r="G38" s="35" t="s">
        <v>76</v>
      </c>
      <c r="H38" s="21" t="s">
        <v>37</v>
      </c>
      <c r="I38" s="22" t="s">
        <v>36</v>
      </c>
      <c r="J38" s="23" t="s">
        <v>6</v>
      </c>
      <c r="K38" s="24"/>
      <c r="L38" s="51"/>
      <c r="M38" s="51"/>
      <c r="N38" s="51"/>
      <c r="O38" s="45"/>
      <c r="P38" s="45"/>
      <c r="Q38" s="45"/>
    </row>
    <row r="39" spans="1:17">
      <c r="A39" s="46"/>
      <c r="B39" s="48"/>
      <c r="C39" s="38" t="s">
        <v>116</v>
      </c>
      <c r="D39" s="35">
        <v>3</v>
      </c>
      <c r="E39" s="36" t="str">
        <f t="shared" si="10"/>
        <v>17:15</v>
      </c>
      <c r="F39" s="35" t="s">
        <v>42</v>
      </c>
      <c r="G39" s="35" t="s">
        <v>71</v>
      </c>
      <c r="H39" s="21" t="s">
        <v>37</v>
      </c>
      <c r="I39" s="22" t="s">
        <v>36</v>
      </c>
      <c r="J39" s="23" t="s">
        <v>6</v>
      </c>
      <c r="K39" s="24"/>
      <c r="L39" s="51"/>
      <c r="M39" s="51"/>
      <c r="N39" s="51"/>
      <c r="O39" s="45"/>
      <c r="P39" s="45"/>
      <c r="Q39" s="45"/>
    </row>
    <row r="40" spans="1:17">
      <c r="A40" s="46"/>
      <c r="B40" s="48"/>
      <c r="C40" s="38" t="s">
        <v>117</v>
      </c>
      <c r="D40" s="35">
        <v>1</v>
      </c>
      <c r="E40" s="36" t="str">
        <f t="shared" si="10"/>
        <v>14:14</v>
      </c>
      <c r="F40" s="35" t="s">
        <v>7</v>
      </c>
      <c r="G40" s="35" t="s">
        <v>79</v>
      </c>
      <c r="H40" s="21" t="s">
        <v>37</v>
      </c>
      <c r="I40" s="22" t="s">
        <v>36</v>
      </c>
      <c r="J40" s="23" t="s">
        <v>6</v>
      </c>
      <c r="K40" s="24"/>
      <c r="L40" s="51"/>
      <c r="M40" s="51"/>
      <c r="N40" s="51"/>
      <c r="O40" s="45"/>
      <c r="P40" s="45"/>
      <c r="Q40" s="45"/>
    </row>
    <row r="41" spans="1:17">
      <c r="A41" s="46"/>
      <c r="B41" s="48"/>
      <c r="C41" s="38" t="s">
        <v>118</v>
      </c>
      <c r="D41" s="35">
        <v>3</v>
      </c>
      <c r="E41" s="36" t="str">
        <f t="shared" si="10"/>
        <v>13:11</v>
      </c>
      <c r="F41" s="35" t="s">
        <v>42</v>
      </c>
      <c r="G41" s="35" t="s">
        <v>71</v>
      </c>
      <c r="H41" s="21" t="s">
        <v>37</v>
      </c>
      <c r="I41" s="22" t="s">
        <v>36</v>
      </c>
      <c r="J41" s="23" t="s">
        <v>6</v>
      </c>
      <c r="K41" s="24"/>
      <c r="L41" s="51"/>
      <c r="M41" s="51"/>
      <c r="N41" s="51"/>
      <c r="O41" s="45"/>
      <c r="P41" s="45"/>
      <c r="Q41" s="45"/>
    </row>
    <row r="42" spans="1:17">
      <c r="A42" s="46"/>
      <c r="B42" s="48"/>
      <c r="C42" s="38" t="s">
        <v>119</v>
      </c>
      <c r="D42" s="35">
        <v>1</v>
      </c>
      <c r="E42" s="36" t="str">
        <f t="shared" si="10"/>
        <v>10:10</v>
      </c>
      <c r="F42" s="35" t="s">
        <v>7</v>
      </c>
      <c r="G42" s="35" t="s">
        <v>82</v>
      </c>
      <c r="H42" s="21" t="s">
        <v>37</v>
      </c>
      <c r="I42" s="22" t="s">
        <v>36</v>
      </c>
      <c r="J42" s="23" t="s">
        <v>6</v>
      </c>
      <c r="K42" s="24"/>
      <c r="L42" s="51"/>
      <c r="M42" s="51"/>
      <c r="N42" s="51"/>
      <c r="O42" s="45"/>
      <c r="P42" s="45"/>
      <c r="Q42" s="45"/>
    </row>
    <row r="43" spans="1:17">
      <c r="A43" s="46"/>
      <c r="B43" s="48"/>
      <c r="C43" s="38" t="s">
        <v>120</v>
      </c>
      <c r="D43" s="35">
        <v>1</v>
      </c>
      <c r="E43" s="36" t="str">
        <f t="shared" si="10"/>
        <v>9:9</v>
      </c>
      <c r="F43" s="35" t="s">
        <v>7</v>
      </c>
      <c r="G43" s="35" t="s">
        <v>121</v>
      </c>
      <c r="H43" s="21" t="s">
        <v>37</v>
      </c>
      <c r="I43" s="22" t="s">
        <v>36</v>
      </c>
      <c r="J43" s="23" t="s">
        <v>6</v>
      </c>
      <c r="K43" s="24"/>
      <c r="L43" s="51"/>
      <c r="M43" s="51"/>
      <c r="N43" s="51"/>
      <c r="O43" s="45"/>
      <c r="P43" s="45"/>
      <c r="Q43" s="45"/>
    </row>
    <row r="44" spans="1:17">
      <c r="A44" s="46"/>
      <c r="B44" s="48"/>
      <c r="C44" s="38" t="s">
        <v>122</v>
      </c>
      <c r="D44" s="35">
        <v>1</v>
      </c>
      <c r="E44" s="36" t="str">
        <f t="shared" si="10"/>
        <v>8:8</v>
      </c>
      <c r="F44" s="35" t="s">
        <v>7</v>
      </c>
      <c r="G44" s="35" t="s">
        <v>123</v>
      </c>
      <c r="H44" s="21" t="s">
        <v>37</v>
      </c>
      <c r="I44" s="22" t="s">
        <v>36</v>
      </c>
      <c r="J44" s="23" t="s">
        <v>6</v>
      </c>
      <c r="K44" s="24"/>
      <c r="L44" s="51"/>
      <c r="M44" s="51"/>
      <c r="N44" s="51"/>
      <c r="O44" s="45"/>
      <c r="P44" s="45"/>
      <c r="Q44" s="45"/>
    </row>
    <row r="45" spans="1:17">
      <c r="A45" s="46"/>
      <c r="B45" s="48"/>
      <c r="C45" s="38" t="s">
        <v>124</v>
      </c>
      <c r="D45" s="35">
        <v>1</v>
      </c>
      <c r="E45" s="36" t="str">
        <f t="shared" si="10"/>
        <v>7:7</v>
      </c>
      <c r="F45" s="35" t="s">
        <v>7</v>
      </c>
      <c r="G45" s="35" t="s">
        <v>125</v>
      </c>
      <c r="H45" s="21" t="s">
        <v>37</v>
      </c>
      <c r="I45" s="22" t="s">
        <v>36</v>
      </c>
      <c r="J45" s="23" t="s">
        <v>6</v>
      </c>
      <c r="K45" s="24"/>
      <c r="L45" s="51"/>
      <c r="M45" s="51"/>
      <c r="N45" s="51"/>
      <c r="O45" s="45"/>
      <c r="P45" s="45"/>
      <c r="Q45" s="45"/>
    </row>
    <row r="46" spans="1:17">
      <c r="A46" s="46"/>
      <c r="B46" s="48"/>
      <c r="C46" s="38" t="s">
        <v>126</v>
      </c>
      <c r="D46" s="35">
        <v>1</v>
      </c>
      <c r="E46" s="36" t="str">
        <f t="shared" si="10"/>
        <v>6:6</v>
      </c>
      <c r="F46" s="35" t="s">
        <v>7</v>
      </c>
      <c r="G46" s="35" t="s">
        <v>125</v>
      </c>
      <c r="H46" s="21" t="s">
        <v>37</v>
      </c>
      <c r="I46" s="22" t="s">
        <v>36</v>
      </c>
      <c r="J46" s="23" t="s">
        <v>6</v>
      </c>
      <c r="K46" s="24"/>
      <c r="L46" s="51"/>
      <c r="M46" s="51"/>
      <c r="N46" s="51"/>
      <c r="O46" s="45"/>
      <c r="P46" s="45"/>
      <c r="Q46" s="45"/>
    </row>
    <row r="47" spans="1:17">
      <c r="A47" s="46"/>
      <c r="B47" s="48"/>
      <c r="C47" s="38" t="s">
        <v>127</v>
      </c>
      <c r="D47" s="35">
        <v>1</v>
      </c>
      <c r="E47" s="36" t="str">
        <f t="shared" si="10"/>
        <v>5:5</v>
      </c>
      <c r="F47" s="35" t="s">
        <v>7</v>
      </c>
      <c r="G47" s="35" t="s">
        <v>125</v>
      </c>
      <c r="H47" s="21" t="s">
        <v>37</v>
      </c>
      <c r="I47" s="22" t="s">
        <v>36</v>
      </c>
      <c r="J47" s="23" t="s">
        <v>6</v>
      </c>
      <c r="K47" s="24"/>
      <c r="L47" s="51"/>
      <c r="M47" s="51"/>
      <c r="N47" s="51"/>
      <c r="O47" s="45"/>
      <c r="P47" s="45"/>
      <c r="Q47" s="45"/>
    </row>
    <row r="48" spans="1:17" ht="15.75" thickBot="1">
      <c r="A48" s="46"/>
      <c r="B48" s="48"/>
      <c r="C48" s="38" t="s">
        <v>128</v>
      </c>
      <c r="D48" s="35">
        <v>5</v>
      </c>
      <c r="E48" s="36" t="str">
        <f t="shared" si="10"/>
        <v>4:0</v>
      </c>
      <c r="F48" s="35" t="s">
        <v>46</v>
      </c>
      <c r="G48" s="35" t="s">
        <v>45</v>
      </c>
      <c r="H48" s="21" t="s">
        <v>37</v>
      </c>
      <c r="I48" s="22" t="s">
        <v>36</v>
      </c>
      <c r="J48" s="23" t="s">
        <v>6</v>
      </c>
      <c r="K48" s="24"/>
      <c r="L48" s="51"/>
      <c r="M48" s="51"/>
      <c r="N48" s="51"/>
      <c r="O48" s="45"/>
      <c r="P48" s="45"/>
      <c r="Q48" s="45"/>
    </row>
    <row r="49" spans="1:17">
      <c r="A49" s="46" t="s">
        <v>129</v>
      </c>
      <c r="B49" s="47" t="str">
        <f t="shared" ref="B49:B66" si="11">DEC2HEX(O49*4)</f>
        <v>C</v>
      </c>
      <c r="C49" s="49" t="str">
        <f>bitConcat(F50:F65)</f>
        <v>32'b00000000000000000000000000000000</v>
      </c>
      <c r="D49" s="49"/>
      <c r="E49" s="49"/>
      <c r="F49" s="49"/>
      <c r="G49" s="49"/>
      <c r="H49" s="49"/>
      <c r="I49" s="49"/>
      <c r="J49" s="49"/>
      <c r="K49" s="49"/>
      <c r="L49" s="50" t="str">
        <f t="shared" ref="L49" si="12">DEC2HEX(_xlfn.BITLSHIFT(N49,7)+4*O49)</f>
        <v>20C</v>
      </c>
      <c r="M49" s="51"/>
      <c r="N49" s="51">
        <v>4</v>
      </c>
      <c r="O49" s="45">
        <v>3</v>
      </c>
      <c r="P49" s="44" t="str">
        <f t="shared" ref="P49" si="13">DEC2HEX(_xlfn.BITLSHIFT(N49,5)+O49*4)</f>
        <v>8C</v>
      </c>
      <c r="Q49" s="44" t="str">
        <f t="shared" ref="Q49" si="14">BIN2HEX(LEFT(RIGHT(C49,32),4))&amp;BIN2HEX(LEFT(RIGHT(C49,28),4))&amp;BIN2HEX(LEFT(RIGHT(C49,24),4))&amp;BIN2HEX(LEFT(RIGHT(C49,20),4))&amp;BIN2HEX(LEFT(RIGHT(C49,16),4))&amp;BIN2HEX(LEFT(RIGHT(C49,12),4))&amp;BIN2HEX(LEFT(RIGHT(C49,8),4))&amp;BIN2HEX(LEFT(RIGHT(C49,4),4))</f>
        <v>00000000</v>
      </c>
    </row>
    <row r="50" spans="1:17">
      <c r="A50" s="46"/>
      <c r="B50" s="48"/>
      <c r="C50" s="38" t="s">
        <v>130</v>
      </c>
      <c r="D50" s="35">
        <v>2</v>
      </c>
      <c r="E50" s="36" t="str">
        <f>IF(D50&gt;1,(31)&amp;":"&amp;(31-D50+1),(31-D50+1)&amp;":"&amp;(31-D50+1))</f>
        <v>31:30</v>
      </c>
      <c r="F50" s="35" t="s">
        <v>41</v>
      </c>
      <c r="G50" s="35" t="s">
        <v>67</v>
      </c>
      <c r="H50" s="21" t="s">
        <v>37</v>
      </c>
      <c r="I50" s="22" t="s">
        <v>36</v>
      </c>
      <c r="J50" s="23" t="s">
        <v>6</v>
      </c>
      <c r="K50" s="24"/>
      <c r="L50" s="51"/>
      <c r="M50" s="51"/>
      <c r="N50" s="51"/>
      <c r="O50" s="45"/>
      <c r="P50" s="45"/>
      <c r="Q50" s="45"/>
    </row>
    <row r="51" spans="1:17">
      <c r="A51" s="46"/>
      <c r="B51" s="48"/>
      <c r="C51" s="38" t="s">
        <v>131</v>
      </c>
      <c r="D51" s="35">
        <v>4</v>
      </c>
      <c r="E51" s="36" t="str">
        <f t="shared" ref="E51:E65" si="15">(MID(str_cnvt(E50),SEARCH(":",str_cnvt(E50))+1,2)-1) &amp; ":" &amp; (MID(str_cnvt(E50),SEARCH(":",str_cnvt(E50))+1,2)-D51)</f>
        <v>29:26</v>
      </c>
      <c r="F51" s="35" t="s">
        <v>47</v>
      </c>
      <c r="G51" s="35" t="s">
        <v>69</v>
      </c>
      <c r="H51" s="21" t="s">
        <v>37</v>
      </c>
      <c r="I51" s="22" t="s">
        <v>36</v>
      </c>
      <c r="J51" s="23" t="s">
        <v>6</v>
      </c>
      <c r="K51" s="24"/>
      <c r="L51" s="51"/>
      <c r="M51" s="51"/>
      <c r="N51" s="51"/>
      <c r="O51" s="45"/>
      <c r="P51" s="45"/>
      <c r="Q51" s="45"/>
    </row>
    <row r="52" spans="1:17">
      <c r="A52" s="46"/>
      <c r="B52" s="48"/>
      <c r="C52" s="38" t="s">
        <v>132</v>
      </c>
      <c r="D52" s="35">
        <v>3</v>
      </c>
      <c r="E52" s="36" t="str">
        <f t="shared" si="15"/>
        <v>25:23</v>
      </c>
      <c r="F52" s="35" t="s">
        <v>42</v>
      </c>
      <c r="G52" s="35" t="s">
        <v>71</v>
      </c>
      <c r="H52" s="21" t="s">
        <v>37</v>
      </c>
      <c r="I52" s="22" t="s">
        <v>36</v>
      </c>
      <c r="J52" s="23" t="s">
        <v>6</v>
      </c>
      <c r="K52" s="24"/>
      <c r="L52" s="51"/>
      <c r="M52" s="51"/>
      <c r="N52" s="51"/>
      <c r="O52" s="45"/>
      <c r="P52" s="45"/>
      <c r="Q52" s="45"/>
    </row>
    <row r="53" spans="1:17">
      <c r="A53" s="46"/>
      <c r="B53" s="48"/>
      <c r="C53" s="38" t="s">
        <v>133</v>
      </c>
      <c r="D53" s="35">
        <v>1</v>
      </c>
      <c r="E53" s="36" t="str">
        <f t="shared" si="15"/>
        <v>22:22</v>
      </c>
      <c r="F53" s="35" t="s">
        <v>7</v>
      </c>
      <c r="G53" s="35" t="s">
        <v>73</v>
      </c>
      <c r="H53" s="21" t="s">
        <v>37</v>
      </c>
      <c r="I53" s="22" t="s">
        <v>36</v>
      </c>
      <c r="J53" s="23" t="s">
        <v>6</v>
      </c>
      <c r="K53" s="24"/>
      <c r="L53" s="51"/>
      <c r="M53" s="51"/>
      <c r="N53" s="51"/>
      <c r="O53" s="45"/>
      <c r="P53" s="45"/>
      <c r="Q53" s="45"/>
    </row>
    <row r="54" spans="1:17">
      <c r="A54" s="46"/>
      <c r="B54" s="48"/>
      <c r="C54" s="38" t="s">
        <v>134</v>
      </c>
      <c r="D54" s="35">
        <v>3</v>
      </c>
      <c r="E54" s="36" t="str">
        <f t="shared" si="15"/>
        <v>21:19</v>
      </c>
      <c r="F54" s="35" t="s">
        <v>42</v>
      </c>
      <c r="G54" s="35" t="s">
        <v>71</v>
      </c>
      <c r="H54" s="21" t="s">
        <v>37</v>
      </c>
      <c r="I54" s="22" t="s">
        <v>36</v>
      </c>
      <c r="J54" s="23" t="s">
        <v>6</v>
      </c>
      <c r="K54" s="24"/>
      <c r="L54" s="51"/>
      <c r="M54" s="51"/>
      <c r="N54" s="51"/>
      <c r="O54" s="45"/>
      <c r="P54" s="45"/>
      <c r="Q54" s="45"/>
    </row>
    <row r="55" spans="1:17">
      <c r="A55" s="46"/>
      <c r="B55" s="48"/>
      <c r="C55" s="38" t="s">
        <v>135</v>
      </c>
      <c r="D55" s="35">
        <v>1</v>
      </c>
      <c r="E55" s="36" t="str">
        <f t="shared" si="15"/>
        <v>18:18</v>
      </c>
      <c r="F55" s="35" t="s">
        <v>7</v>
      </c>
      <c r="G55" s="35" t="s">
        <v>76</v>
      </c>
      <c r="H55" s="21" t="s">
        <v>37</v>
      </c>
      <c r="I55" s="22" t="s">
        <v>36</v>
      </c>
      <c r="J55" s="23" t="s">
        <v>6</v>
      </c>
      <c r="K55" s="24"/>
      <c r="L55" s="51"/>
      <c r="M55" s="51"/>
      <c r="N55" s="51"/>
      <c r="O55" s="45"/>
      <c r="P55" s="45"/>
      <c r="Q55" s="45"/>
    </row>
    <row r="56" spans="1:17">
      <c r="A56" s="46"/>
      <c r="B56" s="48"/>
      <c r="C56" s="38" t="s">
        <v>136</v>
      </c>
      <c r="D56" s="35">
        <v>3</v>
      </c>
      <c r="E56" s="36" t="str">
        <f t="shared" si="15"/>
        <v>17:15</v>
      </c>
      <c r="F56" s="35" t="s">
        <v>42</v>
      </c>
      <c r="G56" s="35" t="s">
        <v>71</v>
      </c>
      <c r="H56" s="21" t="s">
        <v>37</v>
      </c>
      <c r="I56" s="22" t="s">
        <v>36</v>
      </c>
      <c r="J56" s="23" t="s">
        <v>6</v>
      </c>
      <c r="K56" s="24"/>
      <c r="L56" s="51"/>
      <c r="M56" s="51"/>
      <c r="N56" s="51"/>
      <c r="O56" s="45"/>
      <c r="P56" s="45"/>
      <c r="Q56" s="45"/>
    </row>
    <row r="57" spans="1:17">
      <c r="A57" s="46"/>
      <c r="B57" s="48"/>
      <c r="C57" s="38" t="s">
        <v>137</v>
      </c>
      <c r="D57" s="35">
        <v>1</v>
      </c>
      <c r="E57" s="36" t="str">
        <f t="shared" si="15"/>
        <v>14:14</v>
      </c>
      <c r="F57" s="35" t="s">
        <v>7</v>
      </c>
      <c r="G57" s="35" t="s">
        <v>79</v>
      </c>
      <c r="H57" s="21" t="s">
        <v>37</v>
      </c>
      <c r="I57" s="22" t="s">
        <v>36</v>
      </c>
      <c r="J57" s="23" t="s">
        <v>6</v>
      </c>
      <c r="K57" s="24"/>
      <c r="L57" s="51"/>
      <c r="M57" s="51"/>
      <c r="N57" s="51"/>
      <c r="O57" s="45"/>
      <c r="P57" s="45"/>
      <c r="Q57" s="45"/>
    </row>
    <row r="58" spans="1:17">
      <c r="A58" s="46"/>
      <c r="B58" s="48"/>
      <c r="C58" s="38" t="s">
        <v>138</v>
      </c>
      <c r="D58" s="35">
        <v>3</v>
      </c>
      <c r="E58" s="36" t="str">
        <f t="shared" si="15"/>
        <v>13:11</v>
      </c>
      <c r="F58" s="35" t="s">
        <v>42</v>
      </c>
      <c r="G58" s="35" t="s">
        <v>71</v>
      </c>
      <c r="H58" s="21" t="s">
        <v>37</v>
      </c>
      <c r="I58" s="22" t="s">
        <v>36</v>
      </c>
      <c r="J58" s="23" t="s">
        <v>6</v>
      </c>
      <c r="K58" s="24"/>
      <c r="L58" s="51"/>
      <c r="M58" s="51"/>
      <c r="N58" s="51"/>
      <c r="O58" s="45"/>
      <c r="P58" s="45"/>
      <c r="Q58" s="45"/>
    </row>
    <row r="59" spans="1:17">
      <c r="A59" s="46"/>
      <c r="B59" s="48"/>
      <c r="C59" s="38" t="s">
        <v>139</v>
      </c>
      <c r="D59" s="35">
        <v>1</v>
      </c>
      <c r="E59" s="36" t="str">
        <f t="shared" si="15"/>
        <v>10:10</v>
      </c>
      <c r="F59" s="35" t="s">
        <v>7</v>
      </c>
      <c r="G59" s="35" t="s">
        <v>82</v>
      </c>
      <c r="H59" s="21" t="s">
        <v>37</v>
      </c>
      <c r="I59" s="22" t="s">
        <v>36</v>
      </c>
      <c r="J59" s="23" t="s">
        <v>6</v>
      </c>
      <c r="K59" s="24"/>
      <c r="L59" s="51"/>
      <c r="M59" s="51"/>
      <c r="N59" s="51"/>
      <c r="O59" s="45"/>
      <c r="P59" s="45"/>
      <c r="Q59" s="45"/>
    </row>
    <row r="60" spans="1:17">
      <c r="A60" s="46"/>
      <c r="B60" s="48"/>
      <c r="C60" s="38" t="s">
        <v>140</v>
      </c>
      <c r="D60" s="35">
        <v>1</v>
      </c>
      <c r="E60" s="36" t="str">
        <f t="shared" si="15"/>
        <v>9:9</v>
      </c>
      <c r="F60" s="35" t="s">
        <v>7</v>
      </c>
      <c r="G60" s="35" t="s">
        <v>141</v>
      </c>
      <c r="H60" s="21" t="s">
        <v>37</v>
      </c>
      <c r="I60" s="22" t="s">
        <v>36</v>
      </c>
      <c r="J60" s="23" t="s">
        <v>6</v>
      </c>
      <c r="K60" s="24"/>
      <c r="L60" s="51"/>
      <c r="M60" s="51"/>
      <c r="N60" s="51"/>
      <c r="O60" s="45"/>
      <c r="P60" s="45"/>
      <c r="Q60" s="45"/>
    </row>
    <row r="61" spans="1:17">
      <c r="A61" s="54"/>
      <c r="B61" s="48"/>
      <c r="C61" s="38" t="s">
        <v>142</v>
      </c>
      <c r="D61" s="35">
        <v>1</v>
      </c>
      <c r="E61" s="36" t="str">
        <f t="shared" si="15"/>
        <v>8:8</v>
      </c>
      <c r="F61" s="35" t="s">
        <v>7</v>
      </c>
      <c r="G61" s="35" t="s">
        <v>123</v>
      </c>
      <c r="H61" s="21" t="s">
        <v>37</v>
      </c>
      <c r="I61" s="22" t="s">
        <v>36</v>
      </c>
      <c r="J61" s="23" t="s">
        <v>6</v>
      </c>
      <c r="K61" s="28"/>
      <c r="L61" s="51"/>
      <c r="M61" s="55"/>
      <c r="N61" s="55"/>
      <c r="O61" s="56"/>
      <c r="P61" s="45"/>
      <c r="Q61" s="45"/>
    </row>
    <row r="62" spans="1:17">
      <c r="A62" s="54"/>
      <c r="B62" s="48"/>
      <c r="C62" s="38" t="s">
        <v>143</v>
      </c>
      <c r="D62" s="35">
        <v>1</v>
      </c>
      <c r="E62" s="36" t="str">
        <f t="shared" si="15"/>
        <v>7:7</v>
      </c>
      <c r="F62" s="35" t="s">
        <v>7</v>
      </c>
      <c r="G62" s="35" t="s">
        <v>125</v>
      </c>
      <c r="H62" s="21" t="s">
        <v>37</v>
      </c>
      <c r="I62" s="22" t="s">
        <v>36</v>
      </c>
      <c r="J62" s="23" t="s">
        <v>6</v>
      </c>
      <c r="K62" s="28"/>
      <c r="L62" s="51"/>
      <c r="M62" s="55"/>
      <c r="N62" s="55"/>
      <c r="O62" s="56"/>
      <c r="P62" s="45"/>
      <c r="Q62" s="45"/>
    </row>
    <row r="63" spans="1:17">
      <c r="A63" s="54"/>
      <c r="B63" s="48"/>
      <c r="C63" s="38" t="s">
        <v>144</v>
      </c>
      <c r="D63" s="35">
        <v>1</v>
      </c>
      <c r="E63" s="36" t="str">
        <f t="shared" si="15"/>
        <v>6:6</v>
      </c>
      <c r="F63" s="35" t="s">
        <v>7</v>
      </c>
      <c r="G63" s="35" t="s">
        <v>125</v>
      </c>
      <c r="H63" s="21" t="s">
        <v>37</v>
      </c>
      <c r="I63" s="22" t="s">
        <v>36</v>
      </c>
      <c r="J63" s="23" t="s">
        <v>6</v>
      </c>
      <c r="K63" s="28"/>
      <c r="L63" s="51"/>
      <c r="M63" s="55"/>
      <c r="N63" s="55"/>
      <c r="O63" s="56"/>
      <c r="P63" s="45"/>
      <c r="Q63" s="45"/>
    </row>
    <row r="64" spans="1:17">
      <c r="A64" s="54"/>
      <c r="B64" s="48"/>
      <c r="C64" s="38" t="s">
        <v>145</v>
      </c>
      <c r="D64" s="35">
        <v>1</v>
      </c>
      <c r="E64" s="36" t="str">
        <f t="shared" si="15"/>
        <v>5:5</v>
      </c>
      <c r="F64" s="35" t="s">
        <v>7</v>
      </c>
      <c r="G64" s="35" t="s">
        <v>125</v>
      </c>
      <c r="H64" s="21" t="s">
        <v>37</v>
      </c>
      <c r="I64" s="22" t="s">
        <v>36</v>
      </c>
      <c r="J64" s="23" t="s">
        <v>6</v>
      </c>
      <c r="K64" s="28"/>
      <c r="L64" s="51"/>
      <c r="M64" s="55"/>
      <c r="N64" s="55"/>
      <c r="O64" s="56"/>
      <c r="P64" s="45"/>
      <c r="Q64" s="45"/>
    </row>
    <row r="65" spans="1:17" ht="15.75" thickBot="1">
      <c r="A65" s="54"/>
      <c r="B65" s="48"/>
      <c r="C65" s="38" t="s">
        <v>146</v>
      </c>
      <c r="D65" s="35">
        <v>5</v>
      </c>
      <c r="E65" s="36" t="str">
        <f t="shared" si="15"/>
        <v>4:0</v>
      </c>
      <c r="F65" s="35" t="s">
        <v>46</v>
      </c>
      <c r="G65" s="35" t="s">
        <v>45</v>
      </c>
      <c r="H65" s="25" t="s">
        <v>37</v>
      </c>
      <c r="I65" s="26" t="s">
        <v>36</v>
      </c>
      <c r="J65" s="27" t="s">
        <v>6</v>
      </c>
      <c r="K65" s="28"/>
      <c r="L65" s="51"/>
      <c r="M65" s="55"/>
      <c r="N65" s="55"/>
      <c r="O65" s="56"/>
      <c r="P65" s="45"/>
      <c r="Q65" s="45"/>
    </row>
    <row r="66" spans="1:17">
      <c r="A66" s="52" t="s">
        <v>147</v>
      </c>
      <c r="B66" s="47" t="str">
        <f t="shared" si="11"/>
        <v>10</v>
      </c>
      <c r="C66" s="53" t="str">
        <f>bitConcat(F66:F78)</f>
        <v>32'b11000000000000000000000000000000</v>
      </c>
      <c r="D66" s="53"/>
      <c r="E66" s="53"/>
      <c r="F66" s="53"/>
      <c r="G66" s="53"/>
      <c r="H66" s="53"/>
      <c r="I66" s="53"/>
      <c r="J66" s="53"/>
      <c r="K66" s="53"/>
      <c r="L66" s="50" t="str">
        <f t="shared" ref="L66" si="16">DEC2HEX(_xlfn.BITLSHIFT(N66,7)+4*O66)</f>
        <v>210</v>
      </c>
      <c r="M66" s="50"/>
      <c r="N66" s="50">
        <v>4</v>
      </c>
      <c r="O66" s="44">
        <v>4</v>
      </c>
      <c r="P66" s="44" t="str">
        <f t="shared" ref="P66" si="17">DEC2HEX(_xlfn.BITLSHIFT(N66,5)+O66*4)</f>
        <v>90</v>
      </c>
      <c r="Q66" s="44" t="str">
        <f t="shared" ref="Q66" si="18">BIN2HEX(LEFT(RIGHT(C66,32),4))&amp;BIN2HEX(LEFT(RIGHT(C66,28),4))&amp;BIN2HEX(LEFT(RIGHT(C66,24),4))&amp;BIN2HEX(LEFT(RIGHT(C66,20),4))&amp;BIN2HEX(LEFT(RIGHT(C66,16),4))&amp;BIN2HEX(LEFT(RIGHT(C66,12),4))&amp;BIN2HEX(LEFT(RIGHT(C66,8),4))&amp;BIN2HEX(LEFT(RIGHT(C66,4),4))</f>
        <v>C0000000</v>
      </c>
    </row>
    <row r="67" spans="1:17">
      <c r="A67" s="60"/>
      <c r="B67" s="58"/>
      <c r="C67" s="38" t="s">
        <v>66</v>
      </c>
      <c r="D67" s="35">
        <v>2</v>
      </c>
      <c r="E67" s="36" t="str">
        <f>IF(D67&gt;1,(31)&amp;":"&amp;(31-D67+1),(31-D67+1)&amp;":"&amp;(31-D67+1))</f>
        <v>31:30</v>
      </c>
      <c r="F67" s="35" t="s">
        <v>64</v>
      </c>
      <c r="G67" s="35" t="s">
        <v>67</v>
      </c>
      <c r="H67" s="21" t="s">
        <v>37</v>
      </c>
      <c r="I67" s="22" t="s">
        <v>36</v>
      </c>
      <c r="J67" s="23" t="s">
        <v>6</v>
      </c>
      <c r="K67" s="24"/>
      <c r="L67" s="59"/>
      <c r="M67" s="59"/>
      <c r="N67" s="59"/>
      <c r="O67" s="57"/>
      <c r="P67" s="57"/>
      <c r="Q67" s="57"/>
    </row>
    <row r="68" spans="1:17">
      <c r="A68" s="60"/>
      <c r="B68" s="58"/>
      <c r="C68" s="38" t="s">
        <v>68</v>
      </c>
      <c r="D68" s="35">
        <v>4</v>
      </c>
      <c r="E68" s="36" t="str">
        <f t="shared" ref="E68:E78" si="19">(MID(str_cnvt(E67),SEARCH(":",str_cnvt(E67))+1,2)-1) &amp; ":" &amp; (MID(str_cnvt(E67),SEARCH(":",str_cnvt(E67))+1,2)-D68)</f>
        <v>29:26</v>
      </c>
      <c r="F68" s="35" t="s">
        <v>47</v>
      </c>
      <c r="G68" s="35" t="s">
        <v>69</v>
      </c>
      <c r="H68" s="21" t="s">
        <v>37</v>
      </c>
      <c r="I68" s="22" t="s">
        <v>36</v>
      </c>
      <c r="J68" s="23" t="s">
        <v>6</v>
      </c>
      <c r="K68" s="24"/>
      <c r="L68" s="59"/>
      <c r="M68" s="59"/>
      <c r="N68" s="59"/>
      <c r="O68" s="57"/>
      <c r="P68" s="57"/>
      <c r="Q68" s="57"/>
    </row>
    <row r="69" spans="1:17">
      <c r="A69" s="60"/>
      <c r="B69" s="58"/>
      <c r="C69" s="38" t="s">
        <v>70</v>
      </c>
      <c r="D69" s="35">
        <v>3</v>
      </c>
      <c r="E69" s="36" t="str">
        <f t="shared" si="19"/>
        <v>25:23</v>
      </c>
      <c r="F69" s="35" t="s">
        <v>42</v>
      </c>
      <c r="G69" s="35" t="s">
        <v>71</v>
      </c>
      <c r="H69" s="21" t="s">
        <v>37</v>
      </c>
      <c r="I69" s="22" t="s">
        <v>36</v>
      </c>
      <c r="J69" s="23" t="s">
        <v>6</v>
      </c>
      <c r="K69" s="24"/>
      <c r="L69" s="59"/>
      <c r="M69" s="59"/>
      <c r="N69" s="59"/>
      <c r="O69" s="57"/>
      <c r="P69" s="57"/>
      <c r="Q69" s="57"/>
    </row>
    <row r="70" spans="1:17">
      <c r="A70" s="60"/>
      <c r="B70" s="58"/>
      <c r="C70" s="38" t="s">
        <v>72</v>
      </c>
      <c r="D70" s="35">
        <v>1</v>
      </c>
      <c r="E70" s="36" t="str">
        <f t="shared" si="19"/>
        <v>22:22</v>
      </c>
      <c r="F70" s="35" t="s">
        <v>7</v>
      </c>
      <c r="G70" s="35" t="s">
        <v>73</v>
      </c>
      <c r="H70" s="21" t="s">
        <v>37</v>
      </c>
      <c r="I70" s="22" t="s">
        <v>36</v>
      </c>
      <c r="J70" s="23" t="s">
        <v>6</v>
      </c>
      <c r="K70" s="24"/>
      <c r="L70" s="59"/>
      <c r="M70" s="59"/>
      <c r="N70" s="59"/>
      <c r="O70" s="57"/>
      <c r="P70" s="57"/>
      <c r="Q70" s="57"/>
    </row>
    <row r="71" spans="1:17">
      <c r="A71" s="46"/>
      <c r="B71" s="48"/>
      <c r="C71" s="38" t="s">
        <v>74</v>
      </c>
      <c r="D71" s="35">
        <v>3</v>
      </c>
      <c r="E71" s="36" t="str">
        <f t="shared" si="19"/>
        <v>21:19</v>
      </c>
      <c r="F71" s="35" t="s">
        <v>42</v>
      </c>
      <c r="G71" s="35" t="s">
        <v>71</v>
      </c>
      <c r="H71" s="21" t="s">
        <v>37</v>
      </c>
      <c r="I71" s="22" t="s">
        <v>36</v>
      </c>
      <c r="J71" s="23" t="s">
        <v>6</v>
      </c>
      <c r="K71" s="24"/>
      <c r="L71" s="51"/>
      <c r="M71" s="51"/>
      <c r="N71" s="51"/>
      <c r="O71" s="45"/>
      <c r="P71" s="45"/>
      <c r="Q71" s="45"/>
    </row>
    <row r="72" spans="1:17">
      <c r="A72" s="46"/>
      <c r="B72" s="48"/>
      <c r="C72" s="38" t="s">
        <v>75</v>
      </c>
      <c r="D72" s="35">
        <v>1</v>
      </c>
      <c r="E72" s="36" t="str">
        <f t="shared" si="19"/>
        <v>18:18</v>
      </c>
      <c r="F72" s="35" t="s">
        <v>7</v>
      </c>
      <c r="G72" s="35" t="s">
        <v>76</v>
      </c>
      <c r="H72" s="21" t="s">
        <v>37</v>
      </c>
      <c r="I72" s="22" t="s">
        <v>36</v>
      </c>
      <c r="J72" s="23" t="s">
        <v>6</v>
      </c>
      <c r="K72" s="24"/>
      <c r="L72" s="51"/>
      <c r="M72" s="51"/>
      <c r="N72" s="51"/>
      <c r="O72" s="45"/>
      <c r="P72" s="45"/>
      <c r="Q72" s="45"/>
    </row>
    <row r="73" spans="1:17">
      <c r="A73" s="46"/>
      <c r="B73" s="48"/>
      <c r="C73" s="38" t="s">
        <v>77</v>
      </c>
      <c r="D73" s="35">
        <v>3</v>
      </c>
      <c r="E73" s="36" t="str">
        <f t="shared" si="19"/>
        <v>17:15</v>
      </c>
      <c r="F73" s="35" t="s">
        <v>42</v>
      </c>
      <c r="G73" s="35" t="s">
        <v>71</v>
      </c>
      <c r="H73" s="21" t="s">
        <v>37</v>
      </c>
      <c r="I73" s="22" t="s">
        <v>36</v>
      </c>
      <c r="J73" s="23" t="s">
        <v>6</v>
      </c>
      <c r="K73" s="24"/>
      <c r="L73" s="51"/>
      <c r="M73" s="51"/>
      <c r="N73" s="51"/>
      <c r="O73" s="45"/>
      <c r="P73" s="45"/>
      <c r="Q73" s="45"/>
    </row>
    <row r="74" spans="1:17">
      <c r="A74" s="46"/>
      <c r="B74" s="48"/>
      <c r="C74" s="38" t="s">
        <v>78</v>
      </c>
      <c r="D74" s="35">
        <v>1</v>
      </c>
      <c r="E74" s="36" t="str">
        <f t="shared" si="19"/>
        <v>14:14</v>
      </c>
      <c r="F74" s="35" t="s">
        <v>7</v>
      </c>
      <c r="G74" s="35" t="s">
        <v>79</v>
      </c>
      <c r="H74" s="21" t="s">
        <v>37</v>
      </c>
      <c r="I74" s="22" t="s">
        <v>36</v>
      </c>
      <c r="J74" s="23" t="s">
        <v>6</v>
      </c>
      <c r="K74" s="24"/>
      <c r="L74" s="51"/>
      <c r="M74" s="51"/>
      <c r="N74" s="51"/>
      <c r="O74" s="45"/>
      <c r="P74" s="45"/>
      <c r="Q74" s="45"/>
    </row>
    <row r="75" spans="1:17">
      <c r="A75" s="46"/>
      <c r="B75" s="48"/>
      <c r="C75" s="38" t="s">
        <v>80</v>
      </c>
      <c r="D75" s="35">
        <v>3</v>
      </c>
      <c r="E75" s="36" t="str">
        <f t="shared" si="19"/>
        <v>13:11</v>
      </c>
      <c r="F75" s="35" t="s">
        <v>42</v>
      </c>
      <c r="G75" s="35" t="s">
        <v>71</v>
      </c>
      <c r="H75" s="21" t="s">
        <v>37</v>
      </c>
      <c r="I75" s="22" t="s">
        <v>36</v>
      </c>
      <c r="J75" s="23" t="s">
        <v>6</v>
      </c>
      <c r="K75" s="24"/>
      <c r="L75" s="51"/>
      <c r="M75" s="51"/>
      <c r="N75" s="51"/>
      <c r="O75" s="45"/>
      <c r="P75" s="45"/>
      <c r="Q75" s="45"/>
    </row>
    <row r="76" spans="1:17">
      <c r="A76" s="46"/>
      <c r="B76" s="48"/>
      <c r="C76" s="38" t="s">
        <v>81</v>
      </c>
      <c r="D76" s="35">
        <v>1</v>
      </c>
      <c r="E76" s="36" t="str">
        <f t="shared" si="19"/>
        <v>10:10</v>
      </c>
      <c r="F76" s="35" t="s">
        <v>7</v>
      </c>
      <c r="G76" s="35" t="s">
        <v>82</v>
      </c>
      <c r="H76" s="21" t="s">
        <v>37</v>
      </c>
      <c r="I76" s="22" t="s">
        <v>36</v>
      </c>
      <c r="J76" s="23" t="s">
        <v>6</v>
      </c>
      <c r="K76" s="24"/>
      <c r="L76" s="51"/>
      <c r="M76" s="51"/>
      <c r="N76" s="51"/>
      <c r="O76" s="45"/>
      <c r="P76" s="45"/>
      <c r="Q76" s="45"/>
    </row>
    <row r="77" spans="1:17">
      <c r="A77" s="46"/>
      <c r="B77" s="48"/>
      <c r="C77" s="38" t="s">
        <v>83</v>
      </c>
      <c r="D77" s="35">
        <v>1</v>
      </c>
      <c r="E77" s="36" t="str">
        <f t="shared" si="19"/>
        <v>9:9</v>
      </c>
      <c r="F77" s="35" t="s">
        <v>7</v>
      </c>
      <c r="G77" s="35" t="s">
        <v>84</v>
      </c>
      <c r="H77" s="21" t="s">
        <v>37</v>
      </c>
      <c r="I77" s="22" t="s">
        <v>36</v>
      </c>
      <c r="J77" s="23" t="s">
        <v>6</v>
      </c>
      <c r="K77" s="24"/>
      <c r="L77" s="51"/>
      <c r="M77" s="51"/>
      <c r="N77" s="51"/>
      <c r="O77" s="45"/>
      <c r="P77" s="45"/>
      <c r="Q77" s="45"/>
    </row>
    <row r="78" spans="1:17" ht="15.75" thickBot="1">
      <c r="A78" s="46"/>
      <c r="B78" s="48"/>
      <c r="C78" s="38" t="s">
        <v>85</v>
      </c>
      <c r="D78" s="35">
        <v>9</v>
      </c>
      <c r="E78" s="36" t="str">
        <f t="shared" si="19"/>
        <v>8:0</v>
      </c>
      <c r="F78" s="35" t="s">
        <v>50</v>
      </c>
      <c r="G78" s="35" t="s">
        <v>45</v>
      </c>
      <c r="H78" s="21" t="s">
        <v>37</v>
      </c>
      <c r="I78" s="22" t="s">
        <v>36</v>
      </c>
      <c r="J78" s="23" t="s">
        <v>6</v>
      </c>
      <c r="K78" s="24"/>
      <c r="L78" s="51"/>
      <c r="M78" s="51"/>
      <c r="N78" s="51"/>
      <c r="O78" s="45"/>
      <c r="P78" s="45"/>
      <c r="Q78" s="45"/>
    </row>
    <row r="79" spans="1:17">
      <c r="A79" s="46" t="s">
        <v>148</v>
      </c>
      <c r="B79" s="47" t="str">
        <f t="shared" ref="B79:B160" si="20">DEC2HEX(O79*4)</f>
        <v>14</v>
      </c>
      <c r="C79" s="49" t="str">
        <f>bitConcat(F79:F95)</f>
        <v>32'b10000000000000000000000000000000</v>
      </c>
      <c r="D79" s="49"/>
      <c r="E79" s="49"/>
      <c r="F79" s="49"/>
      <c r="G79" s="49"/>
      <c r="H79" s="49"/>
      <c r="I79" s="49"/>
      <c r="J79" s="49"/>
      <c r="K79" s="49"/>
      <c r="L79" s="50" t="str">
        <f t="shared" ref="L79" si="21">DEC2HEX(_xlfn.BITLSHIFT(N79,7)+4*O79)</f>
        <v>214</v>
      </c>
      <c r="M79" s="51"/>
      <c r="N79" s="51">
        <v>4</v>
      </c>
      <c r="O79" s="45">
        <v>5</v>
      </c>
      <c r="P79" s="44" t="str">
        <f t="shared" ref="P79" si="22">DEC2HEX(_xlfn.BITLSHIFT(N79,5)+O79*4)</f>
        <v>94</v>
      </c>
      <c r="Q79" s="44" t="str">
        <f t="shared" ref="Q79" si="23">BIN2HEX(LEFT(RIGHT(C79,32),4))&amp;BIN2HEX(LEFT(RIGHT(C79,28),4))&amp;BIN2HEX(LEFT(RIGHT(C79,24),4))&amp;BIN2HEX(LEFT(RIGHT(C79,20),4))&amp;BIN2HEX(LEFT(RIGHT(C79,16),4))&amp;BIN2HEX(LEFT(RIGHT(C79,12),4))&amp;BIN2HEX(LEFT(RIGHT(C79,8),4))&amp;BIN2HEX(LEFT(RIGHT(C79,4),4))</f>
        <v>80000000</v>
      </c>
    </row>
    <row r="80" spans="1:17">
      <c r="A80" s="46"/>
      <c r="B80" s="58"/>
      <c r="C80" s="38" t="s">
        <v>87</v>
      </c>
      <c r="D80" s="35">
        <v>2</v>
      </c>
      <c r="E80" s="36" t="str">
        <f>IF(D80&gt;1,(31)&amp;":"&amp;(31-D80+1),(31-D80+1)&amp;":"&amp;(31-D80+1))</f>
        <v>31:30</v>
      </c>
      <c r="F80" s="35" t="s">
        <v>88</v>
      </c>
      <c r="G80" s="35" t="s">
        <v>67</v>
      </c>
      <c r="H80" s="21" t="s">
        <v>37</v>
      </c>
      <c r="I80" s="22" t="s">
        <v>36</v>
      </c>
      <c r="J80" s="23" t="s">
        <v>6</v>
      </c>
      <c r="K80" s="24"/>
      <c r="L80" s="59"/>
      <c r="M80" s="51"/>
      <c r="N80" s="51"/>
      <c r="O80" s="45"/>
      <c r="P80" s="57"/>
      <c r="Q80" s="57"/>
    </row>
    <row r="81" spans="1:17">
      <c r="A81" s="46"/>
      <c r="B81" s="58"/>
      <c r="C81" s="38" t="s">
        <v>89</v>
      </c>
      <c r="D81" s="35">
        <v>4</v>
      </c>
      <c r="E81" s="36" t="str">
        <f t="shared" ref="E81:E95" si="24">(MID(str_cnvt(E80),SEARCH(":",str_cnvt(E80))+1,2)-1) &amp; ":" &amp; (MID(str_cnvt(E80),SEARCH(":",str_cnvt(E80))+1,2)-D81)</f>
        <v>29:26</v>
      </c>
      <c r="F81" s="35" t="s">
        <v>47</v>
      </c>
      <c r="G81" s="35" t="s">
        <v>69</v>
      </c>
      <c r="H81" s="21" t="s">
        <v>37</v>
      </c>
      <c r="I81" s="22" t="s">
        <v>36</v>
      </c>
      <c r="J81" s="23" t="s">
        <v>6</v>
      </c>
      <c r="K81" s="24"/>
      <c r="L81" s="59"/>
      <c r="M81" s="51"/>
      <c r="N81" s="51"/>
      <c r="O81" s="45"/>
      <c r="P81" s="57"/>
      <c r="Q81" s="57"/>
    </row>
    <row r="82" spans="1:17">
      <c r="A82" s="46"/>
      <c r="B82" s="58"/>
      <c r="C82" s="38" t="s">
        <v>90</v>
      </c>
      <c r="D82" s="35">
        <v>3</v>
      </c>
      <c r="E82" s="36" t="str">
        <f t="shared" si="24"/>
        <v>25:23</v>
      </c>
      <c r="F82" s="35" t="s">
        <v>42</v>
      </c>
      <c r="G82" s="35" t="s">
        <v>71</v>
      </c>
      <c r="H82" s="21" t="s">
        <v>37</v>
      </c>
      <c r="I82" s="22" t="s">
        <v>36</v>
      </c>
      <c r="J82" s="23" t="s">
        <v>6</v>
      </c>
      <c r="K82" s="24"/>
      <c r="L82" s="59"/>
      <c r="M82" s="51"/>
      <c r="N82" s="51"/>
      <c r="O82" s="45"/>
      <c r="P82" s="57"/>
      <c r="Q82" s="57"/>
    </row>
    <row r="83" spans="1:17">
      <c r="A83" s="46"/>
      <c r="B83" s="58"/>
      <c r="C83" s="38" t="s">
        <v>91</v>
      </c>
      <c r="D83" s="35">
        <v>1</v>
      </c>
      <c r="E83" s="36" t="str">
        <f t="shared" si="24"/>
        <v>22:22</v>
      </c>
      <c r="F83" s="35" t="s">
        <v>7</v>
      </c>
      <c r="G83" s="35" t="s">
        <v>73</v>
      </c>
      <c r="H83" s="21" t="s">
        <v>37</v>
      </c>
      <c r="I83" s="22" t="s">
        <v>36</v>
      </c>
      <c r="J83" s="23" t="s">
        <v>6</v>
      </c>
      <c r="K83" s="24"/>
      <c r="L83" s="59"/>
      <c r="M83" s="51"/>
      <c r="N83" s="51"/>
      <c r="O83" s="45"/>
      <c r="P83" s="57"/>
      <c r="Q83" s="57"/>
    </row>
    <row r="84" spans="1:17">
      <c r="A84" s="46"/>
      <c r="B84" s="58"/>
      <c r="C84" s="38" t="s">
        <v>92</v>
      </c>
      <c r="D84" s="35">
        <v>3</v>
      </c>
      <c r="E84" s="36" t="str">
        <f t="shared" si="24"/>
        <v>21:19</v>
      </c>
      <c r="F84" s="35" t="s">
        <v>42</v>
      </c>
      <c r="G84" s="35" t="s">
        <v>71</v>
      </c>
      <c r="H84" s="21" t="s">
        <v>37</v>
      </c>
      <c r="I84" s="22" t="s">
        <v>36</v>
      </c>
      <c r="J84" s="23" t="s">
        <v>6</v>
      </c>
      <c r="K84" s="24"/>
      <c r="L84" s="59"/>
      <c r="M84" s="51"/>
      <c r="N84" s="51"/>
      <c r="O84" s="45"/>
      <c r="P84" s="57"/>
      <c r="Q84" s="57"/>
    </row>
    <row r="85" spans="1:17">
      <c r="A85" s="46"/>
      <c r="B85" s="58"/>
      <c r="C85" s="38" t="s">
        <v>93</v>
      </c>
      <c r="D85" s="35">
        <v>1</v>
      </c>
      <c r="E85" s="36" t="str">
        <f t="shared" si="24"/>
        <v>18:18</v>
      </c>
      <c r="F85" s="35" t="s">
        <v>7</v>
      </c>
      <c r="G85" s="35" t="s">
        <v>76</v>
      </c>
      <c r="H85" s="21" t="s">
        <v>37</v>
      </c>
      <c r="I85" s="22" t="s">
        <v>36</v>
      </c>
      <c r="J85" s="23" t="s">
        <v>6</v>
      </c>
      <c r="K85" s="24"/>
      <c r="L85" s="59"/>
      <c r="M85" s="51"/>
      <c r="N85" s="51"/>
      <c r="O85" s="45"/>
      <c r="P85" s="57"/>
      <c r="Q85" s="57"/>
    </row>
    <row r="86" spans="1:17">
      <c r="A86" s="46"/>
      <c r="B86" s="58"/>
      <c r="C86" s="38" t="s">
        <v>94</v>
      </c>
      <c r="D86" s="35">
        <v>3</v>
      </c>
      <c r="E86" s="36" t="str">
        <f t="shared" si="24"/>
        <v>17:15</v>
      </c>
      <c r="F86" s="35" t="s">
        <v>42</v>
      </c>
      <c r="G86" s="35" t="s">
        <v>71</v>
      </c>
      <c r="H86" s="21" t="s">
        <v>37</v>
      </c>
      <c r="I86" s="22" t="s">
        <v>36</v>
      </c>
      <c r="J86" s="23" t="s">
        <v>6</v>
      </c>
      <c r="K86" s="24"/>
      <c r="L86" s="59"/>
      <c r="M86" s="51"/>
      <c r="N86" s="51"/>
      <c r="O86" s="45"/>
      <c r="P86" s="57"/>
      <c r="Q86" s="57"/>
    </row>
    <row r="87" spans="1:17">
      <c r="A87" s="46"/>
      <c r="B87" s="58"/>
      <c r="C87" s="38" t="s">
        <v>95</v>
      </c>
      <c r="D87" s="35">
        <v>1</v>
      </c>
      <c r="E87" s="36" t="str">
        <f t="shared" si="24"/>
        <v>14:14</v>
      </c>
      <c r="F87" s="35" t="s">
        <v>7</v>
      </c>
      <c r="G87" s="35" t="s">
        <v>79</v>
      </c>
      <c r="H87" s="21" t="s">
        <v>37</v>
      </c>
      <c r="I87" s="22" t="s">
        <v>36</v>
      </c>
      <c r="J87" s="23" t="s">
        <v>6</v>
      </c>
      <c r="K87" s="24"/>
      <c r="L87" s="59"/>
      <c r="M87" s="51"/>
      <c r="N87" s="51"/>
      <c r="O87" s="45"/>
      <c r="P87" s="57"/>
      <c r="Q87" s="57"/>
    </row>
    <row r="88" spans="1:17">
      <c r="A88" s="46"/>
      <c r="B88" s="58"/>
      <c r="C88" s="38" t="s">
        <v>96</v>
      </c>
      <c r="D88" s="35">
        <v>3</v>
      </c>
      <c r="E88" s="36" t="str">
        <f t="shared" si="24"/>
        <v>13:11</v>
      </c>
      <c r="F88" s="35" t="s">
        <v>42</v>
      </c>
      <c r="G88" s="35" t="s">
        <v>71</v>
      </c>
      <c r="H88" s="21" t="s">
        <v>37</v>
      </c>
      <c r="I88" s="22" t="s">
        <v>36</v>
      </c>
      <c r="J88" s="23" t="s">
        <v>6</v>
      </c>
      <c r="K88" s="24"/>
      <c r="L88" s="59"/>
      <c r="M88" s="51"/>
      <c r="N88" s="51"/>
      <c r="O88" s="45"/>
      <c r="P88" s="57"/>
      <c r="Q88" s="57"/>
    </row>
    <row r="89" spans="1:17">
      <c r="A89" s="46"/>
      <c r="B89" s="58"/>
      <c r="C89" s="38" t="s">
        <v>97</v>
      </c>
      <c r="D89" s="35">
        <v>1</v>
      </c>
      <c r="E89" s="36" t="str">
        <f t="shared" si="24"/>
        <v>10:10</v>
      </c>
      <c r="F89" s="35" t="s">
        <v>7</v>
      </c>
      <c r="G89" s="35" t="s">
        <v>82</v>
      </c>
      <c r="H89" s="21" t="s">
        <v>37</v>
      </c>
      <c r="I89" s="22" t="s">
        <v>36</v>
      </c>
      <c r="J89" s="23" t="s">
        <v>6</v>
      </c>
      <c r="K89" s="24"/>
      <c r="L89" s="59"/>
      <c r="M89" s="51"/>
      <c r="N89" s="51"/>
      <c r="O89" s="45"/>
      <c r="P89" s="57"/>
      <c r="Q89" s="57"/>
    </row>
    <row r="90" spans="1:17">
      <c r="A90" s="46"/>
      <c r="B90" s="58"/>
      <c r="C90" s="38" t="s">
        <v>98</v>
      </c>
      <c r="D90" s="35">
        <v>1</v>
      </c>
      <c r="E90" s="36" t="str">
        <f t="shared" si="24"/>
        <v>9:9</v>
      </c>
      <c r="F90" s="35" t="s">
        <v>7</v>
      </c>
      <c r="G90" s="35" t="s">
        <v>99</v>
      </c>
      <c r="H90" s="21" t="s">
        <v>37</v>
      </c>
      <c r="I90" s="22" t="s">
        <v>36</v>
      </c>
      <c r="J90" s="23" t="s">
        <v>6</v>
      </c>
      <c r="K90" s="24"/>
      <c r="L90" s="59"/>
      <c r="M90" s="51"/>
      <c r="N90" s="51"/>
      <c r="O90" s="45"/>
      <c r="P90" s="57"/>
      <c r="Q90" s="57"/>
    </row>
    <row r="91" spans="1:17">
      <c r="A91" s="46"/>
      <c r="B91" s="48"/>
      <c r="C91" s="38" t="s">
        <v>100</v>
      </c>
      <c r="D91" s="35">
        <v>1</v>
      </c>
      <c r="E91" s="36" t="str">
        <f t="shared" si="24"/>
        <v>8:8</v>
      </c>
      <c r="F91" s="35" t="s">
        <v>7</v>
      </c>
      <c r="G91" s="35" t="s">
        <v>101</v>
      </c>
      <c r="H91" s="21" t="s">
        <v>37</v>
      </c>
      <c r="I91" s="22" t="s">
        <v>36</v>
      </c>
      <c r="J91" s="23" t="s">
        <v>6</v>
      </c>
      <c r="K91" s="24"/>
      <c r="L91" s="51"/>
      <c r="M91" s="51"/>
      <c r="N91" s="51"/>
      <c r="O91" s="45"/>
      <c r="P91" s="45"/>
      <c r="Q91" s="45"/>
    </row>
    <row r="92" spans="1:17">
      <c r="A92" s="46"/>
      <c r="B92" s="48"/>
      <c r="C92" s="38" t="s">
        <v>102</v>
      </c>
      <c r="D92" s="35">
        <v>1</v>
      </c>
      <c r="E92" s="36" t="str">
        <f t="shared" si="24"/>
        <v>7:7</v>
      </c>
      <c r="F92" s="35" t="s">
        <v>7</v>
      </c>
      <c r="G92" s="35" t="s">
        <v>103</v>
      </c>
      <c r="H92" s="21" t="s">
        <v>37</v>
      </c>
      <c r="I92" s="22" t="s">
        <v>36</v>
      </c>
      <c r="J92" s="23" t="s">
        <v>6</v>
      </c>
      <c r="K92" s="24"/>
      <c r="L92" s="51"/>
      <c r="M92" s="51"/>
      <c r="N92" s="51"/>
      <c r="O92" s="45"/>
      <c r="P92" s="45"/>
      <c r="Q92" s="45"/>
    </row>
    <row r="93" spans="1:17">
      <c r="A93" s="46"/>
      <c r="B93" s="48"/>
      <c r="C93" s="38" t="s">
        <v>104</v>
      </c>
      <c r="D93" s="35">
        <v>1</v>
      </c>
      <c r="E93" s="36" t="str">
        <f t="shared" si="24"/>
        <v>6:6</v>
      </c>
      <c r="F93" s="35" t="s">
        <v>7</v>
      </c>
      <c r="G93" s="35" t="s">
        <v>105</v>
      </c>
      <c r="H93" s="21" t="s">
        <v>37</v>
      </c>
      <c r="I93" s="22" t="s">
        <v>36</v>
      </c>
      <c r="J93" s="23" t="s">
        <v>6</v>
      </c>
      <c r="K93" s="24"/>
      <c r="L93" s="51"/>
      <c r="M93" s="51"/>
      <c r="N93" s="51"/>
      <c r="O93" s="45"/>
      <c r="P93" s="45"/>
      <c r="Q93" s="45"/>
    </row>
    <row r="94" spans="1:17">
      <c r="A94" s="46"/>
      <c r="B94" s="48"/>
      <c r="C94" s="38" t="s">
        <v>106</v>
      </c>
      <c r="D94" s="35">
        <v>1</v>
      </c>
      <c r="E94" s="36" t="str">
        <f t="shared" si="24"/>
        <v>5:5</v>
      </c>
      <c r="F94" s="35" t="s">
        <v>7</v>
      </c>
      <c r="G94" s="35" t="s">
        <v>107</v>
      </c>
      <c r="H94" s="21" t="s">
        <v>37</v>
      </c>
      <c r="I94" s="22" t="s">
        <v>36</v>
      </c>
      <c r="J94" s="23" t="s">
        <v>6</v>
      </c>
      <c r="K94" s="24"/>
      <c r="L94" s="51"/>
      <c r="M94" s="51"/>
      <c r="N94" s="51"/>
      <c r="O94" s="45"/>
      <c r="P94" s="45"/>
      <c r="Q94" s="45"/>
    </row>
    <row r="95" spans="1:17" ht="15.75" thickBot="1">
      <c r="A95" s="46"/>
      <c r="B95" s="48"/>
      <c r="C95" s="38" t="s">
        <v>108</v>
      </c>
      <c r="D95" s="35">
        <v>5</v>
      </c>
      <c r="E95" s="36" t="str">
        <f t="shared" si="24"/>
        <v>4:0</v>
      </c>
      <c r="F95" s="35" t="s">
        <v>46</v>
      </c>
      <c r="G95" s="35" t="s">
        <v>45</v>
      </c>
      <c r="H95" s="21" t="s">
        <v>37</v>
      </c>
      <c r="I95" s="22" t="s">
        <v>36</v>
      </c>
      <c r="J95" s="23" t="s">
        <v>6</v>
      </c>
      <c r="K95" s="24"/>
      <c r="L95" s="51"/>
      <c r="M95" s="51"/>
      <c r="N95" s="51"/>
      <c r="O95" s="45"/>
      <c r="P95" s="45"/>
      <c r="Q95" s="45"/>
    </row>
    <row r="96" spans="1:17">
      <c r="A96" s="46" t="s">
        <v>149</v>
      </c>
      <c r="B96" s="47" t="str">
        <f t="shared" si="20"/>
        <v>18</v>
      </c>
      <c r="C96" s="49" t="str">
        <f>bitConcat(F96:F112)</f>
        <v>32'b01000000000000000000000000000000</v>
      </c>
      <c r="D96" s="49"/>
      <c r="E96" s="49"/>
      <c r="F96" s="49"/>
      <c r="G96" s="49"/>
      <c r="H96" s="49"/>
      <c r="I96" s="49"/>
      <c r="J96" s="49"/>
      <c r="K96" s="49"/>
      <c r="L96" s="50" t="str">
        <f t="shared" ref="L96" si="25">DEC2HEX(_xlfn.BITLSHIFT(N96,7)+4*O96)</f>
        <v>218</v>
      </c>
      <c r="M96" s="51"/>
      <c r="N96" s="51">
        <v>4</v>
      </c>
      <c r="O96" s="45">
        <v>6</v>
      </c>
      <c r="P96" s="44" t="str">
        <f t="shared" ref="P96" si="26">DEC2HEX(_xlfn.BITLSHIFT(N96,5)+O96*4)</f>
        <v>98</v>
      </c>
      <c r="Q96" s="44" t="str">
        <f t="shared" ref="Q96" si="27">BIN2HEX(LEFT(RIGHT(C96,32),4))&amp;BIN2HEX(LEFT(RIGHT(C96,28),4))&amp;BIN2HEX(LEFT(RIGHT(C96,24),4))&amp;BIN2HEX(LEFT(RIGHT(C96,20),4))&amp;BIN2HEX(LEFT(RIGHT(C96,16),4))&amp;BIN2HEX(LEFT(RIGHT(C96,12),4))&amp;BIN2HEX(LEFT(RIGHT(C96,8),4))&amp;BIN2HEX(LEFT(RIGHT(C96,4),4))</f>
        <v>40000000</v>
      </c>
    </row>
    <row r="97" spans="1:17">
      <c r="A97" s="46"/>
      <c r="B97" s="58"/>
      <c r="C97" s="38" t="s">
        <v>110</v>
      </c>
      <c r="D97" s="35">
        <v>2</v>
      </c>
      <c r="E97" s="36" t="str">
        <f>IF(D97&gt;1,(31)&amp;":"&amp;(31-D97+1),(31-D97+1)&amp;":"&amp;(31-D97+1))</f>
        <v>31:30</v>
      </c>
      <c r="F97" s="35" t="s">
        <v>51</v>
      </c>
      <c r="G97" s="35" t="s">
        <v>67</v>
      </c>
      <c r="H97" s="21" t="s">
        <v>37</v>
      </c>
      <c r="I97" s="22" t="s">
        <v>36</v>
      </c>
      <c r="J97" s="23" t="s">
        <v>6</v>
      </c>
      <c r="K97" s="24"/>
      <c r="L97" s="59"/>
      <c r="M97" s="51"/>
      <c r="N97" s="51"/>
      <c r="O97" s="45"/>
      <c r="P97" s="57"/>
      <c r="Q97" s="57"/>
    </row>
    <row r="98" spans="1:17">
      <c r="A98" s="46"/>
      <c r="B98" s="58"/>
      <c r="C98" s="38" t="s">
        <v>111</v>
      </c>
      <c r="D98" s="35">
        <v>4</v>
      </c>
      <c r="E98" s="36" t="str">
        <f t="shared" ref="E98:E112" si="28">(MID(str_cnvt(E97),SEARCH(":",str_cnvt(E97))+1,2)-1) &amp; ":" &amp; (MID(str_cnvt(E97),SEARCH(":",str_cnvt(E97))+1,2)-D98)</f>
        <v>29:26</v>
      </c>
      <c r="F98" s="35" t="s">
        <v>47</v>
      </c>
      <c r="G98" s="35" t="s">
        <v>69</v>
      </c>
      <c r="H98" s="21" t="s">
        <v>37</v>
      </c>
      <c r="I98" s="22" t="s">
        <v>36</v>
      </c>
      <c r="J98" s="23" t="s">
        <v>6</v>
      </c>
      <c r="K98" s="24"/>
      <c r="L98" s="59"/>
      <c r="M98" s="51"/>
      <c r="N98" s="51"/>
      <c r="O98" s="45"/>
      <c r="P98" s="57"/>
      <c r="Q98" s="57"/>
    </row>
    <row r="99" spans="1:17">
      <c r="A99" s="46"/>
      <c r="B99" s="58"/>
      <c r="C99" s="38" t="s">
        <v>112</v>
      </c>
      <c r="D99" s="35">
        <v>3</v>
      </c>
      <c r="E99" s="36" t="str">
        <f t="shared" si="28"/>
        <v>25:23</v>
      </c>
      <c r="F99" s="35" t="s">
        <v>42</v>
      </c>
      <c r="G99" s="35" t="s">
        <v>71</v>
      </c>
      <c r="H99" s="21" t="s">
        <v>37</v>
      </c>
      <c r="I99" s="22" t="s">
        <v>36</v>
      </c>
      <c r="J99" s="23" t="s">
        <v>6</v>
      </c>
      <c r="K99" s="24"/>
      <c r="L99" s="59"/>
      <c r="M99" s="51"/>
      <c r="N99" s="51"/>
      <c r="O99" s="45"/>
      <c r="P99" s="57"/>
      <c r="Q99" s="57"/>
    </row>
    <row r="100" spans="1:17">
      <c r="A100" s="46"/>
      <c r="B100" s="58"/>
      <c r="C100" s="38" t="s">
        <v>113</v>
      </c>
      <c r="D100" s="35">
        <v>1</v>
      </c>
      <c r="E100" s="36" t="str">
        <f t="shared" si="28"/>
        <v>22:22</v>
      </c>
      <c r="F100" s="35" t="s">
        <v>7</v>
      </c>
      <c r="G100" s="35" t="s">
        <v>73</v>
      </c>
      <c r="H100" s="21" t="s">
        <v>37</v>
      </c>
      <c r="I100" s="22" t="s">
        <v>36</v>
      </c>
      <c r="J100" s="23" t="s">
        <v>6</v>
      </c>
      <c r="K100" s="24"/>
      <c r="L100" s="59"/>
      <c r="M100" s="51"/>
      <c r="N100" s="51"/>
      <c r="O100" s="45"/>
      <c r="P100" s="57"/>
      <c r="Q100" s="57"/>
    </row>
    <row r="101" spans="1:17">
      <c r="A101" s="46"/>
      <c r="B101" s="58"/>
      <c r="C101" s="38" t="s">
        <v>114</v>
      </c>
      <c r="D101" s="35">
        <v>3</v>
      </c>
      <c r="E101" s="36" t="str">
        <f t="shared" si="28"/>
        <v>21:19</v>
      </c>
      <c r="F101" s="35" t="s">
        <v>42</v>
      </c>
      <c r="G101" s="35" t="s">
        <v>71</v>
      </c>
      <c r="H101" s="21" t="s">
        <v>37</v>
      </c>
      <c r="I101" s="22" t="s">
        <v>36</v>
      </c>
      <c r="J101" s="23" t="s">
        <v>6</v>
      </c>
      <c r="K101" s="24"/>
      <c r="L101" s="59"/>
      <c r="M101" s="51"/>
      <c r="N101" s="51"/>
      <c r="O101" s="45"/>
      <c r="P101" s="57"/>
      <c r="Q101" s="57"/>
    </row>
    <row r="102" spans="1:17">
      <c r="A102" s="46"/>
      <c r="B102" s="58"/>
      <c r="C102" s="38" t="s">
        <v>115</v>
      </c>
      <c r="D102" s="35">
        <v>1</v>
      </c>
      <c r="E102" s="36" t="str">
        <f t="shared" si="28"/>
        <v>18:18</v>
      </c>
      <c r="F102" s="35" t="s">
        <v>7</v>
      </c>
      <c r="G102" s="35" t="s">
        <v>76</v>
      </c>
      <c r="H102" s="21" t="s">
        <v>37</v>
      </c>
      <c r="I102" s="22" t="s">
        <v>36</v>
      </c>
      <c r="J102" s="23" t="s">
        <v>6</v>
      </c>
      <c r="K102" s="24"/>
      <c r="L102" s="59"/>
      <c r="M102" s="51"/>
      <c r="N102" s="51"/>
      <c r="O102" s="45"/>
      <c r="P102" s="57"/>
      <c r="Q102" s="57"/>
    </row>
    <row r="103" spans="1:17">
      <c r="A103" s="46"/>
      <c r="B103" s="58"/>
      <c r="C103" s="38" t="s">
        <v>116</v>
      </c>
      <c r="D103" s="35">
        <v>3</v>
      </c>
      <c r="E103" s="36" t="str">
        <f t="shared" si="28"/>
        <v>17:15</v>
      </c>
      <c r="F103" s="35" t="s">
        <v>42</v>
      </c>
      <c r="G103" s="35" t="s">
        <v>71</v>
      </c>
      <c r="H103" s="21" t="s">
        <v>37</v>
      </c>
      <c r="I103" s="22" t="s">
        <v>36</v>
      </c>
      <c r="J103" s="23" t="s">
        <v>6</v>
      </c>
      <c r="K103" s="24"/>
      <c r="L103" s="59"/>
      <c r="M103" s="51"/>
      <c r="N103" s="51"/>
      <c r="O103" s="45"/>
      <c r="P103" s="57"/>
      <c r="Q103" s="57"/>
    </row>
    <row r="104" spans="1:17">
      <c r="A104" s="46"/>
      <c r="B104" s="58"/>
      <c r="C104" s="38" t="s">
        <v>117</v>
      </c>
      <c r="D104" s="35">
        <v>1</v>
      </c>
      <c r="E104" s="36" t="str">
        <f t="shared" si="28"/>
        <v>14:14</v>
      </c>
      <c r="F104" s="35" t="s">
        <v>7</v>
      </c>
      <c r="G104" s="35" t="s">
        <v>79</v>
      </c>
      <c r="H104" s="21" t="s">
        <v>37</v>
      </c>
      <c r="I104" s="22" t="s">
        <v>36</v>
      </c>
      <c r="J104" s="23" t="s">
        <v>6</v>
      </c>
      <c r="K104" s="24"/>
      <c r="L104" s="59"/>
      <c r="M104" s="51"/>
      <c r="N104" s="51"/>
      <c r="O104" s="45"/>
      <c r="P104" s="57"/>
      <c r="Q104" s="57"/>
    </row>
    <row r="105" spans="1:17">
      <c r="A105" s="46"/>
      <c r="B105" s="58"/>
      <c r="C105" s="38" t="s">
        <v>118</v>
      </c>
      <c r="D105" s="35">
        <v>3</v>
      </c>
      <c r="E105" s="36" t="str">
        <f t="shared" si="28"/>
        <v>13:11</v>
      </c>
      <c r="F105" s="35" t="s">
        <v>42</v>
      </c>
      <c r="G105" s="35" t="s">
        <v>71</v>
      </c>
      <c r="H105" s="21" t="s">
        <v>37</v>
      </c>
      <c r="I105" s="22" t="s">
        <v>36</v>
      </c>
      <c r="J105" s="23" t="s">
        <v>6</v>
      </c>
      <c r="K105" s="24"/>
      <c r="L105" s="59"/>
      <c r="M105" s="51"/>
      <c r="N105" s="51"/>
      <c r="O105" s="45"/>
      <c r="P105" s="57"/>
      <c r="Q105" s="57"/>
    </row>
    <row r="106" spans="1:17">
      <c r="A106" s="46"/>
      <c r="B106" s="58"/>
      <c r="C106" s="38" t="s">
        <v>119</v>
      </c>
      <c r="D106" s="35">
        <v>1</v>
      </c>
      <c r="E106" s="36" t="str">
        <f t="shared" si="28"/>
        <v>10:10</v>
      </c>
      <c r="F106" s="35" t="s">
        <v>7</v>
      </c>
      <c r="G106" s="35" t="s">
        <v>82</v>
      </c>
      <c r="H106" s="21" t="s">
        <v>37</v>
      </c>
      <c r="I106" s="22" t="s">
        <v>36</v>
      </c>
      <c r="J106" s="23" t="s">
        <v>6</v>
      </c>
      <c r="K106" s="24"/>
      <c r="L106" s="59"/>
      <c r="M106" s="51"/>
      <c r="N106" s="51"/>
      <c r="O106" s="45"/>
      <c r="P106" s="57"/>
      <c r="Q106" s="57"/>
    </row>
    <row r="107" spans="1:17">
      <c r="A107" s="46"/>
      <c r="B107" s="58"/>
      <c r="C107" s="38" t="s">
        <v>120</v>
      </c>
      <c r="D107" s="35">
        <v>1</v>
      </c>
      <c r="E107" s="36" t="str">
        <f t="shared" si="28"/>
        <v>9:9</v>
      </c>
      <c r="F107" s="35" t="s">
        <v>7</v>
      </c>
      <c r="G107" s="35" t="s">
        <v>121</v>
      </c>
      <c r="H107" s="21" t="s">
        <v>37</v>
      </c>
      <c r="I107" s="22" t="s">
        <v>36</v>
      </c>
      <c r="J107" s="23" t="s">
        <v>6</v>
      </c>
      <c r="K107" s="24"/>
      <c r="L107" s="59"/>
      <c r="M107" s="51"/>
      <c r="N107" s="51"/>
      <c r="O107" s="45"/>
      <c r="P107" s="57"/>
      <c r="Q107" s="57"/>
    </row>
    <row r="108" spans="1:17">
      <c r="A108" s="46"/>
      <c r="B108" s="58"/>
      <c r="C108" s="38" t="s">
        <v>122</v>
      </c>
      <c r="D108" s="35">
        <v>1</v>
      </c>
      <c r="E108" s="36" t="str">
        <f t="shared" si="28"/>
        <v>8:8</v>
      </c>
      <c r="F108" s="35" t="s">
        <v>7</v>
      </c>
      <c r="G108" s="35" t="s">
        <v>123</v>
      </c>
      <c r="H108" s="21" t="s">
        <v>37</v>
      </c>
      <c r="I108" s="22" t="s">
        <v>36</v>
      </c>
      <c r="J108" s="23" t="s">
        <v>6</v>
      </c>
      <c r="K108" s="24"/>
      <c r="L108" s="59"/>
      <c r="M108" s="51"/>
      <c r="N108" s="51"/>
      <c r="O108" s="45"/>
      <c r="P108" s="57"/>
      <c r="Q108" s="57"/>
    </row>
    <row r="109" spans="1:17">
      <c r="A109" s="46"/>
      <c r="B109" s="58"/>
      <c r="C109" s="38" t="s">
        <v>124</v>
      </c>
      <c r="D109" s="35">
        <v>1</v>
      </c>
      <c r="E109" s="36" t="str">
        <f t="shared" si="28"/>
        <v>7:7</v>
      </c>
      <c r="F109" s="35" t="s">
        <v>7</v>
      </c>
      <c r="G109" s="35" t="s">
        <v>125</v>
      </c>
      <c r="H109" s="21" t="s">
        <v>37</v>
      </c>
      <c r="I109" s="22" t="s">
        <v>36</v>
      </c>
      <c r="J109" s="23" t="s">
        <v>6</v>
      </c>
      <c r="K109" s="24"/>
      <c r="L109" s="59"/>
      <c r="M109" s="51"/>
      <c r="N109" s="51"/>
      <c r="O109" s="45"/>
      <c r="P109" s="57"/>
      <c r="Q109" s="57"/>
    </row>
    <row r="110" spans="1:17">
      <c r="A110" s="46"/>
      <c r="B110" s="58"/>
      <c r="C110" s="38" t="s">
        <v>126</v>
      </c>
      <c r="D110" s="35">
        <v>1</v>
      </c>
      <c r="E110" s="36" t="str">
        <f t="shared" si="28"/>
        <v>6:6</v>
      </c>
      <c r="F110" s="35" t="s">
        <v>7</v>
      </c>
      <c r="G110" s="35" t="s">
        <v>125</v>
      </c>
      <c r="H110" s="21" t="s">
        <v>37</v>
      </c>
      <c r="I110" s="22" t="s">
        <v>36</v>
      </c>
      <c r="J110" s="23" t="s">
        <v>6</v>
      </c>
      <c r="K110" s="24"/>
      <c r="L110" s="59"/>
      <c r="M110" s="51"/>
      <c r="N110" s="51"/>
      <c r="O110" s="45"/>
      <c r="P110" s="57"/>
      <c r="Q110" s="57"/>
    </row>
    <row r="111" spans="1:17">
      <c r="A111" s="46"/>
      <c r="B111" s="48"/>
      <c r="C111" s="38" t="s">
        <v>127</v>
      </c>
      <c r="D111" s="35">
        <v>1</v>
      </c>
      <c r="E111" s="36" t="str">
        <f t="shared" si="28"/>
        <v>5:5</v>
      </c>
      <c r="F111" s="35" t="s">
        <v>7</v>
      </c>
      <c r="G111" s="35" t="s">
        <v>125</v>
      </c>
      <c r="H111" s="21" t="s">
        <v>37</v>
      </c>
      <c r="I111" s="22" t="s">
        <v>36</v>
      </c>
      <c r="J111" s="23" t="s">
        <v>6</v>
      </c>
      <c r="K111" s="24"/>
      <c r="L111" s="51"/>
      <c r="M111" s="51"/>
      <c r="N111" s="51"/>
      <c r="O111" s="45"/>
      <c r="P111" s="45"/>
      <c r="Q111" s="45"/>
    </row>
    <row r="112" spans="1:17" ht="15.75" thickBot="1">
      <c r="A112" s="46"/>
      <c r="B112" s="48"/>
      <c r="C112" s="38" t="s">
        <v>128</v>
      </c>
      <c r="D112" s="35">
        <v>5</v>
      </c>
      <c r="E112" s="36" t="str">
        <f t="shared" si="28"/>
        <v>4:0</v>
      </c>
      <c r="F112" s="35" t="s">
        <v>46</v>
      </c>
      <c r="G112" s="35" t="s">
        <v>45</v>
      </c>
      <c r="H112" s="21" t="s">
        <v>37</v>
      </c>
      <c r="I112" s="22" t="s">
        <v>36</v>
      </c>
      <c r="J112" s="23" t="s">
        <v>6</v>
      </c>
      <c r="K112" s="24"/>
      <c r="L112" s="51"/>
      <c r="M112" s="51"/>
      <c r="N112" s="51"/>
      <c r="O112" s="45"/>
      <c r="P112" s="45"/>
      <c r="Q112" s="45"/>
    </row>
    <row r="113" spans="1:17">
      <c r="A113" s="46" t="s">
        <v>150</v>
      </c>
      <c r="B113" s="47" t="str">
        <f t="shared" si="20"/>
        <v>1C</v>
      </c>
      <c r="C113" s="49" t="str">
        <f>bitConcat(F113:F129)</f>
        <v>32'b00000000000000000000000000000000</v>
      </c>
      <c r="D113" s="49"/>
      <c r="E113" s="49"/>
      <c r="F113" s="49"/>
      <c r="G113" s="49"/>
      <c r="H113" s="49"/>
      <c r="I113" s="49"/>
      <c r="J113" s="49"/>
      <c r="K113" s="49"/>
      <c r="L113" s="50" t="str">
        <f t="shared" ref="L113" si="29">DEC2HEX(_xlfn.BITLSHIFT(N113,7)+4*O113)</f>
        <v>21C</v>
      </c>
      <c r="M113" s="51"/>
      <c r="N113" s="51">
        <v>4</v>
      </c>
      <c r="O113" s="45">
        <v>7</v>
      </c>
      <c r="P113" s="44" t="str">
        <f t="shared" ref="P113" si="30">DEC2HEX(_xlfn.BITLSHIFT(N113,5)+O113*4)</f>
        <v>9C</v>
      </c>
      <c r="Q113" s="44" t="str">
        <f t="shared" ref="Q113" si="31">BIN2HEX(LEFT(RIGHT(C113,32),4))&amp;BIN2HEX(LEFT(RIGHT(C113,28),4))&amp;BIN2HEX(LEFT(RIGHT(C113,24),4))&amp;BIN2HEX(LEFT(RIGHT(C113,20),4))&amp;BIN2HEX(LEFT(RIGHT(C113,16),4))&amp;BIN2HEX(LEFT(RIGHT(C113,12),4))&amp;BIN2HEX(LEFT(RIGHT(C113,8),4))&amp;BIN2HEX(LEFT(RIGHT(C113,4),4))</f>
        <v>00000000</v>
      </c>
    </row>
    <row r="114" spans="1:17">
      <c r="A114" s="46"/>
      <c r="B114" s="58"/>
      <c r="C114" s="38" t="s">
        <v>130</v>
      </c>
      <c r="D114" s="35">
        <v>2</v>
      </c>
      <c r="E114" s="36" t="str">
        <f>IF(D114&gt;1,(31)&amp;":"&amp;(31-D114+1),(31-D114+1)&amp;":"&amp;(31-D114+1))</f>
        <v>31:30</v>
      </c>
      <c r="F114" s="35" t="s">
        <v>41</v>
      </c>
      <c r="G114" s="35" t="s">
        <v>67</v>
      </c>
      <c r="H114" s="21" t="s">
        <v>37</v>
      </c>
      <c r="I114" s="22" t="s">
        <v>36</v>
      </c>
      <c r="J114" s="23" t="s">
        <v>6</v>
      </c>
      <c r="K114" s="24"/>
      <c r="L114" s="59"/>
      <c r="M114" s="51"/>
      <c r="N114" s="51"/>
      <c r="O114" s="45"/>
      <c r="P114" s="57"/>
      <c r="Q114" s="57"/>
    </row>
    <row r="115" spans="1:17">
      <c r="A115" s="46"/>
      <c r="B115" s="58"/>
      <c r="C115" s="38" t="s">
        <v>131</v>
      </c>
      <c r="D115" s="35">
        <v>4</v>
      </c>
      <c r="E115" s="36" t="str">
        <f t="shared" ref="E115:E129" si="32">(MID(str_cnvt(E114),SEARCH(":",str_cnvt(E114))+1,2)-1) &amp; ":" &amp; (MID(str_cnvt(E114),SEARCH(":",str_cnvt(E114))+1,2)-D115)</f>
        <v>29:26</v>
      </c>
      <c r="F115" s="35" t="s">
        <v>47</v>
      </c>
      <c r="G115" s="35" t="s">
        <v>69</v>
      </c>
      <c r="H115" s="21" t="s">
        <v>37</v>
      </c>
      <c r="I115" s="22" t="s">
        <v>36</v>
      </c>
      <c r="J115" s="23" t="s">
        <v>6</v>
      </c>
      <c r="K115" s="24"/>
      <c r="L115" s="59"/>
      <c r="M115" s="51"/>
      <c r="N115" s="51"/>
      <c r="O115" s="45"/>
      <c r="P115" s="57"/>
      <c r="Q115" s="57"/>
    </row>
    <row r="116" spans="1:17">
      <c r="A116" s="46"/>
      <c r="B116" s="58"/>
      <c r="C116" s="38" t="s">
        <v>132</v>
      </c>
      <c r="D116" s="35">
        <v>3</v>
      </c>
      <c r="E116" s="36" t="str">
        <f t="shared" si="32"/>
        <v>25:23</v>
      </c>
      <c r="F116" s="35" t="s">
        <v>42</v>
      </c>
      <c r="G116" s="35" t="s">
        <v>71</v>
      </c>
      <c r="H116" s="21" t="s">
        <v>37</v>
      </c>
      <c r="I116" s="22" t="s">
        <v>36</v>
      </c>
      <c r="J116" s="23" t="s">
        <v>6</v>
      </c>
      <c r="K116" s="24"/>
      <c r="L116" s="59"/>
      <c r="M116" s="51"/>
      <c r="N116" s="51"/>
      <c r="O116" s="45"/>
      <c r="P116" s="57"/>
      <c r="Q116" s="57"/>
    </row>
    <row r="117" spans="1:17">
      <c r="A117" s="46"/>
      <c r="B117" s="58"/>
      <c r="C117" s="38" t="s">
        <v>133</v>
      </c>
      <c r="D117" s="35">
        <v>1</v>
      </c>
      <c r="E117" s="36" t="str">
        <f t="shared" si="32"/>
        <v>22:22</v>
      </c>
      <c r="F117" s="35" t="s">
        <v>7</v>
      </c>
      <c r="G117" s="35" t="s">
        <v>73</v>
      </c>
      <c r="H117" s="21" t="s">
        <v>37</v>
      </c>
      <c r="I117" s="22" t="s">
        <v>36</v>
      </c>
      <c r="J117" s="23" t="s">
        <v>6</v>
      </c>
      <c r="K117" s="24"/>
      <c r="L117" s="59"/>
      <c r="M117" s="51"/>
      <c r="N117" s="51"/>
      <c r="O117" s="45"/>
      <c r="P117" s="57"/>
      <c r="Q117" s="57"/>
    </row>
    <row r="118" spans="1:17">
      <c r="A118" s="46"/>
      <c r="B118" s="58"/>
      <c r="C118" s="38" t="s">
        <v>134</v>
      </c>
      <c r="D118" s="35">
        <v>3</v>
      </c>
      <c r="E118" s="36" t="str">
        <f t="shared" si="32"/>
        <v>21:19</v>
      </c>
      <c r="F118" s="35" t="s">
        <v>42</v>
      </c>
      <c r="G118" s="35" t="s">
        <v>71</v>
      </c>
      <c r="H118" s="21" t="s">
        <v>37</v>
      </c>
      <c r="I118" s="22" t="s">
        <v>36</v>
      </c>
      <c r="J118" s="23" t="s">
        <v>6</v>
      </c>
      <c r="K118" s="24"/>
      <c r="L118" s="59"/>
      <c r="M118" s="51"/>
      <c r="N118" s="51"/>
      <c r="O118" s="45"/>
      <c r="P118" s="57"/>
      <c r="Q118" s="57"/>
    </row>
    <row r="119" spans="1:17">
      <c r="A119" s="46"/>
      <c r="B119" s="58"/>
      <c r="C119" s="38" t="s">
        <v>135</v>
      </c>
      <c r="D119" s="35">
        <v>1</v>
      </c>
      <c r="E119" s="36" t="str">
        <f t="shared" si="32"/>
        <v>18:18</v>
      </c>
      <c r="F119" s="35" t="s">
        <v>7</v>
      </c>
      <c r="G119" s="35" t="s">
        <v>76</v>
      </c>
      <c r="H119" s="21" t="s">
        <v>37</v>
      </c>
      <c r="I119" s="22" t="s">
        <v>36</v>
      </c>
      <c r="J119" s="23" t="s">
        <v>6</v>
      </c>
      <c r="K119" s="24"/>
      <c r="L119" s="59"/>
      <c r="M119" s="51"/>
      <c r="N119" s="51"/>
      <c r="O119" s="45"/>
      <c r="P119" s="57"/>
      <c r="Q119" s="57"/>
    </row>
    <row r="120" spans="1:17">
      <c r="A120" s="46"/>
      <c r="B120" s="58"/>
      <c r="C120" s="38" t="s">
        <v>136</v>
      </c>
      <c r="D120" s="35">
        <v>3</v>
      </c>
      <c r="E120" s="36" t="str">
        <f t="shared" si="32"/>
        <v>17:15</v>
      </c>
      <c r="F120" s="35" t="s">
        <v>42</v>
      </c>
      <c r="G120" s="35" t="s">
        <v>71</v>
      </c>
      <c r="H120" s="21" t="s">
        <v>37</v>
      </c>
      <c r="I120" s="22" t="s">
        <v>36</v>
      </c>
      <c r="J120" s="23" t="s">
        <v>6</v>
      </c>
      <c r="K120" s="24"/>
      <c r="L120" s="59"/>
      <c r="M120" s="51"/>
      <c r="N120" s="51"/>
      <c r="O120" s="45"/>
      <c r="P120" s="57"/>
      <c r="Q120" s="57"/>
    </row>
    <row r="121" spans="1:17">
      <c r="A121" s="46"/>
      <c r="B121" s="58"/>
      <c r="C121" s="38" t="s">
        <v>137</v>
      </c>
      <c r="D121" s="35">
        <v>1</v>
      </c>
      <c r="E121" s="36" t="str">
        <f t="shared" si="32"/>
        <v>14:14</v>
      </c>
      <c r="F121" s="35" t="s">
        <v>7</v>
      </c>
      <c r="G121" s="35" t="s">
        <v>79</v>
      </c>
      <c r="H121" s="21" t="s">
        <v>37</v>
      </c>
      <c r="I121" s="22" t="s">
        <v>36</v>
      </c>
      <c r="J121" s="23" t="s">
        <v>6</v>
      </c>
      <c r="K121" s="24"/>
      <c r="L121" s="59"/>
      <c r="M121" s="51"/>
      <c r="N121" s="51"/>
      <c r="O121" s="45"/>
      <c r="P121" s="57"/>
      <c r="Q121" s="57"/>
    </row>
    <row r="122" spans="1:17">
      <c r="A122" s="46"/>
      <c r="B122" s="58"/>
      <c r="C122" s="38" t="s">
        <v>138</v>
      </c>
      <c r="D122" s="35">
        <v>3</v>
      </c>
      <c r="E122" s="36" t="str">
        <f t="shared" si="32"/>
        <v>13:11</v>
      </c>
      <c r="F122" s="35" t="s">
        <v>42</v>
      </c>
      <c r="G122" s="35" t="s">
        <v>71</v>
      </c>
      <c r="H122" s="21" t="s">
        <v>37</v>
      </c>
      <c r="I122" s="22" t="s">
        <v>36</v>
      </c>
      <c r="J122" s="23" t="s">
        <v>6</v>
      </c>
      <c r="K122" s="24"/>
      <c r="L122" s="59"/>
      <c r="M122" s="51"/>
      <c r="N122" s="51"/>
      <c r="O122" s="45"/>
      <c r="P122" s="57"/>
      <c r="Q122" s="57"/>
    </row>
    <row r="123" spans="1:17">
      <c r="A123" s="46"/>
      <c r="B123" s="48"/>
      <c r="C123" s="38" t="s">
        <v>139</v>
      </c>
      <c r="D123" s="35">
        <v>1</v>
      </c>
      <c r="E123" s="36" t="str">
        <f t="shared" si="32"/>
        <v>10:10</v>
      </c>
      <c r="F123" s="35" t="s">
        <v>7</v>
      </c>
      <c r="G123" s="35" t="s">
        <v>82</v>
      </c>
      <c r="H123" s="21" t="s">
        <v>37</v>
      </c>
      <c r="I123" s="22" t="s">
        <v>36</v>
      </c>
      <c r="J123" s="23" t="s">
        <v>6</v>
      </c>
      <c r="K123" s="24"/>
      <c r="L123" s="51"/>
      <c r="M123" s="51"/>
      <c r="N123" s="51"/>
      <c r="O123" s="45"/>
      <c r="P123" s="45"/>
      <c r="Q123" s="45"/>
    </row>
    <row r="124" spans="1:17">
      <c r="A124" s="46"/>
      <c r="B124" s="48"/>
      <c r="C124" s="38" t="s">
        <v>140</v>
      </c>
      <c r="D124" s="35">
        <v>1</v>
      </c>
      <c r="E124" s="36" t="str">
        <f t="shared" si="32"/>
        <v>9:9</v>
      </c>
      <c r="F124" s="35" t="s">
        <v>7</v>
      </c>
      <c r="G124" s="35" t="s">
        <v>141</v>
      </c>
      <c r="H124" s="21" t="s">
        <v>37</v>
      </c>
      <c r="I124" s="22" t="s">
        <v>36</v>
      </c>
      <c r="J124" s="23" t="s">
        <v>6</v>
      </c>
      <c r="K124" s="24"/>
      <c r="L124" s="51"/>
      <c r="M124" s="51"/>
      <c r="N124" s="51"/>
      <c r="O124" s="45"/>
      <c r="P124" s="45"/>
      <c r="Q124" s="45"/>
    </row>
    <row r="125" spans="1:17">
      <c r="A125" s="46"/>
      <c r="B125" s="48"/>
      <c r="C125" s="38" t="s">
        <v>142</v>
      </c>
      <c r="D125" s="35">
        <v>1</v>
      </c>
      <c r="E125" s="36" t="str">
        <f t="shared" si="32"/>
        <v>8:8</v>
      </c>
      <c r="F125" s="35" t="s">
        <v>7</v>
      </c>
      <c r="G125" s="35" t="s">
        <v>123</v>
      </c>
      <c r="H125" s="21" t="s">
        <v>37</v>
      </c>
      <c r="I125" s="22" t="s">
        <v>36</v>
      </c>
      <c r="J125" s="23" t="s">
        <v>6</v>
      </c>
      <c r="K125" s="28"/>
      <c r="L125" s="51"/>
      <c r="M125" s="51"/>
      <c r="N125" s="51"/>
      <c r="O125" s="45"/>
      <c r="P125" s="45"/>
      <c r="Q125" s="45"/>
    </row>
    <row r="126" spans="1:17">
      <c r="A126" s="46"/>
      <c r="B126" s="48"/>
      <c r="C126" s="38" t="s">
        <v>143</v>
      </c>
      <c r="D126" s="35">
        <v>1</v>
      </c>
      <c r="E126" s="36" t="str">
        <f t="shared" si="32"/>
        <v>7:7</v>
      </c>
      <c r="F126" s="35" t="s">
        <v>7</v>
      </c>
      <c r="G126" s="35" t="s">
        <v>125</v>
      </c>
      <c r="H126" s="21" t="s">
        <v>37</v>
      </c>
      <c r="I126" s="22" t="s">
        <v>36</v>
      </c>
      <c r="J126" s="23" t="s">
        <v>6</v>
      </c>
      <c r="K126" s="28"/>
      <c r="L126" s="51"/>
      <c r="M126" s="51"/>
      <c r="N126" s="51"/>
      <c r="O126" s="45"/>
      <c r="P126" s="45"/>
      <c r="Q126" s="45"/>
    </row>
    <row r="127" spans="1:17">
      <c r="A127" s="46"/>
      <c r="B127" s="48"/>
      <c r="C127" s="38" t="s">
        <v>144</v>
      </c>
      <c r="D127" s="35">
        <v>1</v>
      </c>
      <c r="E127" s="36" t="str">
        <f t="shared" si="32"/>
        <v>6:6</v>
      </c>
      <c r="F127" s="35" t="s">
        <v>7</v>
      </c>
      <c r="G127" s="35" t="s">
        <v>125</v>
      </c>
      <c r="H127" s="21" t="s">
        <v>37</v>
      </c>
      <c r="I127" s="22" t="s">
        <v>36</v>
      </c>
      <c r="J127" s="23" t="s">
        <v>6</v>
      </c>
      <c r="K127" s="28"/>
      <c r="L127" s="51"/>
      <c r="M127" s="51"/>
      <c r="N127" s="51"/>
      <c r="O127" s="45"/>
      <c r="P127" s="45"/>
      <c r="Q127" s="45"/>
    </row>
    <row r="128" spans="1:17">
      <c r="A128" s="46"/>
      <c r="B128" s="48"/>
      <c r="C128" s="38" t="s">
        <v>145</v>
      </c>
      <c r="D128" s="35">
        <v>1</v>
      </c>
      <c r="E128" s="36" t="str">
        <f t="shared" si="32"/>
        <v>5:5</v>
      </c>
      <c r="F128" s="35" t="s">
        <v>7</v>
      </c>
      <c r="G128" s="35" t="s">
        <v>125</v>
      </c>
      <c r="H128" s="21" t="s">
        <v>37</v>
      </c>
      <c r="I128" s="22" t="s">
        <v>36</v>
      </c>
      <c r="J128" s="23" t="s">
        <v>6</v>
      </c>
      <c r="K128" s="28"/>
      <c r="L128" s="51"/>
      <c r="M128" s="51"/>
      <c r="N128" s="51"/>
      <c r="O128" s="45"/>
      <c r="P128" s="45"/>
      <c r="Q128" s="45"/>
    </row>
    <row r="129" spans="1:17" ht="15.75" thickBot="1">
      <c r="A129" s="46"/>
      <c r="B129" s="48"/>
      <c r="C129" s="38" t="s">
        <v>146</v>
      </c>
      <c r="D129" s="35">
        <v>5</v>
      </c>
      <c r="E129" s="36" t="str">
        <f t="shared" si="32"/>
        <v>4:0</v>
      </c>
      <c r="F129" s="35" t="s">
        <v>46</v>
      </c>
      <c r="G129" s="35" t="s">
        <v>45</v>
      </c>
      <c r="H129" s="25" t="s">
        <v>37</v>
      </c>
      <c r="I129" s="26" t="s">
        <v>36</v>
      </c>
      <c r="J129" s="27" t="s">
        <v>6</v>
      </c>
      <c r="K129" s="28"/>
      <c r="L129" s="51"/>
      <c r="M129" s="51"/>
      <c r="N129" s="51"/>
      <c r="O129" s="45"/>
      <c r="P129" s="45"/>
      <c r="Q129" s="45"/>
    </row>
    <row r="130" spans="1:17">
      <c r="A130" s="52" t="s">
        <v>151</v>
      </c>
      <c r="B130" s="47" t="str">
        <f t="shared" si="20"/>
        <v>20</v>
      </c>
      <c r="C130" s="53" t="str">
        <f>bitConcat(F130:F142)</f>
        <v>32'b11000000000000000000000000000000</v>
      </c>
      <c r="D130" s="53"/>
      <c r="E130" s="53"/>
      <c r="F130" s="53"/>
      <c r="G130" s="53"/>
      <c r="H130" s="53"/>
      <c r="I130" s="53"/>
      <c r="J130" s="53"/>
      <c r="K130" s="53"/>
      <c r="L130" s="50" t="str">
        <f t="shared" ref="L130" si="33">DEC2HEX(_xlfn.BITLSHIFT(N130,7)+4*O130)</f>
        <v>220</v>
      </c>
      <c r="M130" s="50"/>
      <c r="N130" s="50">
        <v>4</v>
      </c>
      <c r="O130" s="44">
        <v>8</v>
      </c>
      <c r="P130" s="44" t="str">
        <f t="shared" ref="P130" si="34">DEC2HEX(_xlfn.BITLSHIFT(N130,5)+O130*4)</f>
        <v>A0</v>
      </c>
      <c r="Q130" s="44" t="str">
        <f t="shared" ref="Q130" si="35">BIN2HEX(LEFT(RIGHT(C130,32),4))&amp;BIN2HEX(LEFT(RIGHT(C130,28),4))&amp;BIN2HEX(LEFT(RIGHT(C130,24),4))&amp;BIN2HEX(LEFT(RIGHT(C130,20),4))&amp;BIN2HEX(LEFT(RIGHT(C130,16),4))&amp;BIN2HEX(LEFT(RIGHT(C130,12),4))&amp;BIN2HEX(LEFT(RIGHT(C130,8),4))&amp;BIN2HEX(LEFT(RIGHT(C130,4),4))</f>
        <v>C0000000</v>
      </c>
    </row>
    <row r="131" spans="1:17">
      <c r="A131" s="60"/>
      <c r="B131" s="58"/>
      <c r="C131" s="38" t="s">
        <v>66</v>
      </c>
      <c r="D131" s="35">
        <v>2</v>
      </c>
      <c r="E131" s="36" t="str">
        <f>IF(D131&gt;1,(31)&amp;":"&amp;(31-D131+1),(31-D131+1)&amp;":"&amp;(31-D131+1))</f>
        <v>31:30</v>
      </c>
      <c r="F131" s="35" t="s">
        <v>64</v>
      </c>
      <c r="G131" s="35" t="s">
        <v>67</v>
      </c>
      <c r="H131" s="21" t="s">
        <v>37</v>
      </c>
      <c r="I131" s="22" t="s">
        <v>36</v>
      </c>
      <c r="J131" s="23" t="s">
        <v>6</v>
      </c>
      <c r="K131" s="24"/>
      <c r="L131" s="59"/>
      <c r="M131" s="59"/>
      <c r="N131" s="59"/>
      <c r="O131" s="57"/>
      <c r="P131" s="57"/>
      <c r="Q131" s="57"/>
    </row>
    <row r="132" spans="1:17">
      <c r="A132" s="60"/>
      <c r="B132" s="58"/>
      <c r="C132" s="38" t="s">
        <v>68</v>
      </c>
      <c r="D132" s="35">
        <v>4</v>
      </c>
      <c r="E132" s="36" t="str">
        <f t="shared" ref="E132:E142" si="36">(MID(str_cnvt(E131),SEARCH(":",str_cnvt(E131))+1,2)-1) &amp; ":" &amp; (MID(str_cnvt(E131),SEARCH(":",str_cnvt(E131))+1,2)-D132)</f>
        <v>29:26</v>
      </c>
      <c r="F132" s="35" t="s">
        <v>47</v>
      </c>
      <c r="G132" s="35" t="s">
        <v>69</v>
      </c>
      <c r="H132" s="21" t="s">
        <v>37</v>
      </c>
      <c r="I132" s="22" t="s">
        <v>36</v>
      </c>
      <c r="J132" s="23" t="s">
        <v>6</v>
      </c>
      <c r="K132" s="28"/>
      <c r="L132" s="59"/>
      <c r="M132" s="59"/>
      <c r="N132" s="59"/>
      <c r="O132" s="57"/>
      <c r="P132" s="57"/>
      <c r="Q132" s="57"/>
    </row>
    <row r="133" spans="1:17">
      <c r="A133" s="60"/>
      <c r="B133" s="58"/>
      <c r="C133" s="38" t="s">
        <v>70</v>
      </c>
      <c r="D133" s="35">
        <v>3</v>
      </c>
      <c r="E133" s="36" t="str">
        <f t="shared" si="36"/>
        <v>25:23</v>
      </c>
      <c r="F133" s="35" t="s">
        <v>42</v>
      </c>
      <c r="G133" s="35" t="s">
        <v>71</v>
      </c>
      <c r="H133" s="21" t="s">
        <v>37</v>
      </c>
      <c r="I133" s="22" t="s">
        <v>36</v>
      </c>
      <c r="J133" s="23" t="s">
        <v>6</v>
      </c>
      <c r="K133" s="28"/>
      <c r="L133" s="59"/>
      <c r="M133" s="59"/>
      <c r="N133" s="59"/>
      <c r="O133" s="57"/>
      <c r="P133" s="57"/>
      <c r="Q133" s="57"/>
    </row>
    <row r="134" spans="1:17">
      <c r="A134" s="60"/>
      <c r="B134" s="58"/>
      <c r="C134" s="38" t="s">
        <v>72</v>
      </c>
      <c r="D134" s="35">
        <v>1</v>
      </c>
      <c r="E134" s="36" t="str">
        <f t="shared" si="36"/>
        <v>22:22</v>
      </c>
      <c r="F134" s="35" t="s">
        <v>7</v>
      </c>
      <c r="G134" s="35" t="s">
        <v>73</v>
      </c>
      <c r="H134" s="21" t="s">
        <v>37</v>
      </c>
      <c r="I134" s="22" t="s">
        <v>36</v>
      </c>
      <c r="J134" s="23" t="s">
        <v>6</v>
      </c>
      <c r="K134" s="28"/>
      <c r="L134" s="59"/>
      <c r="M134" s="59"/>
      <c r="N134" s="59"/>
      <c r="O134" s="57"/>
      <c r="P134" s="57"/>
      <c r="Q134" s="57"/>
    </row>
    <row r="135" spans="1:17">
      <c r="A135" s="60"/>
      <c r="B135" s="58"/>
      <c r="C135" s="38" t="s">
        <v>74</v>
      </c>
      <c r="D135" s="35">
        <v>3</v>
      </c>
      <c r="E135" s="36" t="str">
        <f t="shared" si="36"/>
        <v>21:19</v>
      </c>
      <c r="F135" s="35" t="s">
        <v>42</v>
      </c>
      <c r="G135" s="35" t="s">
        <v>71</v>
      </c>
      <c r="H135" s="21" t="s">
        <v>37</v>
      </c>
      <c r="I135" s="22" t="s">
        <v>36</v>
      </c>
      <c r="J135" s="23" t="s">
        <v>6</v>
      </c>
      <c r="K135" s="24"/>
      <c r="L135" s="59"/>
      <c r="M135" s="59"/>
      <c r="N135" s="59"/>
      <c r="O135" s="57"/>
      <c r="P135" s="57"/>
      <c r="Q135" s="57"/>
    </row>
    <row r="136" spans="1:17">
      <c r="A136" s="60"/>
      <c r="B136" s="58"/>
      <c r="C136" s="38" t="s">
        <v>75</v>
      </c>
      <c r="D136" s="35">
        <v>1</v>
      </c>
      <c r="E136" s="36" t="str">
        <f t="shared" si="36"/>
        <v>18:18</v>
      </c>
      <c r="F136" s="35" t="s">
        <v>7</v>
      </c>
      <c r="G136" s="35" t="s">
        <v>76</v>
      </c>
      <c r="H136" s="21" t="s">
        <v>37</v>
      </c>
      <c r="I136" s="22" t="s">
        <v>36</v>
      </c>
      <c r="J136" s="23" t="s">
        <v>6</v>
      </c>
      <c r="K136" s="28"/>
      <c r="L136" s="59"/>
      <c r="M136" s="59"/>
      <c r="N136" s="59"/>
      <c r="O136" s="57"/>
      <c r="P136" s="57"/>
      <c r="Q136" s="57"/>
    </row>
    <row r="137" spans="1:17">
      <c r="A137" s="60"/>
      <c r="B137" s="58"/>
      <c r="C137" s="38" t="s">
        <v>77</v>
      </c>
      <c r="D137" s="35">
        <v>3</v>
      </c>
      <c r="E137" s="36" t="str">
        <f t="shared" si="36"/>
        <v>17:15</v>
      </c>
      <c r="F137" s="35" t="s">
        <v>42</v>
      </c>
      <c r="G137" s="35" t="s">
        <v>71</v>
      </c>
      <c r="H137" s="21" t="s">
        <v>37</v>
      </c>
      <c r="I137" s="22" t="s">
        <v>36</v>
      </c>
      <c r="J137" s="23" t="s">
        <v>6</v>
      </c>
      <c r="K137" s="28"/>
      <c r="L137" s="59"/>
      <c r="M137" s="59"/>
      <c r="N137" s="59"/>
      <c r="O137" s="57"/>
      <c r="P137" s="57"/>
      <c r="Q137" s="57"/>
    </row>
    <row r="138" spans="1:17">
      <c r="A138" s="60"/>
      <c r="B138" s="58"/>
      <c r="C138" s="38" t="s">
        <v>78</v>
      </c>
      <c r="D138" s="35">
        <v>1</v>
      </c>
      <c r="E138" s="36" t="str">
        <f t="shared" si="36"/>
        <v>14:14</v>
      </c>
      <c r="F138" s="35" t="s">
        <v>7</v>
      </c>
      <c r="G138" s="35" t="s">
        <v>79</v>
      </c>
      <c r="H138" s="21" t="s">
        <v>37</v>
      </c>
      <c r="I138" s="22" t="s">
        <v>36</v>
      </c>
      <c r="J138" s="23" t="s">
        <v>6</v>
      </c>
      <c r="K138" s="28"/>
      <c r="L138" s="59"/>
      <c r="M138" s="59"/>
      <c r="N138" s="59"/>
      <c r="O138" s="57"/>
      <c r="P138" s="57"/>
      <c r="Q138" s="57"/>
    </row>
    <row r="139" spans="1:17">
      <c r="A139" s="46"/>
      <c r="B139" s="48"/>
      <c r="C139" s="38" t="s">
        <v>80</v>
      </c>
      <c r="D139" s="35">
        <v>3</v>
      </c>
      <c r="E139" s="36" t="str">
        <f t="shared" si="36"/>
        <v>13:11</v>
      </c>
      <c r="F139" s="35" t="s">
        <v>42</v>
      </c>
      <c r="G139" s="35" t="s">
        <v>71</v>
      </c>
      <c r="H139" s="21" t="s">
        <v>37</v>
      </c>
      <c r="I139" s="22" t="s">
        <v>36</v>
      </c>
      <c r="J139" s="23" t="s">
        <v>6</v>
      </c>
      <c r="K139" s="24"/>
      <c r="L139" s="51"/>
      <c r="M139" s="51"/>
      <c r="N139" s="51"/>
      <c r="O139" s="45"/>
      <c r="P139" s="45"/>
      <c r="Q139" s="45"/>
    </row>
    <row r="140" spans="1:17">
      <c r="A140" s="46"/>
      <c r="B140" s="48"/>
      <c r="C140" s="38" t="s">
        <v>81</v>
      </c>
      <c r="D140" s="35">
        <v>1</v>
      </c>
      <c r="E140" s="36" t="str">
        <f t="shared" si="36"/>
        <v>10:10</v>
      </c>
      <c r="F140" s="35" t="s">
        <v>7</v>
      </c>
      <c r="G140" s="35" t="s">
        <v>82</v>
      </c>
      <c r="H140" s="21" t="s">
        <v>37</v>
      </c>
      <c r="I140" s="22" t="s">
        <v>36</v>
      </c>
      <c r="J140" s="23" t="s">
        <v>6</v>
      </c>
      <c r="K140" s="24"/>
      <c r="L140" s="51"/>
      <c r="M140" s="51"/>
      <c r="N140" s="51"/>
      <c r="O140" s="45"/>
      <c r="P140" s="45"/>
      <c r="Q140" s="45"/>
    </row>
    <row r="141" spans="1:17">
      <c r="A141" s="46"/>
      <c r="B141" s="48"/>
      <c r="C141" s="38" t="s">
        <v>83</v>
      </c>
      <c r="D141" s="35">
        <v>1</v>
      </c>
      <c r="E141" s="36" t="str">
        <f t="shared" si="36"/>
        <v>9:9</v>
      </c>
      <c r="F141" s="35" t="s">
        <v>7</v>
      </c>
      <c r="G141" s="35" t="s">
        <v>84</v>
      </c>
      <c r="H141" s="21" t="s">
        <v>37</v>
      </c>
      <c r="I141" s="22" t="s">
        <v>36</v>
      </c>
      <c r="J141" s="23" t="s">
        <v>6</v>
      </c>
      <c r="K141" s="24"/>
      <c r="L141" s="51"/>
      <c r="M141" s="51"/>
      <c r="N141" s="51"/>
      <c r="O141" s="45"/>
      <c r="P141" s="45"/>
      <c r="Q141" s="45"/>
    </row>
    <row r="142" spans="1:17" ht="15.75" thickBot="1">
      <c r="A142" s="46"/>
      <c r="B142" s="48"/>
      <c r="C142" s="38" t="s">
        <v>85</v>
      </c>
      <c r="D142" s="35">
        <v>9</v>
      </c>
      <c r="E142" s="36" t="str">
        <f t="shared" si="36"/>
        <v>8:0</v>
      </c>
      <c r="F142" s="35" t="s">
        <v>50</v>
      </c>
      <c r="G142" s="35" t="s">
        <v>45</v>
      </c>
      <c r="H142" s="21" t="s">
        <v>37</v>
      </c>
      <c r="I142" s="22" t="s">
        <v>36</v>
      </c>
      <c r="J142" s="23" t="s">
        <v>6</v>
      </c>
      <c r="K142" s="24"/>
      <c r="L142" s="51"/>
      <c r="M142" s="51"/>
      <c r="N142" s="51"/>
      <c r="O142" s="45"/>
      <c r="P142" s="45"/>
      <c r="Q142" s="45"/>
    </row>
    <row r="143" spans="1:17">
      <c r="A143" s="46" t="s">
        <v>152</v>
      </c>
      <c r="B143" s="47" t="str">
        <f t="shared" si="20"/>
        <v>24</v>
      </c>
      <c r="C143" s="49" t="str">
        <f>bitConcat(F144:F159)</f>
        <v>32'b10000000000000000000000000000000</v>
      </c>
      <c r="D143" s="49"/>
      <c r="E143" s="49"/>
      <c r="F143" s="49"/>
      <c r="G143" s="49"/>
      <c r="H143" s="49"/>
      <c r="I143" s="49"/>
      <c r="J143" s="49"/>
      <c r="K143" s="49"/>
      <c r="L143" s="50" t="str">
        <f t="shared" ref="L143" si="37">DEC2HEX(_xlfn.BITLSHIFT(N143,7)+4*O143)</f>
        <v>224</v>
      </c>
      <c r="M143" s="51"/>
      <c r="N143" s="51">
        <v>4</v>
      </c>
      <c r="O143" s="45">
        <v>9</v>
      </c>
      <c r="P143" s="44" t="str">
        <f t="shared" ref="P143" si="38">DEC2HEX(_xlfn.BITLSHIFT(N143,5)+O143*4)</f>
        <v>A4</v>
      </c>
      <c r="Q143" s="44" t="str">
        <f t="shared" ref="Q143" si="39">BIN2HEX(LEFT(RIGHT(C143,32),4))&amp;BIN2HEX(LEFT(RIGHT(C143,28),4))&amp;BIN2HEX(LEFT(RIGHT(C143,24),4))&amp;BIN2HEX(LEFT(RIGHT(C143,20),4))&amp;BIN2HEX(LEFT(RIGHT(C143,16),4))&amp;BIN2HEX(LEFT(RIGHT(C143,12),4))&amp;BIN2HEX(LEFT(RIGHT(C143,8),4))&amp;BIN2HEX(LEFT(RIGHT(C143,4),4))</f>
        <v>80000000</v>
      </c>
    </row>
    <row r="144" spans="1:17">
      <c r="A144" s="46"/>
      <c r="B144" s="58"/>
      <c r="C144" s="38" t="s">
        <v>87</v>
      </c>
      <c r="D144" s="35">
        <v>2</v>
      </c>
      <c r="E144" s="36" t="str">
        <f>IF(D144&gt;1,(31)&amp;":"&amp;(31-D144+1),(31-D144+1)&amp;":"&amp;(31-D144+1))</f>
        <v>31:30</v>
      </c>
      <c r="F144" s="35" t="s">
        <v>88</v>
      </c>
      <c r="G144" s="35" t="s">
        <v>67</v>
      </c>
      <c r="H144" s="21" t="s">
        <v>37</v>
      </c>
      <c r="I144" s="22" t="s">
        <v>36</v>
      </c>
      <c r="J144" s="23" t="s">
        <v>6</v>
      </c>
      <c r="K144" s="24"/>
      <c r="L144" s="59"/>
      <c r="M144" s="51"/>
      <c r="N144" s="51"/>
      <c r="O144" s="45"/>
      <c r="P144" s="57"/>
      <c r="Q144" s="57"/>
    </row>
    <row r="145" spans="1:17">
      <c r="A145" s="46"/>
      <c r="B145" s="58"/>
      <c r="C145" s="38" t="s">
        <v>89</v>
      </c>
      <c r="D145" s="35">
        <v>4</v>
      </c>
      <c r="E145" s="36" t="str">
        <f t="shared" ref="E145:E159" si="40">(MID(str_cnvt(E144),SEARCH(":",str_cnvt(E144))+1,2)-1) &amp; ":" &amp; (MID(str_cnvt(E144),SEARCH(":",str_cnvt(E144))+1,2)-D145)</f>
        <v>29:26</v>
      </c>
      <c r="F145" s="35" t="s">
        <v>47</v>
      </c>
      <c r="G145" s="35" t="s">
        <v>69</v>
      </c>
      <c r="H145" s="21" t="s">
        <v>37</v>
      </c>
      <c r="I145" s="22" t="s">
        <v>36</v>
      </c>
      <c r="J145" s="23" t="s">
        <v>6</v>
      </c>
      <c r="K145" s="24"/>
      <c r="L145" s="59"/>
      <c r="M145" s="51"/>
      <c r="N145" s="51"/>
      <c r="O145" s="45"/>
      <c r="P145" s="57"/>
      <c r="Q145" s="57"/>
    </row>
    <row r="146" spans="1:17">
      <c r="A146" s="46"/>
      <c r="B146" s="58"/>
      <c r="C146" s="38" t="s">
        <v>90</v>
      </c>
      <c r="D146" s="35">
        <v>3</v>
      </c>
      <c r="E146" s="36" t="str">
        <f t="shared" si="40"/>
        <v>25:23</v>
      </c>
      <c r="F146" s="35" t="s">
        <v>42</v>
      </c>
      <c r="G146" s="35" t="s">
        <v>71</v>
      </c>
      <c r="H146" s="21" t="s">
        <v>37</v>
      </c>
      <c r="I146" s="22" t="s">
        <v>36</v>
      </c>
      <c r="J146" s="23" t="s">
        <v>6</v>
      </c>
      <c r="K146" s="24"/>
      <c r="L146" s="59"/>
      <c r="M146" s="51"/>
      <c r="N146" s="51"/>
      <c r="O146" s="45"/>
      <c r="P146" s="57"/>
      <c r="Q146" s="57"/>
    </row>
    <row r="147" spans="1:17">
      <c r="A147" s="46"/>
      <c r="B147" s="58"/>
      <c r="C147" s="38" t="s">
        <v>91</v>
      </c>
      <c r="D147" s="35">
        <v>1</v>
      </c>
      <c r="E147" s="36" t="str">
        <f t="shared" si="40"/>
        <v>22:22</v>
      </c>
      <c r="F147" s="35" t="s">
        <v>7</v>
      </c>
      <c r="G147" s="35" t="s">
        <v>73</v>
      </c>
      <c r="H147" s="21" t="s">
        <v>37</v>
      </c>
      <c r="I147" s="22" t="s">
        <v>36</v>
      </c>
      <c r="J147" s="23" t="s">
        <v>6</v>
      </c>
      <c r="K147" s="24"/>
      <c r="L147" s="59"/>
      <c r="M147" s="51"/>
      <c r="N147" s="51"/>
      <c r="O147" s="45"/>
      <c r="P147" s="57"/>
      <c r="Q147" s="57"/>
    </row>
    <row r="148" spans="1:17">
      <c r="A148" s="46"/>
      <c r="B148" s="58"/>
      <c r="C148" s="38" t="s">
        <v>92</v>
      </c>
      <c r="D148" s="35">
        <v>3</v>
      </c>
      <c r="E148" s="36" t="str">
        <f t="shared" si="40"/>
        <v>21:19</v>
      </c>
      <c r="F148" s="35" t="s">
        <v>42</v>
      </c>
      <c r="G148" s="35" t="s">
        <v>71</v>
      </c>
      <c r="H148" s="21" t="s">
        <v>37</v>
      </c>
      <c r="I148" s="22" t="s">
        <v>36</v>
      </c>
      <c r="J148" s="23" t="s">
        <v>6</v>
      </c>
      <c r="K148" s="24"/>
      <c r="L148" s="59"/>
      <c r="M148" s="51"/>
      <c r="N148" s="51"/>
      <c r="O148" s="45"/>
      <c r="P148" s="57"/>
      <c r="Q148" s="57"/>
    </row>
    <row r="149" spans="1:17">
      <c r="A149" s="46"/>
      <c r="B149" s="58"/>
      <c r="C149" s="38" t="s">
        <v>93</v>
      </c>
      <c r="D149" s="35">
        <v>1</v>
      </c>
      <c r="E149" s="36" t="str">
        <f t="shared" si="40"/>
        <v>18:18</v>
      </c>
      <c r="F149" s="35" t="s">
        <v>7</v>
      </c>
      <c r="G149" s="35" t="s">
        <v>76</v>
      </c>
      <c r="H149" s="21" t="s">
        <v>37</v>
      </c>
      <c r="I149" s="22" t="s">
        <v>36</v>
      </c>
      <c r="J149" s="23" t="s">
        <v>6</v>
      </c>
      <c r="K149" s="24"/>
      <c r="L149" s="59"/>
      <c r="M149" s="51"/>
      <c r="N149" s="51"/>
      <c r="O149" s="45"/>
      <c r="P149" s="57"/>
      <c r="Q149" s="57"/>
    </row>
    <row r="150" spans="1:17">
      <c r="A150" s="46"/>
      <c r="B150" s="58"/>
      <c r="C150" s="38" t="s">
        <v>94</v>
      </c>
      <c r="D150" s="35">
        <v>3</v>
      </c>
      <c r="E150" s="36" t="str">
        <f t="shared" si="40"/>
        <v>17:15</v>
      </c>
      <c r="F150" s="35" t="s">
        <v>42</v>
      </c>
      <c r="G150" s="35" t="s">
        <v>71</v>
      </c>
      <c r="H150" s="21" t="s">
        <v>37</v>
      </c>
      <c r="I150" s="22" t="s">
        <v>36</v>
      </c>
      <c r="J150" s="23" t="s">
        <v>6</v>
      </c>
      <c r="K150" s="24"/>
      <c r="L150" s="59"/>
      <c r="M150" s="51"/>
      <c r="N150" s="51"/>
      <c r="O150" s="45"/>
      <c r="P150" s="57"/>
      <c r="Q150" s="57"/>
    </row>
    <row r="151" spans="1:17">
      <c r="A151" s="46"/>
      <c r="B151" s="58"/>
      <c r="C151" s="38" t="s">
        <v>95</v>
      </c>
      <c r="D151" s="35">
        <v>1</v>
      </c>
      <c r="E151" s="36" t="str">
        <f t="shared" si="40"/>
        <v>14:14</v>
      </c>
      <c r="F151" s="35" t="s">
        <v>7</v>
      </c>
      <c r="G151" s="35" t="s">
        <v>79</v>
      </c>
      <c r="H151" s="21" t="s">
        <v>37</v>
      </c>
      <c r="I151" s="22" t="s">
        <v>36</v>
      </c>
      <c r="J151" s="23" t="s">
        <v>6</v>
      </c>
      <c r="K151" s="24"/>
      <c r="L151" s="59"/>
      <c r="M151" s="51"/>
      <c r="N151" s="51"/>
      <c r="O151" s="45"/>
      <c r="P151" s="57"/>
      <c r="Q151" s="57"/>
    </row>
    <row r="152" spans="1:17">
      <c r="A152" s="46"/>
      <c r="B152" s="58"/>
      <c r="C152" s="38" t="s">
        <v>96</v>
      </c>
      <c r="D152" s="35">
        <v>3</v>
      </c>
      <c r="E152" s="36" t="str">
        <f t="shared" si="40"/>
        <v>13:11</v>
      </c>
      <c r="F152" s="35" t="s">
        <v>42</v>
      </c>
      <c r="G152" s="35" t="s">
        <v>71</v>
      </c>
      <c r="H152" s="21" t="s">
        <v>37</v>
      </c>
      <c r="I152" s="22" t="s">
        <v>36</v>
      </c>
      <c r="J152" s="23" t="s">
        <v>6</v>
      </c>
      <c r="K152" s="24"/>
      <c r="L152" s="59"/>
      <c r="M152" s="51"/>
      <c r="N152" s="51"/>
      <c r="O152" s="45"/>
      <c r="P152" s="57"/>
      <c r="Q152" s="57"/>
    </row>
    <row r="153" spans="1:17">
      <c r="A153" s="46"/>
      <c r="B153" s="48"/>
      <c r="C153" s="38" t="s">
        <v>97</v>
      </c>
      <c r="D153" s="35">
        <v>1</v>
      </c>
      <c r="E153" s="36" t="str">
        <f t="shared" si="40"/>
        <v>10:10</v>
      </c>
      <c r="F153" s="35" t="s">
        <v>7</v>
      </c>
      <c r="G153" s="35" t="s">
        <v>82</v>
      </c>
      <c r="H153" s="21" t="s">
        <v>37</v>
      </c>
      <c r="I153" s="22" t="s">
        <v>36</v>
      </c>
      <c r="J153" s="23" t="s">
        <v>6</v>
      </c>
      <c r="K153" s="24"/>
      <c r="L153" s="51"/>
      <c r="M153" s="51"/>
      <c r="N153" s="51"/>
      <c r="O153" s="45"/>
      <c r="P153" s="45"/>
      <c r="Q153" s="45"/>
    </row>
    <row r="154" spans="1:17">
      <c r="A154" s="46"/>
      <c r="B154" s="48"/>
      <c r="C154" s="38" t="s">
        <v>98</v>
      </c>
      <c r="D154" s="35">
        <v>1</v>
      </c>
      <c r="E154" s="36" t="str">
        <f t="shared" si="40"/>
        <v>9:9</v>
      </c>
      <c r="F154" s="35" t="s">
        <v>7</v>
      </c>
      <c r="G154" s="35" t="s">
        <v>99</v>
      </c>
      <c r="H154" s="21" t="s">
        <v>37</v>
      </c>
      <c r="I154" s="22" t="s">
        <v>36</v>
      </c>
      <c r="J154" s="23" t="s">
        <v>6</v>
      </c>
      <c r="K154" s="24"/>
      <c r="L154" s="51"/>
      <c r="M154" s="51"/>
      <c r="N154" s="51"/>
      <c r="O154" s="45"/>
      <c r="P154" s="45"/>
      <c r="Q154" s="45"/>
    </row>
    <row r="155" spans="1:17">
      <c r="A155" s="46"/>
      <c r="B155" s="48"/>
      <c r="C155" s="38" t="s">
        <v>100</v>
      </c>
      <c r="D155" s="35">
        <v>1</v>
      </c>
      <c r="E155" s="36" t="str">
        <f t="shared" si="40"/>
        <v>8:8</v>
      </c>
      <c r="F155" s="35" t="s">
        <v>7</v>
      </c>
      <c r="G155" s="35" t="s">
        <v>101</v>
      </c>
      <c r="H155" s="21" t="s">
        <v>37</v>
      </c>
      <c r="I155" s="22" t="s">
        <v>36</v>
      </c>
      <c r="J155" s="23" t="s">
        <v>6</v>
      </c>
      <c r="K155" s="24"/>
      <c r="L155" s="51"/>
      <c r="M155" s="51"/>
      <c r="N155" s="51"/>
      <c r="O155" s="45"/>
      <c r="P155" s="45"/>
      <c r="Q155" s="45"/>
    </row>
    <row r="156" spans="1:17">
      <c r="A156" s="46"/>
      <c r="B156" s="48"/>
      <c r="C156" s="38" t="s">
        <v>102</v>
      </c>
      <c r="D156" s="35">
        <v>1</v>
      </c>
      <c r="E156" s="36" t="str">
        <f t="shared" si="40"/>
        <v>7:7</v>
      </c>
      <c r="F156" s="35" t="s">
        <v>7</v>
      </c>
      <c r="G156" s="35" t="s">
        <v>103</v>
      </c>
      <c r="H156" s="21" t="s">
        <v>37</v>
      </c>
      <c r="I156" s="22" t="s">
        <v>36</v>
      </c>
      <c r="J156" s="23" t="s">
        <v>6</v>
      </c>
      <c r="K156" s="24"/>
      <c r="L156" s="51"/>
      <c r="M156" s="51"/>
      <c r="N156" s="51"/>
      <c r="O156" s="45"/>
      <c r="P156" s="45"/>
      <c r="Q156" s="45"/>
    </row>
    <row r="157" spans="1:17">
      <c r="A157" s="46"/>
      <c r="B157" s="48"/>
      <c r="C157" s="38" t="s">
        <v>104</v>
      </c>
      <c r="D157" s="35">
        <v>1</v>
      </c>
      <c r="E157" s="36" t="str">
        <f t="shared" si="40"/>
        <v>6:6</v>
      </c>
      <c r="F157" s="35" t="s">
        <v>7</v>
      </c>
      <c r="G157" s="35" t="s">
        <v>105</v>
      </c>
      <c r="H157" s="21" t="s">
        <v>37</v>
      </c>
      <c r="I157" s="22" t="s">
        <v>36</v>
      </c>
      <c r="J157" s="23" t="s">
        <v>6</v>
      </c>
      <c r="K157" s="24"/>
      <c r="L157" s="51"/>
      <c r="M157" s="51"/>
      <c r="N157" s="51"/>
      <c r="O157" s="45"/>
      <c r="P157" s="45"/>
      <c r="Q157" s="45"/>
    </row>
    <row r="158" spans="1:17">
      <c r="A158" s="46"/>
      <c r="B158" s="48"/>
      <c r="C158" s="38" t="s">
        <v>106</v>
      </c>
      <c r="D158" s="35">
        <v>1</v>
      </c>
      <c r="E158" s="36" t="str">
        <f t="shared" si="40"/>
        <v>5:5</v>
      </c>
      <c r="F158" s="35" t="s">
        <v>7</v>
      </c>
      <c r="G158" s="35" t="s">
        <v>107</v>
      </c>
      <c r="H158" s="21" t="s">
        <v>37</v>
      </c>
      <c r="I158" s="22" t="s">
        <v>36</v>
      </c>
      <c r="J158" s="23" t="s">
        <v>6</v>
      </c>
      <c r="K158" s="24"/>
      <c r="L158" s="51"/>
      <c r="M158" s="51"/>
      <c r="N158" s="51"/>
      <c r="O158" s="45"/>
      <c r="P158" s="45"/>
      <c r="Q158" s="45"/>
    </row>
    <row r="159" spans="1:17" ht="15.75" thickBot="1">
      <c r="A159" s="46"/>
      <c r="B159" s="48"/>
      <c r="C159" s="38" t="s">
        <v>108</v>
      </c>
      <c r="D159" s="35">
        <v>5</v>
      </c>
      <c r="E159" s="36" t="str">
        <f t="shared" si="40"/>
        <v>4:0</v>
      </c>
      <c r="F159" s="35" t="s">
        <v>46</v>
      </c>
      <c r="G159" s="35" t="s">
        <v>45</v>
      </c>
      <c r="H159" s="21" t="s">
        <v>37</v>
      </c>
      <c r="I159" s="22" t="s">
        <v>36</v>
      </c>
      <c r="J159" s="23" t="s">
        <v>6</v>
      </c>
      <c r="K159" s="24"/>
      <c r="L159" s="51"/>
      <c r="M159" s="51"/>
      <c r="N159" s="51"/>
      <c r="O159" s="45"/>
      <c r="P159" s="45"/>
      <c r="Q159" s="45"/>
    </row>
    <row r="160" spans="1:17">
      <c r="A160" s="46" t="s">
        <v>153</v>
      </c>
      <c r="B160" s="47" t="str">
        <f t="shared" si="20"/>
        <v>28</v>
      </c>
      <c r="C160" s="49" t="str">
        <f>bitConcat(F161:F176)</f>
        <v>32'b01000000000000000000000000000000</v>
      </c>
      <c r="D160" s="49"/>
      <c r="E160" s="49"/>
      <c r="F160" s="49"/>
      <c r="G160" s="49"/>
      <c r="H160" s="49"/>
      <c r="I160" s="49"/>
      <c r="J160" s="49"/>
      <c r="K160" s="49"/>
      <c r="L160" s="50" t="str">
        <f t="shared" ref="L160" si="41">DEC2HEX(_xlfn.BITLSHIFT(N160,7)+4*O160)</f>
        <v>228</v>
      </c>
      <c r="M160" s="51"/>
      <c r="N160" s="51">
        <v>4</v>
      </c>
      <c r="O160" s="45">
        <v>10</v>
      </c>
      <c r="P160" s="44" t="str">
        <f t="shared" ref="P160" si="42">DEC2HEX(_xlfn.BITLSHIFT(N160,5)+O160*4)</f>
        <v>A8</v>
      </c>
      <c r="Q160" s="44" t="str">
        <f t="shared" ref="Q160" si="43">BIN2HEX(LEFT(RIGHT(C160,32),4))&amp;BIN2HEX(LEFT(RIGHT(C160,28),4))&amp;BIN2HEX(LEFT(RIGHT(C160,24),4))&amp;BIN2HEX(LEFT(RIGHT(C160,20),4))&amp;BIN2HEX(LEFT(RIGHT(C160,16),4))&amp;BIN2HEX(LEFT(RIGHT(C160,12),4))&amp;BIN2HEX(LEFT(RIGHT(C160,8),4))&amp;BIN2HEX(LEFT(RIGHT(C160,4),4))</f>
        <v>40000000</v>
      </c>
    </row>
    <row r="161" spans="1:17">
      <c r="A161" s="46"/>
      <c r="B161" s="58"/>
      <c r="C161" s="38" t="s">
        <v>110</v>
      </c>
      <c r="D161" s="35">
        <v>2</v>
      </c>
      <c r="E161" s="36" t="str">
        <f>IF(D161&gt;1,(31)&amp;":"&amp;(31-D161+1),(31-D161+1)&amp;":"&amp;(31-D161+1))</f>
        <v>31:30</v>
      </c>
      <c r="F161" s="35" t="s">
        <v>51</v>
      </c>
      <c r="G161" s="35" t="s">
        <v>67</v>
      </c>
      <c r="H161" s="21" t="s">
        <v>37</v>
      </c>
      <c r="I161" s="22" t="s">
        <v>36</v>
      </c>
      <c r="J161" s="23" t="s">
        <v>6</v>
      </c>
      <c r="K161" s="24"/>
      <c r="L161" s="59"/>
      <c r="M161" s="51"/>
      <c r="N161" s="51"/>
      <c r="O161" s="45"/>
      <c r="P161" s="57"/>
      <c r="Q161" s="57"/>
    </row>
    <row r="162" spans="1:17">
      <c r="A162" s="46"/>
      <c r="B162" s="58"/>
      <c r="C162" s="38" t="s">
        <v>111</v>
      </c>
      <c r="D162" s="35">
        <v>4</v>
      </c>
      <c r="E162" s="36" t="str">
        <f t="shared" ref="E162:E176" si="44">(MID(str_cnvt(E161),SEARCH(":",str_cnvt(E161))+1,2)-1) &amp; ":" &amp; (MID(str_cnvt(E161),SEARCH(":",str_cnvt(E161))+1,2)-D162)</f>
        <v>29:26</v>
      </c>
      <c r="F162" s="35" t="s">
        <v>47</v>
      </c>
      <c r="G162" s="35" t="s">
        <v>69</v>
      </c>
      <c r="H162" s="21" t="s">
        <v>37</v>
      </c>
      <c r="I162" s="22" t="s">
        <v>36</v>
      </c>
      <c r="J162" s="23" t="s">
        <v>6</v>
      </c>
      <c r="K162" s="24"/>
      <c r="L162" s="59"/>
      <c r="M162" s="51"/>
      <c r="N162" s="51"/>
      <c r="O162" s="45"/>
      <c r="P162" s="57"/>
      <c r="Q162" s="57"/>
    </row>
    <row r="163" spans="1:17">
      <c r="A163" s="46"/>
      <c r="B163" s="58"/>
      <c r="C163" s="38" t="s">
        <v>112</v>
      </c>
      <c r="D163" s="35">
        <v>3</v>
      </c>
      <c r="E163" s="36" t="str">
        <f t="shared" si="44"/>
        <v>25:23</v>
      </c>
      <c r="F163" s="35" t="s">
        <v>42</v>
      </c>
      <c r="G163" s="35" t="s">
        <v>71</v>
      </c>
      <c r="H163" s="21" t="s">
        <v>37</v>
      </c>
      <c r="I163" s="22" t="s">
        <v>36</v>
      </c>
      <c r="J163" s="23" t="s">
        <v>6</v>
      </c>
      <c r="K163" s="24"/>
      <c r="L163" s="59"/>
      <c r="M163" s="51"/>
      <c r="N163" s="51"/>
      <c r="O163" s="45"/>
      <c r="P163" s="57"/>
      <c r="Q163" s="57"/>
    </row>
    <row r="164" spans="1:17">
      <c r="A164" s="46"/>
      <c r="B164" s="58"/>
      <c r="C164" s="38" t="s">
        <v>113</v>
      </c>
      <c r="D164" s="35">
        <v>1</v>
      </c>
      <c r="E164" s="36" t="str">
        <f t="shared" si="44"/>
        <v>22:22</v>
      </c>
      <c r="F164" s="35" t="s">
        <v>7</v>
      </c>
      <c r="G164" s="35" t="s">
        <v>73</v>
      </c>
      <c r="H164" s="21" t="s">
        <v>37</v>
      </c>
      <c r="I164" s="22" t="s">
        <v>36</v>
      </c>
      <c r="J164" s="23" t="s">
        <v>6</v>
      </c>
      <c r="K164" s="24"/>
      <c r="L164" s="59"/>
      <c r="M164" s="51"/>
      <c r="N164" s="51"/>
      <c r="O164" s="45"/>
      <c r="P164" s="57"/>
      <c r="Q164" s="57"/>
    </row>
    <row r="165" spans="1:17">
      <c r="A165" s="46"/>
      <c r="B165" s="58"/>
      <c r="C165" s="38" t="s">
        <v>114</v>
      </c>
      <c r="D165" s="35">
        <v>3</v>
      </c>
      <c r="E165" s="36" t="str">
        <f t="shared" si="44"/>
        <v>21:19</v>
      </c>
      <c r="F165" s="35" t="s">
        <v>42</v>
      </c>
      <c r="G165" s="35" t="s">
        <v>71</v>
      </c>
      <c r="H165" s="21" t="s">
        <v>37</v>
      </c>
      <c r="I165" s="22" t="s">
        <v>36</v>
      </c>
      <c r="J165" s="23" t="s">
        <v>6</v>
      </c>
      <c r="K165" s="24"/>
      <c r="L165" s="59"/>
      <c r="M165" s="51"/>
      <c r="N165" s="51"/>
      <c r="O165" s="45"/>
      <c r="P165" s="57"/>
      <c r="Q165" s="57"/>
    </row>
    <row r="166" spans="1:17">
      <c r="A166" s="46"/>
      <c r="B166" s="58"/>
      <c r="C166" s="38" t="s">
        <v>115</v>
      </c>
      <c r="D166" s="35">
        <v>1</v>
      </c>
      <c r="E166" s="36" t="str">
        <f t="shared" si="44"/>
        <v>18:18</v>
      </c>
      <c r="F166" s="35" t="s">
        <v>7</v>
      </c>
      <c r="G166" s="35" t="s">
        <v>76</v>
      </c>
      <c r="H166" s="21" t="s">
        <v>37</v>
      </c>
      <c r="I166" s="22" t="s">
        <v>36</v>
      </c>
      <c r="J166" s="23" t="s">
        <v>6</v>
      </c>
      <c r="K166" s="24"/>
      <c r="L166" s="59"/>
      <c r="M166" s="51"/>
      <c r="N166" s="51"/>
      <c r="O166" s="45"/>
      <c r="P166" s="57"/>
      <c r="Q166" s="57"/>
    </row>
    <row r="167" spans="1:17">
      <c r="A167" s="46"/>
      <c r="B167" s="58"/>
      <c r="C167" s="38" t="s">
        <v>116</v>
      </c>
      <c r="D167" s="35">
        <v>3</v>
      </c>
      <c r="E167" s="36" t="str">
        <f t="shared" si="44"/>
        <v>17:15</v>
      </c>
      <c r="F167" s="35" t="s">
        <v>42</v>
      </c>
      <c r="G167" s="35" t="s">
        <v>71</v>
      </c>
      <c r="H167" s="21" t="s">
        <v>37</v>
      </c>
      <c r="I167" s="22" t="s">
        <v>36</v>
      </c>
      <c r="J167" s="23" t="s">
        <v>6</v>
      </c>
      <c r="K167" s="24"/>
      <c r="L167" s="59"/>
      <c r="M167" s="51"/>
      <c r="N167" s="51"/>
      <c r="O167" s="45"/>
      <c r="P167" s="57"/>
      <c r="Q167" s="57"/>
    </row>
    <row r="168" spans="1:17">
      <c r="A168" s="46"/>
      <c r="B168" s="58"/>
      <c r="C168" s="38" t="s">
        <v>117</v>
      </c>
      <c r="D168" s="35">
        <v>1</v>
      </c>
      <c r="E168" s="36" t="str">
        <f t="shared" si="44"/>
        <v>14:14</v>
      </c>
      <c r="F168" s="35" t="s">
        <v>7</v>
      </c>
      <c r="G168" s="35" t="s">
        <v>79</v>
      </c>
      <c r="H168" s="21" t="s">
        <v>37</v>
      </c>
      <c r="I168" s="22" t="s">
        <v>36</v>
      </c>
      <c r="J168" s="23" t="s">
        <v>6</v>
      </c>
      <c r="K168" s="24"/>
      <c r="L168" s="59"/>
      <c r="M168" s="51"/>
      <c r="N168" s="51"/>
      <c r="O168" s="45"/>
      <c r="P168" s="57"/>
      <c r="Q168" s="57"/>
    </row>
    <row r="169" spans="1:17">
      <c r="A169" s="46"/>
      <c r="B169" s="48"/>
      <c r="C169" s="38" t="s">
        <v>118</v>
      </c>
      <c r="D169" s="35">
        <v>3</v>
      </c>
      <c r="E169" s="36" t="str">
        <f t="shared" si="44"/>
        <v>13:11</v>
      </c>
      <c r="F169" s="35" t="s">
        <v>42</v>
      </c>
      <c r="G169" s="35" t="s">
        <v>71</v>
      </c>
      <c r="H169" s="21" t="s">
        <v>37</v>
      </c>
      <c r="I169" s="22" t="s">
        <v>36</v>
      </c>
      <c r="J169" s="23" t="s">
        <v>6</v>
      </c>
      <c r="K169" s="24"/>
      <c r="L169" s="51"/>
      <c r="M169" s="51"/>
      <c r="N169" s="51"/>
      <c r="O169" s="45"/>
      <c r="P169" s="45"/>
      <c r="Q169" s="45"/>
    </row>
    <row r="170" spans="1:17">
      <c r="A170" s="46"/>
      <c r="B170" s="48"/>
      <c r="C170" s="38" t="s">
        <v>119</v>
      </c>
      <c r="D170" s="35">
        <v>1</v>
      </c>
      <c r="E170" s="36" t="str">
        <f t="shared" si="44"/>
        <v>10:10</v>
      </c>
      <c r="F170" s="35" t="s">
        <v>7</v>
      </c>
      <c r="G170" s="35" t="s">
        <v>82</v>
      </c>
      <c r="H170" s="21" t="s">
        <v>37</v>
      </c>
      <c r="I170" s="22" t="s">
        <v>36</v>
      </c>
      <c r="J170" s="23" t="s">
        <v>6</v>
      </c>
      <c r="K170" s="24"/>
      <c r="L170" s="51"/>
      <c r="M170" s="51"/>
      <c r="N170" s="51"/>
      <c r="O170" s="45"/>
      <c r="P170" s="45"/>
      <c r="Q170" s="45"/>
    </row>
    <row r="171" spans="1:17">
      <c r="A171" s="46"/>
      <c r="B171" s="48"/>
      <c r="C171" s="38" t="s">
        <v>120</v>
      </c>
      <c r="D171" s="35">
        <v>1</v>
      </c>
      <c r="E171" s="36" t="str">
        <f t="shared" si="44"/>
        <v>9:9</v>
      </c>
      <c r="F171" s="35" t="s">
        <v>7</v>
      </c>
      <c r="G171" s="35" t="s">
        <v>121</v>
      </c>
      <c r="H171" s="21" t="s">
        <v>37</v>
      </c>
      <c r="I171" s="22" t="s">
        <v>36</v>
      </c>
      <c r="J171" s="23" t="s">
        <v>6</v>
      </c>
      <c r="K171" s="24"/>
      <c r="L171" s="51"/>
      <c r="M171" s="51"/>
      <c r="N171" s="51"/>
      <c r="O171" s="45"/>
      <c r="P171" s="45"/>
      <c r="Q171" s="45"/>
    </row>
    <row r="172" spans="1:17">
      <c r="A172" s="46"/>
      <c r="B172" s="48"/>
      <c r="C172" s="38" t="s">
        <v>122</v>
      </c>
      <c r="D172" s="35">
        <v>1</v>
      </c>
      <c r="E172" s="36" t="str">
        <f t="shared" si="44"/>
        <v>8:8</v>
      </c>
      <c r="F172" s="35" t="s">
        <v>7</v>
      </c>
      <c r="G172" s="35" t="s">
        <v>123</v>
      </c>
      <c r="H172" s="21" t="s">
        <v>37</v>
      </c>
      <c r="I172" s="22" t="s">
        <v>36</v>
      </c>
      <c r="J172" s="23" t="s">
        <v>6</v>
      </c>
      <c r="K172" s="24"/>
      <c r="L172" s="51"/>
      <c r="M172" s="51"/>
      <c r="N172" s="51"/>
      <c r="O172" s="45"/>
      <c r="P172" s="45"/>
      <c r="Q172" s="45"/>
    </row>
    <row r="173" spans="1:17">
      <c r="A173" s="46"/>
      <c r="B173" s="48"/>
      <c r="C173" s="38" t="s">
        <v>124</v>
      </c>
      <c r="D173" s="35">
        <v>1</v>
      </c>
      <c r="E173" s="36" t="str">
        <f t="shared" si="44"/>
        <v>7:7</v>
      </c>
      <c r="F173" s="35" t="s">
        <v>7</v>
      </c>
      <c r="G173" s="35" t="s">
        <v>125</v>
      </c>
      <c r="H173" s="21" t="s">
        <v>37</v>
      </c>
      <c r="I173" s="22" t="s">
        <v>36</v>
      </c>
      <c r="J173" s="23" t="s">
        <v>6</v>
      </c>
      <c r="K173" s="24"/>
      <c r="L173" s="51"/>
      <c r="M173" s="51"/>
      <c r="N173" s="51"/>
      <c r="O173" s="45"/>
      <c r="P173" s="45"/>
      <c r="Q173" s="45"/>
    </row>
    <row r="174" spans="1:17">
      <c r="A174" s="46"/>
      <c r="B174" s="48"/>
      <c r="C174" s="38" t="s">
        <v>126</v>
      </c>
      <c r="D174" s="35">
        <v>1</v>
      </c>
      <c r="E174" s="36" t="str">
        <f t="shared" si="44"/>
        <v>6:6</v>
      </c>
      <c r="F174" s="35" t="s">
        <v>7</v>
      </c>
      <c r="G174" s="35" t="s">
        <v>125</v>
      </c>
      <c r="H174" s="21" t="s">
        <v>37</v>
      </c>
      <c r="I174" s="22" t="s">
        <v>36</v>
      </c>
      <c r="J174" s="23" t="s">
        <v>6</v>
      </c>
      <c r="K174" s="24"/>
      <c r="L174" s="51"/>
      <c r="M174" s="51"/>
      <c r="N174" s="51"/>
      <c r="O174" s="45"/>
      <c r="P174" s="45"/>
      <c r="Q174" s="45"/>
    </row>
    <row r="175" spans="1:17">
      <c r="A175" s="46"/>
      <c r="B175" s="48"/>
      <c r="C175" s="38" t="s">
        <v>127</v>
      </c>
      <c r="D175" s="35">
        <v>1</v>
      </c>
      <c r="E175" s="36" t="str">
        <f t="shared" si="44"/>
        <v>5:5</v>
      </c>
      <c r="F175" s="35" t="s">
        <v>7</v>
      </c>
      <c r="G175" s="35" t="s">
        <v>125</v>
      </c>
      <c r="H175" s="21" t="s">
        <v>37</v>
      </c>
      <c r="I175" s="22" t="s">
        <v>36</v>
      </c>
      <c r="J175" s="23" t="s">
        <v>6</v>
      </c>
      <c r="K175" s="24"/>
      <c r="L175" s="51"/>
      <c r="M175" s="51"/>
      <c r="N175" s="51"/>
      <c r="O175" s="45"/>
      <c r="P175" s="45"/>
      <c r="Q175" s="45"/>
    </row>
    <row r="176" spans="1:17" ht="15.75" thickBot="1">
      <c r="A176" s="46"/>
      <c r="B176" s="48"/>
      <c r="C176" s="38" t="s">
        <v>128</v>
      </c>
      <c r="D176" s="35">
        <v>5</v>
      </c>
      <c r="E176" s="36" t="str">
        <f t="shared" si="44"/>
        <v>4:0</v>
      </c>
      <c r="F176" s="35" t="s">
        <v>46</v>
      </c>
      <c r="G176" s="35" t="s">
        <v>45</v>
      </c>
      <c r="H176" s="21" t="s">
        <v>37</v>
      </c>
      <c r="I176" s="22" t="s">
        <v>36</v>
      </c>
      <c r="J176" s="23" t="s">
        <v>6</v>
      </c>
      <c r="K176" s="24"/>
      <c r="L176" s="51"/>
      <c r="M176" s="51"/>
      <c r="N176" s="51"/>
      <c r="O176" s="45"/>
      <c r="P176" s="45"/>
      <c r="Q176" s="45"/>
    </row>
    <row r="177" spans="1:17">
      <c r="A177" s="46" t="s">
        <v>154</v>
      </c>
      <c r="B177" s="47" t="str">
        <f t="shared" ref="B177:B194" si="45">DEC2HEX(O177*4)</f>
        <v>2C</v>
      </c>
      <c r="C177" s="49" t="str">
        <f>bitConcat(F177:F193)</f>
        <v>32'b00000000000000000000000000000000</v>
      </c>
      <c r="D177" s="49"/>
      <c r="E177" s="49"/>
      <c r="F177" s="49"/>
      <c r="G177" s="49"/>
      <c r="H177" s="49"/>
      <c r="I177" s="49"/>
      <c r="J177" s="49"/>
      <c r="K177" s="49"/>
      <c r="L177" s="50" t="str">
        <f t="shared" ref="L177" si="46">DEC2HEX(_xlfn.BITLSHIFT(N177,7)+4*O177)</f>
        <v>22C</v>
      </c>
      <c r="M177" s="51"/>
      <c r="N177" s="51">
        <v>4</v>
      </c>
      <c r="O177" s="45">
        <v>11</v>
      </c>
      <c r="P177" s="44" t="str">
        <f t="shared" ref="P177" si="47">DEC2HEX(_xlfn.BITLSHIFT(N177,5)+O177*4)</f>
        <v>AC</v>
      </c>
      <c r="Q177" s="44" t="str">
        <f t="shared" ref="Q177" si="48">BIN2HEX(LEFT(RIGHT(C177,32),4))&amp;BIN2HEX(LEFT(RIGHT(C177,28),4))&amp;BIN2HEX(LEFT(RIGHT(C177,24),4))&amp;BIN2HEX(LEFT(RIGHT(C177,20),4))&amp;BIN2HEX(LEFT(RIGHT(C177,16),4))&amp;BIN2HEX(LEFT(RIGHT(C177,12),4))&amp;BIN2HEX(LEFT(RIGHT(C177,8),4))&amp;BIN2HEX(LEFT(RIGHT(C177,4),4))</f>
        <v>00000000</v>
      </c>
    </row>
    <row r="178" spans="1:17">
      <c r="A178" s="46"/>
      <c r="B178" s="58"/>
      <c r="C178" s="38" t="s">
        <v>130</v>
      </c>
      <c r="D178" s="35">
        <v>2</v>
      </c>
      <c r="E178" s="36" t="str">
        <f>IF(D178&gt;1,(31)&amp;":"&amp;(31-D178+1),(31-D178+1)&amp;":"&amp;(31-D178+1))</f>
        <v>31:30</v>
      </c>
      <c r="F178" s="35" t="s">
        <v>41</v>
      </c>
      <c r="G178" s="35" t="s">
        <v>67</v>
      </c>
      <c r="H178" s="21" t="s">
        <v>37</v>
      </c>
      <c r="I178" s="22" t="s">
        <v>36</v>
      </c>
      <c r="J178" s="23" t="s">
        <v>6</v>
      </c>
      <c r="K178" s="24"/>
      <c r="L178" s="59"/>
      <c r="M178" s="51"/>
      <c r="N178" s="51"/>
      <c r="O178" s="45"/>
      <c r="P178" s="57"/>
      <c r="Q178" s="57"/>
    </row>
    <row r="179" spans="1:17">
      <c r="A179" s="46"/>
      <c r="B179" s="58"/>
      <c r="C179" s="38" t="s">
        <v>131</v>
      </c>
      <c r="D179" s="35">
        <v>4</v>
      </c>
      <c r="E179" s="36" t="str">
        <f t="shared" ref="E179:E193" si="49">(MID(str_cnvt(E178),SEARCH(":",str_cnvt(E178))+1,2)-1) &amp; ":" &amp; (MID(str_cnvt(E178),SEARCH(":",str_cnvt(E178))+1,2)-D179)</f>
        <v>29:26</v>
      </c>
      <c r="F179" s="35" t="s">
        <v>47</v>
      </c>
      <c r="G179" s="35" t="s">
        <v>69</v>
      </c>
      <c r="H179" s="21" t="s">
        <v>37</v>
      </c>
      <c r="I179" s="22" t="s">
        <v>36</v>
      </c>
      <c r="J179" s="23" t="s">
        <v>6</v>
      </c>
      <c r="K179" s="24"/>
      <c r="L179" s="59"/>
      <c r="M179" s="51"/>
      <c r="N179" s="51"/>
      <c r="O179" s="45"/>
      <c r="P179" s="57"/>
      <c r="Q179" s="57"/>
    </row>
    <row r="180" spans="1:17">
      <c r="A180" s="46"/>
      <c r="B180" s="58"/>
      <c r="C180" s="38" t="s">
        <v>132</v>
      </c>
      <c r="D180" s="35">
        <v>3</v>
      </c>
      <c r="E180" s="36" t="str">
        <f t="shared" si="49"/>
        <v>25:23</v>
      </c>
      <c r="F180" s="35" t="s">
        <v>42</v>
      </c>
      <c r="G180" s="35" t="s">
        <v>71</v>
      </c>
      <c r="H180" s="21" t="s">
        <v>37</v>
      </c>
      <c r="I180" s="22" t="s">
        <v>36</v>
      </c>
      <c r="J180" s="23" t="s">
        <v>6</v>
      </c>
      <c r="K180" s="24"/>
      <c r="L180" s="59"/>
      <c r="M180" s="51"/>
      <c r="N180" s="51"/>
      <c r="O180" s="45"/>
      <c r="P180" s="57"/>
      <c r="Q180" s="57"/>
    </row>
    <row r="181" spans="1:17">
      <c r="A181" s="46"/>
      <c r="B181" s="58"/>
      <c r="C181" s="38" t="s">
        <v>133</v>
      </c>
      <c r="D181" s="35">
        <v>1</v>
      </c>
      <c r="E181" s="36" t="str">
        <f t="shared" si="49"/>
        <v>22:22</v>
      </c>
      <c r="F181" s="35" t="s">
        <v>7</v>
      </c>
      <c r="G181" s="35" t="s">
        <v>73</v>
      </c>
      <c r="H181" s="21" t="s">
        <v>37</v>
      </c>
      <c r="I181" s="22" t="s">
        <v>36</v>
      </c>
      <c r="J181" s="23" t="s">
        <v>6</v>
      </c>
      <c r="K181" s="24"/>
      <c r="L181" s="59"/>
      <c r="M181" s="51"/>
      <c r="N181" s="51"/>
      <c r="O181" s="45"/>
      <c r="P181" s="57"/>
      <c r="Q181" s="57"/>
    </row>
    <row r="182" spans="1:17">
      <c r="A182" s="46"/>
      <c r="B182" s="58"/>
      <c r="C182" s="38" t="s">
        <v>134</v>
      </c>
      <c r="D182" s="35">
        <v>3</v>
      </c>
      <c r="E182" s="36" t="str">
        <f t="shared" si="49"/>
        <v>21:19</v>
      </c>
      <c r="F182" s="35" t="s">
        <v>42</v>
      </c>
      <c r="G182" s="35" t="s">
        <v>71</v>
      </c>
      <c r="H182" s="21" t="s">
        <v>37</v>
      </c>
      <c r="I182" s="22" t="s">
        <v>36</v>
      </c>
      <c r="J182" s="23" t="s">
        <v>6</v>
      </c>
      <c r="K182" s="24"/>
      <c r="L182" s="59"/>
      <c r="M182" s="51"/>
      <c r="N182" s="51"/>
      <c r="O182" s="45"/>
      <c r="P182" s="57"/>
      <c r="Q182" s="57"/>
    </row>
    <row r="183" spans="1:17">
      <c r="A183" s="46"/>
      <c r="B183" s="58"/>
      <c r="C183" s="38" t="s">
        <v>135</v>
      </c>
      <c r="D183" s="35">
        <v>1</v>
      </c>
      <c r="E183" s="36" t="str">
        <f t="shared" si="49"/>
        <v>18:18</v>
      </c>
      <c r="F183" s="35" t="s">
        <v>7</v>
      </c>
      <c r="G183" s="35" t="s">
        <v>76</v>
      </c>
      <c r="H183" s="21" t="s">
        <v>37</v>
      </c>
      <c r="I183" s="22" t="s">
        <v>36</v>
      </c>
      <c r="J183" s="23" t="s">
        <v>6</v>
      </c>
      <c r="K183" s="24"/>
      <c r="L183" s="59"/>
      <c r="M183" s="51"/>
      <c r="N183" s="51"/>
      <c r="O183" s="45"/>
      <c r="P183" s="57"/>
      <c r="Q183" s="57"/>
    </row>
    <row r="184" spans="1:17">
      <c r="A184" s="46"/>
      <c r="B184" s="58"/>
      <c r="C184" s="38" t="s">
        <v>136</v>
      </c>
      <c r="D184" s="35">
        <v>3</v>
      </c>
      <c r="E184" s="36" t="str">
        <f t="shared" si="49"/>
        <v>17:15</v>
      </c>
      <c r="F184" s="35" t="s">
        <v>42</v>
      </c>
      <c r="G184" s="35" t="s">
        <v>71</v>
      </c>
      <c r="H184" s="21" t="s">
        <v>37</v>
      </c>
      <c r="I184" s="22" t="s">
        <v>36</v>
      </c>
      <c r="J184" s="23" t="s">
        <v>6</v>
      </c>
      <c r="K184" s="24"/>
      <c r="L184" s="59"/>
      <c r="M184" s="51"/>
      <c r="N184" s="51"/>
      <c r="O184" s="45"/>
      <c r="P184" s="57"/>
      <c r="Q184" s="57"/>
    </row>
    <row r="185" spans="1:17">
      <c r="A185" s="46"/>
      <c r="B185" s="58"/>
      <c r="C185" s="38" t="s">
        <v>137</v>
      </c>
      <c r="D185" s="35">
        <v>1</v>
      </c>
      <c r="E185" s="36" t="str">
        <f t="shared" si="49"/>
        <v>14:14</v>
      </c>
      <c r="F185" s="35" t="s">
        <v>7</v>
      </c>
      <c r="G185" s="35" t="s">
        <v>79</v>
      </c>
      <c r="H185" s="21" t="s">
        <v>37</v>
      </c>
      <c r="I185" s="22" t="s">
        <v>36</v>
      </c>
      <c r="J185" s="23" t="s">
        <v>6</v>
      </c>
      <c r="K185" s="24"/>
      <c r="L185" s="59"/>
      <c r="M185" s="51"/>
      <c r="N185" s="51"/>
      <c r="O185" s="45"/>
      <c r="P185" s="57"/>
      <c r="Q185" s="57"/>
    </row>
    <row r="186" spans="1:17">
      <c r="A186" s="46"/>
      <c r="B186" s="58"/>
      <c r="C186" s="38" t="s">
        <v>138</v>
      </c>
      <c r="D186" s="35">
        <v>3</v>
      </c>
      <c r="E186" s="36" t="str">
        <f t="shared" si="49"/>
        <v>13:11</v>
      </c>
      <c r="F186" s="35" t="s">
        <v>42</v>
      </c>
      <c r="G186" s="35" t="s">
        <v>71</v>
      </c>
      <c r="H186" s="21" t="s">
        <v>37</v>
      </c>
      <c r="I186" s="22" t="s">
        <v>36</v>
      </c>
      <c r="J186" s="23" t="s">
        <v>6</v>
      </c>
      <c r="K186" s="24"/>
      <c r="L186" s="59"/>
      <c r="M186" s="51"/>
      <c r="N186" s="51"/>
      <c r="O186" s="45"/>
      <c r="P186" s="57"/>
      <c r="Q186" s="57"/>
    </row>
    <row r="187" spans="1:17">
      <c r="A187" s="46"/>
      <c r="B187" s="48"/>
      <c r="C187" s="38" t="s">
        <v>139</v>
      </c>
      <c r="D187" s="35">
        <v>1</v>
      </c>
      <c r="E187" s="36" t="str">
        <f t="shared" si="49"/>
        <v>10:10</v>
      </c>
      <c r="F187" s="35" t="s">
        <v>7</v>
      </c>
      <c r="G187" s="35" t="s">
        <v>82</v>
      </c>
      <c r="H187" s="21" t="s">
        <v>37</v>
      </c>
      <c r="I187" s="22" t="s">
        <v>36</v>
      </c>
      <c r="J187" s="23" t="s">
        <v>6</v>
      </c>
      <c r="K187" s="24"/>
      <c r="L187" s="51"/>
      <c r="M187" s="51"/>
      <c r="N187" s="51"/>
      <c r="O187" s="45"/>
      <c r="P187" s="45"/>
      <c r="Q187" s="45"/>
    </row>
    <row r="188" spans="1:17">
      <c r="A188" s="46"/>
      <c r="B188" s="48"/>
      <c r="C188" s="38" t="s">
        <v>140</v>
      </c>
      <c r="D188" s="35">
        <v>1</v>
      </c>
      <c r="E188" s="36" t="str">
        <f t="shared" si="49"/>
        <v>9:9</v>
      </c>
      <c r="F188" s="35" t="s">
        <v>7</v>
      </c>
      <c r="G188" s="35" t="s">
        <v>141</v>
      </c>
      <c r="H188" s="21" t="s">
        <v>37</v>
      </c>
      <c r="I188" s="22" t="s">
        <v>36</v>
      </c>
      <c r="J188" s="23" t="s">
        <v>6</v>
      </c>
      <c r="K188" s="24"/>
      <c r="L188" s="51"/>
      <c r="M188" s="51"/>
      <c r="N188" s="51"/>
      <c r="O188" s="45"/>
      <c r="P188" s="45"/>
      <c r="Q188" s="45"/>
    </row>
    <row r="189" spans="1:17">
      <c r="A189" s="46"/>
      <c r="B189" s="48"/>
      <c r="C189" s="38" t="s">
        <v>142</v>
      </c>
      <c r="D189" s="35">
        <v>1</v>
      </c>
      <c r="E189" s="36" t="str">
        <f t="shared" si="49"/>
        <v>8:8</v>
      </c>
      <c r="F189" s="35" t="s">
        <v>7</v>
      </c>
      <c r="G189" s="35" t="s">
        <v>123</v>
      </c>
      <c r="H189" s="21" t="s">
        <v>37</v>
      </c>
      <c r="I189" s="22" t="s">
        <v>36</v>
      </c>
      <c r="J189" s="23" t="s">
        <v>6</v>
      </c>
      <c r="K189" s="28"/>
      <c r="L189" s="51"/>
      <c r="M189" s="51"/>
      <c r="N189" s="51"/>
      <c r="O189" s="45"/>
      <c r="P189" s="45"/>
      <c r="Q189" s="45"/>
    </row>
    <row r="190" spans="1:17">
      <c r="A190" s="46"/>
      <c r="B190" s="48"/>
      <c r="C190" s="38" t="s">
        <v>143</v>
      </c>
      <c r="D190" s="35">
        <v>1</v>
      </c>
      <c r="E190" s="36" t="str">
        <f t="shared" si="49"/>
        <v>7:7</v>
      </c>
      <c r="F190" s="35" t="s">
        <v>7</v>
      </c>
      <c r="G190" s="35" t="s">
        <v>125</v>
      </c>
      <c r="H190" s="21" t="s">
        <v>37</v>
      </c>
      <c r="I190" s="22" t="s">
        <v>36</v>
      </c>
      <c r="J190" s="23" t="s">
        <v>6</v>
      </c>
      <c r="K190" s="28"/>
      <c r="L190" s="51"/>
      <c r="M190" s="51"/>
      <c r="N190" s="51"/>
      <c r="O190" s="45"/>
      <c r="P190" s="45"/>
      <c r="Q190" s="45"/>
    </row>
    <row r="191" spans="1:17">
      <c r="A191" s="46"/>
      <c r="B191" s="48"/>
      <c r="C191" s="38" t="s">
        <v>144</v>
      </c>
      <c r="D191" s="35">
        <v>1</v>
      </c>
      <c r="E191" s="36" t="str">
        <f t="shared" si="49"/>
        <v>6:6</v>
      </c>
      <c r="F191" s="35" t="s">
        <v>7</v>
      </c>
      <c r="G191" s="35" t="s">
        <v>125</v>
      </c>
      <c r="H191" s="21" t="s">
        <v>37</v>
      </c>
      <c r="I191" s="22" t="s">
        <v>36</v>
      </c>
      <c r="J191" s="23" t="s">
        <v>6</v>
      </c>
      <c r="K191" s="28"/>
      <c r="L191" s="51"/>
      <c r="M191" s="51"/>
      <c r="N191" s="51"/>
      <c r="O191" s="45"/>
      <c r="P191" s="45"/>
      <c r="Q191" s="45"/>
    </row>
    <row r="192" spans="1:17">
      <c r="A192" s="46"/>
      <c r="B192" s="48"/>
      <c r="C192" s="38" t="s">
        <v>145</v>
      </c>
      <c r="D192" s="35">
        <v>1</v>
      </c>
      <c r="E192" s="36" t="str">
        <f t="shared" si="49"/>
        <v>5:5</v>
      </c>
      <c r="F192" s="35" t="s">
        <v>7</v>
      </c>
      <c r="G192" s="35" t="s">
        <v>125</v>
      </c>
      <c r="H192" s="21" t="s">
        <v>37</v>
      </c>
      <c r="I192" s="22" t="s">
        <v>36</v>
      </c>
      <c r="J192" s="23" t="s">
        <v>6</v>
      </c>
      <c r="K192" s="28"/>
      <c r="L192" s="51"/>
      <c r="M192" s="51"/>
      <c r="N192" s="51"/>
      <c r="O192" s="45"/>
      <c r="P192" s="45"/>
      <c r="Q192" s="45"/>
    </row>
    <row r="193" spans="1:17" ht="15.75" thickBot="1">
      <c r="A193" s="46"/>
      <c r="B193" s="48"/>
      <c r="C193" s="38" t="s">
        <v>146</v>
      </c>
      <c r="D193" s="35">
        <v>5</v>
      </c>
      <c r="E193" s="36" t="str">
        <f t="shared" si="49"/>
        <v>4:0</v>
      </c>
      <c r="F193" s="35" t="s">
        <v>46</v>
      </c>
      <c r="G193" s="35" t="s">
        <v>45</v>
      </c>
      <c r="H193" s="25" t="s">
        <v>37</v>
      </c>
      <c r="I193" s="26" t="s">
        <v>36</v>
      </c>
      <c r="J193" s="27" t="s">
        <v>6</v>
      </c>
      <c r="K193" s="28"/>
      <c r="L193" s="51"/>
      <c r="M193" s="51"/>
      <c r="N193" s="51"/>
      <c r="O193" s="45"/>
      <c r="P193" s="45"/>
      <c r="Q193" s="45"/>
    </row>
    <row r="194" spans="1:17">
      <c r="A194" s="52" t="s">
        <v>155</v>
      </c>
      <c r="B194" s="47" t="str">
        <f t="shared" si="45"/>
        <v>30</v>
      </c>
      <c r="C194" s="53" t="str">
        <f>bitConcat(F194:F206)</f>
        <v>32'b11000000000000000000000000000000</v>
      </c>
      <c r="D194" s="53"/>
      <c r="E194" s="53"/>
      <c r="F194" s="53"/>
      <c r="G194" s="53"/>
      <c r="H194" s="53"/>
      <c r="I194" s="53"/>
      <c r="J194" s="53"/>
      <c r="K194" s="53"/>
      <c r="L194" s="50" t="str">
        <f t="shared" ref="L194" si="50">DEC2HEX(_xlfn.BITLSHIFT(N194,7)+4*O194)</f>
        <v>230</v>
      </c>
      <c r="M194" s="50"/>
      <c r="N194" s="50">
        <v>4</v>
      </c>
      <c r="O194" s="44">
        <v>12</v>
      </c>
      <c r="P194" s="44" t="str">
        <f t="shared" ref="P194" si="51">DEC2HEX(_xlfn.BITLSHIFT(N194,5)+O194*4)</f>
        <v>B0</v>
      </c>
      <c r="Q194" s="44" t="str">
        <f t="shared" ref="Q194" si="52">BIN2HEX(LEFT(RIGHT(C194,32),4))&amp;BIN2HEX(LEFT(RIGHT(C194,28),4))&amp;BIN2HEX(LEFT(RIGHT(C194,24),4))&amp;BIN2HEX(LEFT(RIGHT(C194,20),4))&amp;BIN2HEX(LEFT(RIGHT(C194,16),4))&amp;BIN2HEX(LEFT(RIGHT(C194,12),4))&amp;BIN2HEX(LEFT(RIGHT(C194,8),4))&amp;BIN2HEX(LEFT(RIGHT(C194,4),4))</f>
        <v>C0000000</v>
      </c>
    </row>
    <row r="195" spans="1:17">
      <c r="A195" s="60"/>
      <c r="B195" s="58"/>
      <c r="C195" s="38" t="s">
        <v>66</v>
      </c>
      <c r="D195" s="35">
        <v>2</v>
      </c>
      <c r="E195" s="36" t="str">
        <f>IF(D195&gt;1,(31)&amp;":"&amp;(31-D195+1),(31-D195+1)&amp;":"&amp;(31-D195+1))</f>
        <v>31:30</v>
      </c>
      <c r="F195" s="35" t="s">
        <v>64</v>
      </c>
      <c r="G195" s="35" t="s">
        <v>67</v>
      </c>
      <c r="H195" s="21" t="s">
        <v>37</v>
      </c>
      <c r="I195" s="22" t="s">
        <v>36</v>
      </c>
      <c r="J195" s="23" t="s">
        <v>6</v>
      </c>
      <c r="K195" s="24"/>
      <c r="L195" s="59"/>
      <c r="M195" s="59"/>
      <c r="N195" s="59"/>
      <c r="O195" s="57"/>
      <c r="P195" s="57"/>
      <c r="Q195" s="57"/>
    </row>
    <row r="196" spans="1:17">
      <c r="A196" s="60"/>
      <c r="B196" s="58"/>
      <c r="C196" s="38" t="s">
        <v>68</v>
      </c>
      <c r="D196" s="35">
        <v>4</v>
      </c>
      <c r="E196" s="36" t="str">
        <f t="shared" ref="E196:E206" si="53">(MID(str_cnvt(E195),SEARCH(":",str_cnvt(E195))+1,2)-1) &amp; ":" &amp; (MID(str_cnvt(E195),SEARCH(":",str_cnvt(E195))+1,2)-D196)</f>
        <v>29:26</v>
      </c>
      <c r="F196" s="35" t="s">
        <v>47</v>
      </c>
      <c r="G196" s="35" t="s">
        <v>69</v>
      </c>
      <c r="H196" s="21" t="s">
        <v>37</v>
      </c>
      <c r="I196" s="22" t="s">
        <v>36</v>
      </c>
      <c r="J196" s="23" t="s">
        <v>6</v>
      </c>
      <c r="K196" s="28"/>
      <c r="L196" s="59"/>
      <c r="M196" s="59"/>
      <c r="N196" s="59"/>
      <c r="O196" s="57"/>
      <c r="P196" s="57"/>
      <c r="Q196" s="57"/>
    </row>
    <row r="197" spans="1:17">
      <c r="A197" s="60"/>
      <c r="B197" s="58"/>
      <c r="C197" s="38" t="s">
        <v>70</v>
      </c>
      <c r="D197" s="35">
        <v>3</v>
      </c>
      <c r="E197" s="36" t="str">
        <f t="shared" si="53"/>
        <v>25:23</v>
      </c>
      <c r="F197" s="35" t="s">
        <v>42</v>
      </c>
      <c r="G197" s="35" t="s">
        <v>71</v>
      </c>
      <c r="H197" s="21" t="s">
        <v>37</v>
      </c>
      <c r="I197" s="22" t="s">
        <v>36</v>
      </c>
      <c r="J197" s="23" t="s">
        <v>6</v>
      </c>
      <c r="K197" s="28"/>
      <c r="L197" s="59"/>
      <c r="M197" s="59"/>
      <c r="N197" s="59"/>
      <c r="O197" s="57"/>
      <c r="P197" s="57"/>
      <c r="Q197" s="57"/>
    </row>
    <row r="198" spans="1:17">
      <c r="A198" s="60"/>
      <c r="B198" s="58"/>
      <c r="C198" s="38" t="s">
        <v>72</v>
      </c>
      <c r="D198" s="35">
        <v>1</v>
      </c>
      <c r="E198" s="36" t="str">
        <f t="shared" si="53"/>
        <v>22:22</v>
      </c>
      <c r="F198" s="35" t="s">
        <v>7</v>
      </c>
      <c r="G198" s="35" t="s">
        <v>73</v>
      </c>
      <c r="H198" s="21" t="s">
        <v>37</v>
      </c>
      <c r="I198" s="22" t="s">
        <v>36</v>
      </c>
      <c r="J198" s="23" t="s">
        <v>6</v>
      </c>
      <c r="K198" s="28"/>
      <c r="L198" s="59"/>
      <c r="M198" s="59"/>
      <c r="N198" s="59"/>
      <c r="O198" s="57"/>
      <c r="P198" s="57"/>
      <c r="Q198" s="57"/>
    </row>
    <row r="199" spans="1:17">
      <c r="A199" s="60"/>
      <c r="B199" s="58"/>
      <c r="C199" s="38" t="s">
        <v>74</v>
      </c>
      <c r="D199" s="35">
        <v>3</v>
      </c>
      <c r="E199" s="36" t="str">
        <f t="shared" si="53"/>
        <v>21:19</v>
      </c>
      <c r="F199" s="35" t="s">
        <v>42</v>
      </c>
      <c r="G199" s="35" t="s">
        <v>71</v>
      </c>
      <c r="H199" s="21" t="s">
        <v>37</v>
      </c>
      <c r="I199" s="22" t="s">
        <v>36</v>
      </c>
      <c r="J199" s="23" t="s">
        <v>6</v>
      </c>
      <c r="K199" s="24"/>
      <c r="L199" s="59"/>
      <c r="M199" s="59"/>
      <c r="N199" s="59"/>
      <c r="O199" s="57"/>
      <c r="P199" s="57"/>
      <c r="Q199" s="57"/>
    </row>
    <row r="200" spans="1:17">
      <c r="A200" s="60"/>
      <c r="B200" s="58"/>
      <c r="C200" s="38" t="s">
        <v>75</v>
      </c>
      <c r="D200" s="35">
        <v>1</v>
      </c>
      <c r="E200" s="36" t="str">
        <f t="shared" si="53"/>
        <v>18:18</v>
      </c>
      <c r="F200" s="35" t="s">
        <v>7</v>
      </c>
      <c r="G200" s="35" t="s">
        <v>76</v>
      </c>
      <c r="H200" s="21" t="s">
        <v>37</v>
      </c>
      <c r="I200" s="22" t="s">
        <v>36</v>
      </c>
      <c r="J200" s="23" t="s">
        <v>6</v>
      </c>
      <c r="K200" s="28"/>
      <c r="L200" s="59"/>
      <c r="M200" s="59"/>
      <c r="N200" s="59"/>
      <c r="O200" s="57"/>
      <c r="P200" s="57"/>
      <c r="Q200" s="57"/>
    </row>
    <row r="201" spans="1:17">
      <c r="A201" s="60"/>
      <c r="B201" s="58"/>
      <c r="C201" s="38" t="s">
        <v>77</v>
      </c>
      <c r="D201" s="35">
        <v>3</v>
      </c>
      <c r="E201" s="36" t="str">
        <f t="shared" si="53"/>
        <v>17:15</v>
      </c>
      <c r="F201" s="35" t="s">
        <v>42</v>
      </c>
      <c r="G201" s="35" t="s">
        <v>71</v>
      </c>
      <c r="H201" s="21" t="s">
        <v>37</v>
      </c>
      <c r="I201" s="22" t="s">
        <v>36</v>
      </c>
      <c r="J201" s="23" t="s">
        <v>6</v>
      </c>
      <c r="K201" s="28"/>
      <c r="L201" s="59"/>
      <c r="M201" s="59"/>
      <c r="N201" s="59"/>
      <c r="O201" s="57"/>
      <c r="P201" s="57"/>
      <c r="Q201" s="57"/>
    </row>
    <row r="202" spans="1:17">
      <c r="A202" s="60"/>
      <c r="B202" s="58"/>
      <c r="C202" s="38" t="s">
        <v>78</v>
      </c>
      <c r="D202" s="35">
        <v>1</v>
      </c>
      <c r="E202" s="36" t="str">
        <f t="shared" si="53"/>
        <v>14:14</v>
      </c>
      <c r="F202" s="35" t="s">
        <v>7</v>
      </c>
      <c r="G202" s="35" t="s">
        <v>79</v>
      </c>
      <c r="H202" s="21" t="s">
        <v>37</v>
      </c>
      <c r="I202" s="22" t="s">
        <v>36</v>
      </c>
      <c r="J202" s="23" t="s">
        <v>6</v>
      </c>
      <c r="K202" s="28"/>
      <c r="L202" s="59"/>
      <c r="M202" s="59"/>
      <c r="N202" s="59"/>
      <c r="O202" s="57"/>
      <c r="P202" s="57"/>
      <c r="Q202" s="57"/>
    </row>
    <row r="203" spans="1:17">
      <c r="A203" s="60"/>
      <c r="B203" s="58"/>
      <c r="C203" s="38" t="s">
        <v>80</v>
      </c>
      <c r="D203" s="35">
        <v>3</v>
      </c>
      <c r="E203" s="36" t="str">
        <f t="shared" si="53"/>
        <v>13:11</v>
      </c>
      <c r="F203" s="35" t="s">
        <v>42</v>
      </c>
      <c r="G203" s="35" t="s">
        <v>71</v>
      </c>
      <c r="H203" s="21" t="s">
        <v>37</v>
      </c>
      <c r="I203" s="22" t="s">
        <v>36</v>
      </c>
      <c r="J203" s="23" t="s">
        <v>6</v>
      </c>
      <c r="K203" s="24"/>
      <c r="L203" s="59"/>
      <c r="M203" s="59"/>
      <c r="N203" s="59"/>
      <c r="O203" s="57"/>
      <c r="P203" s="57"/>
      <c r="Q203" s="57"/>
    </row>
    <row r="204" spans="1:17">
      <c r="A204" s="60"/>
      <c r="B204" s="58"/>
      <c r="C204" s="38" t="s">
        <v>81</v>
      </c>
      <c r="D204" s="35">
        <v>1</v>
      </c>
      <c r="E204" s="36" t="str">
        <f t="shared" si="53"/>
        <v>10:10</v>
      </c>
      <c r="F204" s="35" t="s">
        <v>7</v>
      </c>
      <c r="G204" s="35" t="s">
        <v>82</v>
      </c>
      <c r="H204" s="21" t="s">
        <v>37</v>
      </c>
      <c r="I204" s="22" t="s">
        <v>36</v>
      </c>
      <c r="J204" s="23" t="s">
        <v>6</v>
      </c>
      <c r="K204" s="24"/>
      <c r="L204" s="59"/>
      <c r="M204" s="59"/>
      <c r="N204" s="59"/>
      <c r="O204" s="57"/>
      <c r="P204" s="57"/>
      <c r="Q204" s="57"/>
    </row>
    <row r="205" spans="1:17">
      <c r="A205" s="46"/>
      <c r="B205" s="48"/>
      <c r="C205" s="38" t="s">
        <v>83</v>
      </c>
      <c r="D205" s="35">
        <v>1</v>
      </c>
      <c r="E205" s="36" t="str">
        <f t="shared" si="53"/>
        <v>9:9</v>
      </c>
      <c r="F205" s="35" t="s">
        <v>7</v>
      </c>
      <c r="G205" s="35" t="s">
        <v>84</v>
      </c>
      <c r="H205" s="21" t="s">
        <v>37</v>
      </c>
      <c r="I205" s="22" t="s">
        <v>36</v>
      </c>
      <c r="J205" s="23" t="s">
        <v>6</v>
      </c>
      <c r="K205" s="24"/>
      <c r="L205" s="51"/>
      <c r="M205" s="51"/>
      <c r="N205" s="51"/>
      <c r="O205" s="45"/>
      <c r="P205" s="45"/>
      <c r="Q205" s="45"/>
    </row>
    <row r="206" spans="1:17" ht="15.75" thickBot="1">
      <c r="A206" s="46"/>
      <c r="B206" s="48"/>
      <c r="C206" s="38" t="s">
        <v>85</v>
      </c>
      <c r="D206" s="35">
        <v>9</v>
      </c>
      <c r="E206" s="36" t="str">
        <f t="shared" si="53"/>
        <v>8:0</v>
      </c>
      <c r="F206" s="35" t="s">
        <v>50</v>
      </c>
      <c r="G206" s="35" t="s">
        <v>45</v>
      </c>
      <c r="H206" s="21" t="s">
        <v>37</v>
      </c>
      <c r="I206" s="22" t="s">
        <v>36</v>
      </c>
      <c r="J206" s="23" t="s">
        <v>6</v>
      </c>
      <c r="K206" s="24"/>
      <c r="L206" s="51"/>
      <c r="M206" s="51"/>
      <c r="N206" s="51"/>
      <c r="O206" s="45"/>
      <c r="P206" s="45"/>
      <c r="Q206" s="45"/>
    </row>
    <row r="207" spans="1:17">
      <c r="A207" s="46" t="s">
        <v>156</v>
      </c>
      <c r="B207" s="47" t="str">
        <f t="shared" ref="B207:B241" si="54">DEC2HEX(O207*4)</f>
        <v>34</v>
      </c>
      <c r="C207" s="49" t="str">
        <f>bitConcat(F207:F223)</f>
        <v>32'b10000000000000000000000000000000</v>
      </c>
      <c r="D207" s="49"/>
      <c r="E207" s="49"/>
      <c r="F207" s="49"/>
      <c r="G207" s="49"/>
      <c r="H207" s="49"/>
      <c r="I207" s="49"/>
      <c r="J207" s="49"/>
      <c r="K207" s="49"/>
      <c r="L207" s="50" t="str">
        <f t="shared" ref="L207" si="55">DEC2HEX(_xlfn.BITLSHIFT(N207,7)+4*O207)</f>
        <v>234</v>
      </c>
      <c r="M207" s="51"/>
      <c r="N207" s="51">
        <v>4</v>
      </c>
      <c r="O207" s="45">
        <v>13</v>
      </c>
      <c r="P207" s="44" t="str">
        <f t="shared" ref="P207" si="56">DEC2HEX(_xlfn.BITLSHIFT(N207,5)+O207*4)</f>
        <v>B4</v>
      </c>
      <c r="Q207" s="44" t="str">
        <f t="shared" ref="Q207" si="57">BIN2HEX(LEFT(RIGHT(C207,32),4))&amp;BIN2HEX(LEFT(RIGHT(C207,28),4))&amp;BIN2HEX(LEFT(RIGHT(C207,24),4))&amp;BIN2HEX(LEFT(RIGHT(C207,20),4))&amp;BIN2HEX(LEFT(RIGHT(C207,16),4))&amp;BIN2HEX(LEFT(RIGHT(C207,12),4))&amp;BIN2HEX(LEFT(RIGHT(C207,8),4))&amp;BIN2HEX(LEFT(RIGHT(C207,4),4))</f>
        <v>80000000</v>
      </c>
    </row>
    <row r="208" spans="1:17">
      <c r="A208" s="46"/>
      <c r="B208" s="58"/>
      <c r="C208" s="38" t="s">
        <v>87</v>
      </c>
      <c r="D208" s="35">
        <v>2</v>
      </c>
      <c r="E208" s="36" t="str">
        <f>IF(D208&gt;1,(31)&amp;":"&amp;(31-D208+1),(31-D208+1)&amp;":"&amp;(31-D208+1))</f>
        <v>31:30</v>
      </c>
      <c r="F208" s="35" t="s">
        <v>88</v>
      </c>
      <c r="G208" s="35" t="s">
        <v>67</v>
      </c>
      <c r="H208" s="21" t="s">
        <v>37</v>
      </c>
      <c r="I208" s="22" t="s">
        <v>36</v>
      </c>
      <c r="J208" s="23" t="s">
        <v>6</v>
      </c>
      <c r="K208" s="24"/>
      <c r="L208" s="59"/>
      <c r="M208" s="51"/>
      <c r="N208" s="51"/>
      <c r="O208" s="45"/>
      <c r="P208" s="57"/>
      <c r="Q208" s="57"/>
    </row>
    <row r="209" spans="1:17">
      <c r="A209" s="46"/>
      <c r="B209" s="58"/>
      <c r="C209" s="38" t="s">
        <v>89</v>
      </c>
      <c r="D209" s="35">
        <v>4</v>
      </c>
      <c r="E209" s="36" t="str">
        <f t="shared" ref="E209:E223" si="58">(MID(str_cnvt(E208),SEARCH(":",str_cnvt(E208))+1,2)-1) &amp; ":" &amp; (MID(str_cnvt(E208),SEARCH(":",str_cnvt(E208))+1,2)-D209)</f>
        <v>29:26</v>
      </c>
      <c r="F209" s="35" t="s">
        <v>47</v>
      </c>
      <c r="G209" s="35" t="s">
        <v>69</v>
      </c>
      <c r="H209" s="21" t="s">
        <v>37</v>
      </c>
      <c r="I209" s="22" t="s">
        <v>36</v>
      </c>
      <c r="J209" s="23" t="s">
        <v>6</v>
      </c>
      <c r="K209" s="24"/>
      <c r="L209" s="59"/>
      <c r="M209" s="51"/>
      <c r="N209" s="51"/>
      <c r="O209" s="45"/>
      <c r="P209" s="57"/>
      <c r="Q209" s="57"/>
    </row>
    <row r="210" spans="1:17">
      <c r="A210" s="46"/>
      <c r="B210" s="58"/>
      <c r="C210" s="38" t="s">
        <v>90</v>
      </c>
      <c r="D210" s="35">
        <v>3</v>
      </c>
      <c r="E210" s="36" t="str">
        <f t="shared" si="58"/>
        <v>25:23</v>
      </c>
      <c r="F210" s="35" t="s">
        <v>42</v>
      </c>
      <c r="G210" s="35" t="s">
        <v>71</v>
      </c>
      <c r="H210" s="21" t="s">
        <v>37</v>
      </c>
      <c r="I210" s="22" t="s">
        <v>36</v>
      </c>
      <c r="J210" s="23" t="s">
        <v>6</v>
      </c>
      <c r="K210" s="24"/>
      <c r="L210" s="59"/>
      <c r="M210" s="51"/>
      <c r="N210" s="51"/>
      <c r="O210" s="45"/>
      <c r="P210" s="57"/>
      <c r="Q210" s="57"/>
    </row>
    <row r="211" spans="1:17">
      <c r="A211" s="46"/>
      <c r="B211" s="58"/>
      <c r="C211" s="38" t="s">
        <v>91</v>
      </c>
      <c r="D211" s="35">
        <v>1</v>
      </c>
      <c r="E211" s="36" t="str">
        <f t="shared" si="58"/>
        <v>22:22</v>
      </c>
      <c r="F211" s="35" t="s">
        <v>7</v>
      </c>
      <c r="G211" s="35" t="s">
        <v>73</v>
      </c>
      <c r="H211" s="21" t="s">
        <v>37</v>
      </c>
      <c r="I211" s="22" t="s">
        <v>36</v>
      </c>
      <c r="J211" s="23" t="s">
        <v>6</v>
      </c>
      <c r="K211" s="24"/>
      <c r="L211" s="59"/>
      <c r="M211" s="51"/>
      <c r="N211" s="51"/>
      <c r="O211" s="45"/>
      <c r="P211" s="57"/>
      <c r="Q211" s="57"/>
    </row>
    <row r="212" spans="1:17">
      <c r="A212" s="46"/>
      <c r="B212" s="58"/>
      <c r="C212" s="38" t="s">
        <v>92</v>
      </c>
      <c r="D212" s="35">
        <v>3</v>
      </c>
      <c r="E212" s="36" t="str">
        <f t="shared" si="58"/>
        <v>21:19</v>
      </c>
      <c r="F212" s="35" t="s">
        <v>42</v>
      </c>
      <c r="G212" s="35" t="s">
        <v>71</v>
      </c>
      <c r="H212" s="21" t="s">
        <v>37</v>
      </c>
      <c r="I212" s="22" t="s">
        <v>36</v>
      </c>
      <c r="J212" s="23" t="s">
        <v>6</v>
      </c>
      <c r="K212" s="24"/>
      <c r="L212" s="59"/>
      <c r="M212" s="51"/>
      <c r="N212" s="51"/>
      <c r="O212" s="45"/>
      <c r="P212" s="57"/>
      <c r="Q212" s="57"/>
    </row>
    <row r="213" spans="1:17">
      <c r="A213" s="46"/>
      <c r="B213" s="58"/>
      <c r="C213" s="38" t="s">
        <v>93</v>
      </c>
      <c r="D213" s="35">
        <v>1</v>
      </c>
      <c r="E213" s="36" t="str">
        <f t="shared" si="58"/>
        <v>18:18</v>
      </c>
      <c r="F213" s="35" t="s">
        <v>7</v>
      </c>
      <c r="G213" s="35" t="s">
        <v>76</v>
      </c>
      <c r="H213" s="21" t="s">
        <v>37</v>
      </c>
      <c r="I213" s="22" t="s">
        <v>36</v>
      </c>
      <c r="J213" s="23" t="s">
        <v>6</v>
      </c>
      <c r="K213" s="24"/>
      <c r="L213" s="59"/>
      <c r="M213" s="51"/>
      <c r="N213" s="51"/>
      <c r="O213" s="45"/>
      <c r="P213" s="57"/>
      <c r="Q213" s="57"/>
    </row>
    <row r="214" spans="1:17">
      <c r="A214" s="46"/>
      <c r="B214" s="58"/>
      <c r="C214" s="38" t="s">
        <v>94</v>
      </c>
      <c r="D214" s="35">
        <v>3</v>
      </c>
      <c r="E214" s="36" t="str">
        <f t="shared" si="58"/>
        <v>17:15</v>
      </c>
      <c r="F214" s="35" t="s">
        <v>42</v>
      </c>
      <c r="G214" s="35" t="s">
        <v>71</v>
      </c>
      <c r="H214" s="21" t="s">
        <v>37</v>
      </c>
      <c r="I214" s="22" t="s">
        <v>36</v>
      </c>
      <c r="J214" s="23" t="s">
        <v>6</v>
      </c>
      <c r="K214" s="24"/>
      <c r="L214" s="59"/>
      <c r="M214" s="51"/>
      <c r="N214" s="51"/>
      <c r="O214" s="45"/>
      <c r="P214" s="57"/>
      <c r="Q214" s="57"/>
    </row>
    <row r="215" spans="1:17">
      <c r="A215" s="46"/>
      <c r="B215" s="58"/>
      <c r="C215" s="38" t="s">
        <v>95</v>
      </c>
      <c r="D215" s="35">
        <v>1</v>
      </c>
      <c r="E215" s="36" t="str">
        <f t="shared" si="58"/>
        <v>14:14</v>
      </c>
      <c r="F215" s="35" t="s">
        <v>7</v>
      </c>
      <c r="G215" s="35" t="s">
        <v>79</v>
      </c>
      <c r="H215" s="21" t="s">
        <v>37</v>
      </c>
      <c r="I215" s="22" t="s">
        <v>36</v>
      </c>
      <c r="J215" s="23" t="s">
        <v>6</v>
      </c>
      <c r="K215" s="24"/>
      <c r="L215" s="59"/>
      <c r="M215" s="51"/>
      <c r="N215" s="51"/>
      <c r="O215" s="45"/>
      <c r="P215" s="57"/>
      <c r="Q215" s="57"/>
    </row>
    <row r="216" spans="1:17">
      <c r="A216" s="46"/>
      <c r="B216" s="58"/>
      <c r="C216" s="38" t="s">
        <v>96</v>
      </c>
      <c r="D216" s="35">
        <v>3</v>
      </c>
      <c r="E216" s="36" t="str">
        <f t="shared" si="58"/>
        <v>13:11</v>
      </c>
      <c r="F216" s="35" t="s">
        <v>42</v>
      </c>
      <c r="G216" s="35" t="s">
        <v>71</v>
      </c>
      <c r="H216" s="21" t="s">
        <v>37</v>
      </c>
      <c r="I216" s="22" t="s">
        <v>36</v>
      </c>
      <c r="J216" s="23" t="s">
        <v>6</v>
      </c>
      <c r="K216" s="24"/>
      <c r="L216" s="59"/>
      <c r="M216" s="51"/>
      <c r="N216" s="51"/>
      <c r="O216" s="45"/>
      <c r="P216" s="57"/>
      <c r="Q216" s="57"/>
    </row>
    <row r="217" spans="1:17">
      <c r="A217" s="46"/>
      <c r="B217" s="58"/>
      <c r="C217" s="38" t="s">
        <v>97</v>
      </c>
      <c r="D217" s="35">
        <v>1</v>
      </c>
      <c r="E217" s="36" t="str">
        <f t="shared" si="58"/>
        <v>10:10</v>
      </c>
      <c r="F217" s="35" t="s">
        <v>7</v>
      </c>
      <c r="G217" s="35" t="s">
        <v>82</v>
      </c>
      <c r="H217" s="21" t="s">
        <v>37</v>
      </c>
      <c r="I217" s="22" t="s">
        <v>36</v>
      </c>
      <c r="J217" s="23" t="s">
        <v>6</v>
      </c>
      <c r="K217" s="24"/>
      <c r="L217" s="59"/>
      <c r="M217" s="51"/>
      <c r="N217" s="51"/>
      <c r="O217" s="45"/>
      <c r="P217" s="57"/>
      <c r="Q217" s="57"/>
    </row>
    <row r="218" spans="1:17">
      <c r="A218" s="46"/>
      <c r="B218" s="48"/>
      <c r="C218" s="38" t="s">
        <v>98</v>
      </c>
      <c r="D218" s="35">
        <v>1</v>
      </c>
      <c r="E218" s="36" t="str">
        <f t="shared" si="58"/>
        <v>9:9</v>
      </c>
      <c r="F218" s="35" t="s">
        <v>7</v>
      </c>
      <c r="G218" s="35" t="s">
        <v>99</v>
      </c>
      <c r="H218" s="21" t="s">
        <v>37</v>
      </c>
      <c r="I218" s="22" t="s">
        <v>36</v>
      </c>
      <c r="J218" s="23" t="s">
        <v>6</v>
      </c>
      <c r="K218" s="24"/>
      <c r="L218" s="51"/>
      <c r="M218" s="51"/>
      <c r="N218" s="51"/>
      <c r="O218" s="45"/>
      <c r="P218" s="45"/>
      <c r="Q218" s="45"/>
    </row>
    <row r="219" spans="1:17">
      <c r="A219" s="46"/>
      <c r="B219" s="48"/>
      <c r="C219" s="38" t="s">
        <v>100</v>
      </c>
      <c r="D219" s="35">
        <v>1</v>
      </c>
      <c r="E219" s="36" t="str">
        <f t="shared" si="58"/>
        <v>8:8</v>
      </c>
      <c r="F219" s="35" t="s">
        <v>7</v>
      </c>
      <c r="G219" s="35" t="s">
        <v>101</v>
      </c>
      <c r="H219" s="21" t="s">
        <v>37</v>
      </c>
      <c r="I219" s="22" t="s">
        <v>36</v>
      </c>
      <c r="J219" s="23" t="s">
        <v>6</v>
      </c>
      <c r="K219" s="24"/>
      <c r="L219" s="51"/>
      <c r="M219" s="51"/>
      <c r="N219" s="51"/>
      <c r="O219" s="45"/>
      <c r="P219" s="45"/>
      <c r="Q219" s="45"/>
    </row>
    <row r="220" spans="1:17">
      <c r="A220" s="46"/>
      <c r="B220" s="48"/>
      <c r="C220" s="38" t="s">
        <v>102</v>
      </c>
      <c r="D220" s="35">
        <v>1</v>
      </c>
      <c r="E220" s="36" t="str">
        <f t="shared" si="58"/>
        <v>7:7</v>
      </c>
      <c r="F220" s="35" t="s">
        <v>7</v>
      </c>
      <c r="G220" s="35" t="s">
        <v>103</v>
      </c>
      <c r="H220" s="21" t="s">
        <v>37</v>
      </c>
      <c r="I220" s="22" t="s">
        <v>36</v>
      </c>
      <c r="J220" s="23" t="s">
        <v>6</v>
      </c>
      <c r="K220" s="24"/>
      <c r="L220" s="51"/>
      <c r="M220" s="51"/>
      <c r="N220" s="51"/>
      <c r="O220" s="45"/>
      <c r="P220" s="45"/>
      <c r="Q220" s="45"/>
    </row>
    <row r="221" spans="1:17">
      <c r="A221" s="46"/>
      <c r="B221" s="48"/>
      <c r="C221" s="38" t="s">
        <v>104</v>
      </c>
      <c r="D221" s="35">
        <v>1</v>
      </c>
      <c r="E221" s="36" t="str">
        <f t="shared" si="58"/>
        <v>6:6</v>
      </c>
      <c r="F221" s="35" t="s">
        <v>7</v>
      </c>
      <c r="G221" s="35" t="s">
        <v>105</v>
      </c>
      <c r="H221" s="21" t="s">
        <v>37</v>
      </c>
      <c r="I221" s="22" t="s">
        <v>36</v>
      </c>
      <c r="J221" s="23" t="s">
        <v>6</v>
      </c>
      <c r="K221" s="24"/>
      <c r="L221" s="51"/>
      <c r="M221" s="51"/>
      <c r="N221" s="51"/>
      <c r="O221" s="45"/>
      <c r="P221" s="45"/>
      <c r="Q221" s="45"/>
    </row>
    <row r="222" spans="1:17">
      <c r="A222" s="46"/>
      <c r="B222" s="48"/>
      <c r="C222" s="38" t="s">
        <v>106</v>
      </c>
      <c r="D222" s="35">
        <v>1</v>
      </c>
      <c r="E222" s="36" t="str">
        <f t="shared" si="58"/>
        <v>5:5</v>
      </c>
      <c r="F222" s="35" t="s">
        <v>7</v>
      </c>
      <c r="G222" s="35" t="s">
        <v>107</v>
      </c>
      <c r="H222" s="21" t="s">
        <v>37</v>
      </c>
      <c r="I222" s="22" t="s">
        <v>36</v>
      </c>
      <c r="J222" s="23" t="s">
        <v>6</v>
      </c>
      <c r="K222" s="24"/>
      <c r="L222" s="51"/>
      <c r="M222" s="51"/>
      <c r="N222" s="51"/>
      <c r="O222" s="45"/>
      <c r="P222" s="45"/>
      <c r="Q222" s="45"/>
    </row>
    <row r="223" spans="1:17" ht="15.75" thickBot="1">
      <c r="A223" s="46"/>
      <c r="B223" s="48"/>
      <c r="C223" s="38" t="s">
        <v>108</v>
      </c>
      <c r="D223" s="35">
        <v>5</v>
      </c>
      <c r="E223" s="36" t="str">
        <f t="shared" si="58"/>
        <v>4:0</v>
      </c>
      <c r="F223" s="35" t="s">
        <v>46</v>
      </c>
      <c r="G223" s="35" t="s">
        <v>45</v>
      </c>
      <c r="H223" s="21" t="s">
        <v>37</v>
      </c>
      <c r="I223" s="22" t="s">
        <v>36</v>
      </c>
      <c r="J223" s="23" t="s">
        <v>6</v>
      </c>
      <c r="K223" s="24"/>
      <c r="L223" s="51"/>
      <c r="M223" s="51"/>
      <c r="N223" s="51"/>
      <c r="O223" s="45"/>
      <c r="P223" s="45"/>
      <c r="Q223" s="45"/>
    </row>
    <row r="224" spans="1:17">
      <c r="A224" s="46" t="s">
        <v>157</v>
      </c>
      <c r="B224" s="47" t="str">
        <f t="shared" si="54"/>
        <v>38</v>
      </c>
      <c r="C224" s="49" t="str">
        <f>bitConcat(F225:F240)</f>
        <v>32'b01000000000000000000000000000000</v>
      </c>
      <c r="D224" s="49"/>
      <c r="E224" s="49"/>
      <c r="F224" s="49"/>
      <c r="G224" s="49"/>
      <c r="H224" s="49"/>
      <c r="I224" s="49"/>
      <c r="J224" s="49"/>
      <c r="K224" s="49"/>
      <c r="L224" s="50" t="str">
        <f t="shared" ref="L224" si="59">DEC2HEX(_xlfn.BITLSHIFT(N224,7)+4*O224)</f>
        <v>238</v>
      </c>
      <c r="M224" s="51"/>
      <c r="N224" s="51">
        <v>4</v>
      </c>
      <c r="O224" s="45">
        <v>14</v>
      </c>
      <c r="P224" s="44" t="str">
        <f t="shared" ref="P224" si="60">DEC2HEX(_xlfn.BITLSHIFT(N224,5)+O224*4)</f>
        <v>B8</v>
      </c>
      <c r="Q224" s="44" t="str">
        <f t="shared" ref="Q224" si="61">BIN2HEX(LEFT(RIGHT(C224,32),4))&amp;BIN2HEX(LEFT(RIGHT(C224,28),4))&amp;BIN2HEX(LEFT(RIGHT(C224,24),4))&amp;BIN2HEX(LEFT(RIGHT(C224,20),4))&amp;BIN2HEX(LEFT(RIGHT(C224,16),4))&amp;BIN2HEX(LEFT(RIGHT(C224,12),4))&amp;BIN2HEX(LEFT(RIGHT(C224,8),4))&amp;BIN2HEX(LEFT(RIGHT(C224,4),4))</f>
        <v>40000000</v>
      </c>
    </row>
    <row r="225" spans="1:17">
      <c r="A225" s="46"/>
      <c r="B225" s="58"/>
      <c r="C225" s="38" t="s">
        <v>110</v>
      </c>
      <c r="D225" s="35">
        <v>2</v>
      </c>
      <c r="E225" s="36" t="str">
        <f>IF(D225&gt;1,(31)&amp;":"&amp;(31-D225+1),(31-D225+1)&amp;":"&amp;(31-D225+1))</f>
        <v>31:30</v>
      </c>
      <c r="F225" s="35" t="s">
        <v>51</v>
      </c>
      <c r="G225" s="35" t="s">
        <v>67</v>
      </c>
      <c r="H225" s="21" t="s">
        <v>37</v>
      </c>
      <c r="I225" s="22" t="s">
        <v>36</v>
      </c>
      <c r="J225" s="23" t="s">
        <v>6</v>
      </c>
      <c r="K225" s="24"/>
      <c r="L225" s="59"/>
      <c r="M225" s="51"/>
      <c r="N225" s="51"/>
      <c r="O225" s="45"/>
      <c r="P225" s="57"/>
      <c r="Q225" s="57"/>
    </row>
    <row r="226" spans="1:17">
      <c r="A226" s="46"/>
      <c r="B226" s="58"/>
      <c r="C226" s="38" t="s">
        <v>111</v>
      </c>
      <c r="D226" s="35">
        <v>4</v>
      </c>
      <c r="E226" s="36" t="str">
        <f t="shared" ref="E226:E240" si="62">(MID(str_cnvt(E225),SEARCH(":",str_cnvt(E225))+1,2)-1) &amp; ":" &amp; (MID(str_cnvt(E225),SEARCH(":",str_cnvt(E225))+1,2)-D226)</f>
        <v>29:26</v>
      </c>
      <c r="F226" s="35" t="s">
        <v>47</v>
      </c>
      <c r="G226" s="35" t="s">
        <v>69</v>
      </c>
      <c r="H226" s="21" t="s">
        <v>37</v>
      </c>
      <c r="I226" s="22" t="s">
        <v>36</v>
      </c>
      <c r="J226" s="23" t="s">
        <v>6</v>
      </c>
      <c r="K226" s="24"/>
      <c r="L226" s="59"/>
      <c r="M226" s="51"/>
      <c r="N226" s="51"/>
      <c r="O226" s="45"/>
      <c r="P226" s="57"/>
      <c r="Q226" s="57"/>
    </row>
    <row r="227" spans="1:17">
      <c r="A227" s="46"/>
      <c r="B227" s="58"/>
      <c r="C227" s="38" t="s">
        <v>112</v>
      </c>
      <c r="D227" s="35">
        <v>3</v>
      </c>
      <c r="E227" s="36" t="str">
        <f t="shared" si="62"/>
        <v>25:23</v>
      </c>
      <c r="F227" s="35" t="s">
        <v>42</v>
      </c>
      <c r="G227" s="35" t="s">
        <v>71</v>
      </c>
      <c r="H227" s="21" t="s">
        <v>37</v>
      </c>
      <c r="I227" s="22" t="s">
        <v>36</v>
      </c>
      <c r="J227" s="23" t="s">
        <v>6</v>
      </c>
      <c r="K227" s="24"/>
      <c r="L227" s="59"/>
      <c r="M227" s="51"/>
      <c r="N227" s="51"/>
      <c r="O227" s="45"/>
      <c r="P227" s="57"/>
      <c r="Q227" s="57"/>
    </row>
    <row r="228" spans="1:17">
      <c r="A228" s="46"/>
      <c r="B228" s="58"/>
      <c r="C228" s="38" t="s">
        <v>113</v>
      </c>
      <c r="D228" s="35">
        <v>1</v>
      </c>
      <c r="E228" s="36" t="str">
        <f t="shared" si="62"/>
        <v>22:22</v>
      </c>
      <c r="F228" s="35" t="s">
        <v>7</v>
      </c>
      <c r="G228" s="35" t="s">
        <v>73</v>
      </c>
      <c r="H228" s="21" t="s">
        <v>37</v>
      </c>
      <c r="I228" s="22" t="s">
        <v>36</v>
      </c>
      <c r="J228" s="23" t="s">
        <v>6</v>
      </c>
      <c r="K228" s="24"/>
      <c r="L228" s="59"/>
      <c r="M228" s="51"/>
      <c r="N228" s="51"/>
      <c r="O228" s="45"/>
      <c r="P228" s="57"/>
      <c r="Q228" s="57"/>
    </row>
    <row r="229" spans="1:17">
      <c r="A229" s="46"/>
      <c r="B229" s="58"/>
      <c r="C229" s="38" t="s">
        <v>114</v>
      </c>
      <c r="D229" s="35">
        <v>3</v>
      </c>
      <c r="E229" s="36" t="str">
        <f t="shared" si="62"/>
        <v>21:19</v>
      </c>
      <c r="F229" s="35" t="s">
        <v>42</v>
      </c>
      <c r="G229" s="35" t="s">
        <v>71</v>
      </c>
      <c r="H229" s="21" t="s">
        <v>37</v>
      </c>
      <c r="I229" s="22" t="s">
        <v>36</v>
      </c>
      <c r="J229" s="23" t="s">
        <v>6</v>
      </c>
      <c r="K229" s="24"/>
      <c r="L229" s="59"/>
      <c r="M229" s="51"/>
      <c r="N229" s="51"/>
      <c r="O229" s="45"/>
      <c r="P229" s="57"/>
      <c r="Q229" s="57"/>
    </row>
    <row r="230" spans="1:17">
      <c r="A230" s="46"/>
      <c r="B230" s="58"/>
      <c r="C230" s="38" t="s">
        <v>115</v>
      </c>
      <c r="D230" s="35">
        <v>1</v>
      </c>
      <c r="E230" s="36" t="str">
        <f t="shared" si="62"/>
        <v>18:18</v>
      </c>
      <c r="F230" s="35" t="s">
        <v>7</v>
      </c>
      <c r="G230" s="35" t="s">
        <v>76</v>
      </c>
      <c r="H230" s="21" t="s">
        <v>37</v>
      </c>
      <c r="I230" s="22" t="s">
        <v>36</v>
      </c>
      <c r="J230" s="23" t="s">
        <v>6</v>
      </c>
      <c r="K230" s="24"/>
      <c r="L230" s="59"/>
      <c r="M230" s="51"/>
      <c r="N230" s="51"/>
      <c r="O230" s="45"/>
      <c r="P230" s="57"/>
      <c r="Q230" s="57"/>
    </row>
    <row r="231" spans="1:17">
      <c r="A231" s="46"/>
      <c r="B231" s="58"/>
      <c r="C231" s="38" t="s">
        <v>116</v>
      </c>
      <c r="D231" s="35">
        <v>3</v>
      </c>
      <c r="E231" s="36" t="str">
        <f t="shared" si="62"/>
        <v>17:15</v>
      </c>
      <c r="F231" s="35" t="s">
        <v>42</v>
      </c>
      <c r="G231" s="35" t="s">
        <v>71</v>
      </c>
      <c r="H231" s="21" t="s">
        <v>37</v>
      </c>
      <c r="I231" s="22" t="s">
        <v>36</v>
      </c>
      <c r="J231" s="23" t="s">
        <v>6</v>
      </c>
      <c r="K231" s="24"/>
      <c r="L231" s="59"/>
      <c r="M231" s="51"/>
      <c r="N231" s="51"/>
      <c r="O231" s="45"/>
      <c r="P231" s="57"/>
      <c r="Q231" s="57"/>
    </row>
    <row r="232" spans="1:17">
      <c r="A232" s="46"/>
      <c r="B232" s="58"/>
      <c r="C232" s="38" t="s">
        <v>117</v>
      </c>
      <c r="D232" s="35">
        <v>1</v>
      </c>
      <c r="E232" s="36" t="str">
        <f t="shared" si="62"/>
        <v>14:14</v>
      </c>
      <c r="F232" s="35" t="s">
        <v>7</v>
      </c>
      <c r="G232" s="35" t="s">
        <v>79</v>
      </c>
      <c r="H232" s="21" t="s">
        <v>37</v>
      </c>
      <c r="I232" s="22" t="s">
        <v>36</v>
      </c>
      <c r="J232" s="23" t="s">
        <v>6</v>
      </c>
      <c r="K232" s="24"/>
      <c r="L232" s="59"/>
      <c r="M232" s="51"/>
      <c r="N232" s="51"/>
      <c r="O232" s="45"/>
      <c r="P232" s="57"/>
      <c r="Q232" s="57"/>
    </row>
    <row r="233" spans="1:17">
      <c r="A233" s="46"/>
      <c r="B233" s="58"/>
      <c r="C233" s="38" t="s">
        <v>118</v>
      </c>
      <c r="D233" s="35">
        <v>3</v>
      </c>
      <c r="E233" s="36" t="str">
        <f t="shared" si="62"/>
        <v>13:11</v>
      </c>
      <c r="F233" s="35" t="s">
        <v>42</v>
      </c>
      <c r="G233" s="35" t="s">
        <v>71</v>
      </c>
      <c r="H233" s="21" t="s">
        <v>37</v>
      </c>
      <c r="I233" s="22" t="s">
        <v>36</v>
      </c>
      <c r="J233" s="23" t="s">
        <v>6</v>
      </c>
      <c r="K233" s="24"/>
      <c r="L233" s="59"/>
      <c r="M233" s="51"/>
      <c r="N233" s="51"/>
      <c r="O233" s="45"/>
      <c r="P233" s="57"/>
      <c r="Q233" s="57"/>
    </row>
    <row r="234" spans="1:17">
      <c r="A234" s="46"/>
      <c r="B234" s="58"/>
      <c r="C234" s="38" t="s">
        <v>119</v>
      </c>
      <c r="D234" s="35">
        <v>1</v>
      </c>
      <c r="E234" s="36" t="str">
        <f t="shared" si="62"/>
        <v>10:10</v>
      </c>
      <c r="F234" s="35" t="s">
        <v>7</v>
      </c>
      <c r="G234" s="35" t="s">
        <v>82</v>
      </c>
      <c r="H234" s="21" t="s">
        <v>37</v>
      </c>
      <c r="I234" s="22" t="s">
        <v>36</v>
      </c>
      <c r="J234" s="23" t="s">
        <v>6</v>
      </c>
      <c r="K234" s="24"/>
      <c r="L234" s="59"/>
      <c r="M234" s="51"/>
      <c r="N234" s="51"/>
      <c r="O234" s="45"/>
      <c r="P234" s="57"/>
      <c r="Q234" s="57"/>
    </row>
    <row r="235" spans="1:17">
      <c r="A235" s="46"/>
      <c r="B235" s="48"/>
      <c r="C235" s="38" t="s">
        <v>120</v>
      </c>
      <c r="D235" s="35">
        <v>1</v>
      </c>
      <c r="E235" s="36" t="str">
        <f t="shared" si="62"/>
        <v>9:9</v>
      </c>
      <c r="F235" s="35" t="s">
        <v>7</v>
      </c>
      <c r="G235" s="35" t="s">
        <v>121</v>
      </c>
      <c r="H235" s="21" t="s">
        <v>37</v>
      </c>
      <c r="I235" s="22" t="s">
        <v>36</v>
      </c>
      <c r="J235" s="23" t="s">
        <v>6</v>
      </c>
      <c r="K235" s="24"/>
      <c r="L235" s="51"/>
      <c r="M235" s="51"/>
      <c r="N235" s="51"/>
      <c r="O235" s="45"/>
      <c r="P235" s="45"/>
      <c r="Q235" s="45"/>
    </row>
    <row r="236" spans="1:17">
      <c r="A236" s="46"/>
      <c r="B236" s="48"/>
      <c r="C236" s="38" t="s">
        <v>122</v>
      </c>
      <c r="D236" s="35">
        <v>1</v>
      </c>
      <c r="E236" s="36" t="str">
        <f t="shared" si="62"/>
        <v>8:8</v>
      </c>
      <c r="F236" s="35" t="s">
        <v>7</v>
      </c>
      <c r="G236" s="35" t="s">
        <v>123</v>
      </c>
      <c r="H236" s="21" t="s">
        <v>37</v>
      </c>
      <c r="I236" s="22" t="s">
        <v>36</v>
      </c>
      <c r="J236" s="23" t="s">
        <v>6</v>
      </c>
      <c r="K236" s="24"/>
      <c r="L236" s="51"/>
      <c r="M236" s="51"/>
      <c r="N236" s="51"/>
      <c r="O236" s="45"/>
      <c r="P236" s="45"/>
      <c r="Q236" s="45"/>
    </row>
    <row r="237" spans="1:17">
      <c r="A237" s="46"/>
      <c r="B237" s="48"/>
      <c r="C237" s="38" t="s">
        <v>124</v>
      </c>
      <c r="D237" s="35">
        <v>1</v>
      </c>
      <c r="E237" s="36" t="str">
        <f t="shared" si="62"/>
        <v>7:7</v>
      </c>
      <c r="F237" s="35" t="s">
        <v>7</v>
      </c>
      <c r="G237" s="35" t="s">
        <v>125</v>
      </c>
      <c r="H237" s="21" t="s">
        <v>37</v>
      </c>
      <c r="I237" s="22" t="s">
        <v>36</v>
      </c>
      <c r="J237" s="23" t="s">
        <v>6</v>
      </c>
      <c r="K237" s="24"/>
      <c r="L237" s="51"/>
      <c r="M237" s="51"/>
      <c r="N237" s="51"/>
      <c r="O237" s="45"/>
      <c r="P237" s="45"/>
      <c r="Q237" s="45"/>
    </row>
    <row r="238" spans="1:17">
      <c r="A238" s="46"/>
      <c r="B238" s="48"/>
      <c r="C238" s="38" t="s">
        <v>126</v>
      </c>
      <c r="D238" s="35">
        <v>1</v>
      </c>
      <c r="E238" s="36" t="str">
        <f t="shared" si="62"/>
        <v>6:6</v>
      </c>
      <c r="F238" s="35" t="s">
        <v>7</v>
      </c>
      <c r="G238" s="35" t="s">
        <v>125</v>
      </c>
      <c r="H238" s="21" t="s">
        <v>37</v>
      </c>
      <c r="I238" s="22" t="s">
        <v>36</v>
      </c>
      <c r="J238" s="23" t="s">
        <v>6</v>
      </c>
      <c r="K238" s="24"/>
      <c r="L238" s="51"/>
      <c r="M238" s="51"/>
      <c r="N238" s="51"/>
      <c r="O238" s="45"/>
      <c r="P238" s="45"/>
      <c r="Q238" s="45"/>
    </row>
    <row r="239" spans="1:17">
      <c r="A239" s="46"/>
      <c r="B239" s="48"/>
      <c r="C239" s="38" t="s">
        <v>127</v>
      </c>
      <c r="D239" s="35">
        <v>1</v>
      </c>
      <c r="E239" s="36" t="str">
        <f t="shared" si="62"/>
        <v>5:5</v>
      </c>
      <c r="F239" s="35" t="s">
        <v>7</v>
      </c>
      <c r="G239" s="35" t="s">
        <v>125</v>
      </c>
      <c r="H239" s="21" t="s">
        <v>37</v>
      </c>
      <c r="I239" s="22" t="s">
        <v>36</v>
      </c>
      <c r="J239" s="23" t="s">
        <v>6</v>
      </c>
      <c r="K239" s="24"/>
      <c r="L239" s="51"/>
      <c r="M239" s="51"/>
      <c r="N239" s="51"/>
      <c r="O239" s="45"/>
      <c r="P239" s="45"/>
      <c r="Q239" s="45"/>
    </row>
    <row r="240" spans="1:17" ht="15.75" thickBot="1">
      <c r="A240" s="46"/>
      <c r="B240" s="48"/>
      <c r="C240" s="38" t="s">
        <v>128</v>
      </c>
      <c r="D240" s="35">
        <v>5</v>
      </c>
      <c r="E240" s="36" t="str">
        <f t="shared" si="62"/>
        <v>4:0</v>
      </c>
      <c r="F240" s="35" t="s">
        <v>46</v>
      </c>
      <c r="G240" s="35" t="s">
        <v>45</v>
      </c>
      <c r="H240" s="21" t="s">
        <v>37</v>
      </c>
      <c r="I240" s="22" t="s">
        <v>36</v>
      </c>
      <c r="J240" s="23" t="s">
        <v>6</v>
      </c>
      <c r="K240" s="24"/>
      <c r="L240" s="51"/>
      <c r="M240" s="51"/>
      <c r="N240" s="51"/>
      <c r="O240" s="45"/>
      <c r="P240" s="45"/>
      <c r="Q240" s="45"/>
    </row>
    <row r="241" spans="1:17">
      <c r="A241" s="46" t="s">
        <v>158</v>
      </c>
      <c r="B241" s="47" t="str">
        <f t="shared" si="54"/>
        <v>3C</v>
      </c>
      <c r="C241" s="49" t="str">
        <f>bitConcat(F241:F257)</f>
        <v>32'b00000000000000000000000000000000</v>
      </c>
      <c r="D241" s="49"/>
      <c r="E241" s="49"/>
      <c r="F241" s="49"/>
      <c r="G241" s="49"/>
      <c r="H241" s="49"/>
      <c r="I241" s="49"/>
      <c r="J241" s="49"/>
      <c r="K241" s="49"/>
      <c r="L241" s="50" t="str">
        <f t="shared" ref="L241" si="63">DEC2HEX(_xlfn.BITLSHIFT(N241,7)+4*O241)</f>
        <v>23C</v>
      </c>
      <c r="M241" s="51"/>
      <c r="N241" s="51">
        <v>4</v>
      </c>
      <c r="O241" s="45">
        <v>15</v>
      </c>
      <c r="P241" s="44" t="str">
        <f t="shared" ref="P241" si="64">DEC2HEX(_xlfn.BITLSHIFT(N241,5)+O241*4)</f>
        <v>BC</v>
      </c>
      <c r="Q241" s="44" t="str">
        <f t="shared" ref="Q241" si="65">BIN2HEX(LEFT(RIGHT(C241,32),4))&amp;BIN2HEX(LEFT(RIGHT(C241,28),4))&amp;BIN2HEX(LEFT(RIGHT(C241,24),4))&amp;BIN2HEX(LEFT(RIGHT(C241,20),4))&amp;BIN2HEX(LEFT(RIGHT(C241,16),4))&amp;BIN2HEX(LEFT(RIGHT(C241,12),4))&amp;BIN2HEX(LEFT(RIGHT(C241,8),4))&amp;BIN2HEX(LEFT(RIGHT(C241,4),4))</f>
        <v>00000000</v>
      </c>
    </row>
    <row r="242" spans="1:17">
      <c r="A242" s="46"/>
      <c r="B242" s="58"/>
      <c r="C242" s="38" t="s">
        <v>130</v>
      </c>
      <c r="D242" s="35">
        <v>2</v>
      </c>
      <c r="E242" s="36" t="str">
        <f>IF(D242&gt;1,(31)&amp;":"&amp;(31-D242+1),(31-D242+1)&amp;":"&amp;(31-D242+1))</f>
        <v>31:30</v>
      </c>
      <c r="F242" s="35" t="s">
        <v>41</v>
      </c>
      <c r="G242" s="35" t="s">
        <v>67</v>
      </c>
      <c r="H242" s="21" t="s">
        <v>37</v>
      </c>
      <c r="I242" s="22" t="s">
        <v>36</v>
      </c>
      <c r="J242" s="23" t="s">
        <v>6</v>
      </c>
      <c r="K242" s="24"/>
      <c r="L242" s="59"/>
      <c r="M242" s="51"/>
      <c r="N242" s="51"/>
      <c r="O242" s="45"/>
      <c r="P242" s="57"/>
      <c r="Q242" s="57"/>
    </row>
    <row r="243" spans="1:17">
      <c r="A243" s="46"/>
      <c r="B243" s="58"/>
      <c r="C243" s="38" t="s">
        <v>131</v>
      </c>
      <c r="D243" s="35">
        <v>4</v>
      </c>
      <c r="E243" s="36" t="str">
        <f t="shared" ref="E243:E257" si="66">(MID(str_cnvt(E242),SEARCH(":",str_cnvt(E242))+1,2)-1) &amp; ":" &amp; (MID(str_cnvt(E242),SEARCH(":",str_cnvt(E242))+1,2)-D243)</f>
        <v>29:26</v>
      </c>
      <c r="F243" s="35" t="s">
        <v>47</v>
      </c>
      <c r="G243" s="35" t="s">
        <v>69</v>
      </c>
      <c r="H243" s="21" t="s">
        <v>37</v>
      </c>
      <c r="I243" s="22" t="s">
        <v>36</v>
      </c>
      <c r="J243" s="23" t="s">
        <v>6</v>
      </c>
      <c r="K243" s="24"/>
      <c r="L243" s="59"/>
      <c r="M243" s="51"/>
      <c r="N243" s="51"/>
      <c r="O243" s="45"/>
      <c r="P243" s="57"/>
      <c r="Q243" s="57"/>
    </row>
    <row r="244" spans="1:17">
      <c r="A244" s="46"/>
      <c r="B244" s="58"/>
      <c r="C244" s="38" t="s">
        <v>132</v>
      </c>
      <c r="D244" s="35">
        <v>3</v>
      </c>
      <c r="E244" s="36" t="str">
        <f t="shared" si="66"/>
        <v>25:23</v>
      </c>
      <c r="F244" s="35" t="s">
        <v>42</v>
      </c>
      <c r="G244" s="35" t="s">
        <v>71</v>
      </c>
      <c r="H244" s="21" t="s">
        <v>37</v>
      </c>
      <c r="I244" s="22" t="s">
        <v>36</v>
      </c>
      <c r="J244" s="23" t="s">
        <v>6</v>
      </c>
      <c r="K244" s="24"/>
      <c r="L244" s="59"/>
      <c r="M244" s="51"/>
      <c r="N244" s="51"/>
      <c r="O244" s="45"/>
      <c r="P244" s="57"/>
      <c r="Q244" s="57"/>
    </row>
    <row r="245" spans="1:17">
      <c r="A245" s="46"/>
      <c r="B245" s="58"/>
      <c r="C245" s="38" t="s">
        <v>133</v>
      </c>
      <c r="D245" s="35">
        <v>1</v>
      </c>
      <c r="E245" s="36" t="str">
        <f t="shared" si="66"/>
        <v>22:22</v>
      </c>
      <c r="F245" s="35" t="s">
        <v>7</v>
      </c>
      <c r="G245" s="35" t="s">
        <v>73</v>
      </c>
      <c r="H245" s="21" t="s">
        <v>37</v>
      </c>
      <c r="I245" s="22" t="s">
        <v>36</v>
      </c>
      <c r="J245" s="23" t="s">
        <v>6</v>
      </c>
      <c r="K245" s="24"/>
      <c r="L245" s="59"/>
      <c r="M245" s="51"/>
      <c r="N245" s="51"/>
      <c r="O245" s="45"/>
      <c r="P245" s="57"/>
      <c r="Q245" s="57"/>
    </row>
    <row r="246" spans="1:17">
      <c r="A246" s="46"/>
      <c r="B246" s="58"/>
      <c r="C246" s="38" t="s">
        <v>134</v>
      </c>
      <c r="D246" s="35">
        <v>3</v>
      </c>
      <c r="E246" s="36" t="str">
        <f t="shared" si="66"/>
        <v>21:19</v>
      </c>
      <c r="F246" s="35" t="s">
        <v>42</v>
      </c>
      <c r="G246" s="35" t="s">
        <v>71</v>
      </c>
      <c r="H246" s="21" t="s">
        <v>37</v>
      </c>
      <c r="I246" s="22" t="s">
        <v>36</v>
      </c>
      <c r="J246" s="23" t="s">
        <v>6</v>
      </c>
      <c r="K246" s="24"/>
      <c r="L246" s="59"/>
      <c r="M246" s="51"/>
      <c r="N246" s="51"/>
      <c r="O246" s="45"/>
      <c r="P246" s="57"/>
      <c r="Q246" s="57"/>
    </row>
    <row r="247" spans="1:17">
      <c r="A247" s="46"/>
      <c r="B247" s="58"/>
      <c r="C247" s="38" t="s">
        <v>135</v>
      </c>
      <c r="D247" s="35">
        <v>1</v>
      </c>
      <c r="E247" s="36" t="str">
        <f t="shared" si="66"/>
        <v>18:18</v>
      </c>
      <c r="F247" s="35" t="s">
        <v>7</v>
      </c>
      <c r="G247" s="35" t="s">
        <v>76</v>
      </c>
      <c r="H247" s="21" t="s">
        <v>37</v>
      </c>
      <c r="I247" s="22" t="s">
        <v>36</v>
      </c>
      <c r="J247" s="23" t="s">
        <v>6</v>
      </c>
      <c r="K247" s="24"/>
      <c r="L247" s="59"/>
      <c r="M247" s="51"/>
      <c r="N247" s="51"/>
      <c r="O247" s="45"/>
      <c r="P247" s="57"/>
      <c r="Q247" s="57"/>
    </row>
    <row r="248" spans="1:17">
      <c r="A248" s="46"/>
      <c r="B248" s="58"/>
      <c r="C248" s="38" t="s">
        <v>136</v>
      </c>
      <c r="D248" s="35">
        <v>3</v>
      </c>
      <c r="E248" s="36" t="str">
        <f t="shared" si="66"/>
        <v>17:15</v>
      </c>
      <c r="F248" s="35" t="s">
        <v>42</v>
      </c>
      <c r="G248" s="35" t="s">
        <v>71</v>
      </c>
      <c r="H248" s="21" t="s">
        <v>37</v>
      </c>
      <c r="I248" s="22" t="s">
        <v>36</v>
      </c>
      <c r="J248" s="23" t="s">
        <v>6</v>
      </c>
      <c r="K248" s="24"/>
      <c r="L248" s="59"/>
      <c r="M248" s="51"/>
      <c r="N248" s="51"/>
      <c r="O248" s="45"/>
      <c r="P248" s="57"/>
      <c r="Q248" s="57"/>
    </row>
    <row r="249" spans="1:17">
      <c r="A249" s="46"/>
      <c r="B249" s="58"/>
      <c r="C249" s="38" t="s">
        <v>137</v>
      </c>
      <c r="D249" s="35">
        <v>1</v>
      </c>
      <c r="E249" s="36" t="str">
        <f t="shared" si="66"/>
        <v>14:14</v>
      </c>
      <c r="F249" s="35" t="s">
        <v>7</v>
      </c>
      <c r="G249" s="35" t="s">
        <v>79</v>
      </c>
      <c r="H249" s="21" t="s">
        <v>37</v>
      </c>
      <c r="I249" s="22" t="s">
        <v>36</v>
      </c>
      <c r="J249" s="23" t="s">
        <v>6</v>
      </c>
      <c r="K249" s="24"/>
      <c r="L249" s="59"/>
      <c r="M249" s="51"/>
      <c r="N249" s="51"/>
      <c r="O249" s="45"/>
      <c r="P249" s="57"/>
      <c r="Q249" s="57"/>
    </row>
    <row r="250" spans="1:17">
      <c r="A250" s="46"/>
      <c r="B250" s="58"/>
      <c r="C250" s="38" t="s">
        <v>138</v>
      </c>
      <c r="D250" s="35">
        <v>3</v>
      </c>
      <c r="E250" s="36" t="str">
        <f t="shared" si="66"/>
        <v>13:11</v>
      </c>
      <c r="F250" s="35" t="s">
        <v>42</v>
      </c>
      <c r="G250" s="35" t="s">
        <v>71</v>
      </c>
      <c r="H250" s="21" t="s">
        <v>37</v>
      </c>
      <c r="I250" s="22" t="s">
        <v>36</v>
      </c>
      <c r="J250" s="23" t="s">
        <v>6</v>
      </c>
      <c r="K250" s="24"/>
      <c r="L250" s="59"/>
      <c r="M250" s="51"/>
      <c r="N250" s="51"/>
      <c r="O250" s="45"/>
      <c r="P250" s="57"/>
      <c r="Q250" s="57"/>
    </row>
    <row r="251" spans="1:17">
      <c r="A251" s="46"/>
      <c r="B251" s="48"/>
      <c r="C251" s="38" t="s">
        <v>139</v>
      </c>
      <c r="D251" s="35">
        <v>1</v>
      </c>
      <c r="E251" s="36" t="str">
        <f t="shared" si="66"/>
        <v>10:10</v>
      </c>
      <c r="F251" s="35" t="s">
        <v>7</v>
      </c>
      <c r="G251" s="35" t="s">
        <v>82</v>
      </c>
      <c r="H251" s="21" t="s">
        <v>37</v>
      </c>
      <c r="I251" s="22" t="s">
        <v>36</v>
      </c>
      <c r="J251" s="23" t="s">
        <v>6</v>
      </c>
      <c r="K251" s="24"/>
      <c r="L251" s="51"/>
      <c r="M251" s="51"/>
      <c r="N251" s="51"/>
      <c r="O251" s="45"/>
      <c r="P251" s="45"/>
      <c r="Q251" s="45"/>
    </row>
    <row r="252" spans="1:17">
      <c r="A252" s="46"/>
      <c r="B252" s="48"/>
      <c r="C252" s="38" t="s">
        <v>140</v>
      </c>
      <c r="D252" s="35">
        <v>1</v>
      </c>
      <c r="E252" s="36" t="str">
        <f t="shared" si="66"/>
        <v>9:9</v>
      </c>
      <c r="F252" s="35" t="s">
        <v>7</v>
      </c>
      <c r="G252" s="35" t="s">
        <v>141</v>
      </c>
      <c r="H252" s="21" t="s">
        <v>37</v>
      </c>
      <c r="I252" s="22" t="s">
        <v>36</v>
      </c>
      <c r="J252" s="23" t="s">
        <v>6</v>
      </c>
      <c r="K252" s="24"/>
      <c r="L252" s="51"/>
      <c r="M252" s="51"/>
      <c r="N252" s="51"/>
      <c r="O252" s="45"/>
      <c r="P252" s="45"/>
      <c r="Q252" s="45"/>
    </row>
    <row r="253" spans="1:17">
      <c r="A253" s="46"/>
      <c r="B253" s="48"/>
      <c r="C253" s="38" t="s">
        <v>142</v>
      </c>
      <c r="D253" s="35">
        <v>1</v>
      </c>
      <c r="E253" s="36" t="str">
        <f t="shared" si="66"/>
        <v>8:8</v>
      </c>
      <c r="F253" s="35" t="s">
        <v>7</v>
      </c>
      <c r="G253" s="35" t="s">
        <v>123</v>
      </c>
      <c r="H253" s="21" t="s">
        <v>37</v>
      </c>
      <c r="I253" s="22" t="s">
        <v>36</v>
      </c>
      <c r="J253" s="23" t="s">
        <v>6</v>
      </c>
      <c r="K253" s="28"/>
      <c r="L253" s="51"/>
      <c r="M253" s="51"/>
      <c r="N253" s="51"/>
      <c r="O253" s="45"/>
      <c r="P253" s="45"/>
      <c r="Q253" s="45"/>
    </row>
    <row r="254" spans="1:17">
      <c r="A254" s="46"/>
      <c r="B254" s="48"/>
      <c r="C254" s="38" t="s">
        <v>143</v>
      </c>
      <c r="D254" s="35">
        <v>1</v>
      </c>
      <c r="E254" s="36" t="str">
        <f t="shared" si="66"/>
        <v>7:7</v>
      </c>
      <c r="F254" s="35" t="s">
        <v>7</v>
      </c>
      <c r="G254" s="35" t="s">
        <v>125</v>
      </c>
      <c r="H254" s="21" t="s">
        <v>37</v>
      </c>
      <c r="I254" s="22" t="s">
        <v>36</v>
      </c>
      <c r="J254" s="23" t="s">
        <v>6</v>
      </c>
      <c r="K254" s="28"/>
      <c r="L254" s="51"/>
      <c r="M254" s="51"/>
      <c r="N254" s="51"/>
      <c r="O254" s="45"/>
      <c r="P254" s="45"/>
      <c r="Q254" s="45"/>
    </row>
    <row r="255" spans="1:17">
      <c r="A255" s="46"/>
      <c r="B255" s="48"/>
      <c r="C255" s="38" t="s">
        <v>144</v>
      </c>
      <c r="D255" s="35">
        <v>1</v>
      </c>
      <c r="E255" s="36" t="str">
        <f t="shared" si="66"/>
        <v>6:6</v>
      </c>
      <c r="F255" s="35" t="s">
        <v>7</v>
      </c>
      <c r="G255" s="35" t="s">
        <v>125</v>
      </c>
      <c r="H255" s="21" t="s">
        <v>37</v>
      </c>
      <c r="I255" s="22" t="s">
        <v>36</v>
      </c>
      <c r="J255" s="23" t="s">
        <v>6</v>
      </c>
      <c r="K255" s="28"/>
      <c r="L255" s="51"/>
      <c r="M255" s="51"/>
      <c r="N255" s="51"/>
      <c r="O255" s="45"/>
      <c r="P255" s="45"/>
      <c r="Q255" s="45"/>
    </row>
    <row r="256" spans="1:17">
      <c r="A256" s="46"/>
      <c r="B256" s="48"/>
      <c r="C256" s="38" t="s">
        <v>145</v>
      </c>
      <c r="D256" s="35">
        <v>1</v>
      </c>
      <c r="E256" s="36" t="str">
        <f t="shared" si="66"/>
        <v>5:5</v>
      </c>
      <c r="F256" s="35" t="s">
        <v>7</v>
      </c>
      <c r="G256" s="35" t="s">
        <v>125</v>
      </c>
      <c r="H256" s="21" t="s">
        <v>37</v>
      </c>
      <c r="I256" s="22" t="s">
        <v>36</v>
      </c>
      <c r="J256" s="23" t="s">
        <v>6</v>
      </c>
      <c r="K256" s="28"/>
      <c r="L256" s="51"/>
      <c r="M256" s="51"/>
      <c r="N256" s="51"/>
      <c r="O256" s="45"/>
      <c r="P256" s="45"/>
      <c r="Q256" s="45"/>
    </row>
    <row r="257" spans="1:17" ht="15.75" thickBot="1">
      <c r="A257" s="46"/>
      <c r="B257" s="48"/>
      <c r="C257" s="38" t="s">
        <v>146</v>
      </c>
      <c r="D257" s="35">
        <v>5</v>
      </c>
      <c r="E257" s="36" t="str">
        <f t="shared" si="66"/>
        <v>4:0</v>
      </c>
      <c r="F257" s="35" t="s">
        <v>46</v>
      </c>
      <c r="G257" s="35" t="s">
        <v>45</v>
      </c>
      <c r="H257" s="25" t="s">
        <v>37</v>
      </c>
      <c r="I257" s="26" t="s">
        <v>36</v>
      </c>
      <c r="J257" s="27" t="s">
        <v>6</v>
      </c>
      <c r="K257" s="28"/>
      <c r="L257" s="51"/>
      <c r="M257" s="51"/>
      <c r="N257" s="51"/>
      <c r="O257" s="45"/>
      <c r="P257" s="45"/>
      <c r="Q257" s="45"/>
    </row>
    <row r="258" spans="1:17">
      <c r="A258" s="52" t="s">
        <v>159</v>
      </c>
      <c r="B258" s="47" t="str">
        <f>DEC2HEX(O258*4)</f>
        <v>40</v>
      </c>
      <c r="C258" s="53" t="str">
        <f>bitConcat(F259:F271)</f>
        <v>32'b00000110000000000000100000000000</v>
      </c>
      <c r="D258" s="53"/>
      <c r="E258" s="53"/>
      <c r="F258" s="53"/>
      <c r="G258" s="53"/>
      <c r="H258" s="53"/>
      <c r="I258" s="53"/>
      <c r="J258" s="53"/>
      <c r="K258" s="53"/>
      <c r="L258" s="50" t="str">
        <f>DEC2HEX(_xlfn.BITLSHIFT(N258,7)+4*O258)</f>
        <v>240</v>
      </c>
      <c r="M258" s="50"/>
      <c r="N258" s="50">
        <v>4</v>
      </c>
      <c r="O258" s="44">
        <v>16</v>
      </c>
      <c r="P258" s="44" t="str">
        <f>DEC2HEX(_xlfn.BITLSHIFT(N258,5)+O258*4)</f>
        <v>C0</v>
      </c>
      <c r="Q258" s="44" t="str">
        <f>BIN2HEX(LEFT(RIGHT(C258,32),4))&amp;BIN2HEX(LEFT(RIGHT(C258,28),4))&amp;BIN2HEX(LEFT(RIGHT(C258,24),4))&amp;BIN2HEX(LEFT(RIGHT(C258,20),4))&amp;BIN2HEX(LEFT(RIGHT(C258,16),4))&amp;BIN2HEX(LEFT(RIGHT(C258,12),4))&amp;BIN2HEX(LEFT(RIGHT(C258,8),4))&amp;BIN2HEX(LEFT(RIGHT(C258,4),4))</f>
        <v>06000800</v>
      </c>
    </row>
    <row r="259" spans="1:17">
      <c r="A259" s="46"/>
      <c r="B259" s="48"/>
      <c r="C259" s="38" t="s">
        <v>160</v>
      </c>
      <c r="D259" s="35">
        <v>1</v>
      </c>
      <c r="E259" s="36" t="str">
        <f>IF(D259&gt;1,(31)&amp;":"&amp;(31-D259+1),(31-D259+1)&amp;":"&amp;(31-D259+1))</f>
        <v>31:31</v>
      </c>
      <c r="F259" s="35" t="s">
        <v>7</v>
      </c>
      <c r="G259" s="35" t="s">
        <v>161</v>
      </c>
      <c r="H259" s="21" t="s">
        <v>37</v>
      </c>
      <c r="I259" s="22" t="s">
        <v>36</v>
      </c>
      <c r="J259" s="23" t="s">
        <v>6</v>
      </c>
      <c r="K259" s="24"/>
      <c r="L259" s="51"/>
      <c r="M259" s="51"/>
      <c r="N259" s="51"/>
      <c r="O259" s="45"/>
      <c r="P259" s="45"/>
      <c r="Q259" s="45"/>
    </row>
    <row r="260" spans="1:17">
      <c r="A260" s="46"/>
      <c r="B260" s="48"/>
      <c r="C260" s="38" t="s">
        <v>162</v>
      </c>
      <c r="D260" s="35">
        <v>3</v>
      </c>
      <c r="E260" s="36" t="str">
        <f t="shared" ref="E260:E271" si="67">(MID(str_cnvt(E259),SEARCH(":",str_cnvt(E259))+1,2)-1) &amp; ":" &amp; (MID(str_cnvt(E259),SEARCH(":",str_cnvt(E259))+1,2)-D260)</f>
        <v>30:28</v>
      </c>
      <c r="F260" s="35" t="s">
        <v>42</v>
      </c>
      <c r="G260" s="35" t="s">
        <v>163</v>
      </c>
      <c r="H260" s="21" t="s">
        <v>37</v>
      </c>
      <c r="I260" s="22" t="s">
        <v>36</v>
      </c>
      <c r="J260" s="23" t="s">
        <v>6</v>
      </c>
      <c r="K260" s="24"/>
      <c r="L260" s="51"/>
      <c r="M260" s="51"/>
      <c r="N260" s="51"/>
      <c r="O260" s="45"/>
      <c r="P260" s="45"/>
      <c r="Q260" s="45"/>
    </row>
    <row r="261" spans="1:17">
      <c r="A261" s="46"/>
      <c r="B261" s="48"/>
      <c r="C261" s="38" t="s">
        <v>164</v>
      </c>
      <c r="D261" s="35">
        <v>1</v>
      </c>
      <c r="E261" s="36" t="str">
        <f t="shared" si="67"/>
        <v>27:27</v>
      </c>
      <c r="F261" s="35" t="s">
        <v>7</v>
      </c>
      <c r="G261" s="35" t="s">
        <v>165</v>
      </c>
      <c r="H261" s="21" t="s">
        <v>37</v>
      </c>
      <c r="I261" s="22" t="s">
        <v>36</v>
      </c>
      <c r="J261" s="23" t="s">
        <v>6</v>
      </c>
      <c r="K261" s="24"/>
      <c r="L261" s="51"/>
      <c r="M261" s="51"/>
      <c r="N261" s="51"/>
      <c r="O261" s="45"/>
      <c r="P261" s="45"/>
      <c r="Q261" s="45"/>
    </row>
    <row r="262" spans="1:17">
      <c r="A262" s="46"/>
      <c r="B262" s="48"/>
      <c r="C262" s="38" t="s">
        <v>166</v>
      </c>
      <c r="D262" s="35">
        <v>2</v>
      </c>
      <c r="E262" s="36" t="str">
        <f t="shared" si="67"/>
        <v>26:25</v>
      </c>
      <c r="F262" s="35" t="s">
        <v>64</v>
      </c>
      <c r="G262" s="35" t="s">
        <v>167</v>
      </c>
      <c r="H262" s="21" t="s">
        <v>37</v>
      </c>
      <c r="I262" s="22" t="s">
        <v>36</v>
      </c>
      <c r="J262" s="23" t="s">
        <v>6</v>
      </c>
      <c r="K262" s="24"/>
      <c r="L262" s="51"/>
      <c r="M262" s="51"/>
      <c r="N262" s="51"/>
      <c r="O262" s="45"/>
      <c r="P262" s="45"/>
      <c r="Q262" s="45"/>
    </row>
    <row r="263" spans="1:17">
      <c r="A263" s="46"/>
      <c r="B263" s="48"/>
      <c r="C263" s="38" t="s">
        <v>168</v>
      </c>
      <c r="D263" s="35">
        <v>1</v>
      </c>
      <c r="E263" s="36" t="str">
        <f t="shared" si="67"/>
        <v>24:24</v>
      </c>
      <c r="F263" s="35" t="s">
        <v>7</v>
      </c>
      <c r="G263" s="35" t="s">
        <v>169</v>
      </c>
      <c r="H263" s="21" t="s">
        <v>37</v>
      </c>
      <c r="I263" s="22" t="s">
        <v>36</v>
      </c>
      <c r="J263" s="23" t="s">
        <v>6</v>
      </c>
      <c r="K263" s="24"/>
      <c r="L263" s="51"/>
      <c r="M263" s="51"/>
      <c r="N263" s="51"/>
      <c r="O263" s="45"/>
      <c r="P263" s="45"/>
      <c r="Q263" s="45"/>
    </row>
    <row r="264" spans="1:17">
      <c r="A264" s="46"/>
      <c r="B264" s="48"/>
      <c r="C264" s="38" t="s">
        <v>170</v>
      </c>
      <c r="D264" s="35">
        <v>2</v>
      </c>
      <c r="E264" s="36" t="str">
        <f t="shared" si="67"/>
        <v>23:22</v>
      </c>
      <c r="F264" s="35" t="s">
        <v>41</v>
      </c>
      <c r="G264" s="35" t="s">
        <v>171</v>
      </c>
      <c r="H264" s="21" t="s">
        <v>37</v>
      </c>
      <c r="I264" s="22" t="s">
        <v>36</v>
      </c>
      <c r="J264" s="23" t="s">
        <v>6</v>
      </c>
      <c r="K264" s="24"/>
      <c r="L264" s="51"/>
      <c r="M264" s="51"/>
      <c r="N264" s="51"/>
      <c r="O264" s="45"/>
      <c r="P264" s="45"/>
      <c r="Q264" s="45"/>
    </row>
    <row r="265" spans="1:17">
      <c r="A265" s="46"/>
      <c r="B265" s="48"/>
      <c r="C265" s="38" t="s">
        <v>172</v>
      </c>
      <c r="D265" s="35">
        <v>1</v>
      </c>
      <c r="E265" s="36" t="str">
        <f t="shared" si="67"/>
        <v>21:21</v>
      </c>
      <c r="F265" s="35" t="s">
        <v>7</v>
      </c>
      <c r="G265" s="35" t="s">
        <v>173</v>
      </c>
      <c r="H265" s="21" t="s">
        <v>37</v>
      </c>
      <c r="I265" s="22" t="s">
        <v>36</v>
      </c>
      <c r="J265" s="23" t="s">
        <v>6</v>
      </c>
      <c r="K265" s="24"/>
      <c r="L265" s="51"/>
      <c r="M265" s="51"/>
      <c r="N265" s="51"/>
      <c r="O265" s="45"/>
      <c r="P265" s="45"/>
      <c r="Q265" s="45"/>
    </row>
    <row r="266" spans="1:17">
      <c r="A266" s="46"/>
      <c r="B266" s="48"/>
      <c r="C266" s="38" t="s">
        <v>174</v>
      </c>
      <c r="D266" s="35">
        <v>2</v>
      </c>
      <c r="E266" s="36" t="str">
        <f t="shared" si="67"/>
        <v>20:19</v>
      </c>
      <c r="F266" s="35" t="s">
        <v>41</v>
      </c>
      <c r="G266" s="35" t="s">
        <v>175</v>
      </c>
      <c r="H266" s="21" t="s">
        <v>37</v>
      </c>
      <c r="I266" s="22" t="s">
        <v>36</v>
      </c>
      <c r="J266" s="23" t="s">
        <v>6</v>
      </c>
      <c r="K266" s="24"/>
      <c r="L266" s="51"/>
      <c r="M266" s="51"/>
      <c r="N266" s="51"/>
      <c r="O266" s="45"/>
      <c r="P266" s="45"/>
      <c r="Q266" s="45"/>
    </row>
    <row r="267" spans="1:17">
      <c r="A267" s="46"/>
      <c r="B267" s="48"/>
      <c r="C267" s="38" t="s">
        <v>176</v>
      </c>
      <c r="D267" s="35">
        <v>1</v>
      </c>
      <c r="E267" s="36" t="str">
        <f t="shared" si="67"/>
        <v>18:18</v>
      </c>
      <c r="F267" s="35" t="s">
        <v>46</v>
      </c>
      <c r="G267" s="35" t="s">
        <v>177</v>
      </c>
      <c r="H267" s="21" t="s">
        <v>37</v>
      </c>
      <c r="I267" s="22" t="s">
        <v>36</v>
      </c>
      <c r="J267" s="23" t="s">
        <v>6</v>
      </c>
      <c r="K267" s="24"/>
      <c r="L267" s="51"/>
      <c r="M267" s="51"/>
      <c r="N267" s="51"/>
      <c r="O267" s="45"/>
      <c r="P267" s="45"/>
      <c r="Q267" s="45"/>
    </row>
    <row r="268" spans="1:17">
      <c r="A268" s="46"/>
      <c r="B268" s="48"/>
      <c r="C268" s="38" t="s">
        <v>178</v>
      </c>
      <c r="D268" s="35">
        <v>1</v>
      </c>
      <c r="E268" s="36" t="str">
        <f t="shared" si="67"/>
        <v>17:17</v>
      </c>
      <c r="F268" s="35" t="s">
        <v>7</v>
      </c>
      <c r="G268" s="35" t="s">
        <v>177</v>
      </c>
      <c r="H268" s="21" t="s">
        <v>37</v>
      </c>
      <c r="I268" s="22" t="s">
        <v>36</v>
      </c>
      <c r="J268" s="23" t="s">
        <v>6</v>
      </c>
      <c r="K268" s="24"/>
      <c r="L268" s="51"/>
      <c r="M268" s="51"/>
      <c r="N268" s="51"/>
      <c r="O268" s="45"/>
      <c r="P268" s="45"/>
      <c r="Q268" s="45"/>
    </row>
    <row r="269" spans="1:17">
      <c r="A269" s="46"/>
      <c r="B269" s="48"/>
      <c r="C269" s="38" t="s">
        <v>179</v>
      </c>
      <c r="D269" s="35">
        <v>5</v>
      </c>
      <c r="E269" s="36" t="str">
        <f t="shared" si="67"/>
        <v>16:12</v>
      </c>
      <c r="F269" s="35" t="s">
        <v>7</v>
      </c>
      <c r="G269" s="35" t="s">
        <v>180</v>
      </c>
      <c r="H269" s="21" t="s">
        <v>37</v>
      </c>
      <c r="I269" s="22" t="s">
        <v>36</v>
      </c>
      <c r="J269" s="23" t="s">
        <v>6</v>
      </c>
      <c r="K269" s="24"/>
      <c r="L269" s="51"/>
      <c r="M269" s="51"/>
      <c r="N269" s="51"/>
      <c r="O269" s="45"/>
      <c r="P269" s="45"/>
      <c r="Q269" s="45"/>
    </row>
    <row r="270" spans="1:17">
      <c r="A270" s="46"/>
      <c r="B270" s="48"/>
      <c r="C270" s="38" t="s">
        <v>181</v>
      </c>
      <c r="D270" s="35">
        <v>1</v>
      </c>
      <c r="E270" s="36" t="str">
        <f t="shared" si="67"/>
        <v>11:11</v>
      </c>
      <c r="F270" s="35" t="s">
        <v>38</v>
      </c>
      <c r="G270" s="35" t="s">
        <v>182</v>
      </c>
      <c r="H270" s="21" t="s">
        <v>37</v>
      </c>
      <c r="I270" s="22" t="s">
        <v>36</v>
      </c>
      <c r="J270" s="23" t="s">
        <v>6</v>
      </c>
      <c r="K270" s="2"/>
      <c r="L270" s="51"/>
      <c r="M270" s="51"/>
      <c r="N270" s="51"/>
      <c r="O270" s="45"/>
      <c r="P270" s="45"/>
      <c r="Q270" s="45"/>
    </row>
    <row r="271" spans="1:17">
      <c r="A271" s="46"/>
      <c r="B271" s="48"/>
      <c r="C271" s="38" t="s">
        <v>183</v>
      </c>
      <c r="D271" s="35">
        <v>11</v>
      </c>
      <c r="E271" s="36" t="str">
        <f t="shared" si="67"/>
        <v>10:0</v>
      </c>
      <c r="F271" s="35" t="s">
        <v>184</v>
      </c>
      <c r="G271" s="35" t="s">
        <v>185</v>
      </c>
      <c r="H271" s="21" t="s">
        <v>37</v>
      </c>
      <c r="I271" s="22" t="s">
        <v>36</v>
      </c>
      <c r="J271" s="23" t="s">
        <v>6</v>
      </c>
      <c r="K271" s="24"/>
      <c r="L271" s="51"/>
      <c r="M271" s="51"/>
      <c r="N271" s="51"/>
      <c r="O271" s="45"/>
      <c r="P271" s="45"/>
      <c r="Q271" s="45"/>
    </row>
    <row r="272" spans="1:17">
      <c r="A272" s="46" t="s">
        <v>186</v>
      </c>
      <c r="B272" s="48" t="str">
        <f>DEC2HEX(O272*4)</f>
        <v>44</v>
      </c>
      <c r="C272" s="49" t="str">
        <f>bitConcat(F273:F281)</f>
        <v>32'b00000000000000000000000000000000</v>
      </c>
      <c r="D272" s="49"/>
      <c r="E272" s="49"/>
      <c r="F272" s="49"/>
      <c r="G272" s="49"/>
      <c r="H272" s="49"/>
      <c r="I272" s="49"/>
      <c r="J272" s="49"/>
      <c r="K272" s="49"/>
      <c r="L272" s="51" t="str">
        <f>DEC2HEX(_xlfn.BITLSHIFT(N272,7)+4*O272)</f>
        <v>244</v>
      </c>
      <c r="M272" s="51"/>
      <c r="N272" s="51">
        <v>4</v>
      </c>
      <c r="O272" s="45">
        <v>17</v>
      </c>
      <c r="P272" s="45" t="str">
        <f>DEC2HEX(_xlfn.BITLSHIFT(N272,5)+O272*4)</f>
        <v>C4</v>
      </c>
      <c r="Q272" s="45" t="str">
        <f>BIN2HEX(LEFT(RIGHT(C272,32),4))&amp;BIN2HEX(LEFT(RIGHT(C272,28),4))&amp;BIN2HEX(LEFT(RIGHT(C272,24),4))&amp;BIN2HEX(LEFT(RIGHT(C272,20),4))&amp;BIN2HEX(LEFT(RIGHT(C272,16),4))&amp;BIN2HEX(LEFT(RIGHT(C272,12),4))&amp;BIN2HEX(LEFT(RIGHT(C272,8),4))&amp;BIN2HEX(LEFT(RIGHT(C272,4),4))</f>
        <v>00000000</v>
      </c>
    </row>
    <row r="273" spans="1:17" ht="285">
      <c r="A273" s="46"/>
      <c r="B273" s="48"/>
      <c r="C273" s="38" t="s">
        <v>187</v>
      </c>
      <c r="D273" s="35">
        <v>4</v>
      </c>
      <c r="E273" s="36" t="str">
        <f>IF(D273&gt;1,(31)&amp;":"&amp;(31-D273+1),(31-D273+1)&amp;":"&amp;(31-D273+1))</f>
        <v>31:28</v>
      </c>
      <c r="F273" s="35" t="s">
        <v>47</v>
      </c>
      <c r="G273" s="43" t="s">
        <v>188</v>
      </c>
      <c r="H273" s="21" t="s">
        <v>37</v>
      </c>
      <c r="I273" s="22" t="s">
        <v>36</v>
      </c>
      <c r="J273" s="23" t="s">
        <v>6</v>
      </c>
      <c r="K273" s="20"/>
      <c r="L273" s="51"/>
      <c r="M273" s="51"/>
      <c r="N273" s="51"/>
      <c r="O273" s="45"/>
      <c r="P273" s="45"/>
      <c r="Q273" s="45"/>
    </row>
    <row r="274" spans="1:17">
      <c r="A274" s="46"/>
      <c r="B274" s="48"/>
      <c r="C274" s="38" t="s">
        <v>189</v>
      </c>
      <c r="D274" s="35">
        <v>4</v>
      </c>
      <c r="E274" s="36" t="str">
        <f t="shared" ref="E274:E281" si="68">(MID(str_cnvt(E273),SEARCH(":",str_cnvt(E273))+1,2)-1) &amp; ":" &amp; (MID(str_cnvt(E273),SEARCH(":",str_cnvt(E273))+1,2)-D274)</f>
        <v>27:24</v>
      </c>
      <c r="F274" s="35" t="s">
        <v>47</v>
      </c>
      <c r="G274" s="35" t="s">
        <v>190</v>
      </c>
      <c r="H274" s="21" t="s">
        <v>37</v>
      </c>
      <c r="I274" s="22" t="s">
        <v>36</v>
      </c>
      <c r="J274" s="23" t="s">
        <v>6</v>
      </c>
      <c r="K274" s="20"/>
      <c r="L274" s="51"/>
      <c r="M274" s="51"/>
      <c r="N274" s="51"/>
      <c r="O274" s="45"/>
      <c r="P274" s="45"/>
      <c r="Q274" s="45"/>
    </row>
    <row r="275" spans="1:17">
      <c r="A275" s="54"/>
      <c r="B275" s="62"/>
      <c r="C275" s="38" t="s">
        <v>191</v>
      </c>
      <c r="D275" s="35">
        <v>1</v>
      </c>
      <c r="E275" s="36" t="str">
        <f t="shared" si="68"/>
        <v>23:23</v>
      </c>
      <c r="F275" s="35" t="s">
        <v>7</v>
      </c>
      <c r="G275" s="35" t="s">
        <v>192</v>
      </c>
      <c r="H275" s="21" t="s">
        <v>37</v>
      </c>
      <c r="I275" s="22" t="s">
        <v>36</v>
      </c>
      <c r="J275" s="23" t="s">
        <v>6</v>
      </c>
      <c r="K275" s="33"/>
      <c r="L275" s="55"/>
      <c r="M275" s="55"/>
      <c r="N275" s="55"/>
      <c r="O275" s="56"/>
      <c r="P275" s="56"/>
      <c r="Q275" s="56"/>
    </row>
    <row r="276" spans="1:17">
      <c r="A276" s="54"/>
      <c r="B276" s="62"/>
      <c r="C276" s="38" t="s">
        <v>193</v>
      </c>
      <c r="D276" s="35">
        <v>1</v>
      </c>
      <c r="E276" s="36" t="str">
        <f t="shared" si="68"/>
        <v>22:22</v>
      </c>
      <c r="F276" s="35" t="s">
        <v>7</v>
      </c>
      <c r="G276" s="35" t="s">
        <v>192</v>
      </c>
      <c r="H276" s="21" t="s">
        <v>37</v>
      </c>
      <c r="I276" s="22" t="s">
        <v>36</v>
      </c>
      <c r="J276" s="23" t="s">
        <v>6</v>
      </c>
      <c r="K276" s="33"/>
      <c r="L276" s="55"/>
      <c r="M276" s="55"/>
      <c r="N276" s="55"/>
      <c r="O276" s="56"/>
      <c r="P276" s="56"/>
      <c r="Q276" s="56"/>
    </row>
    <row r="277" spans="1:17">
      <c r="A277" s="54"/>
      <c r="B277" s="62"/>
      <c r="C277" s="38" t="s">
        <v>194</v>
      </c>
      <c r="D277" s="35">
        <v>1</v>
      </c>
      <c r="E277" s="36" t="str">
        <f t="shared" si="68"/>
        <v>21:21</v>
      </c>
      <c r="F277" s="35" t="s">
        <v>7</v>
      </c>
      <c r="G277" s="35" t="s">
        <v>195</v>
      </c>
      <c r="H277" s="21" t="s">
        <v>37</v>
      </c>
      <c r="I277" s="22" t="s">
        <v>36</v>
      </c>
      <c r="J277" s="23" t="s">
        <v>6</v>
      </c>
      <c r="K277" s="33"/>
      <c r="L277" s="55"/>
      <c r="M277" s="55"/>
      <c r="N277" s="55"/>
      <c r="O277" s="56"/>
      <c r="P277" s="56"/>
      <c r="Q277" s="56"/>
    </row>
    <row r="278" spans="1:17">
      <c r="A278" s="54"/>
      <c r="B278" s="62"/>
      <c r="C278" s="38" t="s">
        <v>196</v>
      </c>
      <c r="D278" s="35">
        <v>1</v>
      </c>
      <c r="E278" s="36" t="str">
        <f t="shared" si="68"/>
        <v>20:20</v>
      </c>
      <c r="F278" s="35" t="s">
        <v>7</v>
      </c>
      <c r="G278" s="35" t="s">
        <v>197</v>
      </c>
      <c r="H278" s="21" t="s">
        <v>37</v>
      </c>
      <c r="I278" s="22" t="s">
        <v>36</v>
      </c>
      <c r="J278" s="23" t="s">
        <v>6</v>
      </c>
      <c r="K278" s="33"/>
      <c r="L278" s="55"/>
      <c r="M278" s="55"/>
      <c r="N278" s="55"/>
      <c r="O278" s="56"/>
      <c r="P278" s="56"/>
      <c r="Q278" s="56"/>
    </row>
    <row r="279" spans="1:17">
      <c r="A279" s="54"/>
      <c r="B279" s="62"/>
      <c r="C279" s="38" t="s">
        <v>198</v>
      </c>
      <c r="D279" s="35">
        <v>1</v>
      </c>
      <c r="E279" s="36" t="str">
        <f t="shared" si="68"/>
        <v>19:19</v>
      </c>
      <c r="F279" s="35" t="s">
        <v>7</v>
      </c>
      <c r="G279" s="35" t="s">
        <v>199</v>
      </c>
      <c r="H279" s="21" t="s">
        <v>37</v>
      </c>
      <c r="I279" s="22" t="s">
        <v>36</v>
      </c>
      <c r="J279" s="23" t="s">
        <v>6</v>
      </c>
      <c r="K279" s="33"/>
      <c r="L279" s="55"/>
      <c r="M279" s="55"/>
      <c r="N279" s="55"/>
      <c r="O279" s="56"/>
      <c r="P279" s="56"/>
      <c r="Q279" s="56"/>
    </row>
    <row r="280" spans="1:17">
      <c r="A280" s="54"/>
      <c r="B280" s="62"/>
      <c r="C280" s="38" t="s">
        <v>200</v>
      </c>
      <c r="D280" s="35">
        <v>1</v>
      </c>
      <c r="E280" s="36" t="str">
        <f t="shared" si="68"/>
        <v>18:18</v>
      </c>
      <c r="F280" s="35" t="s">
        <v>7</v>
      </c>
      <c r="G280" s="35" t="s">
        <v>199</v>
      </c>
      <c r="H280" s="21" t="s">
        <v>37</v>
      </c>
      <c r="I280" s="22" t="s">
        <v>36</v>
      </c>
      <c r="J280" s="23" t="s">
        <v>6</v>
      </c>
      <c r="K280" s="33"/>
      <c r="L280" s="55"/>
      <c r="M280" s="55"/>
      <c r="N280" s="55"/>
      <c r="O280" s="56"/>
      <c r="P280" s="56"/>
      <c r="Q280" s="56"/>
    </row>
    <row r="281" spans="1:17" ht="15.75" thickBot="1">
      <c r="A281" s="61"/>
      <c r="B281" s="63"/>
      <c r="C281" s="38" t="s">
        <v>201</v>
      </c>
      <c r="D281" s="35">
        <v>18</v>
      </c>
      <c r="E281" s="36" t="str">
        <f t="shared" si="68"/>
        <v>17:0</v>
      </c>
      <c r="F281" s="35" t="s">
        <v>57</v>
      </c>
      <c r="G281" s="35" t="s">
        <v>202</v>
      </c>
      <c r="H281" s="29" t="s">
        <v>37</v>
      </c>
      <c r="I281" s="30" t="s">
        <v>36</v>
      </c>
      <c r="J281" s="31" t="s">
        <v>6</v>
      </c>
      <c r="K281" s="32"/>
      <c r="L281" s="64"/>
      <c r="M281" s="64"/>
      <c r="N281" s="64"/>
      <c r="O281" s="65"/>
      <c r="P281" s="65"/>
      <c r="Q281" s="65"/>
    </row>
    <row r="282" spans="1:17">
      <c r="A282" s="70" t="s">
        <v>203</v>
      </c>
      <c r="B282" s="70">
        <v>48</v>
      </c>
      <c r="C282" s="49" t="str">
        <f>bitConcat(F283:F287)</f>
        <v>32'b00000000001101101100000000000000</v>
      </c>
      <c r="D282" s="49"/>
      <c r="E282" s="49"/>
      <c r="F282" s="49"/>
      <c r="G282" s="49"/>
      <c r="H282" s="49"/>
      <c r="I282" s="49"/>
      <c r="J282" s="49"/>
      <c r="K282" s="49"/>
      <c r="L282" s="66" t="str">
        <f>DEC2HEX(_xlfn.BITLSHIFT(N282,7)+4*O282)</f>
        <v>248</v>
      </c>
      <c r="M282" s="66"/>
      <c r="N282" s="66">
        <v>4</v>
      </c>
      <c r="O282" s="66">
        <v>18</v>
      </c>
      <c r="P282" s="66" t="str">
        <f>DEC2HEX(_xlfn.BITLSHIFT(N282,5)+O282*4)</f>
        <v>C8</v>
      </c>
      <c r="Q282" s="66" t="str">
        <f>BIN2HEX(LEFT(RIGHT(C282,32),4))&amp;BIN2HEX(LEFT(RIGHT(C282,28),4))&amp;BIN2HEX(LEFT(RIGHT(C282,24),4))&amp;BIN2HEX(LEFT(RIGHT(C282,20),4))&amp;BIN2HEX(LEFT(RIGHT(C282,16),4))&amp;BIN2HEX(LEFT(RIGHT(C282,12),4))&amp;BIN2HEX(LEFT(RIGHT(C282,8),4))&amp;BIN2HEX(LEFT(RIGHT(C282,4),4))</f>
        <v>0036C000</v>
      </c>
    </row>
    <row r="283" spans="1:17">
      <c r="A283" s="71"/>
      <c r="B283" s="71"/>
      <c r="C283" s="38" t="s">
        <v>204</v>
      </c>
      <c r="D283" s="38">
        <v>8</v>
      </c>
      <c r="E283" s="38" t="s">
        <v>62</v>
      </c>
      <c r="F283" s="38" t="s">
        <v>211</v>
      </c>
      <c r="G283" s="38" t="s">
        <v>213</v>
      </c>
      <c r="H283" s="21" t="s">
        <v>37</v>
      </c>
      <c r="I283" s="22" t="s">
        <v>36</v>
      </c>
      <c r="J283" s="23" t="s">
        <v>6</v>
      </c>
      <c r="K283" s="33"/>
      <c r="L283" s="67"/>
      <c r="M283" s="67"/>
      <c r="N283" s="67"/>
      <c r="O283" s="67"/>
      <c r="P283" s="67"/>
      <c r="Q283" s="67"/>
    </row>
    <row r="284" spans="1:17">
      <c r="A284" s="71"/>
      <c r="B284" s="71"/>
      <c r="C284" s="38" t="s">
        <v>205</v>
      </c>
      <c r="D284" s="38">
        <v>8</v>
      </c>
      <c r="E284" s="38" t="s">
        <v>209</v>
      </c>
      <c r="F284" s="38" t="s">
        <v>212</v>
      </c>
      <c r="G284" s="38" t="s">
        <v>214</v>
      </c>
      <c r="H284" s="21" t="s">
        <v>37</v>
      </c>
      <c r="I284" s="22" t="s">
        <v>36</v>
      </c>
      <c r="J284" s="23" t="s">
        <v>6</v>
      </c>
      <c r="K284" s="33"/>
      <c r="L284" s="67"/>
      <c r="M284" s="67"/>
      <c r="N284" s="67"/>
      <c r="O284" s="67"/>
      <c r="P284" s="67"/>
      <c r="Q284" s="67"/>
    </row>
    <row r="285" spans="1:17">
      <c r="A285" s="71"/>
      <c r="B285" s="71"/>
      <c r="C285" s="38" t="s">
        <v>206</v>
      </c>
      <c r="D285" s="38">
        <v>1</v>
      </c>
      <c r="E285" s="38" t="s">
        <v>63</v>
      </c>
      <c r="F285" s="38" t="s">
        <v>38</v>
      </c>
      <c r="G285" s="38" t="s">
        <v>216</v>
      </c>
      <c r="H285" s="21" t="s">
        <v>37</v>
      </c>
      <c r="I285" s="22" t="s">
        <v>36</v>
      </c>
      <c r="J285" s="23" t="s">
        <v>6</v>
      </c>
      <c r="K285" s="33"/>
      <c r="L285" s="67"/>
      <c r="M285" s="67"/>
      <c r="N285" s="67"/>
      <c r="O285" s="67"/>
      <c r="P285" s="67"/>
      <c r="Q285" s="67"/>
    </row>
    <row r="286" spans="1:17">
      <c r="A286" s="71"/>
      <c r="B286" s="71"/>
      <c r="C286" s="38" t="s">
        <v>207</v>
      </c>
      <c r="D286" s="38">
        <v>1</v>
      </c>
      <c r="E286" s="38" t="s">
        <v>210</v>
      </c>
      <c r="F286" s="38" t="s">
        <v>38</v>
      </c>
      <c r="G286" s="38" t="s">
        <v>215</v>
      </c>
      <c r="H286" s="21" t="s">
        <v>37</v>
      </c>
      <c r="I286" s="22" t="s">
        <v>36</v>
      </c>
      <c r="J286" s="23" t="s">
        <v>6</v>
      </c>
      <c r="K286" s="33"/>
      <c r="L286" s="67"/>
      <c r="M286" s="67"/>
      <c r="N286" s="67"/>
      <c r="O286" s="67"/>
      <c r="P286" s="67"/>
      <c r="Q286" s="67"/>
    </row>
    <row r="287" spans="1:17" ht="15.75" thickBot="1">
      <c r="A287" s="72"/>
      <c r="B287" s="72"/>
      <c r="C287" s="38" t="s">
        <v>55</v>
      </c>
      <c r="D287" s="38">
        <v>14</v>
      </c>
      <c r="E287" s="38" t="s">
        <v>208</v>
      </c>
      <c r="F287" s="38" t="s">
        <v>58</v>
      </c>
      <c r="G287" s="38" t="s">
        <v>55</v>
      </c>
      <c r="H287" s="21" t="s">
        <v>37</v>
      </c>
      <c r="I287" s="22" t="s">
        <v>36</v>
      </c>
      <c r="J287" s="23" t="s">
        <v>6</v>
      </c>
      <c r="K287" s="20"/>
      <c r="L287" s="59"/>
      <c r="M287" s="59"/>
      <c r="N287" s="59"/>
      <c r="O287" s="59"/>
      <c r="P287" s="59"/>
      <c r="Q287" s="59"/>
    </row>
    <row r="288" spans="1:17">
      <c r="A288" s="73" t="s">
        <v>53</v>
      </c>
      <c r="B288" s="74" t="s">
        <v>56</v>
      </c>
      <c r="C288" s="76" t="str">
        <f>bitConcat(F289:F289)</f>
        <v>32'b00000000000000000000000000000000</v>
      </c>
      <c r="D288" s="77"/>
      <c r="E288" s="77"/>
      <c r="F288" s="77"/>
      <c r="G288" s="77"/>
      <c r="H288" s="77"/>
      <c r="I288" s="77"/>
      <c r="J288" s="77"/>
      <c r="K288" s="78"/>
      <c r="L288" s="42" t="str">
        <f>DEC2HEX(_xlfn.BITLSHIFT(N288,7)+4*O288)</f>
        <v>24C</v>
      </c>
      <c r="M288" s="42"/>
      <c r="N288" s="55">
        <v>4</v>
      </c>
      <c r="O288" s="55">
        <v>19</v>
      </c>
      <c r="P288" s="66" t="str">
        <f>DEC2HEX(_xlfn.BITLSHIFT(N288,5)+O288*4)</f>
        <v>CC</v>
      </c>
      <c r="Q288" s="68" t="str">
        <f t="shared" ref="Q288" si="69">BIN2HEX(LEFT(RIGHT(C288,32),4))&amp;BIN2HEX(LEFT(RIGHT(C288,28),4))&amp;BIN2HEX(LEFT(RIGHT(C288,24),4))&amp;BIN2HEX(LEFT(RIGHT(C288,20),4))&amp;BIN2HEX(LEFT(RIGHT(C288,16),4))&amp;BIN2HEX(LEFT(RIGHT(C288,12),4))&amp;BIN2HEX(LEFT(RIGHT(C288,8),4))&amp;BIN2HEX(LEFT(RIGHT(C288,4),4))</f>
        <v>00000000</v>
      </c>
    </row>
    <row r="289" spans="1:17" ht="15.75" thickBot="1">
      <c r="A289" s="72"/>
      <c r="B289" s="75"/>
      <c r="C289" s="37" t="s">
        <v>53</v>
      </c>
      <c r="D289" s="35">
        <v>32</v>
      </c>
      <c r="E289" s="36" t="s">
        <v>54</v>
      </c>
      <c r="F289" s="35" t="s">
        <v>52</v>
      </c>
      <c r="G289" s="38" t="s">
        <v>53</v>
      </c>
      <c r="H289" s="39" t="s">
        <v>37</v>
      </c>
      <c r="I289" s="40" t="s">
        <v>36</v>
      </c>
      <c r="J289" s="41" t="s">
        <v>6</v>
      </c>
      <c r="K289" s="38"/>
      <c r="L289" s="34"/>
      <c r="M289" s="34"/>
      <c r="N289" s="59"/>
      <c r="O289" s="59"/>
      <c r="P289" s="79"/>
      <c r="Q289" s="69"/>
    </row>
    <row r="290" spans="1:17">
      <c r="A290" s="73" t="s">
        <v>53</v>
      </c>
      <c r="B290" s="74">
        <v>50</v>
      </c>
      <c r="C290" s="76" t="str">
        <f>bitConcat(F291:F291)</f>
        <v>32'b00000000000000000000000000000000</v>
      </c>
      <c r="D290" s="77"/>
      <c r="E290" s="77"/>
      <c r="F290" s="77"/>
      <c r="G290" s="77"/>
      <c r="H290" s="77"/>
      <c r="I290" s="77"/>
      <c r="J290" s="77"/>
      <c r="K290" s="78"/>
      <c r="L290" s="42" t="str">
        <f>DEC2HEX(_xlfn.BITLSHIFT(N290,7)+4*O290)</f>
        <v>250</v>
      </c>
      <c r="M290" s="42"/>
      <c r="N290" s="55">
        <v>4</v>
      </c>
      <c r="O290" s="55">
        <v>20</v>
      </c>
      <c r="P290" s="66" t="str">
        <f>DEC2HEX(_xlfn.BITLSHIFT(N290,5)+O290*4)</f>
        <v>D0</v>
      </c>
      <c r="Q290" s="68" t="str">
        <f t="shared" ref="Q290" si="70">BIN2HEX(LEFT(RIGHT(C290,32),4))&amp;BIN2HEX(LEFT(RIGHT(C290,28),4))&amp;BIN2HEX(LEFT(RIGHT(C290,24),4))&amp;BIN2HEX(LEFT(RIGHT(C290,20),4))&amp;BIN2HEX(LEFT(RIGHT(C290,16),4))&amp;BIN2HEX(LEFT(RIGHT(C290,12),4))&amp;BIN2HEX(LEFT(RIGHT(C290,8),4))&amp;BIN2HEX(LEFT(RIGHT(C290,4),4))</f>
        <v>00000000</v>
      </c>
    </row>
    <row r="291" spans="1:17" ht="15.75" thickBot="1">
      <c r="A291" s="72"/>
      <c r="B291" s="75"/>
      <c r="C291" s="37" t="s">
        <v>53</v>
      </c>
      <c r="D291" s="35">
        <v>32</v>
      </c>
      <c r="E291" s="36" t="s">
        <v>54</v>
      </c>
      <c r="F291" s="35" t="s">
        <v>52</v>
      </c>
      <c r="G291" s="38" t="s">
        <v>53</v>
      </c>
      <c r="H291" s="39" t="s">
        <v>37</v>
      </c>
      <c r="I291" s="40" t="s">
        <v>36</v>
      </c>
      <c r="J291" s="41" t="s">
        <v>6</v>
      </c>
      <c r="K291" s="38"/>
      <c r="L291" s="34"/>
      <c r="M291" s="34"/>
      <c r="N291" s="59"/>
      <c r="O291" s="59"/>
      <c r="P291" s="79"/>
      <c r="Q291" s="69"/>
    </row>
    <row r="292" spans="1:17">
      <c r="A292" s="73" t="s">
        <v>53</v>
      </c>
      <c r="B292" s="74">
        <v>54</v>
      </c>
      <c r="C292" s="76" t="str">
        <f>bitConcat(F293:F293)</f>
        <v>32'b00000000000000000000000000000000</v>
      </c>
      <c r="D292" s="77"/>
      <c r="E292" s="77"/>
      <c r="F292" s="77"/>
      <c r="G292" s="77"/>
      <c r="H292" s="77"/>
      <c r="I292" s="77"/>
      <c r="J292" s="77"/>
      <c r="K292" s="78"/>
      <c r="L292" s="42" t="str">
        <f>DEC2HEX(_xlfn.BITLSHIFT(N292,7)+4*O292)</f>
        <v>254</v>
      </c>
      <c r="M292" s="42"/>
      <c r="N292" s="55">
        <v>4</v>
      </c>
      <c r="O292" s="55">
        <v>21</v>
      </c>
      <c r="P292" s="66" t="str">
        <f>DEC2HEX(_xlfn.BITLSHIFT(N292,5)+O292*4)</f>
        <v>D4</v>
      </c>
      <c r="Q292" s="68" t="str">
        <f t="shared" ref="Q292" si="71">BIN2HEX(LEFT(RIGHT(C292,32),4))&amp;BIN2HEX(LEFT(RIGHT(C292,28),4))&amp;BIN2HEX(LEFT(RIGHT(C292,24),4))&amp;BIN2HEX(LEFT(RIGHT(C292,20),4))&amp;BIN2HEX(LEFT(RIGHT(C292,16),4))&amp;BIN2HEX(LEFT(RIGHT(C292,12),4))&amp;BIN2HEX(LEFT(RIGHT(C292,8),4))&amp;BIN2HEX(LEFT(RIGHT(C292,4),4))</f>
        <v>00000000</v>
      </c>
    </row>
    <row r="293" spans="1:17" ht="15.75" thickBot="1">
      <c r="A293" s="72"/>
      <c r="B293" s="75"/>
      <c r="C293" s="37" t="s">
        <v>53</v>
      </c>
      <c r="D293" s="35">
        <v>32</v>
      </c>
      <c r="E293" s="36" t="s">
        <v>54</v>
      </c>
      <c r="F293" s="35" t="s">
        <v>52</v>
      </c>
      <c r="G293" s="38" t="s">
        <v>53</v>
      </c>
      <c r="H293" s="39" t="s">
        <v>37</v>
      </c>
      <c r="I293" s="40" t="s">
        <v>36</v>
      </c>
      <c r="J293" s="41" t="s">
        <v>6</v>
      </c>
      <c r="K293" s="38"/>
      <c r="L293" s="34"/>
      <c r="M293" s="34"/>
      <c r="N293" s="59"/>
      <c r="O293" s="59"/>
      <c r="P293" s="79"/>
      <c r="Q293" s="69"/>
    </row>
    <row r="294" spans="1:17">
      <c r="A294" s="73" t="s">
        <v>53</v>
      </c>
      <c r="B294" s="74">
        <v>58</v>
      </c>
      <c r="C294" s="76" t="str">
        <f>bitConcat(F295:F295)</f>
        <v>32'b00000000000000000000000000000000</v>
      </c>
      <c r="D294" s="77"/>
      <c r="E294" s="77"/>
      <c r="F294" s="77"/>
      <c r="G294" s="77"/>
      <c r="H294" s="77"/>
      <c r="I294" s="77"/>
      <c r="J294" s="77"/>
      <c r="K294" s="78"/>
      <c r="L294" s="42" t="str">
        <f>DEC2HEX(_xlfn.BITLSHIFT(N294,7)+4*O294)</f>
        <v>258</v>
      </c>
      <c r="M294" s="42"/>
      <c r="N294" s="55">
        <v>4</v>
      </c>
      <c r="O294" s="55">
        <v>22</v>
      </c>
      <c r="P294" s="66" t="str">
        <f>DEC2HEX(_xlfn.BITLSHIFT(N294,5)+O294*4)</f>
        <v>D8</v>
      </c>
      <c r="Q294" s="68" t="str">
        <f t="shared" ref="Q294" si="72">BIN2HEX(LEFT(RIGHT(C294,32),4))&amp;BIN2HEX(LEFT(RIGHT(C294,28),4))&amp;BIN2HEX(LEFT(RIGHT(C294,24),4))&amp;BIN2HEX(LEFT(RIGHT(C294,20),4))&amp;BIN2HEX(LEFT(RIGHT(C294,16),4))&amp;BIN2HEX(LEFT(RIGHT(C294,12),4))&amp;BIN2HEX(LEFT(RIGHT(C294,8),4))&amp;BIN2HEX(LEFT(RIGHT(C294,4),4))</f>
        <v>00000000</v>
      </c>
    </row>
    <row r="295" spans="1:17" ht="15.75" thickBot="1">
      <c r="A295" s="72"/>
      <c r="B295" s="75"/>
      <c r="C295" s="37" t="s">
        <v>53</v>
      </c>
      <c r="D295" s="35">
        <v>32</v>
      </c>
      <c r="E295" s="36" t="s">
        <v>54</v>
      </c>
      <c r="F295" s="35" t="s">
        <v>52</v>
      </c>
      <c r="G295" s="38" t="s">
        <v>53</v>
      </c>
      <c r="H295" s="39" t="s">
        <v>37</v>
      </c>
      <c r="I295" s="40" t="s">
        <v>36</v>
      </c>
      <c r="J295" s="41" t="s">
        <v>6</v>
      </c>
      <c r="K295" s="38"/>
      <c r="L295" s="34"/>
      <c r="M295" s="34"/>
      <c r="N295" s="59"/>
      <c r="O295" s="59"/>
      <c r="P295" s="79"/>
      <c r="Q295" s="69"/>
    </row>
    <row r="296" spans="1:17">
      <c r="A296" s="73" t="s">
        <v>53</v>
      </c>
      <c r="B296" s="74" t="s">
        <v>59</v>
      </c>
      <c r="C296" s="76" t="str">
        <f>bitConcat(F297:F297)</f>
        <v>32'b00000000000000000000000000000000</v>
      </c>
      <c r="D296" s="77"/>
      <c r="E296" s="77"/>
      <c r="F296" s="77"/>
      <c r="G296" s="77"/>
      <c r="H296" s="77"/>
      <c r="I296" s="77"/>
      <c r="J296" s="77"/>
      <c r="K296" s="78"/>
      <c r="L296" s="42" t="str">
        <f>DEC2HEX(_xlfn.BITLSHIFT(N296,7)+4*O296)</f>
        <v>25C</v>
      </c>
      <c r="M296" s="42"/>
      <c r="N296" s="55">
        <v>4</v>
      </c>
      <c r="O296" s="55">
        <v>23</v>
      </c>
      <c r="P296" s="66" t="str">
        <f>DEC2HEX(_xlfn.BITLSHIFT(N296,5)+O296*4)</f>
        <v>DC</v>
      </c>
      <c r="Q296" s="68" t="str">
        <f t="shared" ref="Q296" si="73">BIN2HEX(LEFT(RIGHT(C296,32),4))&amp;BIN2HEX(LEFT(RIGHT(C296,28),4))&amp;BIN2HEX(LEFT(RIGHT(C296,24),4))&amp;BIN2HEX(LEFT(RIGHT(C296,20),4))&amp;BIN2HEX(LEFT(RIGHT(C296,16),4))&amp;BIN2HEX(LEFT(RIGHT(C296,12),4))&amp;BIN2HEX(LEFT(RIGHT(C296,8),4))&amp;BIN2HEX(LEFT(RIGHT(C296,4),4))</f>
        <v>00000000</v>
      </c>
    </row>
    <row r="297" spans="1:17" ht="15.75" thickBot="1">
      <c r="A297" s="72"/>
      <c r="B297" s="75"/>
      <c r="C297" s="37" t="s">
        <v>53</v>
      </c>
      <c r="D297" s="35">
        <v>32</v>
      </c>
      <c r="E297" s="36" t="s">
        <v>54</v>
      </c>
      <c r="F297" s="35" t="s">
        <v>52</v>
      </c>
      <c r="G297" s="38" t="s">
        <v>53</v>
      </c>
      <c r="H297" s="39" t="s">
        <v>37</v>
      </c>
      <c r="I297" s="40" t="s">
        <v>36</v>
      </c>
      <c r="J297" s="41" t="s">
        <v>6</v>
      </c>
      <c r="K297" s="38"/>
      <c r="L297" s="34"/>
      <c r="M297" s="34"/>
      <c r="N297" s="59"/>
      <c r="O297" s="59"/>
      <c r="P297" s="79"/>
      <c r="Q297" s="69"/>
    </row>
    <row r="298" spans="1:17">
      <c r="A298" s="73" t="s">
        <v>53</v>
      </c>
      <c r="B298" s="74">
        <v>60</v>
      </c>
      <c r="C298" s="76" t="str">
        <f>bitConcat(F299:F299)</f>
        <v>32'b00000000000000000000000000000000</v>
      </c>
      <c r="D298" s="77"/>
      <c r="E298" s="77"/>
      <c r="F298" s="77"/>
      <c r="G298" s="77"/>
      <c r="H298" s="77"/>
      <c r="I298" s="77"/>
      <c r="J298" s="77"/>
      <c r="K298" s="78"/>
      <c r="L298" s="42" t="str">
        <f>DEC2HEX(_xlfn.BITLSHIFT(N298,7)+4*O298)</f>
        <v>260</v>
      </c>
      <c r="M298" s="42"/>
      <c r="N298" s="55">
        <v>4</v>
      </c>
      <c r="O298" s="55">
        <v>24</v>
      </c>
      <c r="P298" s="66" t="str">
        <f>DEC2HEX(_xlfn.BITLSHIFT(N298,5)+O298*4)</f>
        <v>E0</v>
      </c>
      <c r="Q298" s="68" t="str">
        <f t="shared" ref="Q298" si="74">BIN2HEX(LEFT(RIGHT(C298,32),4))&amp;BIN2HEX(LEFT(RIGHT(C298,28),4))&amp;BIN2HEX(LEFT(RIGHT(C298,24),4))&amp;BIN2HEX(LEFT(RIGHT(C298,20),4))&amp;BIN2HEX(LEFT(RIGHT(C298,16),4))&amp;BIN2HEX(LEFT(RIGHT(C298,12),4))&amp;BIN2HEX(LEFT(RIGHT(C298,8),4))&amp;BIN2HEX(LEFT(RIGHT(C298,4),4))</f>
        <v>00000000</v>
      </c>
    </row>
    <row r="299" spans="1:17" ht="15.75" thickBot="1">
      <c r="A299" s="72"/>
      <c r="B299" s="75"/>
      <c r="C299" s="37" t="s">
        <v>53</v>
      </c>
      <c r="D299" s="35">
        <v>32</v>
      </c>
      <c r="E299" s="36" t="s">
        <v>54</v>
      </c>
      <c r="F299" s="35" t="s">
        <v>52</v>
      </c>
      <c r="G299" s="38" t="s">
        <v>53</v>
      </c>
      <c r="H299" s="39" t="s">
        <v>37</v>
      </c>
      <c r="I299" s="40" t="s">
        <v>36</v>
      </c>
      <c r="J299" s="41" t="s">
        <v>6</v>
      </c>
      <c r="K299" s="38"/>
      <c r="L299" s="34"/>
      <c r="M299" s="34"/>
      <c r="N299" s="59"/>
      <c r="O299" s="59"/>
      <c r="P299" s="79"/>
      <c r="Q299" s="69"/>
    </row>
    <row r="300" spans="1:17">
      <c r="A300" s="73" t="s">
        <v>53</v>
      </c>
      <c r="B300" s="74">
        <v>64</v>
      </c>
      <c r="C300" s="76" t="str">
        <f>bitConcat(F301:F301)</f>
        <v>32'b00000000000000000000000000000000</v>
      </c>
      <c r="D300" s="77"/>
      <c r="E300" s="77"/>
      <c r="F300" s="77"/>
      <c r="G300" s="77"/>
      <c r="H300" s="77"/>
      <c r="I300" s="77"/>
      <c r="J300" s="77"/>
      <c r="K300" s="78"/>
      <c r="L300" s="42" t="str">
        <f>DEC2HEX(_xlfn.BITLSHIFT(N300,7)+4*O300)</f>
        <v>264</v>
      </c>
      <c r="M300" s="42"/>
      <c r="N300" s="55">
        <v>4</v>
      </c>
      <c r="O300" s="55">
        <v>25</v>
      </c>
      <c r="P300" s="66" t="str">
        <f>DEC2HEX(_xlfn.BITLSHIFT(N300,5)+O300*4)</f>
        <v>E4</v>
      </c>
      <c r="Q300" s="68" t="str">
        <f t="shared" ref="Q300" si="75">BIN2HEX(LEFT(RIGHT(C300,32),4))&amp;BIN2HEX(LEFT(RIGHT(C300,28),4))&amp;BIN2HEX(LEFT(RIGHT(C300,24),4))&amp;BIN2HEX(LEFT(RIGHT(C300,20),4))&amp;BIN2HEX(LEFT(RIGHT(C300,16),4))&amp;BIN2HEX(LEFT(RIGHT(C300,12),4))&amp;BIN2HEX(LEFT(RIGHT(C300,8),4))&amp;BIN2HEX(LEFT(RIGHT(C300,4),4))</f>
        <v>00000000</v>
      </c>
    </row>
    <row r="301" spans="1:17" ht="15.75" thickBot="1">
      <c r="A301" s="72"/>
      <c r="B301" s="75"/>
      <c r="C301" s="37" t="s">
        <v>53</v>
      </c>
      <c r="D301" s="35">
        <v>32</v>
      </c>
      <c r="E301" s="36" t="s">
        <v>54</v>
      </c>
      <c r="F301" s="35" t="s">
        <v>52</v>
      </c>
      <c r="G301" s="38" t="s">
        <v>53</v>
      </c>
      <c r="H301" s="39" t="s">
        <v>37</v>
      </c>
      <c r="I301" s="40" t="s">
        <v>36</v>
      </c>
      <c r="J301" s="41" t="s">
        <v>6</v>
      </c>
      <c r="K301" s="38"/>
      <c r="L301" s="34"/>
      <c r="M301" s="34"/>
      <c r="N301" s="59"/>
      <c r="O301" s="59"/>
      <c r="P301" s="79"/>
      <c r="Q301" s="69"/>
    </row>
    <row r="302" spans="1:17">
      <c r="A302" s="73" t="s">
        <v>53</v>
      </c>
      <c r="B302" s="74">
        <v>68</v>
      </c>
      <c r="C302" s="76" t="str">
        <f>bitConcat(F303:F303)</f>
        <v>32'b00000000000000000000000000000000</v>
      </c>
      <c r="D302" s="77"/>
      <c r="E302" s="77"/>
      <c r="F302" s="77"/>
      <c r="G302" s="77"/>
      <c r="H302" s="77"/>
      <c r="I302" s="77"/>
      <c r="J302" s="77"/>
      <c r="K302" s="78"/>
      <c r="L302" s="42" t="str">
        <f>DEC2HEX(_xlfn.BITLSHIFT(N302,7)+4*O302)</f>
        <v>268</v>
      </c>
      <c r="M302" s="42"/>
      <c r="N302" s="55">
        <v>4</v>
      </c>
      <c r="O302" s="55">
        <v>26</v>
      </c>
      <c r="P302" s="66" t="str">
        <f>DEC2HEX(_xlfn.BITLSHIFT(N302,5)+O302*4)</f>
        <v>E8</v>
      </c>
      <c r="Q302" s="68" t="str">
        <f t="shared" ref="Q302" si="76">BIN2HEX(LEFT(RIGHT(C302,32),4))&amp;BIN2HEX(LEFT(RIGHT(C302,28),4))&amp;BIN2HEX(LEFT(RIGHT(C302,24),4))&amp;BIN2HEX(LEFT(RIGHT(C302,20),4))&amp;BIN2HEX(LEFT(RIGHT(C302,16),4))&amp;BIN2HEX(LEFT(RIGHT(C302,12),4))&amp;BIN2HEX(LEFT(RIGHT(C302,8),4))&amp;BIN2HEX(LEFT(RIGHT(C302,4),4))</f>
        <v>00000000</v>
      </c>
    </row>
    <row r="303" spans="1:17" ht="15.75" thickBot="1">
      <c r="A303" s="72"/>
      <c r="B303" s="75"/>
      <c r="C303" s="37" t="s">
        <v>53</v>
      </c>
      <c r="D303" s="35">
        <v>32</v>
      </c>
      <c r="E303" s="36" t="s">
        <v>54</v>
      </c>
      <c r="F303" s="35" t="s">
        <v>52</v>
      </c>
      <c r="G303" s="38" t="s">
        <v>53</v>
      </c>
      <c r="H303" s="39" t="s">
        <v>37</v>
      </c>
      <c r="I303" s="40" t="s">
        <v>36</v>
      </c>
      <c r="J303" s="41" t="s">
        <v>6</v>
      </c>
      <c r="K303" s="38"/>
      <c r="L303" s="34"/>
      <c r="M303" s="34"/>
      <c r="N303" s="59"/>
      <c r="O303" s="59"/>
      <c r="P303" s="79"/>
      <c r="Q303" s="69"/>
    </row>
    <row r="304" spans="1:17">
      <c r="A304" s="73" t="s">
        <v>53</v>
      </c>
      <c r="B304" s="74" t="s">
        <v>60</v>
      </c>
      <c r="C304" s="76" t="str">
        <f>bitConcat(F305:F305)</f>
        <v>32'b00000000000000000000000000000000</v>
      </c>
      <c r="D304" s="77"/>
      <c r="E304" s="77"/>
      <c r="F304" s="77"/>
      <c r="G304" s="77"/>
      <c r="H304" s="77"/>
      <c r="I304" s="77"/>
      <c r="J304" s="77"/>
      <c r="K304" s="78"/>
      <c r="L304" s="42" t="str">
        <f>DEC2HEX(_xlfn.BITLSHIFT(N304,7)+4*O304)</f>
        <v>26C</v>
      </c>
      <c r="M304" s="42"/>
      <c r="N304" s="55">
        <v>4</v>
      </c>
      <c r="O304" s="55">
        <v>27</v>
      </c>
      <c r="P304" s="66" t="str">
        <f>DEC2HEX(_xlfn.BITLSHIFT(N304,5)+O304*4)</f>
        <v>EC</v>
      </c>
      <c r="Q304" s="68" t="str">
        <f t="shared" ref="Q304" si="77">BIN2HEX(LEFT(RIGHT(C304,32),4))&amp;BIN2HEX(LEFT(RIGHT(C304,28),4))&amp;BIN2HEX(LEFT(RIGHT(C304,24),4))&amp;BIN2HEX(LEFT(RIGHT(C304,20),4))&amp;BIN2HEX(LEFT(RIGHT(C304,16),4))&amp;BIN2HEX(LEFT(RIGHT(C304,12),4))&amp;BIN2HEX(LEFT(RIGHT(C304,8),4))&amp;BIN2HEX(LEFT(RIGHT(C304,4),4))</f>
        <v>00000000</v>
      </c>
    </row>
    <row r="305" spans="1:17" ht="15.75" thickBot="1">
      <c r="A305" s="72"/>
      <c r="B305" s="75"/>
      <c r="C305" s="37" t="s">
        <v>53</v>
      </c>
      <c r="D305" s="35">
        <v>32</v>
      </c>
      <c r="E305" s="36" t="s">
        <v>54</v>
      </c>
      <c r="F305" s="35" t="s">
        <v>52</v>
      </c>
      <c r="G305" s="38" t="s">
        <v>53</v>
      </c>
      <c r="H305" s="39" t="s">
        <v>37</v>
      </c>
      <c r="I305" s="40" t="s">
        <v>36</v>
      </c>
      <c r="J305" s="41" t="s">
        <v>6</v>
      </c>
      <c r="K305" s="38"/>
      <c r="L305" s="34"/>
      <c r="M305" s="34"/>
      <c r="N305" s="59"/>
      <c r="O305" s="59"/>
      <c r="P305" s="79"/>
      <c r="Q305" s="69"/>
    </row>
    <row r="306" spans="1:17">
      <c r="A306" s="73" t="s">
        <v>53</v>
      </c>
      <c r="B306" s="74">
        <v>70</v>
      </c>
      <c r="C306" s="76" t="str">
        <f>bitConcat(F307:F307)</f>
        <v>32'b00000000000000000000000000000000</v>
      </c>
      <c r="D306" s="77"/>
      <c r="E306" s="77"/>
      <c r="F306" s="77"/>
      <c r="G306" s="77"/>
      <c r="H306" s="77"/>
      <c r="I306" s="77"/>
      <c r="J306" s="77"/>
      <c r="K306" s="78"/>
      <c r="L306" s="42" t="str">
        <f>DEC2HEX(_xlfn.BITLSHIFT(N306,7)+4*O306)</f>
        <v>270</v>
      </c>
      <c r="M306" s="42"/>
      <c r="N306" s="55">
        <v>4</v>
      </c>
      <c r="O306" s="55">
        <v>28</v>
      </c>
      <c r="P306" s="66" t="str">
        <f>DEC2HEX(_xlfn.BITLSHIFT(N306,5)+O306*4)</f>
        <v>F0</v>
      </c>
      <c r="Q306" s="68" t="str">
        <f t="shared" ref="Q306" si="78">BIN2HEX(LEFT(RIGHT(C306,32),4))&amp;BIN2HEX(LEFT(RIGHT(C306,28),4))&amp;BIN2HEX(LEFT(RIGHT(C306,24),4))&amp;BIN2HEX(LEFT(RIGHT(C306,20),4))&amp;BIN2HEX(LEFT(RIGHT(C306,16),4))&amp;BIN2HEX(LEFT(RIGHT(C306,12),4))&amp;BIN2HEX(LEFT(RIGHT(C306,8),4))&amp;BIN2HEX(LEFT(RIGHT(C306,4),4))</f>
        <v>00000000</v>
      </c>
    </row>
    <row r="307" spans="1:17" ht="15.75" thickBot="1">
      <c r="A307" s="72"/>
      <c r="B307" s="75"/>
      <c r="C307" s="37" t="s">
        <v>53</v>
      </c>
      <c r="D307" s="35">
        <v>32</v>
      </c>
      <c r="E307" s="36" t="s">
        <v>54</v>
      </c>
      <c r="F307" s="35" t="s">
        <v>52</v>
      </c>
      <c r="G307" s="38" t="s">
        <v>53</v>
      </c>
      <c r="H307" s="39" t="s">
        <v>37</v>
      </c>
      <c r="I307" s="40" t="s">
        <v>36</v>
      </c>
      <c r="J307" s="41" t="s">
        <v>6</v>
      </c>
      <c r="K307" s="38"/>
      <c r="L307" s="34"/>
      <c r="M307" s="34"/>
      <c r="N307" s="59"/>
      <c r="O307" s="59"/>
      <c r="P307" s="79"/>
      <c r="Q307" s="69"/>
    </row>
    <row r="308" spans="1:17">
      <c r="A308" s="73" t="s">
        <v>53</v>
      </c>
      <c r="B308" s="74">
        <v>74</v>
      </c>
      <c r="C308" s="76" t="str">
        <f>bitConcat(F309:F309)</f>
        <v>32'b00000000000000000000000000000000</v>
      </c>
      <c r="D308" s="77"/>
      <c r="E308" s="77"/>
      <c r="F308" s="77"/>
      <c r="G308" s="77"/>
      <c r="H308" s="77"/>
      <c r="I308" s="77"/>
      <c r="J308" s="77"/>
      <c r="K308" s="78"/>
      <c r="L308" s="42" t="str">
        <f>DEC2HEX(_xlfn.BITLSHIFT(N308,7)+4*O308)</f>
        <v>274</v>
      </c>
      <c r="M308" s="42"/>
      <c r="N308" s="55">
        <v>4</v>
      </c>
      <c r="O308" s="55">
        <v>29</v>
      </c>
      <c r="P308" s="66" t="str">
        <f>DEC2HEX(_xlfn.BITLSHIFT(N308,5)+O308*4)</f>
        <v>F4</v>
      </c>
      <c r="Q308" s="68" t="str">
        <f t="shared" ref="Q308" si="79">BIN2HEX(LEFT(RIGHT(C308,32),4))&amp;BIN2HEX(LEFT(RIGHT(C308,28),4))&amp;BIN2HEX(LEFT(RIGHT(C308,24),4))&amp;BIN2HEX(LEFT(RIGHT(C308,20),4))&amp;BIN2HEX(LEFT(RIGHT(C308,16),4))&amp;BIN2HEX(LEFT(RIGHT(C308,12),4))&amp;BIN2HEX(LEFT(RIGHT(C308,8),4))&amp;BIN2HEX(LEFT(RIGHT(C308,4),4))</f>
        <v>00000000</v>
      </c>
    </row>
    <row r="309" spans="1:17" ht="15.75" thickBot="1">
      <c r="A309" s="72"/>
      <c r="B309" s="75"/>
      <c r="C309" s="37" t="s">
        <v>53</v>
      </c>
      <c r="D309" s="35">
        <v>32</v>
      </c>
      <c r="E309" s="36" t="s">
        <v>54</v>
      </c>
      <c r="F309" s="35" t="s">
        <v>52</v>
      </c>
      <c r="G309" s="38" t="s">
        <v>53</v>
      </c>
      <c r="H309" s="39" t="s">
        <v>37</v>
      </c>
      <c r="I309" s="40" t="s">
        <v>36</v>
      </c>
      <c r="J309" s="41" t="s">
        <v>6</v>
      </c>
      <c r="K309" s="38"/>
      <c r="L309" s="34"/>
      <c r="M309" s="34"/>
      <c r="N309" s="59"/>
      <c r="O309" s="59"/>
      <c r="P309" s="79"/>
      <c r="Q309" s="69"/>
    </row>
    <row r="310" spans="1:17">
      <c r="A310" s="73" t="s">
        <v>53</v>
      </c>
      <c r="B310" s="74">
        <v>78</v>
      </c>
      <c r="C310" s="76" t="str">
        <f>bitConcat(F311:F311)</f>
        <v>32'b00000000000000000000000000000000</v>
      </c>
      <c r="D310" s="77"/>
      <c r="E310" s="77"/>
      <c r="F310" s="77"/>
      <c r="G310" s="77"/>
      <c r="H310" s="77"/>
      <c r="I310" s="77"/>
      <c r="J310" s="77"/>
      <c r="K310" s="78"/>
      <c r="L310" s="42" t="str">
        <f>DEC2HEX(_xlfn.BITLSHIFT(N310,7)+4*O310)</f>
        <v>278</v>
      </c>
      <c r="M310" s="42"/>
      <c r="N310" s="55">
        <v>4</v>
      </c>
      <c r="O310" s="55">
        <v>30</v>
      </c>
      <c r="P310" s="66" t="str">
        <f>DEC2HEX(_xlfn.BITLSHIFT(N310,5)+O310*4)</f>
        <v>F8</v>
      </c>
      <c r="Q310" s="68" t="str">
        <f t="shared" ref="Q310" si="80">BIN2HEX(LEFT(RIGHT(C310,32),4))&amp;BIN2HEX(LEFT(RIGHT(C310,28),4))&amp;BIN2HEX(LEFT(RIGHT(C310,24),4))&amp;BIN2HEX(LEFT(RIGHT(C310,20),4))&amp;BIN2HEX(LEFT(RIGHT(C310,16),4))&amp;BIN2HEX(LEFT(RIGHT(C310,12),4))&amp;BIN2HEX(LEFT(RIGHT(C310,8),4))&amp;BIN2HEX(LEFT(RIGHT(C310,4),4))</f>
        <v>00000000</v>
      </c>
    </row>
    <row r="311" spans="1:17" ht="15.75" thickBot="1">
      <c r="A311" s="72"/>
      <c r="B311" s="75"/>
      <c r="C311" s="37" t="s">
        <v>53</v>
      </c>
      <c r="D311" s="35">
        <v>32</v>
      </c>
      <c r="E311" s="36" t="s">
        <v>54</v>
      </c>
      <c r="F311" s="35" t="s">
        <v>52</v>
      </c>
      <c r="G311" s="38" t="s">
        <v>53</v>
      </c>
      <c r="H311" s="39" t="s">
        <v>37</v>
      </c>
      <c r="I311" s="40" t="s">
        <v>36</v>
      </c>
      <c r="J311" s="41" t="s">
        <v>6</v>
      </c>
      <c r="K311" s="38"/>
      <c r="L311" s="34"/>
      <c r="M311" s="34"/>
      <c r="N311" s="59"/>
      <c r="O311" s="59"/>
      <c r="P311" s="79"/>
      <c r="Q311" s="69"/>
    </row>
    <row r="312" spans="1:17">
      <c r="A312" s="73" t="s">
        <v>53</v>
      </c>
      <c r="B312" s="74" t="s">
        <v>61</v>
      </c>
      <c r="C312" s="76" t="str">
        <f>bitConcat(F313:F313)</f>
        <v>32'b00000000000000000000000000000000</v>
      </c>
      <c r="D312" s="77"/>
      <c r="E312" s="77"/>
      <c r="F312" s="77"/>
      <c r="G312" s="77"/>
      <c r="H312" s="77"/>
      <c r="I312" s="77"/>
      <c r="J312" s="77"/>
      <c r="K312" s="78"/>
      <c r="L312" s="42" t="str">
        <f>DEC2HEX(_xlfn.BITLSHIFT(N312,7)+4*O312)</f>
        <v>27C</v>
      </c>
      <c r="M312" s="42"/>
      <c r="N312" s="55">
        <v>4</v>
      </c>
      <c r="O312" s="55">
        <v>31</v>
      </c>
      <c r="P312" s="66" t="str">
        <f>DEC2HEX(_xlfn.BITLSHIFT(N312,5)+O312*4)</f>
        <v>FC</v>
      </c>
      <c r="Q312" s="68" t="str">
        <f t="shared" ref="Q312" si="81">BIN2HEX(LEFT(RIGHT(C312,32),4))&amp;BIN2HEX(LEFT(RIGHT(C312,28),4))&amp;BIN2HEX(LEFT(RIGHT(C312,24),4))&amp;BIN2HEX(LEFT(RIGHT(C312,20),4))&amp;BIN2HEX(LEFT(RIGHT(C312,16),4))&amp;BIN2HEX(LEFT(RIGHT(C312,12),4))&amp;BIN2HEX(LEFT(RIGHT(C312,8),4))&amp;BIN2HEX(LEFT(RIGHT(C312,4),4))</f>
        <v>00000000</v>
      </c>
    </row>
    <row r="313" spans="1:17" ht="15.75" thickBot="1">
      <c r="A313" s="72"/>
      <c r="B313" s="75"/>
      <c r="C313" s="37" t="s">
        <v>53</v>
      </c>
      <c r="D313" s="35">
        <v>32</v>
      </c>
      <c r="E313" s="36" t="s">
        <v>54</v>
      </c>
      <c r="F313" s="35" t="s">
        <v>52</v>
      </c>
      <c r="G313" s="38" t="s">
        <v>53</v>
      </c>
      <c r="H313" s="39" t="s">
        <v>37</v>
      </c>
      <c r="I313" s="40" t="s">
        <v>36</v>
      </c>
      <c r="J313" s="41" t="s">
        <v>6</v>
      </c>
      <c r="K313" s="38"/>
      <c r="L313" s="34"/>
      <c r="M313" s="34"/>
      <c r="N313" s="59"/>
      <c r="O313" s="59"/>
      <c r="P313" s="79"/>
      <c r="Q313" s="69"/>
    </row>
  </sheetData>
  <mergeCells count="262">
    <mergeCell ref="Q310:Q311"/>
    <mergeCell ref="A312:A313"/>
    <mergeCell ref="B312:B313"/>
    <mergeCell ref="C312:K312"/>
    <mergeCell ref="N312:N313"/>
    <mergeCell ref="O312:O313"/>
    <mergeCell ref="P312:P313"/>
    <mergeCell ref="Q312:Q313"/>
    <mergeCell ref="A310:A311"/>
    <mergeCell ref="B310:B311"/>
    <mergeCell ref="C310:K310"/>
    <mergeCell ref="N310:N311"/>
    <mergeCell ref="O310:O311"/>
    <mergeCell ref="P310:P311"/>
    <mergeCell ref="Q306:Q307"/>
    <mergeCell ref="A308:A309"/>
    <mergeCell ref="B308:B309"/>
    <mergeCell ref="C308:K308"/>
    <mergeCell ref="N308:N309"/>
    <mergeCell ref="O308:O309"/>
    <mergeCell ref="P308:P309"/>
    <mergeCell ref="Q308:Q309"/>
    <mergeCell ref="A306:A307"/>
    <mergeCell ref="B306:B307"/>
    <mergeCell ref="C306:K306"/>
    <mergeCell ref="N306:N307"/>
    <mergeCell ref="O306:O307"/>
    <mergeCell ref="P306:P307"/>
    <mergeCell ref="Q302:Q303"/>
    <mergeCell ref="A304:A305"/>
    <mergeCell ref="B304:B305"/>
    <mergeCell ref="C304:K304"/>
    <mergeCell ref="N304:N305"/>
    <mergeCell ref="O304:O305"/>
    <mergeCell ref="P304:P305"/>
    <mergeCell ref="Q304:Q305"/>
    <mergeCell ref="A302:A303"/>
    <mergeCell ref="B302:B303"/>
    <mergeCell ref="C302:K302"/>
    <mergeCell ref="N302:N303"/>
    <mergeCell ref="O302:O303"/>
    <mergeCell ref="P302:P303"/>
    <mergeCell ref="Q298:Q299"/>
    <mergeCell ref="A300:A301"/>
    <mergeCell ref="B300:B301"/>
    <mergeCell ref="C300:K300"/>
    <mergeCell ref="N300:N301"/>
    <mergeCell ref="O300:O301"/>
    <mergeCell ref="P300:P301"/>
    <mergeCell ref="Q300:Q301"/>
    <mergeCell ref="A298:A299"/>
    <mergeCell ref="B298:B299"/>
    <mergeCell ref="C298:K298"/>
    <mergeCell ref="N298:N299"/>
    <mergeCell ref="O298:O299"/>
    <mergeCell ref="P298:P299"/>
    <mergeCell ref="A296:A297"/>
    <mergeCell ref="B296:B297"/>
    <mergeCell ref="C296:K296"/>
    <mergeCell ref="N296:N297"/>
    <mergeCell ref="O296:O297"/>
    <mergeCell ref="P296:P297"/>
    <mergeCell ref="Q296:Q297"/>
    <mergeCell ref="A294:A295"/>
    <mergeCell ref="B294:B295"/>
    <mergeCell ref="C294:K294"/>
    <mergeCell ref="N294:N295"/>
    <mergeCell ref="O294:O295"/>
    <mergeCell ref="P294:P295"/>
    <mergeCell ref="O292:O293"/>
    <mergeCell ref="P292:P293"/>
    <mergeCell ref="A290:A291"/>
    <mergeCell ref="B290:B291"/>
    <mergeCell ref="C290:K290"/>
    <mergeCell ref="N290:N291"/>
    <mergeCell ref="O290:O291"/>
    <mergeCell ref="P290:P291"/>
    <mergeCell ref="Q294:Q295"/>
    <mergeCell ref="Q282:Q287"/>
    <mergeCell ref="Q288:Q289"/>
    <mergeCell ref="Q290:Q291"/>
    <mergeCell ref="Q292:Q293"/>
    <mergeCell ref="P272:P281"/>
    <mergeCell ref="Q272:Q281"/>
    <mergeCell ref="C282:K282"/>
    <mergeCell ref="A282:A287"/>
    <mergeCell ref="B282:B287"/>
    <mergeCell ref="A288:A289"/>
    <mergeCell ref="B288:B289"/>
    <mergeCell ref="C288:K288"/>
    <mergeCell ref="N288:N289"/>
    <mergeCell ref="O288:O289"/>
    <mergeCell ref="P288:P289"/>
    <mergeCell ref="L282:L287"/>
    <mergeCell ref="M282:M287"/>
    <mergeCell ref="N282:N287"/>
    <mergeCell ref="O282:O287"/>
    <mergeCell ref="P282:P287"/>
    <mergeCell ref="A292:A293"/>
    <mergeCell ref="B292:B293"/>
    <mergeCell ref="C292:K292"/>
    <mergeCell ref="N292:N293"/>
    <mergeCell ref="O258:O271"/>
    <mergeCell ref="P258:P271"/>
    <mergeCell ref="Q258:Q271"/>
    <mergeCell ref="A272:A281"/>
    <mergeCell ref="B272:B281"/>
    <mergeCell ref="C272:K272"/>
    <mergeCell ref="L272:L281"/>
    <mergeCell ref="M272:M281"/>
    <mergeCell ref="N272:N281"/>
    <mergeCell ref="O272:O281"/>
    <mergeCell ref="A258:A271"/>
    <mergeCell ref="B258:B271"/>
    <mergeCell ref="C258:K258"/>
    <mergeCell ref="L258:L271"/>
    <mergeCell ref="M258:M271"/>
    <mergeCell ref="N258:N271"/>
    <mergeCell ref="A241:A257"/>
    <mergeCell ref="B241:B257"/>
    <mergeCell ref="C241:K241"/>
    <mergeCell ref="L241:L257"/>
    <mergeCell ref="M241:M257"/>
    <mergeCell ref="N241:N257"/>
    <mergeCell ref="O241:O257"/>
    <mergeCell ref="P241:P257"/>
    <mergeCell ref="Q241:Q257"/>
    <mergeCell ref="A224:A240"/>
    <mergeCell ref="B224:B240"/>
    <mergeCell ref="C224:K224"/>
    <mergeCell ref="L224:L240"/>
    <mergeCell ref="M224:M240"/>
    <mergeCell ref="N224:N240"/>
    <mergeCell ref="O224:O240"/>
    <mergeCell ref="P224:P240"/>
    <mergeCell ref="Q224:Q240"/>
    <mergeCell ref="O194:O206"/>
    <mergeCell ref="P194:P206"/>
    <mergeCell ref="Q194:Q206"/>
    <mergeCell ref="A207:A223"/>
    <mergeCell ref="B207:B223"/>
    <mergeCell ref="C207:K207"/>
    <mergeCell ref="L207:L223"/>
    <mergeCell ref="M207:M223"/>
    <mergeCell ref="N207:N223"/>
    <mergeCell ref="O207:O223"/>
    <mergeCell ref="A194:A206"/>
    <mergeCell ref="B194:B206"/>
    <mergeCell ref="C194:K194"/>
    <mergeCell ref="L194:L206"/>
    <mergeCell ref="M194:M206"/>
    <mergeCell ref="N194:N206"/>
    <mergeCell ref="P207:P223"/>
    <mergeCell ref="Q207:Q223"/>
    <mergeCell ref="A177:A193"/>
    <mergeCell ref="B177:B193"/>
    <mergeCell ref="C177:K177"/>
    <mergeCell ref="L177:L193"/>
    <mergeCell ref="M177:M193"/>
    <mergeCell ref="N177:N193"/>
    <mergeCell ref="O177:O193"/>
    <mergeCell ref="P177:P193"/>
    <mergeCell ref="Q177:Q193"/>
    <mergeCell ref="A160:A176"/>
    <mergeCell ref="B160:B176"/>
    <mergeCell ref="C160:K160"/>
    <mergeCell ref="L160:L176"/>
    <mergeCell ref="M160:M176"/>
    <mergeCell ref="N160:N176"/>
    <mergeCell ref="O160:O176"/>
    <mergeCell ref="P160:P176"/>
    <mergeCell ref="Q160:Q176"/>
    <mergeCell ref="O130:O142"/>
    <mergeCell ref="P130:P142"/>
    <mergeCell ref="Q130:Q142"/>
    <mergeCell ref="A143:A159"/>
    <mergeCell ref="B143:B159"/>
    <mergeCell ref="C143:K143"/>
    <mergeCell ref="L143:L159"/>
    <mergeCell ref="M143:M159"/>
    <mergeCell ref="N143:N159"/>
    <mergeCell ref="O143:O159"/>
    <mergeCell ref="A130:A142"/>
    <mergeCell ref="B130:B142"/>
    <mergeCell ref="C130:K130"/>
    <mergeCell ref="L130:L142"/>
    <mergeCell ref="M130:M142"/>
    <mergeCell ref="N130:N142"/>
    <mergeCell ref="P143:P159"/>
    <mergeCell ref="Q143:Q159"/>
    <mergeCell ref="A113:A129"/>
    <mergeCell ref="B113:B129"/>
    <mergeCell ref="C113:K113"/>
    <mergeCell ref="L113:L129"/>
    <mergeCell ref="M113:M129"/>
    <mergeCell ref="N113:N129"/>
    <mergeCell ref="O113:O129"/>
    <mergeCell ref="P113:P129"/>
    <mergeCell ref="Q113:Q129"/>
    <mergeCell ref="A96:A112"/>
    <mergeCell ref="B96:B112"/>
    <mergeCell ref="C96:K96"/>
    <mergeCell ref="L96:L112"/>
    <mergeCell ref="M96:M112"/>
    <mergeCell ref="N96:N112"/>
    <mergeCell ref="O96:O112"/>
    <mergeCell ref="P96:P112"/>
    <mergeCell ref="Q96:Q112"/>
    <mergeCell ref="O66:O78"/>
    <mergeCell ref="P66:P78"/>
    <mergeCell ref="Q66:Q78"/>
    <mergeCell ref="A79:A95"/>
    <mergeCell ref="B79:B95"/>
    <mergeCell ref="C79:K79"/>
    <mergeCell ref="L79:L95"/>
    <mergeCell ref="M79:M95"/>
    <mergeCell ref="N79:N95"/>
    <mergeCell ref="O79:O95"/>
    <mergeCell ref="A66:A78"/>
    <mergeCell ref="B66:B78"/>
    <mergeCell ref="C66:K66"/>
    <mergeCell ref="L66:L78"/>
    <mergeCell ref="M66:M78"/>
    <mergeCell ref="N66:N78"/>
    <mergeCell ref="P79:P95"/>
    <mergeCell ref="Q79:Q95"/>
    <mergeCell ref="A49:A65"/>
    <mergeCell ref="B49:B65"/>
    <mergeCell ref="C49:K49"/>
    <mergeCell ref="L49:L65"/>
    <mergeCell ref="M49:M65"/>
    <mergeCell ref="N49:N65"/>
    <mergeCell ref="O49:O65"/>
    <mergeCell ref="P49:P65"/>
    <mergeCell ref="Q49:Q65"/>
    <mergeCell ref="A32:A48"/>
    <mergeCell ref="B32:B48"/>
    <mergeCell ref="C32:K32"/>
    <mergeCell ref="L32:L48"/>
    <mergeCell ref="M32:M48"/>
    <mergeCell ref="N32:N48"/>
    <mergeCell ref="O32:O48"/>
    <mergeCell ref="P32:P48"/>
    <mergeCell ref="Q32:Q48"/>
    <mergeCell ref="O2:O14"/>
    <mergeCell ref="P2:P14"/>
    <mergeCell ref="Q2:Q14"/>
    <mergeCell ref="A15:A31"/>
    <mergeCell ref="B15:B31"/>
    <mergeCell ref="C15:K15"/>
    <mergeCell ref="L15:L31"/>
    <mergeCell ref="M15:M31"/>
    <mergeCell ref="N15:N31"/>
    <mergeCell ref="O15:O31"/>
    <mergeCell ref="A2:A14"/>
    <mergeCell ref="B2:B14"/>
    <mergeCell ref="C2:K2"/>
    <mergeCell ref="L2:L14"/>
    <mergeCell ref="M2:M14"/>
    <mergeCell ref="N2:N14"/>
    <mergeCell ref="P15:P31"/>
    <mergeCell ref="Q15:Q31"/>
  </mergeCells>
  <conditionalFormatting sqref="C13:C14">
    <cfRule type="cellIs" dxfId="102" priority="249" stopIfTrue="1" operator="equal">
      <formula>"reserved"</formula>
    </cfRule>
  </conditionalFormatting>
  <conditionalFormatting sqref="C8">
    <cfRule type="cellIs" dxfId="101" priority="255" stopIfTrue="1" operator="equal">
      <formula>"reserved"</formula>
    </cfRule>
  </conditionalFormatting>
  <conditionalFormatting sqref="C7">
    <cfRule type="cellIs" dxfId="100" priority="254" stopIfTrue="1" operator="equal">
      <formula>"reserved"</formula>
    </cfRule>
  </conditionalFormatting>
  <conditionalFormatting sqref="C10">
    <cfRule type="cellIs" dxfId="99" priority="253" stopIfTrue="1" operator="equal">
      <formula>"reserved"</formula>
    </cfRule>
  </conditionalFormatting>
  <conditionalFormatting sqref="C9">
    <cfRule type="cellIs" dxfId="98" priority="252" stopIfTrue="1" operator="equal">
      <formula>"reserved"</formula>
    </cfRule>
  </conditionalFormatting>
  <conditionalFormatting sqref="C12">
    <cfRule type="cellIs" dxfId="97" priority="251" stopIfTrue="1" operator="equal">
      <formula>"reserved"</formula>
    </cfRule>
  </conditionalFormatting>
  <conditionalFormatting sqref="C11">
    <cfRule type="cellIs" dxfId="96" priority="250" stopIfTrue="1" operator="equal">
      <formula>"reserved"</formula>
    </cfRule>
  </conditionalFormatting>
  <conditionalFormatting sqref="C6">
    <cfRule type="cellIs" dxfId="95" priority="257" stopIfTrue="1" operator="equal">
      <formula>"reserved"</formula>
    </cfRule>
  </conditionalFormatting>
  <conditionalFormatting sqref="C3:C4">
    <cfRule type="cellIs" dxfId="94" priority="256" stopIfTrue="1" operator="equal">
      <formula>"reserved"</formula>
    </cfRule>
  </conditionalFormatting>
  <conditionalFormatting sqref="C5">
    <cfRule type="cellIs" dxfId="93" priority="225" stopIfTrue="1" operator="equal">
      <formula>"reserved"</formula>
    </cfRule>
  </conditionalFormatting>
  <conditionalFormatting sqref="C20">
    <cfRule type="cellIs" dxfId="92" priority="90" stopIfTrue="1" operator="equal">
      <formula>"reserved"</formula>
    </cfRule>
  </conditionalFormatting>
  <conditionalFormatting sqref="C21">
    <cfRule type="cellIs" dxfId="91" priority="91" stopIfTrue="1" operator="equal">
      <formula>"reserved"</formula>
    </cfRule>
  </conditionalFormatting>
  <conditionalFormatting sqref="C19 C31">
    <cfRule type="cellIs" dxfId="90" priority="93" stopIfTrue="1" operator="equal">
      <formula>"reserved"</formula>
    </cfRule>
  </conditionalFormatting>
  <conditionalFormatting sqref="C16:C17 C28:C29">
    <cfRule type="cellIs" dxfId="89" priority="92" stopIfTrue="1" operator="equal">
      <formula>"reserved"</formula>
    </cfRule>
  </conditionalFormatting>
  <conditionalFormatting sqref="C26:C27">
    <cfRule type="cellIs" dxfId="88" priority="85" stopIfTrue="1" operator="equal">
      <formula>"reserved"</formula>
    </cfRule>
  </conditionalFormatting>
  <conditionalFormatting sqref="C23">
    <cfRule type="cellIs" dxfId="87" priority="89" stopIfTrue="1" operator="equal">
      <formula>"reserved"</formula>
    </cfRule>
  </conditionalFormatting>
  <conditionalFormatting sqref="C22">
    <cfRule type="cellIs" dxfId="86" priority="88" stopIfTrue="1" operator="equal">
      <formula>"reserved"</formula>
    </cfRule>
  </conditionalFormatting>
  <conditionalFormatting sqref="C25">
    <cfRule type="cellIs" dxfId="85" priority="87" stopIfTrue="1" operator="equal">
      <formula>"reserved"</formula>
    </cfRule>
  </conditionalFormatting>
  <conditionalFormatting sqref="C24">
    <cfRule type="cellIs" dxfId="84" priority="86" stopIfTrue="1" operator="equal">
      <formula>"reserved"</formula>
    </cfRule>
  </conditionalFormatting>
  <conditionalFormatting sqref="C18 C30">
    <cfRule type="cellIs" dxfId="83" priority="84" stopIfTrue="1" operator="equal">
      <formula>"reserved"</formula>
    </cfRule>
  </conditionalFormatting>
  <conditionalFormatting sqref="C43:C44">
    <cfRule type="cellIs" dxfId="82" priority="75" stopIfTrue="1" operator="equal">
      <formula>"reserved"</formula>
    </cfRule>
  </conditionalFormatting>
  <conditionalFormatting sqref="C38">
    <cfRule type="cellIs" dxfId="81" priority="81" stopIfTrue="1" operator="equal">
      <formula>"reserved"</formula>
    </cfRule>
  </conditionalFormatting>
  <conditionalFormatting sqref="C37">
    <cfRule type="cellIs" dxfId="80" priority="80" stopIfTrue="1" operator="equal">
      <formula>"reserved"</formula>
    </cfRule>
  </conditionalFormatting>
  <conditionalFormatting sqref="C40">
    <cfRule type="cellIs" dxfId="79" priority="79" stopIfTrue="1" operator="equal">
      <formula>"reserved"</formula>
    </cfRule>
  </conditionalFormatting>
  <conditionalFormatting sqref="C39">
    <cfRule type="cellIs" dxfId="78" priority="78" stopIfTrue="1" operator="equal">
      <formula>"reserved"</formula>
    </cfRule>
  </conditionalFormatting>
  <conditionalFormatting sqref="C42">
    <cfRule type="cellIs" dxfId="77" priority="77" stopIfTrue="1" operator="equal">
      <formula>"reserved"</formula>
    </cfRule>
  </conditionalFormatting>
  <conditionalFormatting sqref="C41">
    <cfRule type="cellIs" dxfId="76" priority="76" stopIfTrue="1" operator="equal">
      <formula>"reserved"</formula>
    </cfRule>
  </conditionalFormatting>
  <conditionalFormatting sqref="C36 C48">
    <cfRule type="cellIs" dxfId="75" priority="83" stopIfTrue="1" operator="equal">
      <formula>"reserved"</formula>
    </cfRule>
  </conditionalFormatting>
  <conditionalFormatting sqref="C33:C34 C45:C46">
    <cfRule type="cellIs" dxfId="74" priority="82" stopIfTrue="1" operator="equal">
      <formula>"reserved"</formula>
    </cfRule>
  </conditionalFormatting>
  <conditionalFormatting sqref="C35 C47">
    <cfRule type="cellIs" dxfId="73" priority="74" stopIfTrue="1" operator="equal">
      <formula>"reserved"</formula>
    </cfRule>
  </conditionalFormatting>
  <conditionalFormatting sqref="C60:C61">
    <cfRule type="cellIs" dxfId="72" priority="65" stopIfTrue="1" operator="equal">
      <formula>"reserved"</formula>
    </cfRule>
  </conditionalFormatting>
  <conditionalFormatting sqref="C55">
    <cfRule type="cellIs" dxfId="71" priority="71" stopIfTrue="1" operator="equal">
      <formula>"reserved"</formula>
    </cfRule>
  </conditionalFormatting>
  <conditionalFormatting sqref="C54">
    <cfRule type="cellIs" dxfId="70" priority="70" stopIfTrue="1" operator="equal">
      <formula>"reserved"</formula>
    </cfRule>
  </conditionalFormatting>
  <conditionalFormatting sqref="C57">
    <cfRule type="cellIs" dxfId="69" priority="69" stopIfTrue="1" operator="equal">
      <formula>"reserved"</formula>
    </cfRule>
  </conditionalFormatting>
  <conditionalFormatting sqref="C56">
    <cfRule type="cellIs" dxfId="68" priority="68" stopIfTrue="1" operator="equal">
      <formula>"reserved"</formula>
    </cfRule>
  </conditionalFormatting>
  <conditionalFormatting sqref="C59">
    <cfRule type="cellIs" dxfId="67" priority="67" stopIfTrue="1" operator="equal">
      <formula>"reserved"</formula>
    </cfRule>
  </conditionalFormatting>
  <conditionalFormatting sqref="C58">
    <cfRule type="cellIs" dxfId="66" priority="66" stopIfTrue="1" operator="equal">
      <formula>"reserved"</formula>
    </cfRule>
  </conditionalFormatting>
  <conditionalFormatting sqref="C53 C65">
    <cfRule type="cellIs" dxfId="65" priority="73" stopIfTrue="1" operator="equal">
      <formula>"reserved"</formula>
    </cfRule>
  </conditionalFormatting>
  <conditionalFormatting sqref="C50:C51 C62:C63">
    <cfRule type="cellIs" dxfId="64" priority="72" stopIfTrue="1" operator="equal">
      <formula>"reserved"</formula>
    </cfRule>
  </conditionalFormatting>
  <conditionalFormatting sqref="C52 C64">
    <cfRule type="cellIs" dxfId="63" priority="64" stopIfTrue="1" operator="equal">
      <formula>"reserved"</formula>
    </cfRule>
  </conditionalFormatting>
  <conditionalFormatting sqref="C77:C78">
    <cfRule type="cellIs" dxfId="62" priority="55" stopIfTrue="1" operator="equal">
      <formula>"reserved"</formula>
    </cfRule>
  </conditionalFormatting>
  <conditionalFormatting sqref="C72">
    <cfRule type="cellIs" dxfId="61" priority="61" stopIfTrue="1" operator="equal">
      <formula>"reserved"</formula>
    </cfRule>
  </conditionalFormatting>
  <conditionalFormatting sqref="C71">
    <cfRule type="cellIs" dxfId="60" priority="60" stopIfTrue="1" operator="equal">
      <formula>"reserved"</formula>
    </cfRule>
  </conditionalFormatting>
  <conditionalFormatting sqref="C74">
    <cfRule type="cellIs" dxfId="59" priority="59" stopIfTrue="1" operator="equal">
      <formula>"reserved"</formula>
    </cfRule>
  </conditionalFormatting>
  <conditionalFormatting sqref="C73">
    <cfRule type="cellIs" dxfId="58" priority="58" stopIfTrue="1" operator="equal">
      <formula>"reserved"</formula>
    </cfRule>
  </conditionalFormatting>
  <conditionalFormatting sqref="C76">
    <cfRule type="cellIs" dxfId="57" priority="57" stopIfTrue="1" operator="equal">
      <formula>"reserved"</formula>
    </cfRule>
  </conditionalFormatting>
  <conditionalFormatting sqref="C75">
    <cfRule type="cellIs" dxfId="56" priority="56" stopIfTrue="1" operator="equal">
      <formula>"reserved"</formula>
    </cfRule>
  </conditionalFormatting>
  <conditionalFormatting sqref="C70">
    <cfRule type="cellIs" dxfId="55" priority="63" stopIfTrue="1" operator="equal">
      <formula>"reserved"</formula>
    </cfRule>
  </conditionalFormatting>
  <conditionalFormatting sqref="C67:C68">
    <cfRule type="cellIs" dxfId="54" priority="62" stopIfTrue="1" operator="equal">
      <formula>"reserved"</formula>
    </cfRule>
  </conditionalFormatting>
  <conditionalFormatting sqref="C69">
    <cfRule type="cellIs" dxfId="53" priority="54" stopIfTrue="1" operator="equal">
      <formula>"reserved"</formula>
    </cfRule>
  </conditionalFormatting>
  <conditionalFormatting sqref="C90:C91">
    <cfRule type="cellIs" dxfId="52" priority="45" stopIfTrue="1" operator="equal">
      <formula>"reserved"</formula>
    </cfRule>
  </conditionalFormatting>
  <conditionalFormatting sqref="C85">
    <cfRule type="cellIs" dxfId="51" priority="51" stopIfTrue="1" operator="equal">
      <formula>"reserved"</formula>
    </cfRule>
  </conditionalFormatting>
  <conditionalFormatting sqref="C84">
    <cfRule type="cellIs" dxfId="50" priority="50" stopIfTrue="1" operator="equal">
      <formula>"reserved"</formula>
    </cfRule>
  </conditionalFormatting>
  <conditionalFormatting sqref="C87">
    <cfRule type="cellIs" dxfId="49" priority="49" stopIfTrue="1" operator="equal">
      <formula>"reserved"</formula>
    </cfRule>
  </conditionalFormatting>
  <conditionalFormatting sqref="C86">
    <cfRule type="cellIs" dxfId="48" priority="48" stopIfTrue="1" operator="equal">
      <formula>"reserved"</formula>
    </cfRule>
  </conditionalFormatting>
  <conditionalFormatting sqref="C89">
    <cfRule type="cellIs" dxfId="47" priority="47" stopIfTrue="1" operator="equal">
      <formula>"reserved"</formula>
    </cfRule>
  </conditionalFormatting>
  <conditionalFormatting sqref="C88">
    <cfRule type="cellIs" dxfId="46" priority="46" stopIfTrue="1" operator="equal">
      <formula>"reserved"</formula>
    </cfRule>
  </conditionalFormatting>
  <conditionalFormatting sqref="C83 C95">
    <cfRule type="cellIs" dxfId="45" priority="53" stopIfTrue="1" operator="equal">
      <formula>"reserved"</formula>
    </cfRule>
  </conditionalFormatting>
  <conditionalFormatting sqref="C80:C81 C92:C93">
    <cfRule type="cellIs" dxfId="44" priority="52" stopIfTrue="1" operator="equal">
      <formula>"reserved"</formula>
    </cfRule>
  </conditionalFormatting>
  <conditionalFormatting sqref="C82 C94">
    <cfRule type="cellIs" dxfId="43" priority="44" stopIfTrue="1" operator="equal">
      <formula>"reserved"</formula>
    </cfRule>
  </conditionalFormatting>
  <conditionalFormatting sqref="C107:C108">
    <cfRule type="cellIs" dxfId="42" priority="35" stopIfTrue="1" operator="equal">
      <formula>"reserved"</formula>
    </cfRule>
  </conditionalFormatting>
  <conditionalFormatting sqref="C102">
    <cfRule type="cellIs" dxfId="41" priority="41" stopIfTrue="1" operator="equal">
      <formula>"reserved"</formula>
    </cfRule>
  </conditionalFormatting>
  <conditionalFormatting sqref="C101">
    <cfRule type="cellIs" dxfId="40" priority="40" stopIfTrue="1" operator="equal">
      <formula>"reserved"</formula>
    </cfRule>
  </conditionalFormatting>
  <conditionalFormatting sqref="C104">
    <cfRule type="cellIs" dxfId="39" priority="39" stopIfTrue="1" operator="equal">
      <formula>"reserved"</formula>
    </cfRule>
  </conditionalFormatting>
  <conditionalFormatting sqref="C103">
    <cfRule type="cellIs" dxfId="38" priority="38" stopIfTrue="1" operator="equal">
      <formula>"reserved"</formula>
    </cfRule>
  </conditionalFormatting>
  <conditionalFormatting sqref="C106">
    <cfRule type="cellIs" dxfId="37" priority="37" stopIfTrue="1" operator="equal">
      <formula>"reserved"</formula>
    </cfRule>
  </conditionalFormatting>
  <conditionalFormatting sqref="C105">
    <cfRule type="cellIs" dxfId="36" priority="36" stopIfTrue="1" operator="equal">
      <formula>"reserved"</formula>
    </cfRule>
  </conditionalFormatting>
  <conditionalFormatting sqref="C100 C112">
    <cfRule type="cellIs" dxfId="35" priority="43" stopIfTrue="1" operator="equal">
      <formula>"reserved"</formula>
    </cfRule>
  </conditionalFormatting>
  <conditionalFormatting sqref="C97:C98 C109:C110">
    <cfRule type="cellIs" dxfId="34" priority="42" stopIfTrue="1" operator="equal">
      <formula>"reserved"</formula>
    </cfRule>
  </conditionalFormatting>
  <conditionalFormatting sqref="C99 C111">
    <cfRule type="cellIs" dxfId="33" priority="34" stopIfTrue="1" operator="equal">
      <formula>"reserved"</formula>
    </cfRule>
  </conditionalFormatting>
  <conditionalFormatting sqref="C124:C125">
    <cfRule type="cellIs" dxfId="32" priority="25" stopIfTrue="1" operator="equal">
      <formula>"reserved"</formula>
    </cfRule>
  </conditionalFormatting>
  <conditionalFormatting sqref="C119">
    <cfRule type="cellIs" dxfId="31" priority="31" stopIfTrue="1" operator="equal">
      <formula>"reserved"</formula>
    </cfRule>
  </conditionalFormatting>
  <conditionalFormatting sqref="C118">
    <cfRule type="cellIs" dxfId="30" priority="30" stopIfTrue="1" operator="equal">
      <formula>"reserved"</formula>
    </cfRule>
  </conditionalFormatting>
  <conditionalFormatting sqref="C121">
    <cfRule type="cellIs" dxfId="29" priority="29" stopIfTrue="1" operator="equal">
      <formula>"reserved"</formula>
    </cfRule>
  </conditionalFormatting>
  <conditionalFormatting sqref="C120">
    <cfRule type="cellIs" dxfId="28" priority="28" stopIfTrue="1" operator="equal">
      <formula>"reserved"</formula>
    </cfRule>
  </conditionalFormatting>
  <conditionalFormatting sqref="C123">
    <cfRule type="cellIs" dxfId="27" priority="27" stopIfTrue="1" operator="equal">
      <formula>"reserved"</formula>
    </cfRule>
  </conditionalFormatting>
  <conditionalFormatting sqref="C122">
    <cfRule type="cellIs" dxfId="26" priority="26" stopIfTrue="1" operator="equal">
      <formula>"reserved"</formula>
    </cfRule>
  </conditionalFormatting>
  <conditionalFormatting sqref="C117">
    <cfRule type="cellIs" dxfId="25" priority="33" stopIfTrue="1" operator="equal">
      <formula>"reserved"</formula>
    </cfRule>
  </conditionalFormatting>
  <conditionalFormatting sqref="C114:C115 C126">
    <cfRule type="cellIs" dxfId="24" priority="32" stopIfTrue="1" operator="equal">
      <formula>"reserved"</formula>
    </cfRule>
  </conditionalFormatting>
  <conditionalFormatting sqref="C116">
    <cfRule type="cellIs" dxfId="23" priority="24" stopIfTrue="1" operator="equal">
      <formula>"reserved"</formula>
    </cfRule>
  </conditionalFormatting>
  <conditionalFormatting sqref="C127:C128">
    <cfRule type="cellIs" dxfId="22" priority="23" stopIfTrue="1" operator="equal">
      <formula>"reserved"</formula>
    </cfRule>
  </conditionalFormatting>
  <conditionalFormatting sqref="C129">
    <cfRule type="cellIs" dxfId="21" priority="22" stopIfTrue="1" operator="equal">
      <formula>"reserved"</formula>
    </cfRule>
  </conditionalFormatting>
  <conditionalFormatting sqref="C131:C132 C134:C135 C137:C138 C140:C141">
    <cfRule type="cellIs" dxfId="20" priority="21" stopIfTrue="1" operator="equal">
      <formula>"reserved"</formula>
    </cfRule>
  </conditionalFormatting>
  <conditionalFormatting sqref="C133 C136 C139 C142">
    <cfRule type="cellIs" dxfId="19" priority="20" stopIfTrue="1" operator="equal">
      <formula>"reserved"</formula>
    </cfRule>
  </conditionalFormatting>
  <conditionalFormatting sqref="C144:C145 C156:C157 C147:C148 C159 C150:C151 C153:C154">
    <cfRule type="cellIs" dxfId="18" priority="19" stopIfTrue="1" operator="equal">
      <formula>"reserved"</formula>
    </cfRule>
  </conditionalFormatting>
  <conditionalFormatting sqref="C146 C158 C149 C152 C155">
    <cfRule type="cellIs" dxfId="17" priority="18" stopIfTrue="1" operator="equal">
      <formula>"reserved"</formula>
    </cfRule>
  </conditionalFormatting>
  <conditionalFormatting sqref="C161:C162 C173:C174 C164:C165 C176 C167:C168 C170:C171">
    <cfRule type="cellIs" dxfId="16" priority="17" stopIfTrue="1" operator="equal">
      <formula>"reserved"</formula>
    </cfRule>
  </conditionalFormatting>
  <conditionalFormatting sqref="C163 C175 C166 C169 C172">
    <cfRule type="cellIs" dxfId="15" priority="16" stopIfTrue="1" operator="equal">
      <formula>"reserved"</formula>
    </cfRule>
  </conditionalFormatting>
  <conditionalFormatting sqref="C178:C179 C190:C191 C181:C182 C193 C184:C185 C187:C188">
    <cfRule type="cellIs" dxfId="14" priority="15" stopIfTrue="1" operator="equal">
      <formula>"reserved"</formula>
    </cfRule>
  </conditionalFormatting>
  <conditionalFormatting sqref="C180 C192 C183 C186 C189">
    <cfRule type="cellIs" dxfId="13" priority="14" stopIfTrue="1" operator="equal">
      <formula>"reserved"</formula>
    </cfRule>
  </conditionalFormatting>
  <conditionalFormatting sqref="C195:C196 C198:C199 C201:C202 C204:C205">
    <cfRule type="cellIs" dxfId="12" priority="13" stopIfTrue="1" operator="equal">
      <formula>"reserved"</formula>
    </cfRule>
  </conditionalFormatting>
  <conditionalFormatting sqref="C197 C200 C203 C206">
    <cfRule type="cellIs" dxfId="11" priority="12" stopIfTrue="1" operator="equal">
      <formula>"reserved"</formula>
    </cfRule>
  </conditionalFormatting>
  <conditionalFormatting sqref="C208:C209 C220:C221 C211:C212 C223 C214:C215 C217:C218">
    <cfRule type="cellIs" dxfId="10" priority="11" stopIfTrue="1" operator="equal">
      <formula>"reserved"</formula>
    </cfRule>
  </conditionalFormatting>
  <conditionalFormatting sqref="C210 C222 C213 C216 C219">
    <cfRule type="cellIs" dxfId="9" priority="10" stopIfTrue="1" operator="equal">
      <formula>"reserved"</formula>
    </cfRule>
  </conditionalFormatting>
  <conditionalFormatting sqref="C225:C226 C237:C238 C228:C229 C240 C231:C232 C234:C235">
    <cfRule type="cellIs" dxfId="8" priority="9" stopIfTrue="1" operator="equal">
      <formula>"reserved"</formula>
    </cfRule>
  </conditionalFormatting>
  <conditionalFormatting sqref="C227 C239 C230 C233 C236">
    <cfRule type="cellIs" dxfId="7" priority="8" stopIfTrue="1" operator="equal">
      <formula>"reserved"</formula>
    </cfRule>
  </conditionalFormatting>
  <conditionalFormatting sqref="C242:C243 C254:C255 C245:C246 C257 C248:C249 C251:C252">
    <cfRule type="cellIs" dxfId="6" priority="7" stopIfTrue="1" operator="equal">
      <formula>"reserved"</formula>
    </cfRule>
  </conditionalFormatting>
  <conditionalFormatting sqref="C244 C256 C247 C250 C253">
    <cfRule type="cellIs" dxfId="5" priority="6" stopIfTrue="1" operator="equal">
      <formula>"reserved"</formula>
    </cfRule>
  </conditionalFormatting>
  <conditionalFormatting sqref="C259:C260 C271 C262:C263 C265:C266 C268:C269">
    <cfRule type="cellIs" dxfId="4" priority="5" stopIfTrue="1" operator="equal">
      <formula>"reserved"</formula>
    </cfRule>
  </conditionalFormatting>
  <conditionalFormatting sqref="C261 C264 C267 C270">
    <cfRule type="cellIs" dxfId="3" priority="4" stopIfTrue="1" operator="equal">
      <formula>"reserved"</formula>
    </cfRule>
  </conditionalFormatting>
  <conditionalFormatting sqref="C273:C274 C276:C277 C279:C280">
    <cfRule type="cellIs" dxfId="2" priority="3" stopIfTrue="1" operator="equal">
      <formula>"reserved"</formula>
    </cfRule>
  </conditionalFormatting>
  <conditionalFormatting sqref="C275 C278 C281">
    <cfRule type="cellIs" dxfId="1" priority="2" stopIfTrue="1" operator="equal">
      <formula>"reserved"</formula>
    </cfRule>
  </conditionalFormatting>
  <conditionalFormatting sqref="C283:G287">
    <cfRule type="cellIs" dxfId="0" priority="1" stopIfTrue="1" operator="equal">
      <formula>"reserved"</formula>
    </cfRule>
  </conditionalFormatting>
  <dataValidations count="6">
    <dataValidation type="list" allowBlank="1" sqref="I1:I313" xr:uid="{C6CD2031-21A4-4E51-95C2-68207024C426}">
      <formula1>"Default, Soft Strap, Hard Strap, Fuse"</formula1>
    </dataValidation>
    <dataValidation allowBlank="1" showInputMessage="1" sqref="F278:F279 F271:F276 F281:F282 F1:F269 F288 F290 F292 F294 F296 F298 F300 F302 F304 F306 F308 F310 F312" xr:uid="{1C692B07-2070-4DBB-9813-163613E47CA4}"/>
    <dataValidation allowBlank="1" showInputMessage="1" showErrorMessage="1" prompt="8 bit Hexa number between 0x0 and 0xff. Offset within register space for block" sqref="B1:B2 B272 L258:Q258 B49 L66:Q70 B15 B32 B66:B70 B96:B110 B113:B122 B130:B138 B177:B186 B143:B152 B160:B168 B194:B204 L1:Q2 L96:Q110 L113:Q122 L130:Q138 L143:Q152 L160:Q168 L15:Q15 L177:Q186 L194:Q204 L207:Q217 L241:Q250 L79:Q90 L224:Q234 L32:Q32 B241:B250 B258 B79:B90 B207:B217 B224:B234 L49:Q49 L282:Q282 L288:Q288 L290:Q290 L292:Q292 L294:Q294 L296:Q296 L298:Q298 L300:Q300 L302:Q302 L304:Q304 L306:Q306 L308:Q308 L310:Q310 L312:Q312" xr:uid="{C970F21A-78CC-4635-A488-328CCE34AC7D}">
      <formula1>0</formula1>
      <formula2>0</formula2>
    </dataValidation>
    <dataValidation type="list" allowBlank="1" showInputMessage="1" showErrorMessage="1" sqref="J242:J257 J225:J240 J131:J142 J114:J129 J33:J48 J97:J112 J161:J176 J178:J193 J67:J78 J50:J65 J144:J159 J208:J223 J195:J206 J273:J281 J259:J271 J3:J14 J16:J31 J313 J283:J287 J289 J291 J293 J295 J297 J299 J301 J303 J305 J307 J309 J311 J80:J95" xr:uid="{87787572-F7C0-47AA-87C8-9675F5016300}">
      <formula1>BOOLEAN</formula1>
    </dataValidation>
    <dataValidation type="list" allowBlank="1" showErrorMessage="1" sqref="H1" xr:uid="{18F77CD3-7988-4E5C-83D2-1331F9F81921}">
      <formula1>"WR,RO"</formula1>
    </dataValidation>
    <dataValidation type="list" allowBlank="1" showInputMessage="1" showErrorMessage="1" sqref="H242:H257 H225:H240 H131:H142 H114:H129 H33:H48 H161:H176 H97:H112 H178:H193 H67:H78 H50:H65 H144:H159 H208:H223 H195:H206 H273:H281 H259:H271 H3:H14 H16:H31 H313 H283:H287 H289 H291 H293 H295 H297 H299 H301 H303 H305 H307 H309 H311 H80:H95" xr:uid="{A1D4F9B5-ABDF-431E-836F-57914E3FCFB0}">
      <formula1>"WR,RO"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9:H15"/>
  <sheetViews>
    <sheetView workbookViewId="0">
      <selection activeCell="A10" sqref="A10"/>
    </sheetView>
  </sheetViews>
  <sheetFormatPr defaultRowHeight="15"/>
  <cols>
    <col min="1" max="1" width="13.42578125" customWidth="1"/>
  </cols>
  <sheetData>
    <row r="9" spans="1:8">
      <c r="D9" t="s">
        <v>17</v>
      </c>
    </row>
    <row r="10" spans="1:8">
      <c r="A10" t="s">
        <v>5</v>
      </c>
      <c r="C10" t="s">
        <v>15</v>
      </c>
      <c r="D10" t="s">
        <v>18</v>
      </c>
      <c r="F10" t="s">
        <v>11</v>
      </c>
      <c r="H10" t="s">
        <v>8</v>
      </c>
    </row>
    <row r="11" spans="1:8">
      <c r="A11" t="s">
        <v>20</v>
      </c>
      <c r="C11" t="s">
        <v>16</v>
      </c>
      <c r="D11" t="s">
        <v>19</v>
      </c>
      <c r="F11" t="s">
        <v>12</v>
      </c>
      <c r="H11" t="s">
        <v>6</v>
      </c>
    </row>
    <row r="12" spans="1:8">
      <c r="A12" t="s">
        <v>9</v>
      </c>
      <c r="C12" t="s">
        <v>13</v>
      </c>
    </row>
    <row r="13" spans="1:8">
      <c r="A13" t="s">
        <v>10</v>
      </c>
    </row>
    <row r="14" spans="1:8">
      <c r="A14" t="s">
        <v>14</v>
      </c>
    </row>
    <row r="15" spans="1:8">
      <c r="A15" t="s">
        <v>22</v>
      </c>
    </row>
  </sheetData>
  <customSheetViews>
    <customSheetView guid="{2BBBE5B5-B14C-4BF7-9B95-9EEB3666FF3B}" state="hidden">
      <selection activeCell="D22" sqref="D22"/>
      <pageMargins left="0.7" right="0.7" top="0.75" bottom="0.75" header="0.51180555555555551" footer="0.51180555555555551"/>
      <pageSetup firstPageNumber="0" orientation="portrait" horizontalDpi="300" verticalDpi="300"/>
      <headerFooter alignWithMargins="0"/>
    </customSheetView>
  </customSheetViews>
  <pageMargins left="0.7" right="0.7" top="0.75" bottom="0.75" header="0.51180555555555551" footer="0.51180555555555551"/>
  <pageSetup firstPageNumber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26"/>
  <sheetViews>
    <sheetView workbookViewId="0">
      <selection activeCell="A40" sqref="A40"/>
    </sheetView>
  </sheetViews>
  <sheetFormatPr defaultRowHeight="15"/>
  <cols>
    <col min="1" max="1" width="9.5703125" bestFit="1" customWidth="1"/>
    <col min="2" max="2" width="14" bestFit="1" customWidth="1"/>
  </cols>
  <sheetData>
    <row r="1" spans="1:8" ht="15.75" thickBot="1">
      <c r="A1" s="9" t="s">
        <v>27</v>
      </c>
      <c r="B1" s="11" t="s">
        <v>28</v>
      </c>
      <c r="C1" s="10"/>
      <c r="D1" s="11"/>
      <c r="E1" s="10"/>
      <c r="F1" s="11"/>
      <c r="G1" s="10"/>
      <c r="H1" s="11"/>
    </row>
    <row r="2" spans="1:8">
      <c r="A2" s="6" t="s">
        <v>25</v>
      </c>
      <c r="B2" s="4" t="s">
        <v>30</v>
      </c>
      <c r="C2" s="3"/>
      <c r="D2" s="4"/>
      <c r="E2" s="3"/>
      <c r="F2" s="4"/>
      <c r="G2" s="3"/>
      <c r="H2" s="4"/>
    </row>
    <row r="3" spans="1:8">
      <c r="A3" s="6" t="s">
        <v>26</v>
      </c>
      <c r="B3" s="4" t="s">
        <v>29</v>
      </c>
      <c r="C3" s="3"/>
      <c r="D3" s="4"/>
      <c r="E3" s="3"/>
      <c r="F3" s="4"/>
      <c r="G3" s="3"/>
      <c r="H3" s="4"/>
    </row>
    <row r="4" spans="1:8">
      <c r="A4" s="6"/>
      <c r="B4" s="4" t="s">
        <v>31</v>
      </c>
      <c r="C4" s="3"/>
      <c r="D4" s="4"/>
      <c r="E4" s="3"/>
      <c r="F4" s="4"/>
      <c r="G4" s="3"/>
      <c r="H4" s="4"/>
    </row>
    <row r="5" spans="1:8">
      <c r="A5" s="6"/>
      <c r="B5" s="4" t="s">
        <v>32</v>
      </c>
      <c r="C5" s="3"/>
      <c r="D5" s="4"/>
      <c r="E5" s="3"/>
      <c r="F5" s="4"/>
      <c r="G5" s="3"/>
      <c r="H5" s="4"/>
    </row>
    <row r="6" spans="1:8">
      <c r="A6" s="6"/>
      <c r="B6" s="4"/>
      <c r="C6" s="3"/>
      <c r="D6" s="4"/>
      <c r="E6" s="3"/>
      <c r="F6" s="4"/>
      <c r="G6" s="3"/>
      <c r="H6" s="4"/>
    </row>
    <row r="7" spans="1:8">
      <c r="A7" s="6"/>
      <c r="B7" s="4"/>
      <c r="C7" s="3"/>
      <c r="D7" s="4"/>
      <c r="E7" s="3"/>
      <c r="F7" s="4"/>
      <c r="G7" s="3"/>
      <c r="H7" s="4"/>
    </row>
    <row r="8" spans="1:8">
      <c r="A8" s="6"/>
      <c r="B8" s="4"/>
      <c r="C8" s="3"/>
      <c r="D8" s="4"/>
      <c r="E8" s="3"/>
      <c r="F8" s="4"/>
      <c r="G8" s="3"/>
      <c r="H8" s="4"/>
    </row>
    <row r="9" spans="1:8">
      <c r="A9" s="6"/>
      <c r="B9" s="4"/>
      <c r="C9" s="3"/>
      <c r="D9" s="4"/>
      <c r="E9" s="3"/>
      <c r="F9" s="4"/>
      <c r="G9" s="3"/>
      <c r="H9" s="4"/>
    </row>
    <row r="10" spans="1:8">
      <c r="A10" s="6"/>
      <c r="B10" s="4"/>
      <c r="C10" s="3"/>
      <c r="D10" s="4"/>
      <c r="E10" s="3"/>
      <c r="F10" s="4"/>
      <c r="G10" s="3"/>
      <c r="H10" s="4"/>
    </row>
    <row r="11" spans="1:8">
      <c r="A11" s="6"/>
      <c r="B11" s="4"/>
      <c r="C11" s="3"/>
      <c r="D11" s="4"/>
      <c r="E11" s="3"/>
      <c r="F11" s="4"/>
      <c r="G11" s="3"/>
      <c r="H11" s="4"/>
    </row>
    <row r="12" spans="1:8">
      <c r="A12" s="6"/>
      <c r="B12" s="4"/>
      <c r="C12" s="3"/>
      <c r="D12" s="4"/>
      <c r="E12" s="3"/>
      <c r="F12" s="4"/>
      <c r="G12" s="3"/>
      <c r="H12" s="4"/>
    </row>
    <row r="13" spans="1:8">
      <c r="A13" s="6"/>
      <c r="B13" s="4"/>
      <c r="C13" s="3"/>
      <c r="D13" s="4"/>
      <c r="E13" s="3"/>
      <c r="F13" s="4"/>
      <c r="G13" s="3"/>
      <c r="H13" s="4"/>
    </row>
    <row r="14" spans="1:8">
      <c r="A14" s="6"/>
      <c r="B14" s="4"/>
      <c r="C14" s="3"/>
      <c r="D14" s="4"/>
      <c r="E14" s="3"/>
      <c r="F14" s="4"/>
      <c r="G14" s="3"/>
      <c r="H14" s="4"/>
    </row>
    <row r="15" spans="1:8">
      <c r="A15" s="6"/>
      <c r="B15" s="4"/>
      <c r="C15" s="3"/>
      <c r="D15" s="4"/>
      <c r="E15" s="3"/>
      <c r="F15" s="4"/>
      <c r="G15" s="3"/>
      <c r="H15" s="4"/>
    </row>
    <row r="16" spans="1:8">
      <c r="A16" s="6"/>
      <c r="B16" s="4"/>
      <c r="C16" s="3"/>
      <c r="D16" s="4"/>
      <c r="E16" s="3"/>
      <c r="F16" s="4"/>
      <c r="G16" s="3"/>
      <c r="H16" s="4"/>
    </row>
    <row r="17" spans="1:8">
      <c r="A17" s="6"/>
      <c r="B17" s="4"/>
      <c r="C17" s="3"/>
      <c r="D17" s="4"/>
      <c r="E17" s="3"/>
      <c r="F17" s="4"/>
      <c r="G17" s="3"/>
      <c r="H17" s="4"/>
    </row>
    <row r="18" spans="1:8">
      <c r="A18" s="6"/>
      <c r="B18" s="4"/>
      <c r="C18" s="3"/>
      <c r="D18" s="4"/>
      <c r="E18" s="3"/>
      <c r="F18" s="4"/>
      <c r="G18" s="3"/>
      <c r="H18" s="4"/>
    </row>
    <row r="19" spans="1:8">
      <c r="A19" s="6"/>
      <c r="B19" s="4"/>
      <c r="C19" s="3"/>
      <c r="D19" s="4"/>
      <c r="E19" s="3"/>
      <c r="F19" s="4"/>
      <c r="G19" s="3"/>
      <c r="H19" s="4"/>
    </row>
    <row r="20" spans="1:8">
      <c r="A20" s="6"/>
      <c r="B20" s="4"/>
      <c r="C20" s="3"/>
      <c r="D20" s="4"/>
      <c r="E20" s="3"/>
      <c r="F20" s="4"/>
      <c r="G20" s="3"/>
      <c r="H20" s="4"/>
    </row>
    <row r="21" spans="1:8">
      <c r="A21" s="6"/>
      <c r="B21" s="4"/>
      <c r="C21" s="3"/>
      <c r="D21" s="4"/>
      <c r="E21" s="3"/>
      <c r="F21" s="4"/>
      <c r="G21" s="3"/>
      <c r="H21" s="4"/>
    </row>
    <row r="22" spans="1:8">
      <c r="A22" s="6"/>
      <c r="B22" s="4"/>
      <c r="C22" s="3"/>
      <c r="D22" s="4"/>
      <c r="E22" s="3"/>
      <c r="F22" s="4"/>
      <c r="G22" s="3"/>
      <c r="H22" s="4"/>
    </row>
    <row r="23" spans="1:8">
      <c r="A23" s="6"/>
      <c r="B23" s="4"/>
      <c r="C23" s="3"/>
      <c r="D23" s="4"/>
      <c r="E23" s="3"/>
      <c r="F23" s="4"/>
      <c r="G23" s="3"/>
      <c r="H23" s="4"/>
    </row>
    <row r="24" spans="1:8">
      <c r="A24" s="6"/>
      <c r="B24" s="4"/>
      <c r="C24" s="3"/>
      <c r="D24" s="4"/>
      <c r="E24" s="3"/>
      <c r="F24" s="4"/>
      <c r="G24" s="3"/>
      <c r="H24" s="4"/>
    </row>
    <row r="25" spans="1:8">
      <c r="A25" s="6"/>
      <c r="B25" s="4"/>
      <c r="C25" s="3"/>
      <c r="D25" s="4"/>
      <c r="E25" s="3"/>
      <c r="F25" s="4"/>
      <c r="G25" s="3"/>
      <c r="H25" s="4"/>
    </row>
    <row r="26" spans="1:8" ht="15.75" thickBot="1">
      <c r="A26" s="7"/>
      <c r="B26" s="5"/>
      <c r="C26" s="8"/>
      <c r="D26" s="5"/>
      <c r="E26" s="8"/>
      <c r="F26" s="5"/>
      <c r="G26" s="8"/>
      <c r="H26" s="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843C0F9E50B914A96F8D271432EBC33" ma:contentTypeVersion="0" ma:contentTypeDescription="Create a new document." ma:contentTypeScope="" ma:versionID="5e835c43eb47666319830cdb216a144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56C059C-0B93-40BB-9822-6178BB3A15B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B4EE478-C465-497B-9ECD-59BED90515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6FEDBEE-D3F8-4B1A-80EF-A24D04DB9439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FLC_sar</vt:lpstr>
      <vt:lpstr>Sheet2</vt:lpstr>
      <vt:lpstr>lists</vt:lpstr>
      <vt:lpstr>BLOCK_NAMES</vt:lpstr>
      <vt:lpstr>BOOLEAN</vt:lpstr>
      <vt:lpstr>DEFAULT_TYPE</vt:lpstr>
      <vt:lpstr>hw_type</vt:lpstr>
      <vt:lpstr>hwclr</vt:lpstr>
      <vt:lpstr>hwtype</vt:lpstr>
      <vt:lpstr>REG_TYPE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Yom Tov, Chanan</dc:creator>
  <cp:keywords>CTPClassification=CTP_IC:VisualMarkings=, CTPClassification=CTP_IC, CTPClassification=CTP_NT</cp:keywords>
  <cp:lastModifiedBy>Cohen, Cfir</cp:lastModifiedBy>
  <dcterms:created xsi:type="dcterms:W3CDTF">2011-12-18T09:45:58Z</dcterms:created>
  <dcterms:modified xsi:type="dcterms:W3CDTF">2019-12-16T09:34:03Z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aeb8ad9c-eb55-4ef0-901b-9794312511c1</vt:lpwstr>
  </property>
  <property fmtid="{D5CDD505-2E9C-101B-9397-08002B2CF9AE}" pid="3" name="CTP_BU">
    <vt:lpwstr>NA</vt:lpwstr>
  </property>
  <property fmtid="{D5CDD505-2E9C-101B-9397-08002B2CF9AE}" pid="4" name="CTP_TimeStamp">
    <vt:lpwstr>2019-12-16 09:34:02Z</vt:lpwstr>
  </property>
  <property fmtid="{D5CDD505-2E9C-101B-9397-08002B2CF9AE}" pid="5" name="ContentTypeId">
    <vt:lpwstr>0x010100A843C0F9E50B914A96F8D271432EBC33</vt:lpwstr>
  </property>
  <property fmtid="{D5CDD505-2E9C-101B-9397-08002B2CF9AE}" pid="6" name="CTP_IDSID">
    <vt:lpwstr>NA</vt:lpwstr>
  </property>
  <property fmtid="{D5CDD505-2E9C-101B-9397-08002B2CF9AE}" pid="7" name="CTP_WWID">
    <vt:lpwstr>NA</vt:lpwstr>
  </property>
  <property fmtid="{D5CDD505-2E9C-101B-9397-08002B2CF9AE}" pid="8" name="CTPClassification">
    <vt:lpwstr>CTP_NT</vt:lpwstr>
  </property>
</Properties>
</file>