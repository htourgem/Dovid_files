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127" codeName="{4470D2CD-2249-CD33-4A35-6F278624656F}"/>
  <workbookPr codeName="ThisWorkbook"/>
  <mc:AlternateContent xmlns:mc="http://schemas.openxmlformats.org/markup-compatibility/2006">
    <mc:Choice Requires="x15">
      <x15ac:absPath xmlns:x15ac="http://schemas.microsoft.com/office/spreadsheetml/2010/11/ac" url="https://intel-my.sharepoint.com/personal/marina_kovshov_intel_com/Documents/Desktop/soconline/BRK2_tc2/sch_0p8/"/>
    </mc:Choice>
  </mc:AlternateContent>
  <xr:revisionPtr revIDLastSave="101" documentId="6_{F24BCFE9-0ADC-47A0-B9A6-AE46AD165608}" xr6:coauthVersionLast="45" xr6:coauthVersionMax="45" xr10:uidLastSave="{F9A8F10F-5316-41DB-BCC4-ACC97494C30C}"/>
  <bookViews>
    <workbookView xWindow="-108" yWindow="-108" windowWidth="23256" windowHeight="12576" xr2:uid="{00000000-000D-0000-FFFF-FFFF00000000}"/>
  </bookViews>
  <sheets>
    <sheet name="ADPLL_Config" sheetId="1" r:id="rId1"/>
    <sheet name="Sheet1" sheetId="44" r:id="rId2"/>
    <sheet name="Sheet2" sheetId="2" state="hidden" r:id="rId3"/>
    <sheet name="lists" sheetId="19" state="hidden" r:id="rId4"/>
    <sheet name="rel-notes" sheetId="43" r:id="rId5"/>
  </sheets>
  <functionGroups builtInGroupCount="19"/>
  <externalReferences>
    <externalReference r:id="rId6"/>
  </externalReferences>
  <definedNames>
    <definedName name="_xlnm._FilterDatabase" localSheetId="0" hidden="1">ADPLL_Config!$A$1:$AH$1491</definedName>
    <definedName name="BLOCK_NAMES">Sheet2!$A$10:$A$14</definedName>
    <definedName name="BOOLEAN">Sheet2!$H$10:$H$11</definedName>
    <definedName name="default">[1]List!$J$1:$J$5</definedName>
    <definedName name="DEFAULT_TYPE" comment="types for defining registers defaults.">lists!$B$2:$B$26</definedName>
    <definedName name="hw_type">Sheet2!$D$10:$D$12</definedName>
    <definedName name="hwclr">Sheet2!$D$10:$D$11</definedName>
    <definedName name="hwtype">Sheet2!$D$10:$D$11</definedName>
    <definedName name="REG_TYPE">lists!$A$2:$A$26</definedName>
  </definedNames>
  <calcPr calcId="191029"/>
  <customWorkbookViews>
    <customWorkbookView name="Virobnik, Udi - Personal View" guid="{2BBBE5B5-B14C-4BF7-9B95-9EEB3666FF3B}" mergeInterval="0" personalView="1" maximized="1" windowWidth="1920" windowHeight="855" activeSheetId="1"/>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804" i="1" l="1"/>
  <c r="Q803" i="1"/>
  <c r="M803" i="1"/>
  <c r="B803" i="1"/>
  <c r="E790" i="1"/>
  <c r="Q789" i="1"/>
  <c r="M789" i="1"/>
  <c r="B789" i="1"/>
  <c r="E1487" i="1"/>
  <c r="Q1486" i="1"/>
  <c r="M1486" i="1"/>
  <c r="B1486" i="1"/>
  <c r="E1474" i="1"/>
  <c r="Q1473" i="1"/>
  <c r="M1473" i="1"/>
  <c r="B1473" i="1"/>
  <c r="E1469" i="1"/>
  <c r="Q1468" i="1"/>
  <c r="M1468" i="1"/>
  <c r="B1468" i="1"/>
  <c r="E1442" i="1"/>
  <c r="E1443" i="1" s="1"/>
  <c r="E1444" i="1" s="1"/>
  <c r="E1445" i="1" s="1"/>
  <c r="E1446" i="1" s="1"/>
  <c r="E1447" i="1" s="1"/>
  <c r="E1448" i="1" s="1"/>
  <c r="E1449" i="1" s="1"/>
  <c r="E1450" i="1" s="1"/>
  <c r="E1451" i="1" s="1"/>
  <c r="E1452" i="1" s="1"/>
  <c r="E1453" i="1" s="1"/>
  <c r="E1454" i="1" s="1"/>
  <c r="E1455" i="1" s="1"/>
  <c r="E1456" i="1" s="1"/>
  <c r="E1457" i="1" s="1"/>
  <c r="E1458" i="1" s="1"/>
  <c r="E1459" i="1" s="1"/>
  <c r="E1460" i="1" s="1"/>
  <c r="E1461" i="1" s="1"/>
  <c r="E1462" i="1" s="1"/>
  <c r="E1463" i="1" s="1"/>
  <c r="E1464" i="1" s="1"/>
  <c r="Q1441" i="1"/>
  <c r="M1441" i="1"/>
  <c r="B1441" i="1"/>
  <c r="E1433" i="1"/>
  <c r="Q1432" i="1"/>
  <c r="M1432" i="1"/>
  <c r="B1432" i="1"/>
  <c r="E1425" i="1"/>
  <c r="Q1424" i="1"/>
  <c r="M1424" i="1"/>
  <c r="B1424" i="1"/>
  <c r="E1414" i="1"/>
  <c r="Q1413" i="1"/>
  <c r="M1413" i="1"/>
  <c r="B1413" i="1"/>
  <c r="E1384" i="1"/>
  <c r="E1385" i="1" s="1"/>
  <c r="E1386" i="1" s="1"/>
  <c r="E1387" i="1" s="1"/>
  <c r="E1388" i="1" s="1"/>
  <c r="E1389" i="1" s="1"/>
  <c r="E1390" i="1" s="1"/>
  <c r="E1391" i="1" s="1"/>
  <c r="E1392" i="1" s="1"/>
  <c r="E1393" i="1" s="1"/>
  <c r="E1394" i="1" s="1"/>
  <c r="E1395" i="1" s="1"/>
  <c r="E1396" i="1" s="1"/>
  <c r="E1397" i="1" s="1"/>
  <c r="E1398" i="1" s="1"/>
  <c r="E1399" i="1" s="1"/>
  <c r="E1400" i="1" s="1"/>
  <c r="E1401" i="1" s="1"/>
  <c r="E1402" i="1" s="1"/>
  <c r="E1403" i="1" s="1"/>
  <c r="E1404" i="1" s="1"/>
  <c r="E1405" i="1" s="1"/>
  <c r="E1406" i="1" s="1"/>
  <c r="E1407" i="1" s="1"/>
  <c r="E1408" i="1" s="1"/>
  <c r="E1409" i="1" s="1"/>
  <c r="E1410" i="1" s="1"/>
  <c r="E1411" i="1" s="1"/>
  <c r="E1412" i="1" s="1"/>
  <c r="Q1383" i="1"/>
  <c r="M1383" i="1"/>
  <c r="B1383" i="1"/>
  <c r="J867" i="1"/>
  <c r="J1202" i="1"/>
  <c r="J951" i="1"/>
  <c r="I789" i="1"/>
  <c r="E1488" i="1"/>
  <c r="J1165" i="1"/>
  <c r="D1168" i="1"/>
  <c r="D1281" i="1"/>
  <c r="J905" i="1"/>
  <c r="J1225" i="1"/>
  <c r="D927" i="1"/>
  <c r="D1071" i="1"/>
  <c r="J887" i="1"/>
  <c r="D1207" i="1"/>
  <c r="J944" i="1"/>
  <c r="D867" i="1"/>
  <c r="I1486" i="1"/>
  <c r="J1338" i="1"/>
  <c r="D1305" i="1"/>
  <c r="D1338" i="1"/>
  <c r="D1319" i="1"/>
  <c r="D1333" i="1"/>
  <c r="J1140" i="1"/>
  <c r="J984" i="1"/>
  <c r="D1473" i="1"/>
  <c r="D966" i="1"/>
  <c r="J1486" i="1"/>
  <c r="D922" i="1"/>
  <c r="J1237" i="1"/>
  <c r="J916" i="1"/>
  <c r="J975" i="1"/>
  <c r="D1034" i="1"/>
  <c r="J1324" i="1"/>
  <c r="D1383" i="1"/>
  <c r="J1255" i="1"/>
  <c r="J1029" i="1"/>
  <c r="J1319" i="1"/>
  <c r="J1432" i="1"/>
  <c r="D1085" i="1"/>
  <c r="J1048" i="1"/>
  <c r="E1434" i="1"/>
  <c r="J1281" i="1"/>
  <c r="D1165" i="1"/>
  <c r="D1246" i="1"/>
  <c r="J993" i="1"/>
  <c r="D1062" i="1"/>
  <c r="D1188" i="1"/>
  <c r="J1264" i="1"/>
  <c r="D916" i="1"/>
  <c r="D851" i="1"/>
  <c r="D975" i="1"/>
  <c r="D1296" i="1"/>
  <c r="J825" i="1"/>
  <c r="J1196" i="1"/>
  <c r="D899" i="1"/>
  <c r="J1216" i="1"/>
  <c r="D933" i="1"/>
  <c r="D1133" i="1"/>
  <c r="J1019" i="1"/>
  <c r="J1310" i="1"/>
  <c r="I1468" i="1"/>
  <c r="D1216" i="1"/>
  <c r="D984" i="1"/>
  <c r="J1305" i="1"/>
  <c r="D789" i="1"/>
  <c r="D1057" i="1"/>
  <c r="D887" i="1"/>
  <c r="J1037" i="1"/>
  <c r="D993" i="1"/>
  <c r="D1037" i="1"/>
  <c r="D1255" i="1"/>
  <c r="D1051" i="1"/>
  <c r="D1291" i="1"/>
  <c r="J1160" i="1"/>
  <c r="D1019" i="1"/>
  <c r="J1124" i="1"/>
  <c r="D1029" i="1"/>
  <c r="J1034" i="1"/>
  <c r="D1324" i="1"/>
  <c r="D1413" i="1"/>
  <c r="D951" i="1"/>
  <c r="J1094" i="1"/>
  <c r="J1327" i="1"/>
  <c r="I803" i="1"/>
  <c r="J1079" i="1"/>
  <c r="J1085" i="1"/>
  <c r="D1341" i="1"/>
  <c r="E1415" i="1"/>
  <c r="D1237" i="1"/>
  <c r="J1188" i="1"/>
  <c r="J899" i="1"/>
  <c r="D1299" i="1"/>
  <c r="J933" i="1"/>
  <c r="J1313" i="1"/>
  <c r="J1051" i="1"/>
  <c r="J1207" i="1"/>
  <c r="J860" i="1"/>
  <c r="J1062" i="1"/>
  <c r="D1356" i="1"/>
  <c r="E1475" i="1"/>
  <c r="J1347" i="1"/>
  <c r="J1009" i="1"/>
  <c r="D1310" i="1"/>
  <c r="I1473" i="1"/>
  <c r="J1168" i="1"/>
  <c r="D1076" i="1"/>
  <c r="D1374" i="1"/>
  <c r="D1432" i="1"/>
  <c r="D1313" i="1"/>
  <c r="J1071" i="1"/>
  <c r="D1365" i="1"/>
  <c r="E1470" i="1"/>
  <c r="D1202" i="1"/>
  <c r="J1115" i="1"/>
  <c r="J1383" i="1"/>
  <c r="D1048" i="1"/>
  <c r="J803" i="1"/>
  <c r="D939" i="1"/>
  <c r="D803" i="1"/>
  <c r="D1441" i="1"/>
  <c r="J1296" i="1"/>
  <c r="D1043" i="1"/>
  <c r="D1347" i="1"/>
  <c r="J1333" i="1"/>
  <c r="D1094" i="1"/>
  <c r="D1327" i="1"/>
  <c r="J1468" i="1"/>
  <c r="E805" i="1"/>
  <c r="J1182" i="1"/>
  <c r="J1065" i="1"/>
  <c r="D877" i="1"/>
  <c r="J1473" i="1"/>
  <c r="J1174" i="1"/>
  <c r="D1079" i="1"/>
  <c r="D1009" i="1"/>
  <c r="J1210" i="1"/>
  <c r="J1299" i="1"/>
  <c r="J966" i="1"/>
  <c r="D892" i="1"/>
  <c r="J1043" i="1"/>
  <c r="D910" i="1"/>
  <c r="D1150" i="1"/>
  <c r="J1356" i="1"/>
  <c r="J1057" i="1"/>
  <c r="D1124" i="1"/>
  <c r="D1193" i="1"/>
  <c r="D957" i="1"/>
  <c r="J1150" i="1"/>
  <c r="D1210" i="1"/>
  <c r="J1413" i="1"/>
  <c r="J1291" i="1"/>
  <c r="J1076" i="1"/>
  <c r="J1374" i="1"/>
  <c r="J1441" i="1"/>
  <c r="D1468" i="1"/>
  <c r="D1174" i="1"/>
  <c r="J1133" i="1"/>
  <c r="D1271" i="1"/>
  <c r="E1426" i="1"/>
  <c r="D1160" i="1"/>
  <c r="D1196" i="1"/>
  <c r="D1424" i="1"/>
  <c r="J1365" i="1"/>
  <c r="J1271" i="1"/>
  <c r="D860" i="1"/>
  <c r="J1193" i="1"/>
  <c r="J957" i="1"/>
  <c r="D1182" i="1"/>
  <c r="J789" i="1"/>
  <c r="J1341" i="1"/>
  <c r="D944" i="1"/>
  <c r="J851" i="1"/>
  <c r="J1002" i="1"/>
  <c r="D1002" i="1"/>
  <c r="D1179" i="1"/>
  <c r="D1065" i="1"/>
  <c r="D1140" i="1"/>
  <c r="J939" i="1"/>
  <c r="J1246" i="1"/>
  <c r="J910" i="1"/>
  <c r="D1103" i="1"/>
  <c r="D905" i="1"/>
  <c r="D1225" i="1"/>
  <c r="J927" i="1"/>
  <c r="J922" i="1"/>
  <c r="D1486" i="1"/>
  <c r="J892" i="1"/>
  <c r="D1115" i="1"/>
  <c r="J1424" i="1"/>
  <c r="J1103" i="1"/>
  <c r="D1264" i="1"/>
  <c r="J877" i="1"/>
  <c r="E791" i="1"/>
  <c r="J1179" i="1"/>
  <c r="S1413" i="1" l="1"/>
  <c r="R1424" i="1"/>
  <c r="S1486" i="1"/>
  <c r="S1424" i="1"/>
  <c r="R1441" i="1"/>
  <c r="S789" i="1"/>
  <c r="S1468" i="1"/>
  <c r="S1473" i="1"/>
  <c r="R1432" i="1"/>
  <c r="S1441" i="1"/>
  <c r="R1468" i="1"/>
  <c r="R1473" i="1"/>
  <c r="R1486" i="1"/>
  <c r="S803" i="1"/>
  <c r="S1383" i="1"/>
  <c r="R803" i="1"/>
  <c r="R1383" i="1"/>
  <c r="R1413" i="1"/>
  <c r="S1432" i="1"/>
  <c r="R789" i="1"/>
  <c r="E1465" i="1"/>
  <c r="E1466" i="1" s="1"/>
  <c r="E1467" i="1" s="1"/>
  <c r="E1427" i="1"/>
  <c r="E1416" i="1"/>
  <c r="E1435" i="1"/>
  <c r="E1476" i="1"/>
  <c r="E1471" i="1"/>
  <c r="E792" i="1"/>
  <c r="E793" i="1" s="1"/>
  <c r="E806" i="1"/>
  <c r="E1489" i="1"/>
  <c r="E1375" i="1" l="1"/>
  <c r="E1376" i="1" s="1"/>
  <c r="E1377" i="1" s="1"/>
  <c r="E1378" i="1" s="1"/>
  <c r="E1379" i="1" s="1"/>
  <c r="E1380" i="1" s="1"/>
  <c r="E1381" i="1" s="1"/>
  <c r="E1382" i="1" s="1"/>
  <c r="Q1374" i="1"/>
  <c r="M1374" i="1"/>
  <c r="S1374" i="1"/>
  <c r="R1374" i="1"/>
  <c r="B1374" i="1"/>
  <c r="E1366" i="1"/>
  <c r="E1367" i="1" s="1"/>
  <c r="E1368" i="1" s="1"/>
  <c r="E1369" i="1" s="1"/>
  <c r="E1370" i="1" s="1"/>
  <c r="E1371" i="1" s="1"/>
  <c r="E1372" i="1" s="1"/>
  <c r="E1373" i="1" s="1"/>
  <c r="Q1365" i="1"/>
  <c r="M1365" i="1"/>
  <c r="S1365" i="1"/>
  <c r="R1365" i="1"/>
  <c r="B1365" i="1"/>
  <c r="E1357" i="1"/>
  <c r="E1358" i="1" s="1"/>
  <c r="E1359" i="1" s="1"/>
  <c r="E1360" i="1" s="1"/>
  <c r="E1361" i="1" s="1"/>
  <c r="E1362" i="1" s="1"/>
  <c r="E1363" i="1" s="1"/>
  <c r="E1364" i="1" s="1"/>
  <c r="Q1356" i="1"/>
  <c r="M1356" i="1"/>
  <c r="S1356" i="1"/>
  <c r="R1356" i="1"/>
  <c r="B1356" i="1"/>
  <c r="E1348" i="1"/>
  <c r="E1349" i="1" s="1"/>
  <c r="E1350" i="1" s="1"/>
  <c r="E1351" i="1" s="1"/>
  <c r="E1352" i="1" s="1"/>
  <c r="E1353" i="1" s="1"/>
  <c r="E1354" i="1" s="1"/>
  <c r="E1355" i="1" s="1"/>
  <c r="Q1347" i="1"/>
  <c r="M1347" i="1"/>
  <c r="S1347" i="1"/>
  <c r="R1347" i="1"/>
  <c r="B1347" i="1"/>
  <c r="E1342" i="1"/>
  <c r="E1343" i="1" s="1"/>
  <c r="E1344" i="1" s="1"/>
  <c r="E1345" i="1" s="1"/>
  <c r="E1346" i="1" s="1"/>
  <c r="Q1341" i="1"/>
  <c r="M1341" i="1"/>
  <c r="S1341" i="1"/>
  <c r="R1341" i="1"/>
  <c r="B1341" i="1"/>
  <c r="E1339" i="1"/>
  <c r="E1340" i="1" s="1"/>
  <c r="Q1338" i="1"/>
  <c r="M1338" i="1"/>
  <c r="S1338" i="1"/>
  <c r="R1338" i="1"/>
  <c r="B1338" i="1"/>
  <c r="E1334" i="1"/>
  <c r="E1335" i="1" s="1"/>
  <c r="E1336" i="1" s="1"/>
  <c r="E1337" i="1" s="1"/>
  <c r="Q1333" i="1"/>
  <c r="M1333" i="1"/>
  <c r="S1333" i="1"/>
  <c r="R1333" i="1"/>
  <c r="B1333" i="1"/>
  <c r="E1328" i="1"/>
  <c r="E1329" i="1" s="1"/>
  <c r="E1330" i="1" s="1"/>
  <c r="E1331" i="1" s="1"/>
  <c r="E1332" i="1" s="1"/>
  <c r="Q1327" i="1"/>
  <c r="M1327" i="1"/>
  <c r="S1327" i="1"/>
  <c r="R1327" i="1"/>
  <c r="B1327" i="1"/>
  <c r="E1325" i="1"/>
  <c r="E1326" i="1" s="1"/>
  <c r="Q1324" i="1"/>
  <c r="M1324" i="1"/>
  <c r="S1324" i="1"/>
  <c r="R1324" i="1"/>
  <c r="B1324" i="1"/>
  <c r="E1320" i="1"/>
  <c r="E1321" i="1" s="1"/>
  <c r="E1322" i="1" s="1"/>
  <c r="E1323" i="1" s="1"/>
  <c r="Q1319" i="1"/>
  <c r="M1319" i="1"/>
  <c r="S1319" i="1"/>
  <c r="R1319" i="1"/>
  <c r="B1319" i="1"/>
  <c r="E1314" i="1"/>
  <c r="E1315" i="1" s="1"/>
  <c r="E1316" i="1" s="1"/>
  <c r="E1317" i="1" s="1"/>
  <c r="E1318" i="1" s="1"/>
  <c r="Q1313" i="1"/>
  <c r="M1313" i="1"/>
  <c r="S1313" i="1"/>
  <c r="R1313" i="1"/>
  <c r="B1313" i="1"/>
  <c r="E1311" i="1"/>
  <c r="E1312" i="1" s="1"/>
  <c r="Q1310" i="1"/>
  <c r="M1310" i="1"/>
  <c r="S1310" i="1"/>
  <c r="R1310" i="1"/>
  <c r="B1310" i="1"/>
  <c r="E1306" i="1"/>
  <c r="E1307" i="1" s="1"/>
  <c r="E1308" i="1" s="1"/>
  <c r="E1309" i="1" s="1"/>
  <c r="Q1305" i="1"/>
  <c r="M1305" i="1"/>
  <c r="S1305" i="1"/>
  <c r="R1305" i="1"/>
  <c r="B1305" i="1"/>
  <c r="E1300" i="1"/>
  <c r="E1301" i="1" s="1"/>
  <c r="E1302" i="1" s="1"/>
  <c r="E1303" i="1" s="1"/>
  <c r="E1304" i="1" s="1"/>
  <c r="Q1299" i="1"/>
  <c r="M1299" i="1"/>
  <c r="S1299" i="1"/>
  <c r="R1299" i="1"/>
  <c r="B1299" i="1"/>
  <c r="E1298" i="1"/>
  <c r="E1297" i="1"/>
  <c r="Q1296" i="1"/>
  <c r="P1296" i="1"/>
  <c r="M1296" i="1" s="1"/>
  <c r="S1296" i="1"/>
  <c r="R1296" i="1"/>
  <c r="B1296" i="1"/>
  <c r="E1292" i="1"/>
  <c r="E1293" i="1" s="1"/>
  <c r="E1294" i="1" s="1"/>
  <c r="E1295" i="1" s="1"/>
  <c r="Q1291" i="1"/>
  <c r="M1291" i="1"/>
  <c r="S1291" i="1"/>
  <c r="R1291" i="1"/>
  <c r="B1291" i="1"/>
  <c r="E1282" i="1"/>
  <c r="E1283" i="1" s="1"/>
  <c r="E1284" i="1" s="1"/>
  <c r="E1285" i="1" s="1"/>
  <c r="E1286" i="1" s="1"/>
  <c r="E1287" i="1" s="1"/>
  <c r="E1288" i="1" s="1"/>
  <c r="E1289" i="1" s="1"/>
  <c r="E1290" i="1" s="1"/>
  <c r="Q1281" i="1"/>
  <c r="M1281" i="1"/>
  <c r="S1281" i="1"/>
  <c r="R1281" i="1"/>
  <c r="B1281" i="1"/>
  <c r="E1272" i="1"/>
  <c r="E1273" i="1" s="1"/>
  <c r="E1274" i="1" s="1"/>
  <c r="E1275" i="1" s="1"/>
  <c r="E1276" i="1" s="1"/>
  <c r="E1277" i="1" s="1"/>
  <c r="E1278" i="1" s="1"/>
  <c r="E1279" i="1" s="1"/>
  <c r="E1280" i="1" s="1"/>
  <c r="Q1271" i="1"/>
  <c r="M1271" i="1"/>
  <c r="S1271" i="1"/>
  <c r="R1271" i="1"/>
  <c r="B1271" i="1"/>
  <c r="E1265" i="1"/>
  <c r="E1266" i="1" s="1"/>
  <c r="E1267" i="1" s="1"/>
  <c r="E1268" i="1" s="1"/>
  <c r="E1269" i="1" s="1"/>
  <c r="E1270" i="1" s="1"/>
  <c r="Q1264" i="1"/>
  <c r="M1264" i="1"/>
  <c r="S1264" i="1"/>
  <c r="R1264" i="1"/>
  <c r="B1264" i="1"/>
  <c r="E1256" i="1"/>
  <c r="E1257" i="1" s="1"/>
  <c r="E1258" i="1" s="1"/>
  <c r="E1259" i="1" s="1"/>
  <c r="E1260" i="1" s="1"/>
  <c r="E1261" i="1" s="1"/>
  <c r="E1262" i="1" s="1"/>
  <c r="E1263" i="1" s="1"/>
  <c r="Q1255" i="1"/>
  <c r="M1255" i="1"/>
  <c r="S1255" i="1"/>
  <c r="R1255" i="1"/>
  <c r="B1255" i="1"/>
  <c r="E1247" i="1"/>
  <c r="E1248" i="1" s="1"/>
  <c r="E1249" i="1" s="1"/>
  <c r="E1250" i="1" s="1"/>
  <c r="E1251" i="1" s="1"/>
  <c r="E1252" i="1" s="1"/>
  <c r="E1253" i="1" s="1"/>
  <c r="E1254" i="1" s="1"/>
  <c r="Q1246" i="1"/>
  <c r="M1246" i="1"/>
  <c r="S1246" i="1"/>
  <c r="R1246" i="1"/>
  <c r="B1246" i="1"/>
  <c r="E1238" i="1"/>
  <c r="E1239" i="1" s="1"/>
  <c r="E1240" i="1" s="1"/>
  <c r="E1241" i="1" s="1"/>
  <c r="E1242" i="1" s="1"/>
  <c r="E1243" i="1" s="1"/>
  <c r="E1244" i="1" s="1"/>
  <c r="E1245" i="1" s="1"/>
  <c r="Q1237" i="1"/>
  <c r="M1237" i="1"/>
  <c r="S1237" i="1"/>
  <c r="R1237" i="1"/>
  <c r="B1237" i="1"/>
  <c r="E1226" i="1"/>
  <c r="E1227" i="1" s="1"/>
  <c r="E1228" i="1" s="1"/>
  <c r="E1229" i="1" s="1"/>
  <c r="E1230" i="1" s="1"/>
  <c r="E1231" i="1" s="1"/>
  <c r="E1232" i="1" s="1"/>
  <c r="E1233" i="1" s="1"/>
  <c r="E1234" i="1" s="1"/>
  <c r="E1235" i="1" s="1"/>
  <c r="E1236" i="1" s="1"/>
  <c r="Q1225" i="1"/>
  <c r="M1225" i="1"/>
  <c r="S1225" i="1"/>
  <c r="R1225" i="1"/>
  <c r="B1225" i="1"/>
  <c r="E1217" i="1"/>
  <c r="E1218" i="1" s="1"/>
  <c r="E1219" i="1" s="1"/>
  <c r="E1220" i="1" s="1"/>
  <c r="E1221" i="1" s="1"/>
  <c r="E1222" i="1" s="1"/>
  <c r="E1223" i="1" s="1"/>
  <c r="E1224" i="1" s="1"/>
  <c r="Q1216" i="1"/>
  <c r="M1216" i="1"/>
  <c r="S1216" i="1"/>
  <c r="R1216" i="1"/>
  <c r="B1216" i="1"/>
  <c r="E1211" i="1"/>
  <c r="E1212" i="1" s="1"/>
  <c r="E1213" i="1" s="1"/>
  <c r="E1214" i="1" s="1"/>
  <c r="E1215" i="1" s="1"/>
  <c r="Q1210" i="1"/>
  <c r="M1210" i="1"/>
  <c r="S1210" i="1"/>
  <c r="R1210" i="1"/>
  <c r="B1210" i="1"/>
  <c r="E1208" i="1"/>
  <c r="E1209" i="1" s="1"/>
  <c r="Q1207" i="1"/>
  <c r="M1207" i="1"/>
  <c r="S1207" i="1"/>
  <c r="R1207" i="1"/>
  <c r="B1207" i="1"/>
  <c r="E1203" i="1"/>
  <c r="E1204" i="1" s="1"/>
  <c r="E1205" i="1" s="1"/>
  <c r="E1206" i="1" s="1"/>
  <c r="Q1202" i="1"/>
  <c r="M1202" i="1"/>
  <c r="S1202" i="1"/>
  <c r="R1202" i="1"/>
  <c r="B1202" i="1"/>
  <c r="E1198" i="1"/>
  <c r="E1199" i="1" s="1"/>
  <c r="E1200" i="1" s="1"/>
  <c r="E1201" i="1" s="1"/>
  <c r="E1197" i="1"/>
  <c r="Q1196" i="1"/>
  <c r="M1196" i="1"/>
  <c r="S1196" i="1"/>
  <c r="R1196" i="1"/>
  <c r="B1196" i="1"/>
  <c r="E1194" i="1"/>
  <c r="E1195" i="1" s="1"/>
  <c r="Q1193" i="1"/>
  <c r="M1193" i="1"/>
  <c r="S1193" i="1"/>
  <c r="R1193" i="1"/>
  <c r="B1193" i="1"/>
  <c r="E1189" i="1"/>
  <c r="E1190" i="1" s="1"/>
  <c r="E1191" i="1" s="1"/>
  <c r="E1192" i="1" s="1"/>
  <c r="Q1188" i="1"/>
  <c r="M1188" i="1"/>
  <c r="S1188" i="1"/>
  <c r="R1188" i="1"/>
  <c r="B1188" i="1"/>
  <c r="E1183" i="1"/>
  <c r="E1184" i="1" s="1"/>
  <c r="E1185" i="1" s="1"/>
  <c r="E1186" i="1" s="1"/>
  <c r="E1187" i="1" s="1"/>
  <c r="Q1182" i="1"/>
  <c r="M1182" i="1"/>
  <c r="S1182" i="1"/>
  <c r="R1182" i="1"/>
  <c r="B1182" i="1"/>
  <c r="E1180" i="1"/>
  <c r="E1181" i="1" s="1"/>
  <c r="Q1179" i="1"/>
  <c r="M1179" i="1"/>
  <c r="S1179" i="1"/>
  <c r="R1179" i="1"/>
  <c r="B1179" i="1"/>
  <c r="E1175" i="1"/>
  <c r="E1176" i="1" s="1"/>
  <c r="E1177" i="1" s="1"/>
  <c r="E1178" i="1" s="1"/>
  <c r="Q1174" i="1"/>
  <c r="M1174" i="1"/>
  <c r="S1174" i="1"/>
  <c r="R1174" i="1"/>
  <c r="B1174" i="1"/>
  <c r="E1169" i="1"/>
  <c r="E1170" i="1" s="1"/>
  <c r="E1171" i="1" s="1"/>
  <c r="E1172" i="1" s="1"/>
  <c r="E1173" i="1" s="1"/>
  <c r="Q1168" i="1"/>
  <c r="M1168" i="1"/>
  <c r="S1168" i="1"/>
  <c r="R1168" i="1"/>
  <c r="B1168" i="1"/>
  <c r="E1166" i="1"/>
  <c r="E1167" i="1" s="1"/>
  <c r="Q1165" i="1"/>
  <c r="M1165" i="1"/>
  <c r="S1165" i="1"/>
  <c r="R1165" i="1"/>
  <c r="B1165" i="1"/>
  <c r="E1161" i="1"/>
  <c r="E1162" i="1" s="1"/>
  <c r="E1163" i="1" s="1"/>
  <c r="E1164" i="1" s="1"/>
  <c r="Q1160" i="1"/>
  <c r="M1160" i="1"/>
  <c r="S1160" i="1"/>
  <c r="R1160" i="1"/>
  <c r="B1160" i="1"/>
  <c r="E1151" i="1"/>
  <c r="E1152" i="1" s="1"/>
  <c r="E1153" i="1" s="1"/>
  <c r="E1154" i="1" s="1"/>
  <c r="E1155" i="1" s="1"/>
  <c r="E1156" i="1" s="1"/>
  <c r="E1157" i="1" s="1"/>
  <c r="E1158" i="1" s="1"/>
  <c r="E1159" i="1" s="1"/>
  <c r="Q1150" i="1"/>
  <c r="M1150" i="1"/>
  <c r="S1150" i="1"/>
  <c r="R1150" i="1"/>
  <c r="B1150" i="1"/>
  <c r="E1141" i="1"/>
  <c r="E1142" i="1" s="1"/>
  <c r="E1143" i="1" s="1"/>
  <c r="E1144" i="1" s="1"/>
  <c r="E1145" i="1" s="1"/>
  <c r="E1146" i="1" s="1"/>
  <c r="E1147" i="1" s="1"/>
  <c r="E1148" i="1" s="1"/>
  <c r="E1149" i="1" s="1"/>
  <c r="Q1140" i="1"/>
  <c r="M1140" i="1"/>
  <c r="S1140" i="1"/>
  <c r="R1140" i="1"/>
  <c r="B1140" i="1"/>
  <c r="E1134" i="1"/>
  <c r="E1135" i="1" s="1"/>
  <c r="E1136" i="1" s="1"/>
  <c r="E1137" i="1" s="1"/>
  <c r="E1138" i="1" s="1"/>
  <c r="E1139" i="1" s="1"/>
  <c r="Q1133" i="1"/>
  <c r="M1133" i="1"/>
  <c r="S1133" i="1"/>
  <c r="R1133" i="1"/>
  <c r="B1133" i="1"/>
  <c r="E1125" i="1"/>
  <c r="E1126" i="1" s="1"/>
  <c r="E1127" i="1" s="1"/>
  <c r="E1128" i="1" s="1"/>
  <c r="E1129" i="1" s="1"/>
  <c r="E1130" i="1" s="1"/>
  <c r="E1131" i="1" s="1"/>
  <c r="E1132" i="1" s="1"/>
  <c r="Q1124" i="1"/>
  <c r="M1124" i="1"/>
  <c r="S1124" i="1"/>
  <c r="R1124" i="1"/>
  <c r="B1124" i="1"/>
  <c r="E1116" i="1"/>
  <c r="E1117" i="1" s="1"/>
  <c r="E1118" i="1" s="1"/>
  <c r="E1119" i="1" s="1"/>
  <c r="E1120" i="1" s="1"/>
  <c r="E1121" i="1" s="1"/>
  <c r="E1122" i="1" s="1"/>
  <c r="E1123" i="1" s="1"/>
  <c r="Q1115" i="1"/>
  <c r="M1115" i="1"/>
  <c r="S1115" i="1"/>
  <c r="R1115" i="1"/>
  <c r="B1115" i="1"/>
  <c r="E1104" i="1"/>
  <c r="E1105" i="1" s="1"/>
  <c r="E1106" i="1" s="1"/>
  <c r="E1107" i="1" s="1"/>
  <c r="E1108" i="1" s="1"/>
  <c r="E1109" i="1" s="1"/>
  <c r="E1110" i="1" s="1"/>
  <c r="E1111" i="1" s="1"/>
  <c r="E1112" i="1" s="1"/>
  <c r="E1113" i="1" s="1"/>
  <c r="E1114" i="1" s="1"/>
  <c r="Q1103" i="1"/>
  <c r="M1103" i="1"/>
  <c r="S1103" i="1"/>
  <c r="R1103" i="1"/>
  <c r="B1103" i="1"/>
  <c r="E1095" i="1"/>
  <c r="E1096" i="1" s="1"/>
  <c r="E1097" i="1" s="1"/>
  <c r="E1098" i="1" s="1"/>
  <c r="E1099" i="1" s="1"/>
  <c r="E1100" i="1" s="1"/>
  <c r="E1101" i="1" s="1"/>
  <c r="E1102" i="1" s="1"/>
  <c r="Q1094" i="1"/>
  <c r="M1094" i="1"/>
  <c r="S1094" i="1"/>
  <c r="R1094" i="1"/>
  <c r="B1094" i="1"/>
  <c r="E1086" i="1"/>
  <c r="E1087" i="1" s="1"/>
  <c r="E1088" i="1" s="1"/>
  <c r="E1089" i="1" s="1"/>
  <c r="E1090" i="1" s="1"/>
  <c r="E1091" i="1" s="1"/>
  <c r="E1092" i="1" s="1"/>
  <c r="E1093" i="1" s="1"/>
  <c r="Q1085" i="1"/>
  <c r="M1085" i="1"/>
  <c r="S1085" i="1"/>
  <c r="R1085" i="1"/>
  <c r="B1085" i="1"/>
  <c r="E1080" i="1"/>
  <c r="E1081" i="1" s="1"/>
  <c r="E1082" i="1" s="1"/>
  <c r="E1083" i="1" s="1"/>
  <c r="E1084" i="1" s="1"/>
  <c r="Q1079" i="1"/>
  <c r="M1079" i="1"/>
  <c r="S1079" i="1"/>
  <c r="R1079" i="1"/>
  <c r="B1079" i="1"/>
  <c r="E1077" i="1"/>
  <c r="E1078" i="1" s="1"/>
  <c r="Q1076" i="1"/>
  <c r="M1076" i="1"/>
  <c r="S1076" i="1"/>
  <c r="R1076" i="1"/>
  <c r="B1076" i="1"/>
  <c r="E1072" i="1"/>
  <c r="E1073" i="1" s="1"/>
  <c r="E1074" i="1" s="1"/>
  <c r="E1075" i="1" s="1"/>
  <c r="Q1071" i="1"/>
  <c r="M1071" i="1"/>
  <c r="S1071" i="1"/>
  <c r="R1071" i="1"/>
  <c r="B1071" i="1"/>
  <c r="E1066" i="1"/>
  <c r="E1067" i="1" s="1"/>
  <c r="E1068" i="1" s="1"/>
  <c r="E1069" i="1" s="1"/>
  <c r="E1070" i="1" s="1"/>
  <c r="Q1065" i="1"/>
  <c r="M1065" i="1"/>
  <c r="S1065" i="1"/>
  <c r="R1065" i="1"/>
  <c r="B1065" i="1"/>
  <c r="E1063" i="1"/>
  <c r="E1064" i="1" s="1"/>
  <c r="Q1062" i="1"/>
  <c r="M1062" i="1"/>
  <c r="S1062" i="1"/>
  <c r="R1062" i="1"/>
  <c r="B1062" i="1"/>
  <c r="E1058" i="1"/>
  <c r="E1059" i="1" s="1"/>
  <c r="E1060" i="1" s="1"/>
  <c r="E1061" i="1" s="1"/>
  <c r="Q1057" i="1"/>
  <c r="M1057" i="1"/>
  <c r="S1057" i="1"/>
  <c r="R1057" i="1"/>
  <c r="B1057" i="1"/>
  <c r="E1052" i="1"/>
  <c r="E1053" i="1" s="1"/>
  <c r="E1054" i="1" s="1"/>
  <c r="E1055" i="1" s="1"/>
  <c r="E1056" i="1" s="1"/>
  <c r="Q1051" i="1"/>
  <c r="M1051" i="1"/>
  <c r="S1051" i="1"/>
  <c r="R1051" i="1"/>
  <c r="B1051" i="1"/>
  <c r="E1049" i="1"/>
  <c r="E1050" i="1" s="1"/>
  <c r="Q1048" i="1"/>
  <c r="M1048" i="1"/>
  <c r="S1048" i="1"/>
  <c r="R1048" i="1"/>
  <c r="B1048" i="1"/>
  <c r="E1044" i="1"/>
  <c r="E1045" i="1" s="1"/>
  <c r="E1046" i="1" s="1"/>
  <c r="E1047" i="1" s="1"/>
  <c r="Q1043" i="1"/>
  <c r="M1043" i="1"/>
  <c r="S1043" i="1"/>
  <c r="R1043" i="1"/>
  <c r="B1043" i="1"/>
  <c r="E1038" i="1"/>
  <c r="E1039" i="1" s="1"/>
  <c r="E1040" i="1" s="1"/>
  <c r="E1041" i="1" s="1"/>
  <c r="E1042" i="1" s="1"/>
  <c r="Q1037" i="1"/>
  <c r="M1037" i="1"/>
  <c r="S1037" i="1"/>
  <c r="R1037" i="1"/>
  <c r="B1037" i="1"/>
  <c r="E1035" i="1"/>
  <c r="E1036" i="1" s="1"/>
  <c r="P1034" i="1"/>
  <c r="M1034" i="1" s="1"/>
  <c r="S1034" i="1"/>
  <c r="R1034" i="1"/>
  <c r="E1030" i="1"/>
  <c r="E1031" i="1" s="1"/>
  <c r="E1032" i="1" s="1"/>
  <c r="E1033" i="1" s="1"/>
  <c r="Q1029" i="1"/>
  <c r="M1029" i="1"/>
  <c r="S1029" i="1"/>
  <c r="R1029" i="1"/>
  <c r="B1029" i="1"/>
  <c r="E1020" i="1"/>
  <c r="E1021" i="1" s="1"/>
  <c r="E1022" i="1" s="1"/>
  <c r="E1023" i="1" s="1"/>
  <c r="E1024" i="1" s="1"/>
  <c r="E1025" i="1" s="1"/>
  <c r="E1026" i="1" s="1"/>
  <c r="E1027" i="1" s="1"/>
  <c r="E1028" i="1" s="1"/>
  <c r="Q1019" i="1"/>
  <c r="M1019" i="1"/>
  <c r="S1019" i="1"/>
  <c r="R1019" i="1"/>
  <c r="B1019" i="1"/>
  <c r="E1010" i="1"/>
  <c r="E1011" i="1" s="1"/>
  <c r="E1012" i="1" s="1"/>
  <c r="E1013" i="1" s="1"/>
  <c r="E1014" i="1" s="1"/>
  <c r="E1015" i="1" s="1"/>
  <c r="E1016" i="1" s="1"/>
  <c r="E1017" i="1" s="1"/>
  <c r="E1018" i="1" s="1"/>
  <c r="Q1009" i="1"/>
  <c r="M1009" i="1"/>
  <c r="S1009" i="1"/>
  <c r="R1009" i="1"/>
  <c r="B1009" i="1"/>
  <c r="E1003" i="1"/>
  <c r="E1004" i="1" s="1"/>
  <c r="E1005" i="1" s="1"/>
  <c r="E1006" i="1" s="1"/>
  <c r="E1007" i="1" s="1"/>
  <c r="E1008" i="1" s="1"/>
  <c r="Q1002" i="1"/>
  <c r="M1002" i="1"/>
  <c r="S1002" i="1"/>
  <c r="R1002" i="1"/>
  <c r="B1002" i="1"/>
  <c r="E994" i="1"/>
  <c r="E995" i="1" s="1"/>
  <c r="E996" i="1" s="1"/>
  <c r="E997" i="1" s="1"/>
  <c r="E998" i="1" s="1"/>
  <c r="E999" i="1" s="1"/>
  <c r="E1000" i="1" s="1"/>
  <c r="E1001" i="1" s="1"/>
  <c r="Q993" i="1"/>
  <c r="M993" i="1"/>
  <c r="S993" i="1"/>
  <c r="R993" i="1"/>
  <c r="B993" i="1"/>
  <c r="E985" i="1"/>
  <c r="E986" i="1" s="1"/>
  <c r="E987" i="1" s="1"/>
  <c r="E988" i="1" s="1"/>
  <c r="E989" i="1" s="1"/>
  <c r="E990" i="1" s="1"/>
  <c r="E991" i="1" s="1"/>
  <c r="E992" i="1" s="1"/>
  <c r="Q984" i="1"/>
  <c r="M984" i="1"/>
  <c r="S984" i="1"/>
  <c r="R984" i="1"/>
  <c r="B984" i="1"/>
  <c r="E976" i="1"/>
  <c r="E977" i="1" s="1"/>
  <c r="E978" i="1" s="1"/>
  <c r="E979" i="1" s="1"/>
  <c r="E980" i="1" s="1"/>
  <c r="E981" i="1" s="1"/>
  <c r="E982" i="1" s="1"/>
  <c r="E983" i="1" s="1"/>
  <c r="Q975" i="1"/>
  <c r="M975" i="1"/>
  <c r="S975" i="1"/>
  <c r="R975" i="1"/>
  <c r="B975" i="1"/>
  <c r="E967" i="1"/>
  <c r="E968" i="1" s="1"/>
  <c r="E969" i="1" s="1"/>
  <c r="E970" i="1" s="1"/>
  <c r="E971" i="1" s="1"/>
  <c r="E972" i="1" s="1"/>
  <c r="E973" i="1" s="1"/>
  <c r="E974" i="1" s="1"/>
  <c r="Q966" i="1"/>
  <c r="M966" i="1"/>
  <c r="S966" i="1"/>
  <c r="R966" i="1"/>
  <c r="B966" i="1"/>
  <c r="E959" i="1"/>
  <c r="E960" i="1" s="1"/>
  <c r="E961" i="1" s="1"/>
  <c r="E962" i="1" s="1"/>
  <c r="E963" i="1" s="1"/>
  <c r="E964" i="1" s="1"/>
  <c r="E965" i="1" s="1"/>
  <c r="E958" i="1"/>
  <c r="Q957" i="1"/>
  <c r="M957" i="1"/>
  <c r="S957" i="1"/>
  <c r="R957" i="1"/>
  <c r="B957" i="1"/>
  <c r="E952" i="1"/>
  <c r="E953" i="1" s="1"/>
  <c r="E954" i="1" s="1"/>
  <c r="E955" i="1" s="1"/>
  <c r="E956" i="1" s="1"/>
  <c r="Q951" i="1"/>
  <c r="M951" i="1"/>
  <c r="S951" i="1"/>
  <c r="R951" i="1"/>
  <c r="B951" i="1"/>
  <c r="E945" i="1"/>
  <c r="E946" i="1" s="1"/>
  <c r="E947" i="1" s="1"/>
  <c r="E948" i="1" s="1"/>
  <c r="E949" i="1" s="1"/>
  <c r="E950" i="1" s="1"/>
  <c r="Q944" i="1"/>
  <c r="M944" i="1"/>
  <c r="S944" i="1"/>
  <c r="R944" i="1"/>
  <c r="B944" i="1"/>
  <c r="E940" i="1"/>
  <c r="E941" i="1" s="1"/>
  <c r="E942" i="1" s="1"/>
  <c r="E943" i="1" s="1"/>
  <c r="Q939" i="1"/>
  <c r="M939" i="1"/>
  <c r="S939" i="1"/>
  <c r="R939" i="1"/>
  <c r="B939" i="1"/>
  <c r="E934" i="1"/>
  <c r="E935" i="1" s="1"/>
  <c r="E936" i="1" s="1"/>
  <c r="E937" i="1" s="1"/>
  <c r="E938" i="1" s="1"/>
  <c r="Q933" i="1"/>
  <c r="M933" i="1"/>
  <c r="S933" i="1"/>
  <c r="R933" i="1"/>
  <c r="B933" i="1"/>
  <c r="E928" i="1"/>
  <c r="E929" i="1" s="1"/>
  <c r="E930" i="1" s="1"/>
  <c r="E931" i="1" s="1"/>
  <c r="E932" i="1" s="1"/>
  <c r="Q927" i="1"/>
  <c r="M927" i="1"/>
  <c r="S927" i="1"/>
  <c r="R927" i="1"/>
  <c r="B927" i="1"/>
  <c r="E923" i="1"/>
  <c r="E924" i="1" s="1"/>
  <c r="E925" i="1" s="1"/>
  <c r="E926" i="1" s="1"/>
  <c r="Q922" i="1"/>
  <c r="M922" i="1"/>
  <c r="S922" i="1"/>
  <c r="R922" i="1"/>
  <c r="B922" i="1"/>
  <c r="E917" i="1"/>
  <c r="E918" i="1" s="1"/>
  <c r="E919" i="1" s="1"/>
  <c r="E920" i="1" s="1"/>
  <c r="E921" i="1" s="1"/>
  <c r="Q916" i="1"/>
  <c r="M916" i="1"/>
  <c r="S916" i="1"/>
  <c r="R916" i="1"/>
  <c r="B916" i="1"/>
  <c r="E911" i="1"/>
  <c r="E912" i="1" s="1"/>
  <c r="E913" i="1" s="1"/>
  <c r="E914" i="1" s="1"/>
  <c r="E915" i="1" s="1"/>
  <c r="Q910" i="1"/>
  <c r="M910" i="1"/>
  <c r="S910" i="1"/>
  <c r="R910" i="1"/>
  <c r="B910" i="1"/>
  <c r="E906" i="1"/>
  <c r="E907" i="1" s="1"/>
  <c r="E908" i="1" s="1"/>
  <c r="E909" i="1" s="1"/>
  <c r="Q905" i="1"/>
  <c r="M905" i="1"/>
  <c r="S905" i="1"/>
  <c r="R905" i="1"/>
  <c r="B905" i="1"/>
  <c r="E900" i="1"/>
  <c r="E901" i="1" s="1"/>
  <c r="E902" i="1" s="1"/>
  <c r="E903" i="1" s="1"/>
  <c r="E904" i="1" s="1"/>
  <c r="Q899" i="1"/>
  <c r="M899" i="1"/>
  <c r="S899" i="1"/>
  <c r="R899" i="1"/>
  <c r="B899" i="1"/>
  <c r="E893" i="1"/>
  <c r="E894" i="1" s="1"/>
  <c r="E895" i="1" s="1"/>
  <c r="E896" i="1" s="1"/>
  <c r="E897" i="1" s="1"/>
  <c r="E898" i="1" s="1"/>
  <c r="Q892" i="1"/>
  <c r="M892" i="1"/>
  <c r="S892" i="1"/>
  <c r="R892" i="1"/>
  <c r="B892" i="1"/>
  <c r="E888" i="1"/>
  <c r="E889" i="1" s="1"/>
  <c r="E890" i="1" s="1"/>
  <c r="E891" i="1" s="1"/>
  <c r="Q887" i="1"/>
  <c r="M887" i="1"/>
  <c r="S887" i="1"/>
  <c r="R887" i="1"/>
  <c r="B887" i="1"/>
  <c r="E878" i="1"/>
  <c r="E879" i="1" s="1"/>
  <c r="E880" i="1" s="1"/>
  <c r="E881" i="1" s="1"/>
  <c r="E882" i="1" s="1"/>
  <c r="E883" i="1" s="1"/>
  <c r="E884" i="1" s="1"/>
  <c r="E885" i="1" s="1"/>
  <c r="E886" i="1" s="1"/>
  <c r="Q877" i="1"/>
  <c r="M877" i="1"/>
  <c r="R877" i="1"/>
  <c r="B877" i="1"/>
  <c r="E868" i="1"/>
  <c r="E869" i="1" s="1"/>
  <c r="E870" i="1" s="1"/>
  <c r="E871" i="1" s="1"/>
  <c r="E872" i="1" s="1"/>
  <c r="E873" i="1" s="1"/>
  <c r="E874" i="1" s="1"/>
  <c r="E875" i="1" s="1"/>
  <c r="E876" i="1" s="1"/>
  <c r="Q867" i="1"/>
  <c r="M867" i="1"/>
  <c r="S867" i="1"/>
  <c r="R867" i="1"/>
  <c r="B867" i="1"/>
  <c r="E861" i="1"/>
  <c r="E862" i="1" s="1"/>
  <c r="E863" i="1" s="1"/>
  <c r="E864" i="1" s="1"/>
  <c r="E865" i="1" s="1"/>
  <c r="E866" i="1" s="1"/>
  <c r="Q860" i="1"/>
  <c r="M860" i="1"/>
  <c r="S860" i="1"/>
  <c r="R860" i="1"/>
  <c r="B860" i="1"/>
  <c r="E852" i="1"/>
  <c r="E853" i="1" s="1"/>
  <c r="E854" i="1" s="1"/>
  <c r="E855" i="1" s="1"/>
  <c r="E856" i="1" s="1"/>
  <c r="E857" i="1" s="1"/>
  <c r="E858" i="1" s="1"/>
  <c r="E859" i="1" s="1"/>
  <c r="Q851" i="1"/>
  <c r="M851" i="1"/>
  <c r="R851" i="1"/>
  <c r="B851" i="1"/>
  <c r="E1428" i="1"/>
  <c r="E807" i="1"/>
  <c r="E1436" i="1"/>
  <c r="E794" i="1"/>
  <c r="E1472" i="1"/>
  <c r="E1477" i="1"/>
  <c r="E1417" i="1"/>
  <c r="E1429" i="1"/>
  <c r="E1478" i="1"/>
  <c r="E1490" i="1"/>
  <c r="E1491" i="1" s="1"/>
  <c r="S877" i="1" l="1"/>
  <c r="S851" i="1"/>
  <c r="B1034" i="1"/>
  <c r="Q1034" i="1"/>
  <c r="E826" i="1"/>
  <c r="Q825" i="1"/>
  <c r="M825" i="1"/>
  <c r="B825" i="1"/>
  <c r="E765" i="1"/>
  <c r="Q764" i="1"/>
  <c r="M764" i="1"/>
  <c r="B764" i="1"/>
  <c r="E747" i="1"/>
  <c r="Q746" i="1"/>
  <c r="M746" i="1"/>
  <c r="B746" i="1"/>
  <c r="E732" i="1"/>
  <c r="Q731" i="1"/>
  <c r="M731" i="1"/>
  <c r="B731" i="1"/>
  <c r="E717" i="1"/>
  <c r="Q716" i="1"/>
  <c r="M716" i="1"/>
  <c r="B716" i="1"/>
  <c r="E699" i="1"/>
  <c r="Q698" i="1"/>
  <c r="M698" i="1"/>
  <c r="B698" i="1"/>
  <c r="E681" i="1"/>
  <c r="Q680" i="1"/>
  <c r="M680" i="1"/>
  <c r="B680" i="1"/>
  <c r="E666" i="1"/>
  <c r="Q665" i="1"/>
  <c r="M665" i="1"/>
  <c r="B665" i="1"/>
  <c r="E651" i="1"/>
  <c r="Q650" i="1"/>
  <c r="M650" i="1"/>
  <c r="B650" i="1"/>
  <c r="E633" i="1"/>
  <c r="Q632" i="1"/>
  <c r="M632" i="1"/>
  <c r="B632" i="1"/>
  <c r="E615" i="1"/>
  <c r="Q614" i="1"/>
  <c r="M614" i="1"/>
  <c r="B614" i="1"/>
  <c r="E600" i="1"/>
  <c r="Q599" i="1"/>
  <c r="M599" i="1"/>
  <c r="B599" i="1"/>
  <c r="E585" i="1"/>
  <c r="Q584" i="1"/>
  <c r="M584" i="1"/>
  <c r="B584" i="1"/>
  <c r="E567" i="1"/>
  <c r="Q566" i="1"/>
  <c r="M566" i="1"/>
  <c r="B566" i="1"/>
  <c r="E549" i="1"/>
  <c r="Q548" i="1"/>
  <c r="M548" i="1"/>
  <c r="B548" i="1"/>
  <c r="E534" i="1"/>
  <c r="Q533" i="1"/>
  <c r="M533" i="1"/>
  <c r="B533" i="1"/>
  <c r="E519" i="1"/>
  <c r="Q518" i="1"/>
  <c r="M518" i="1"/>
  <c r="B518" i="1"/>
  <c r="E501" i="1"/>
  <c r="Q500" i="1"/>
  <c r="M500" i="1"/>
  <c r="B500" i="1"/>
  <c r="E483" i="1"/>
  <c r="Q482" i="1"/>
  <c r="M482" i="1"/>
  <c r="B482" i="1"/>
  <c r="E682" i="1"/>
  <c r="D614" i="1"/>
  <c r="E1418" i="1"/>
  <c r="D698" i="1"/>
  <c r="D533" i="1"/>
  <c r="J731" i="1"/>
  <c r="D665" i="1"/>
  <c r="J650" i="1"/>
  <c r="D632" i="1"/>
  <c r="D566" i="1"/>
  <c r="E1430" i="1"/>
  <c r="E586" i="1"/>
  <c r="E718" i="1"/>
  <c r="D500" i="1"/>
  <c r="D746" i="1"/>
  <c r="J698" i="1"/>
  <c r="D731" i="1"/>
  <c r="E795" i="1"/>
  <c r="J482" i="1"/>
  <c r="E748" i="1"/>
  <c r="E808" i="1"/>
  <c r="D764" i="1"/>
  <c r="J746" i="1"/>
  <c r="E766" i="1"/>
  <c r="E601" i="1"/>
  <c r="E568" i="1"/>
  <c r="D518" i="1"/>
  <c r="D548" i="1"/>
  <c r="E484" i="1"/>
  <c r="D650" i="1"/>
  <c r="J665" i="1"/>
  <c r="E652" i="1"/>
  <c r="J518" i="1"/>
  <c r="E1419" i="1"/>
  <c r="E550" i="1"/>
  <c r="E616" i="1"/>
  <c r="J500" i="1"/>
  <c r="D716" i="1"/>
  <c r="D825" i="1"/>
  <c r="J533" i="1"/>
  <c r="E733" i="1"/>
  <c r="J548" i="1"/>
  <c r="E535" i="1"/>
  <c r="J584" i="1"/>
  <c r="D599" i="1"/>
  <c r="E683" i="1"/>
  <c r="J716" i="1"/>
  <c r="D584" i="1"/>
  <c r="D680" i="1"/>
  <c r="J680" i="1"/>
  <c r="E551" i="1"/>
  <c r="J764" i="1"/>
  <c r="E502" i="1"/>
  <c r="E1437" i="1"/>
  <c r="E1438" i="1" s="1"/>
  <c r="E520" i="1"/>
  <c r="E700" i="1"/>
  <c r="E701" i="1" s="1"/>
  <c r="E667" i="1"/>
  <c r="D482" i="1"/>
  <c r="E719" i="1"/>
  <c r="J614" i="1"/>
  <c r="J632" i="1"/>
  <c r="E684" i="1"/>
  <c r="J599" i="1"/>
  <c r="E569" i="1"/>
  <c r="E827" i="1"/>
  <c r="J566" i="1"/>
  <c r="E634" i="1"/>
  <c r="E1479" i="1"/>
  <c r="R548" i="1" l="1"/>
  <c r="R584" i="1"/>
  <c r="R566" i="1"/>
  <c r="S533" i="1"/>
  <c r="R680" i="1"/>
  <c r="S548" i="1"/>
  <c r="S566" i="1"/>
  <c r="S584" i="1"/>
  <c r="R599" i="1"/>
  <c r="S680" i="1"/>
  <c r="S698" i="1"/>
  <c r="S716" i="1"/>
  <c r="R731" i="1"/>
  <c r="R825" i="1"/>
  <c r="R716" i="1"/>
  <c r="R482" i="1"/>
  <c r="R500" i="1"/>
  <c r="R518" i="1"/>
  <c r="S599" i="1"/>
  <c r="R614" i="1"/>
  <c r="R632" i="1"/>
  <c r="R650" i="1"/>
  <c r="S731" i="1"/>
  <c r="R746" i="1"/>
  <c r="R764" i="1"/>
  <c r="S825" i="1"/>
  <c r="S665" i="1"/>
  <c r="R698" i="1"/>
  <c r="S482" i="1"/>
  <c r="S500" i="1"/>
  <c r="S518" i="1"/>
  <c r="R533" i="1"/>
  <c r="S614" i="1"/>
  <c r="S632" i="1"/>
  <c r="S650" i="1"/>
  <c r="R665" i="1"/>
  <c r="S746" i="1"/>
  <c r="S764" i="1"/>
  <c r="E587" i="1"/>
  <c r="E503" i="1"/>
  <c r="E552" i="1"/>
  <c r="E1420" i="1"/>
  <c r="E668" i="1"/>
  <c r="E734" i="1"/>
  <c r="E720" i="1"/>
  <c r="E1439" i="1"/>
  <c r="E635" i="1"/>
  <c r="E653" i="1"/>
  <c r="E602" i="1"/>
  <c r="E485" i="1"/>
  <c r="E570" i="1"/>
  <c r="E588" i="1"/>
  <c r="E702" i="1"/>
  <c r="E685" i="1"/>
  <c r="E767" i="1"/>
  <c r="E1480" i="1"/>
  <c r="E828" i="1"/>
  <c r="E749" i="1"/>
  <c r="E617" i="1"/>
  <c r="E536" i="1"/>
  <c r="E703" i="1"/>
  <c r="E809" i="1"/>
  <c r="E521" i="1"/>
  <c r="E796" i="1"/>
  <c r="E1431" i="1"/>
  <c r="C477" i="44" l="1"/>
  <c r="C472" i="44"/>
  <c r="C467" i="44"/>
  <c r="C462" i="44"/>
  <c r="C457" i="44"/>
  <c r="C452" i="44"/>
  <c r="C447" i="44"/>
  <c r="C442" i="44"/>
  <c r="C437" i="44"/>
  <c r="C432" i="44"/>
  <c r="C427" i="44"/>
  <c r="C422" i="44"/>
  <c r="C417" i="44"/>
  <c r="C412" i="44"/>
  <c r="C407" i="44"/>
  <c r="C402" i="44"/>
  <c r="C397" i="44"/>
  <c r="C392" i="44"/>
  <c r="C387" i="44"/>
  <c r="C382" i="44"/>
  <c r="C377" i="44"/>
  <c r="C372" i="44"/>
  <c r="C367" i="44"/>
  <c r="C362" i="44"/>
  <c r="C357" i="44"/>
  <c r="C352" i="44"/>
  <c r="C347" i="44"/>
  <c r="C342" i="44"/>
  <c r="C337" i="44"/>
  <c r="C332" i="44"/>
  <c r="C327" i="44"/>
  <c r="C322" i="44"/>
  <c r="C317" i="44"/>
  <c r="C312" i="44"/>
  <c r="C307" i="44"/>
  <c r="C302" i="44"/>
  <c r="C297" i="44"/>
  <c r="C292" i="44"/>
  <c r="C287" i="44"/>
  <c r="C282" i="44"/>
  <c r="C277" i="44"/>
  <c r="C272" i="44"/>
  <c r="C267" i="44"/>
  <c r="C262" i="44"/>
  <c r="C257" i="44"/>
  <c r="C252" i="44"/>
  <c r="C247" i="44"/>
  <c r="C242" i="44"/>
  <c r="C237" i="44"/>
  <c r="C232" i="44"/>
  <c r="C227" i="44"/>
  <c r="C222" i="44"/>
  <c r="C217" i="44"/>
  <c r="C212" i="44"/>
  <c r="C207" i="44"/>
  <c r="C202" i="44"/>
  <c r="C197" i="44"/>
  <c r="C192" i="44"/>
  <c r="C187" i="44"/>
  <c r="C182" i="44"/>
  <c r="C177" i="44"/>
  <c r="C172" i="44"/>
  <c r="C167" i="44"/>
  <c r="C162" i="44"/>
  <c r="C157" i="44"/>
  <c r="C152" i="44"/>
  <c r="C147" i="44"/>
  <c r="C142" i="44"/>
  <c r="C137" i="44"/>
  <c r="C132" i="44"/>
  <c r="C127" i="44"/>
  <c r="C122" i="44"/>
  <c r="C117" i="44"/>
  <c r="C112" i="44"/>
  <c r="C107" i="44"/>
  <c r="C102" i="44"/>
  <c r="C97" i="44"/>
  <c r="C92" i="44"/>
  <c r="C87" i="44"/>
  <c r="C82" i="44"/>
  <c r="C77" i="44"/>
  <c r="C72" i="44"/>
  <c r="C67" i="44"/>
  <c r="C62" i="44"/>
  <c r="C57" i="44"/>
  <c r="C52" i="44"/>
  <c r="C47" i="44"/>
  <c r="C42" i="44"/>
  <c r="C37" i="44"/>
  <c r="C32" i="44"/>
  <c r="C27" i="44"/>
  <c r="C22" i="44"/>
  <c r="C17" i="44"/>
  <c r="C12" i="44"/>
  <c r="AG481" i="44"/>
  <c r="AE481" i="44"/>
  <c r="AD481" i="44"/>
  <c r="AG480" i="44"/>
  <c r="AE480" i="44"/>
  <c r="AD480" i="44"/>
  <c r="AG479" i="44"/>
  <c r="AE479" i="44"/>
  <c r="AD479" i="44"/>
  <c r="AG478" i="44"/>
  <c r="AE478" i="44"/>
  <c r="AD478" i="44"/>
  <c r="AG476" i="44"/>
  <c r="AE476" i="44"/>
  <c r="AD476" i="44"/>
  <c r="AG475" i="44"/>
  <c r="AE475" i="44"/>
  <c r="AD475" i="44"/>
  <c r="AG474" i="44"/>
  <c r="AE474" i="44"/>
  <c r="AD474" i="44"/>
  <c r="AG473" i="44"/>
  <c r="AE473" i="44"/>
  <c r="AD473" i="44"/>
  <c r="AG471" i="44"/>
  <c r="AE471" i="44"/>
  <c r="AD471" i="44"/>
  <c r="AG470" i="44"/>
  <c r="AE470" i="44"/>
  <c r="AD470" i="44"/>
  <c r="AG469" i="44"/>
  <c r="AE469" i="44"/>
  <c r="AD469" i="44"/>
  <c r="AG468" i="44"/>
  <c r="AE468" i="44"/>
  <c r="AD468" i="44"/>
  <c r="AG466" i="44"/>
  <c r="AE466" i="44"/>
  <c r="AD466" i="44"/>
  <c r="AG465" i="44"/>
  <c r="AE465" i="44"/>
  <c r="AD465" i="44"/>
  <c r="AG464" i="44"/>
  <c r="AE464" i="44"/>
  <c r="AD464" i="44"/>
  <c r="AG463" i="44"/>
  <c r="AE463" i="44"/>
  <c r="AD463" i="44"/>
  <c r="AG481" i="1"/>
  <c r="AD481" i="1"/>
  <c r="AG480" i="1"/>
  <c r="AD480" i="1"/>
  <c r="AG479" i="1"/>
  <c r="AD479" i="1"/>
  <c r="AG478" i="1"/>
  <c r="AD478" i="1"/>
  <c r="AG476" i="1"/>
  <c r="AD476" i="1"/>
  <c r="AG475" i="1"/>
  <c r="AD475" i="1"/>
  <c r="AG474" i="1"/>
  <c r="AD474" i="1"/>
  <c r="AG473" i="1"/>
  <c r="AD473" i="1"/>
  <c r="AG471" i="1"/>
  <c r="AD471" i="1"/>
  <c r="AG470" i="1"/>
  <c r="AD470" i="1"/>
  <c r="AG469" i="1"/>
  <c r="AD469" i="1"/>
  <c r="AG468" i="1"/>
  <c r="AD468" i="1"/>
  <c r="AG466" i="1"/>
  <c r="AD466" i="1"/>
  <c r="AG465" i="1"/>
  <c r="AD465" i="1"/>
  <c r="AG464" i="1"/>
  <c r="AD464" i="1"/>
  <c r="AG463" i="1"/>
  <c r="AD463" i="1"/>
  <c r="AG461" i="44"/>
  <c r="AE461" i="44"/>
  <c r="AD461" i="44"/>
  <c r="AG460" i="44"/>
  <c r="AE460" i="44"/>
  <c r="AD460" i="44"/>
  <c r="AG459" i="44"/>
  <c r="AE459" i="44"/>
  <c r="AD459" i="44"/>
  <c r="AG458" i="44"/>
  <c r="AE458" i="44"/>
  <c r="AD458" i="44"/>
  <c r="AG456" i="44"/>
  <c r="AE456" i="44"/>
  <c r="AD456" i="44"/>
  <c r="AG455" i="44"/>
  <c r="AE455" i="44"/>
  <c r="AD455" i="44"/>
  <c r="AG454" i="44"/>
  <c r="AE454" i="44"/>
  <c r="AD454" i="44"/>
  <c r="AG453" i="44"/>
  <c r="AE453" i="44"/>
  <c r="AD453" i="44"/>
  <c r="AG451" i="44"/>
  <c r="AE451" i="44"/>
  <c r="AD451" i="44"/>
  <c r="AG450" i="44"/>
  <c r="AE450" i="44"/>
  <c r="AD450" i="44"/>
  <c r="AG449" i="44"/>
  <c r="AE449" i="44"/>
  <c r="AD449" i="44"/>
  <c r="AG448" i="44"/>
  <c r="AE448" i="44"/>
  <c r="AD448" i="44"/>
  <c r="AG446" i="44"/>
  <c r="AE446" i="44"/>
  <c r="AD446" i="44"/>
  <c r="AG445" i="44"/>
  <c r="AE445" i="44"/>
  <c r="AD445" i="44"/>
  <c r="AG444" i="44"/>
  <c r="AE444" i="44"/>
  <c r="AD444" i="44"/>
  <c r="AG443" i="44"/>
  <c r="AE443" i="44"/>
  <c r="AD443" i="44"/>
  <c r="AG461" i="1"/>
  <c r="AD461" i="1"/>
  <c r="AG460" i="1"/>
  <c r="AD460" i="1"/>
  <c r="AG459" i="1"/>
  <c r="AD459" i="1"/>
  <c r="AG458" i="1"/>
  <c r="AD458" i="1"/>
  <c r="AG456" i="1"/>
  <c r="AD456" i="1"/>
  <c r="AG455" i="1"/>
  <c r="AD455" i="1"/>
  <c r="AG454" i="1"/>
  <c r="AD454" i="1"/>
  <c r="AG453" i="1"/>
  <c r="AD453" i="1"/>
  <c r="AG451" i="1"/>
  <c r="AD451" i="1"/>
  <c r="AG450" i="1"/>
  <c r="AD450" i="1"/>
  <c r="AG449" i="1"/>
  <c r="AD449" i="1"/>
  <c r="AG448" i="1"/>
  <c r="AD448" i="1"/>
  <c r="AG446" i="1"/>
  <c r="AD446" i="1"/>
  <c r="AG445" i="1"/>
  <c r="AD445" i="1"/>
  <c r="AG444" i="1"/>
  <c r="AD444" i="1"/>
  <c r="AG443" i="1"/>
  <c r="AD443" i="1"/>
  <c r="AG441" i="44"/>
  <c r="AE441" i="44"/>
  <c r="AD441" i="44"/>
  <c r="AG440" i="44"/>
  <c r="AE440" i="44"/>
  <c r="AD440" i="44"/>
  <c r="AG439" i="44"/>
  <c r="AE439" i="44"/>
  <c r="AD439" i="44"/>
  <c r="AG438" i="44"/>
  <c r="AE438" i="44"/>
  <c r="AD438" i="44"/>
  <c r="AG436" i="44"/>
  <c r="AE436" i="44"/>
  <c r="AD436" i="44"/>
  <c r="AG435" i="44"/>
  <c r="AE435" i="44"/>
  <c r="AD435" i="44"/>
  <c r="AG434" i="44"/>
  <c r="AE434" i="44"/>
  <c r="AD434" i="44"/>
  <c r="AG433" i="44"/>
  <c r="AE433" i="44"/>
  <c r="AD433" i="44"/>
  <c r="AG431" i="44"/>
  <c r="AE431" i="44"/>
  <c r="AD431" i="44"/>
  <c r="AG430" i="44"/>
  <c r="AE430" i="44"/>
  <c r="AD430" i="44"/>
  <c r="AG429" i="44"/>
  <c r="AE429" i="44"/>
  <c r="AD429" i="44"/>
  <c r="AG428" i="44"/>
  <c r="AE428" i="44"/>
  <c r="AD428" i="44"/>
  <c r="AG426" i="44"/>
  <c r="AE426" i="44"/>
  <c r="AD426" i="44"/>
  <c r="AG425" i="44"/>
  <c r="AE425" i="44"/>
  <c r="AD425" i="44"/>
  <c r="AG424" i="44"/>
  <c r="AE424" i="44"/>
  <c r="AD424" i="44"/>
  <c r="AG423" i="44"/>
  <c r="AE423" i="44"/>
  <c r="AD423" i="44"/>
  <c r="AG441" i="1"/>
  <c r="AD441" i="1"/>
  <c r="AG440" i="1"/>
  <c r="AD440" i="1"/>
  <c r="AG439" i="1"/>
  <c r="AD439" i="1"/>
  <c r="AG438" i="1"/>
  <c r="AD438" i="1"/>
  <c r="AG436" i="1"/>
  <c r="AD436" i="1"/>
  <c r="AG435" i="1"/>
  <c r="AD435" i="1"/>
  <c r="AG434" i="1"/>
  <c r="AD434" i="1"/>
  <c r="AG433" i="1"/>
  <c r="AD433" i="1"/>
  <c r="AG431" i="1"/>
  <c r="AD431" i="1"/>
  <c r="AG430" i="1"/>
  <c r="AD430" i="1"/>
  <c r="AG429" i="1"/>
  <c r="AD429" i="1"/>
  <c r="AG428" i="1"/>
  <c r="AD428" i="1"/>
  <c r="AG426" i="1"/>
  <c r="AD426" i="1"/>
  <c r="AG425" i="1"/>
  <c r="AD425" i="1"/>
  <c r="AG424" i="1"/>
  <c r="AD424" i="1"/>
  <c r="AG423" i="1"/>
  <c r="AD423" i="1"/>
  <c r="AG421" i="44"/>
  <c r="AE421" i="44"/>
  <c r="AD421" i="44"/>
  <c r="AG420" i="44"/>
  <c r="AE420" i="44"/>
  <c r="AD420" i="44"/>
  <c r="AG419" i="44"/>
  <c r="AE419" i="44"/>
  <c r="AD419" i="44"/>
  <c r="AG418" i="44"/>
  <c r="AE418" i="44"/>
  <c r="AD418" i="44"/>
  <c r="AG416" i="44"/>
  <c r="AE416" i="44"/>
  <c r="AD416" i="44"/>
  <c r="AG415" i="44"/>
  <c r="AE415" i="44"/>
  <c r="AD415" i="44"/>
  <c r="AG414" i="44"/>
  <c r="AE414" i="44"/>
  <c r="AD414" i="44"/>
  <c r="AG413" i="44"/>
  <c r="AE413" i="44"/>
  <c r="AD413" i="44"/>
  <c r="AG411" i="44"/>
  <c r="AE411" i="44"/>
  <c r="AD411" i="44"/>
  <c r="AG410" i="44"/>
  <c r="AE410" i="44"/>
  <c r="AD410" i="44"/>
  <c r="AG409" i="44"/>
  <c r="AE409" i="44"/>
  <c r="AD409" i="44"/>
  <c r="AG408" i="44"/>
  <c r="AE408" i="44"/>
  <c r="AD408" i="44"/>
  <c r="AG406" i="44"/>
  <c r="AE406" i="44"/>
  <c r="AD406" i="44"/>
  <c r="AG405" i="44"/>
  <c r="AE405" i="44"/>
  <c r="AD405" i="44"/>
  <c r="AG404" i="44"/>
  <c r="AE404" i="44"/>
  <c r="AD404" i="44"/>
  <c r="AG403" i="44"/>
  <c r="AE403" i="44"/>
  <c r="AD403" i="44"/>
  <c r="AG421" i="1"/>
  <c r="AD421" i="1"/>
  <c r="AG420" i="1"/>
  <c r="AD420" i="1"/>
  <c r="AG419" i="1"/>
  <c r="AD419" i="1"/>
  <c r="AG418" i="1"/>
  <c r="AD418" i="1"/>
  <c r="AG416" i="1"/>
  <c r="AD416" i="1"/>
  <c r="AG415" i="1"/>
  <c r="AD415" i="1"/>
  <c r="AG414" i="1"/>
  <c r="AD414" i="1"/>
  <c r="AG413" i="1"/>
  <c r="AD413" i="1"/>
  <c r="AG411" i="1"/>
  <c r="AD411" i="1"/>
  <c r="AG410" i="1"/>
  <c r="AD410" i="1"/>
  <c r="AG409" i="1"/>
  <c r="AD409" i="1"/>
  <c r="AG408" i="1"/>
  <c r="AD408" i="1"/>
  <c r="AG406" i="1"/>
  <c r="AD406" i="1"/>
  <c r="AG405" i="1"/>
  <c r="AD405" i="1"/>
  <c r="AG404" i="1"/>
  <c r="AD404" i="1"/>
  <c r="AG403" i="1"/>
  <c r="AD403" i="1"/>
  <c r="AG401" i="44"/>
  <c r="AE401" i="44"/>
  <c r="AD401" i="44"/>
  <c r="AG400" i="44"/>
  <c r="AE400" i="44"/>
  <c r="AD400" i="44"/>
  <c r="AG399" i="44"/>
  <c r="AE399" i="44"/>
  <c r="AD399" i="44"/>
  <c r="AG398" i="44"/>
  <c r="AE398" i="44"/>
  <c r="AD398" i="44"/>
  <c r="AG396" i="44"/>
  <c r="AE396" i="44"/>
  <c r="AD396" i="44"/>
  <c r="AG395" i="44"/>
  <c r="AE395" i="44"/>
  <c r="AD395" i="44"/>
  <c r="AG394" i="44"/>
  <c r="AE394" i="44"/>
  <c r="AD394" i="44"/>
  <c r="AG393" i="44"/>
  <c r="AE393" i="44"/>
  <c r="AD393" i="44"/>
  <c r="AG391" i="44"/>
  <c r="AE391" i="44"/>
  <c r="AD391" i="44"/>
  <c r="AG390" i="44"/>
  <c r="AE390" i="44"/>
  <c r="AD390" i="44"/>
  <c r="AG389" i="44"/>
  <c r="AE389" i="44"/>
  <c r="AD389" i="44"/>
  <c r="AG388" i="44"/>
  <c r="AE388" i="44"/>
  <c r="AD388" i="44"/>
  <c r="AG386" i="44"/>
  <c r="AE386" i="44"/>
  <c r="AD386" i="44"/>
  <c r="AG385" i="44"/>
  <c r="AE385" i="44"/>
  <c r="AD385" i="44"/>
  <c r="AG384" i="44"/>
  <c r="AE384" i="44"/>
  <c r="AD384" i="44"/>
  <c r="AG383" i="44"/>
  <c r="AE383" i="44"/>
  <c r="AD383" i="44"/>
  <c r="AG401" i="1"/>
  <c r="AD401" i="1"/>
  <c r="AG400" i="1"/>
  <c r="AD400" i="1"/>
  <c r="AG399" i="1"/>
  <c r="AD399" i="1"/>
  <c r="AG398" i="1"/>
  <c r="AD398" i="1"/>
  <c r="AG396" i="1"/>
  <c r="AD396" i="1"/>
  <c r="AG395" i="1"/>
  <c r="AD395" i="1"/>
  <c r="AG394" i="1"/>
  <c r="AD394" i="1"/>
  <c r="AG393" i="1"/>
  <c r="AD393" i="1"/>
  <c r="AG391" i="1"/>
  <c r="AD391" i="1"/>
  <c r="AG390" i="1"/>
  <c r="AD390" i="1"/>
  <c r="AG389" i="1"/>
  <c r="AD389" i="1"/>
  <c r="AG388" i="1"/>
  <c r="AD388" i="1"/>
  <c r="AG386" i="1"/>
  <c r="AD386" i="1"/>
  <c r="AG385" i="1"/>
  <c r="AD385" i="1"/>
  <c r="AG384" i="1"/>
  <c r="AD384" i="1"/>
  <c r="AG383" i="1"/>
  <c r="AD383" i="1"/>
  <c r="AG381" i="44"/>
  <c r="AE381" i="44"/>
  <c r="AD381" i="44"/>
  <c r="AG380" i="44"/>
  <c r="AE380" i="44"/>
  <c r="AD380" i="44"/>
  <c r="AG379" i="44"/>
  <c r="AE379" i="44"/>
  <c r="AD379" i="44"/>
  <c r="AG378" i="44"/>
  <c r="AE378" i="44"/>
  <c r="AD378" i="44"/>
  <c r="AG376" i="44"/>
  <c r="AE376" i="44"/>
  <c r="AD376" i="44"/>
  <c r="AG375" i="44"/>
  <c r="AE375" i="44"/>
  <c r="AD375" i="44"/>
  <c r="AG374" i="44"/>
  <c r="AE374" i="44"/>
  <c r="AD374" i="44"/>
  <c r="AG373" i="44"/>
  <c r="AE373" i="44"/>
  <c r="AD373" i="44"/>
  <c r="AG371" i="44"/>
  <c r="AE371" i="44"/>
  <c r="AD371" i="44"/>
  <c r="AG370" i="44"/>
  <c r="AE370" i="44"/>
  <c r="AD370" i="44"/>
  <c r="AG369" i="44"/>
  <c r="AE369" i="44"/>
  <c r="AD369" i="44"/>
  <c r="AG368" i="44"/>
  <c r="AE368" i="44"/>
  <c r="AD368" i="44"/>
  <c r="AG366" i="44"/>
  <c r="AE366" i="44"/>
  <c r="AD366" i="44"/>
  <c r="AG365" i="44"/>
  <c r="AE365" i="44"/>
  <c r="AD365" i="44"/>
  <c r="AG364" i="44"/>
  <c r="AE364" i="44"/>
  <c r="AD364" i="44"/>
  <c r="AG363" i="44"/>
  <c r="AE363" i="44"/>
  <c r="AD363" i="44"/>
  <c r="AG381" i="1"/>
  <c r="AD381" i="1"/>
  <c r="AG380" i="1"/>
  <c r="AD380" i="1"/>
  <c r="AG379" i="1"/>
  <c r="AD379" i="1"/>
  <c r="AG378" i="1"/>
  <c r="AD378" i="1"/>
  <c r="AG376" i="1"/>
  <c r="AD376" i="1"/>
  <c r="AG375" i="1"/>
  <c r="AD375" i="1"/>
  <c r="AG374" i="1"/>
  <c r="AD374" i="1"/>
  <c r="AG373" i="1"/>
  <c r="AD373" i="1"/>
  <c r="AG371" i="1"/>
  <c r="AD371" i="1"/>
  <c r="AG370" i="1"/>
  <c r="AD370" i="1"/>
  <c r="AG369" i="1"/>
  <c r="AD369" i="1"/>
  <c r="AG368" i="1"/>
  <c r="AD368" i="1"/>
  <c r="AG366" i="1"/>
  <c r="AD366" i="1"/>
  <c r="AG365" i="1"/>
  <c r="AD365" i="1"/>
  <c r="AG364" i="1"/>
  <c r="AD364" i="1"/>
  <c r="AG363" i="1"/>
  <c r="AD363" i="1"/>
  <c r="AG361" i="44"/>
  <c r="AE361" i="44"/>
  <c r="AD361" i="44"/>
  <c r="AG360" i="44"/>
  <c r="AE360" i="44"/>
  <c r="AD360" i="44"/>
  <c r="AG359" i="44"/>
  <c r="AE359" i="44"/>
  <c r="AD359" i="44"/>
  <c r="AG358" i="44"/>
  <c r="AE358" i="44"/>
  <c r="AD358" i="44"/>
  <c r="AG356" i="44"/>
  <c r="AE356" i="44"/>
  <c r="AD356" i="44"/>
  <c r="AG355" i="44"/>
  <c r="AE355" i="44"/>
  <c r="AD355" i="44"/>
  <c r="AG354" i="44"/>
  <c r="AE354" i="44"/>
  <c r="AD354" i="44"/>
  <c r="AG353" i="44"/>
  <c r="AE353" i="44"/>
  <c r="AD353" i="44"/>
  <c r="AG351" i="44"/>
  <c r="AE351" i="44"/>
  <c r="AD351" i="44"/>
  <c r="AG350" i="44"/>
  <c r="AE350" i="44"/>
  <c r="AD350" i="44"/>
  <c r="AG349" i="44"/>
  <c r="AE349" i="44"/>
  <c r="AD349" i="44"/>
  <c r="AG348" i="44"/>
  <c r="AE348" i="44"/>
  <c r="AD348" i="44"/>
  <c r="AG346" i="44"/>
  <c r="AE346" i="44"/>
  <c r="AD346" i="44"/>
  <c r="AG345" i="44"/>
  <c r="AE345" i="44"/>
  <c r="AD345" i="44"/>
  <c r="AG344" i="44"/>
  <c r="AE344" i="44"/>
  <c r="AD344" i="44"/>
  <c r="AG343" i="44"/>
  <c r="AE343" i="44"/>
  <c r="AD343" i="44"/>
  <c r="AG361" i="1"/>
  <c r="AD361" i="1"/>
  <c r="AG360" i="1"/>
  <c r="AD360" i="1"/>
  <c r="AG359" i="1"/>
  <c r="AD359" i="1"/>
  <c r="AG358" i="1"/>
  <c r="AD358" i="1"/>
  <c r="AG356" i="1"/>
  <c r="AD356" i="1"/>
  <c r="AG355" i="1"/>
  <c r="AD355" i="1"/>
  <c r="AG354" i="1"/>
  <c r="AD354" i="1"/>
  <c r="AG353" i="1"/>
  <c r="AD353" i="1"/>
  <c r="AG351" i="1"/>
  <c r="AD351" i="1"/>
  <c r="AG350" i="1"/>
  <c r="AD350" i="1"/>
  <c r="AG349" i="1"/>
  <c r="AD349" i="1"/>
  <c r="AG348" i="1"/>
  <c r="AD348" i="1"/>
  <c r="AG346" i="1"/>
  <c r="AD346" i="1"/>
  <c r="AG345" i="1"/>
  <c r="AD345" i="1"/>
  <c r="AG344" i="1"/>
  <c r="AD344" i="1"/>
  <c r="AG343" i="1"/>
  <c r="AD343" i="1"/>
  <c r="AG341" i="44"/>
  <c r="AE341" i="44"/>
  <c r="AD341" i="44"/>
  <c r="AG340" i="44"/>
  <c r="AE340" i="44"/>
  <c r="AD340" i="44"/>
  <c r="AG339" i="44"/>
  <c r="AE339" i="44"/>
  <c r="AD339" i="44"/>
  <c r="AG338" i="44"/>
  <c r="AE338" i="44"/>
  <c r="AD338" i="44"/>
  <c r="AG336" i="44"/>
  <c r="AE336" i="44"/>
  <c r="AD336" i="44"/>
  <c r="AG335" i="44"/>
  <c r="AE335" i="44"/>
  <c r="AD335" i="44"/>
  <c r="AG334" i="44"/>
  <c r="AE334" i="44"/>
  <c r="AD334" i="44"/>
  <c r="AG333" i="44"/>
  <c r="AE333" i="44"/>
  <c r="AD333" i="44"/>
  <c r="AG331" i="44"/>
  <c r="AE331" i="44"/>
  <c r="AD331" i="44"/>
  <c r="AG330" i="44"/>
  <c r="AE330" i="44"/>
  <c r="AD330" i="44"/>
  <c r="AG329" i="44"/>
  <c r="AE329" i="44"/>
  <c r="AD329" i="44"/>
  <c r="AG328" i="44"/>
  <c r="AE328" i="44"/>
  <c r="AD328" i="44"/>
  <c r="AG326" i="44"/>
  <c r="AE326" i="44"/>
  <c r="AD326" i="44"/>
  <c r="AG325" i="44"/>
  <c r="AE325" i="44"/>
  <c r="AD325" i="44"/>
  <c r="AG324" i="44"/>
  <c r="AE324" i="44"/>
  <c r="AD324" i="44"/>
  <c r="AG323" i="44"/>
  <c r="AE323" i="44"/>
  <c r="AD323" i="44"/>
  <c r="AG341" i="1"/>
  <c r="AD341" i="1"/>
  <c r="AG340" i="1"/>
  <c r="AD340" i="1"/>
  <c r="AG339" i="1"/>
  <c r="AD339" i="1"/>
  <c r="AG338" i="1"/>
  <c r="AD338" i="1"/>
  <c r="AG336" i="1"/>
  <c r="AD336" i="1"/>
  <c r="AG335" i="1"/>
  <c r="AD335" i="1"/>
  <c r="AG334" i="1"/>
  <c r="AD334" i="1"/>
  <c r="AG333" i="1"/>
  <c r="AD333" i="1"/>
  <c r="AG331" i="1"/>
  <c r="AD331" i="1"/>
  <c r="AG330" i="1"/>
  <c r="AD330" i="1"/>
  <c r="AG329" i="1"/>
  <c r="AD329" i="1"/>
  <c r="AG328" i="1"/>
  <c r="AD328" i="1"/>
  <c r="AG326" i="1"/>
  <c r="AD326" i="1"/>
  <c r="AG325" i="1"/>
  <c r="AD325" i="1"/>
  <c r="AG324" i="1"/>
  <c r="AD324" i="1"/>
  <c r="AG323" i="1"/>
  <c r="AD323" i="1"/>
  <c r="AG321" i="44"/>
  <c r="AE321" i="44"/>
  <c r="AD321" i="44"/>
  <c r="AG320" i="44"/>
  <c r="AE320" i="44"/>
  <c r="AD320" i="44"/>
  <c r="AG319" i="44"/>
  <c r="AE319" i="44"/>
  <c r="AD319" i="44"/>
  <c r="AG318" i="44"/>
  <c r="AE318" i="44"/>
  <c r="AD318" i="44"/>
  <c r="AG316" i="44"/>
  <c r="AE316" i="44"/>
  <c r="AD316" i="44"/>
  <c r="AG315" i="44"/>
  <c r="AE315" i="44"/>
  <c r="AD315" i="44"/>
  <c r="AG314" i="44"/>
  <c r="AE314" i="44"/>
  <c r="AD314" i="44"/>
  <c r="AG313" i="44"/>
  <c r="AE313" i="44"/>
  <c r="AD313" i="44"/>
  <c r="AG311" i="44"/>
  <c r="AE311" i="44"/>
  <c r="AD311" i="44"/>
  <c r="AG310" i="44"/>
  <c r="AE310" i="44"/>
  <c r="AD310" i="44"/>
  <c r="AG309" i="44"/>
  <c r="AE309" i="44"/>
  <c r="AD309" i="44"/>
  <c r="AG308" i="44"/>
  <c r="AE308" i="44"/>
  <c r="AD308" i="44"/>
  <c r="AG306" i="44"/>
  <c r="AE306" i="44"/>
  <c r="AD306" i="44"/>
  <c r="AG305" i="44"/>
  <c r="AE305" i="44"/>
  <c r="AD305" i="44"/>
  <c r="AG304" i="44"/>
  <c r="AE304" i="44"/>
  <c r="AD304" i="44"/>
  <c r="AG303" i="44"/>
  <c r="AE303" i="44"/>
  <c r="AD303" i="44"/>
  <c r="AG321" i="1"/>
  <c r="AD321" i="1"/>
  <c r="AG320" i="1"/>
  <c r="AD320" i="1"/>
  <c r="AG319" i="1"/>
  <c r="AD319" i="1"/>
  <c r="AG318" i="1"/>
  <c r="AD318" i="1"/>
  <c r="AG316" i="1"/>
  <c r="AD316" i="1"/>
  <c r="AG315" i="1"/>
  <c r="AD315" i="1"/>
  <c r="AG314" i="1"/>
  <c r="AD314" i="1"/>
  <c r="AG313" i="1"/>
  <c r="AD313" i="1"/>
  <c r="AG311" i="1"/>
  <c r="AD311" i="1"/>
  <c r="AG310" i="1"/>
  <c r="AD310" i="1"/>
  <c r="AG309" i="1"/>
  <c r="AD309" i="1"/>
  <c r="AG308" i="1"/>
  <c r="AD308" i="1"/>
  <c r="AG306" i="1"/>
  <c r="AD306" i="1"/>
  <c r="AG305" i="1"/>
  <c r="AD305" i="1"/>
  <c r="AG304" i="1"/>
  <c r="AD304" i="1"/>
  <c r="AG303" i="1"/>
  <c r="AD303" i="1"/>
  <c r="AG301" i="44"/>
  <c r="AE301" i="44"/>
  <c r="AD301" i="44"/>
  <c r="AG300" i="44"/>
  <c r="AE300" i="44"/>
  <c r="AD300" i="44"/>
  <c r="AG299" i="44"/>
  <c r="AE299" i="44"/>
  <c r="AD299" i="44"/>
  <c r="AG298" i="44"/>
  <c r="AE298" i="44"/>
  <c r="AD298" i="44"/>
  <c r="AG296" i="44"/>
  <c r="AE296" i="44"/>
  <c r="AD296" i="44"/>
  <c r="AG295" i="44"/>
  <c r="AE295" i="44"/>
  <c r="AD295" i="44"/>
  <c r="AG294" i="44"/>
  <c r="AE294" i="44"/>
  <c r="AD294" i="44"/>
  <c r="AG293" i="44"/>
  <c r="AE293" i="44"/>
  <c r="AD293" i="44"/>
  <c r="AG291" i="44"/>
  <c r="AE291" i="44"/>
  <c r="AD291" i="44"/>
  <c r="AG290" i="44"/>
  <c r="AE290" i="44"/>
  <c r="AD290" i="44"/>
  <c r="AG289" i="44"/>
  <c r="AE289" i="44"/>
  <c r="AD289" i="44"/>
  <c r="AG288" i="44"/>
  <c r="AE288" i="44"/>
  <c r="AD288" i="44"/>
  <c r="AG286" i="44"/>
  <c r="AE286" i="44"/>
  <c r="AD286" i="44"/>
  <c r="AG285" i="44"/>
  <c r="AE285" i="44"/>
  <c r="AD285" i="44"/>
  <c r="AG284" i="44"/>
  <c r="AE284" i="44"/>
  <c r="AD284" i="44"/>
  <c r="AG283" i="44"/>
  <c r="AE283" i="44"/>
  <c r="AD283" i="44"/>
  <c r="AG301" i="1"/>
  <c r="AD301" i="1"/>
  <c r="AG300" i="1"/>
  <c r="AD300" i="1"/>
  <c r="AG299" i="1"/>
  <c r="AD299" i="1"/>
  <c r="AG298" i="1"/>
  <c r="AD298" i="1"/>
  <c r="AG296" i="1"/>
  <c r="AD296" i="1"/>
  <c r="AG295" i="1"/>
  <c r="AD295" i="1"/>
  <c r="AG294" i="1"/>
  <c r="AD294" i="1"/>
  <c r="AG293" i="1"/>
  <c r="AD293" i="1"/>
  <c r="AG291" i="1"/>
  <c r="AD291" i="1"/>
  <c r="AG290" i="1"/>
  <c r="AD290" i="1"/>
  <c r="AG289" i="1"/>
  <c r="AD289" i="1"/>
  <c r="AG288" i="1"/>
  <c r="AD288" i="1"/>
  <c r="AG286" i="1"/>
  <c r="AD286" i="1"/>
  <c r="AG285" i="1"/>
  <c r="AD285" i="1"/>
  <c r="AG284" i="1"/>
  <c r="AD284" i="1"/>
  <c r="AG283" i="1"/>
  <c r="AD283" i="1"/>
  <c r="AG281" i="44"/>
  <c r="AE281" i="44"/>
  <c r="AD281" i="44"/>
  <c r="AG280" i="44"/>
  <c r="AE280" i="44"/>
  <c r="AD280" i="44"/>
  <c r="AG279" i="44"/>
  <c r="AE279" i="44"/>
  <c r="AD279" i="44"/>
  <c r="AG278" i="44"/>
  <c r="AE278" i="44"/>
  <c r="AD278" i="44"/>
  <c r="AG276" i="44"/>
  <c r="AE276" i="44"/>
  <c r="AD276" i="44"/>
  <c r="AG275" i="44"/>
  <c r="AE275" i="44"/>
  <c r="AD275" i="44"/>
  <c r="AG274" i="44"/>
  <c r="AE274" i="44"/>
  <c r="AD274" i="44"/>
  <c r="AG273" i="44"/>
  <c r="AE273" i="44"/>
  <c r="AD273" i="44"/>
  <c r="AG271" i="44"/>
  <c r="AE271" i="44"/>
  <c r="AD271" i="44"/>
  <c r="AG270" i="44"/>
  <c r="AE270" i="44"/>
  <c r="AD270" i="44"/>
  <c r="AG269" i="44"/>
  <c r="AE269" i="44"/>
  <c r="AD269" i="44"/>
  <c r="AG268" i="44"/>
  <c r="AE268" i="44"/>
  <c r="AD268" i="44"/>
  <c r="AG266" i="44"/>
  <c r="AE266" i="44"/>
  <c r="AD266" i="44"/>
  <c r="AG265" i="44"/>
  <c r="AE265" i="44"/>
  <c r="AD265" i="44"/>
  <c r="AG264" i="44"/>
  <c r="AE264" i="44"/>
  <c r="AD264" i="44"/>
  <c r="AG263" i="44"/>
  <c r="AE263" i="44"/>
  <c r="AD263" i="44"/>
  <c r="AG281" i="1"/>
  <c r="AD281" i="1"/>
  <c r="AG280" i="1"/>
  <c r="AD280" i="1"/>
  <c r="AG279" i="1"/>
  <c r="AD279" i="1"/>
  <c r="AG278" i="1"/>
  <c r="AD278" i="1"/>
  <c r="AG276" i="1"/>
  <c r="AD276" i="1"/>
  <c r="AG275" i="1"/>
  <c r="AD275" i="1"/>
  <c r="AG274" i="1"/>
  <c r="AD274" i="1"/>
  <c r="AG273" i="1"/>
  <c r="AD273" i="1"/>
  <c r="AG271" i="1"/>
  <c r="AD271" i="1"/>
  <c r="AG270" i="1"/>
  <c r="AD270" i="1"/>
  <c r="AG269" i="1"/>
  <c r="AD269" i="1"/>
  <c r="AG268" i="1"/>
  <c r="AD268" i="1"/>
  <c r="AG266" i="1"/>
  <c r="AD266" i="1"/>
  <c r="AG265" i="1"/>
  <c r="AD265" i="1"/>
  <c r="AG264" i="1"/>
  <c r="AD264" i="1"/>
  <c r="AG263" i="1"/>
  <c r="AD263" i="1"/>
  <c r="AG261" i="44"/>
  <c r="AE261" i="44"/>
  <c r="AD261" i="44"/>
  <c r="AG260" i="44"/>
  <c r="AE260" i="44"/>
  <c r="AD260" i="44"/>
  <c r="AG259" i="44"/>
  <c r="AE259" i="44"/>
  <c r="AD259" i="44"/>
  <c r="AG258" i="44"/>
  <c r="AE258" i="44"/>
  <c r="AD258" i="44"/>
  <c r="AG261" i="1"/>
  <c r="AD261" i="1"/>
  <c r="AG260" i="1"/>
  <c r="AD260" i="1"/>
  <c r="AG259" i="1"/>
  <c r="AD259" i="1"/>
  <c r="AG258" i="1"/>
  <c r="AD258" i="1"/>
  <c r="AG256" i="44"/>
  <c r="AE256" i="44"/>
  <c r="AD256" i="44"/>
  <c r="AG255" i="44"/>
  <c r="AE255" i="44"/>
  <c r="AD255" i="44"/>
  <c r="AG254" i="44"/>
  <c r="AE254" i="44"/>
  <c r="AD254" i="44"/>
  <c r="AG253" i="44"/>
  <c r="AE253" i="44"/>
  <c r="AD253" i="44"/>
  <c r="AG256" i="1"/>
  <c r="AD256" i="1"/>
  <c r="AG255" i="1"/>
  <c r="AD255" i="1"/>
  <c r="AG254" i="1"/>
  <c r="AD254" i="1"/>
  <c r="AG253" i="1"/>
  <c r="AD253" i="1"/>
  <c r="AG251" i="44"/>
  <c r="AE251" i="44"/>
  <c r="AG250" i="44"/>
  <c r="AE250" i="44"/>
  <c r="AG249" i="44"/>
  <c r="AE249" i="44"/>
  <c r="AG248" i="44"/>
  <c r="AE248" i="44"/>
  <c r="AG251" i="1"/>
  <c r="AD251" i="1"/>
  <c r="AG250" i="1"/>
  <c r="AD250" i="1"/>
  <c r="AG249" i="1"/>
  <c r="AD249" i="1"/>
  <c r="AG248" i="1"/>
  <c r="AD248" i="1"/>
  <c r="AE244" i="44"/>
  <c r="AG246" i="44"/>
  <c r="AE246" i="44"/>
  <c r="AD246" i="44"/>
  <c r="AG245" i="44"/>
  <c r="AE245" i="44"/>
  <c r="AD245" i="44"/>
  <c r="AG244" i="44"/>
  <c r="AD244" i="44"/>
  <c r="AG243" i="44"/>
  <c r="AE243" i="44"/>
  <c r="AD243" i="44"/>
  <c r="AG246" i="1"/>
  <c r="AD246" i="1"/>
  <c r="AG245" i="1"/>
  <c r="AD245" i="1"/>
  <c r="AG244" i="1"/>
  <c r="AD244" i="1"/>
  <c r="AG243" i="1"/>
  <c r="AD243" i="1"/>
  <c r="AG241" i="44"/>
  <c r="AE241" i="44"/>
  <c r="AD241" i="44"/>
  <c r="AG240" i="44"/>
  <c r="AE240" i="44"/>
  <c r="AD240" i="44"/>
  <c r="AG239" i="44"/>
  <c r="AE239" i="44"/>
  <c r="AD239" i="44"/>
  <c r="AG238" i="44"/>
  <c r="AE238" i="44"/>
  <c r="AD238" i="44"/>
  <c r="AG236" i="44"/>
  <c r="AE236" i="44"/>
  <c r="AD236" i="44"/>
  <c r="AG235" i="44"/>
  <c r="AE235" i="44"/>
  <c r="AD235" i="44"/>
  <c r="AG234" i="44"/>
  <c r="AE234" i="44"/>
  <c r="AD234" i="44"/>
  <c r="AG233" i="44"/>
  <c r="AE233" i="44"/>
  <c r="AD233" i="44"/>
  <c r="AG231" i="44"/>
  <c r="AE231" i="44"/>
  <c r="AD231" i="44"/>
  <c r="AG230" i="44"/>
  <c r="AE230" i="44"/>
  <c r="AD230" i="44"/>
  <c r="AG229" i="44"/>
  <c r="AE229" i="44"/>
  <c r="AD229" i="44"/>
  <c r="AG228" i="44"/>
  <c r="AE228" i="44"/>
  <c r="AD228" i="44"/>
  <c r="AG226" i="44"/>
  <c r="AE226" i="44"/>
  <c r="AD226" i="44"/>
  <c r="AG225" i="44"/>
  <c r="AE225" i="44"/>
  <c r="AD225" i="44"/>
  <c r="AG224" i="44"/>
  <c r="AE224" i="44"/>
  <c r="AD224" i="44"/>
  <c r="AG223" i="44"/>
  <c r="AE223" i="44"/>
  <c r="AD223" i="44"/>
  <c r="AG241" i="1"/>
  <c r="AD241" i="1"/>
  <c r="AG240" i="1"/>
  <c r="AD240" i="1"/>
  <c r="AG239" i="1"/>
  <c r="AE239" i="1"/>
  <c r="AD239" i="1"/>
  <c r="AG238" i="1"/>
  <c r="AD238" i="1"/>
  <c r="AG236" i="1"/>
  <c r="AD236" i="1"/>
  <c r="AG235" i="1"/>
  <c r="AD235" i="1"/>
  <c r="AG234" i="1"/>
  <c r="AE234" i="1"/>
  <c r="AD234" i="1"/>
  <c r="AG233" i="1"/>
  <c r="AD233" i="1"/>
  <c r="AG231" i="1"/>
  <c r="AD231" i="1"/>
  <c r="AG230" i="1"/>
  <c r="AD230" i="1"/>
  <c r="AG229" i="1"/>
  <c r="AE229" i="1"/>
  <c r="AD229" i="1"/>
  <c r="AG228" i="1"/>
  <c r="AD228" i="1"/>
  <c r="AG226" i="1"/>
  <c r="AD226" i="1"/>
  <c r="AG225" i="1"/>
  <c r="AD225" i="1"/>
  <c r="AG224" i="1"/>
  <c r="AE224" i="1"/>
  <c r="AD224" i="1"/>
  <c r="AG223" i="1"/>
  <c r="AD223" i="1"/>
  <c r="AG221" i="44"/>
  <c r="AE221" i="44"/>
  <c r="AD221" i="44"/>
  <c r="AG220" i="44"/>
  <c r="AE220" i="44"/>
  <c r="AD220" i="44"/>
  <c r="AG219" i="44"/>
  <c r="AE219" i="44"/>
  <c r="AD219" i="44"/>
  <c r="AG218" i="44"/>
  <c r="AE218" i="44"/>
  <c r="AD218" i="44"/>
  <c r="AG216" i="44"/>
  <c r="AE216" i="44"/>
  <c r="AD216" i="44"/>
  <c r="AG215" i="44"/>
  <c r="AE215" i="44"/>
  <c r="AD215" i="44"/>
  <c r="AG214" i="44"/>
  <c r="AE214" i="44"/>
  <c r="AD214" i="44"/>
  <c r="AG213" i="44"/>
  <c r="AE213" i="44"/>
  <c r="AD213" i="44"/>
  <c r="AG211" i="44"/>
  <c r="AE211" i="44"/>
  <c r="AD211" i="44"/>
  <c r="AG210" i="44"/>
  <c r="AE210" i="44"/>
  <c r="AD210" i="44"/>
  <c r="AG209" i="44"/>
  <c r="AE209" i="44"/>
  <c r="AD209" i="44"/>
  <c r="AG208" i="44"/>
  <c r="AE208" i="44"/>
  <c r="AD208" i="44"/>
  <c r="AG206" i="44"/>
  <c r="AE206" i="44"/>
  <c r="AD206" i="44"/>
  <c r="AG205" i="44"/>
  <c r="AE205" i="44"/>
  <c r="AD205" i="44"/>
  <c r="AG204" i="44"/>
  <c r="AE204" i="44"/>
  <c r="AD204" i="44"/>
  <c r="AG203" i="44"/>
  <c r="AE203" i="44"/>
  <c r="AD203" i="44"/>
  <c r="AG221" i="1"/>
  <c r="AD221" i="1"/>
  <c r="AG220" i="1"/>
  <c r="AD220" i="1"/>
  <c r="AG219" i="1"/>
  <c r="AE219" i="1"/>
  <c r="AD219" i="1"/>
  <c r="AG218" i="1"/>
  <c r="AD218" i="1"/>
  <c r="AG216" i="1"/>
  <c r="AD216" i="1"/>
  <c r="AG215" i="1"/>
  <c r="AD215" i="1"/>
  <c r="AG214" i="1"/>
  <c r="AE214" i="1"/>
  <c r="AD214" i="1"/>
  <c r="AG213" i="1"/>
  <c r="AD213" i="1"/>
  <c r="AG211" i="1"/>
  <c r="AD211" i="1"/>
  <c r="AG210" i="1"/>
  <c r="AD210" i="1"/>
  <c r="AG209" i="1"/>
  <c r="AE209" i="1"/>
  <c r="AD209" i="1"/>
  <c r="AG208" i="1"/>
  <c r="AD208" i="1"/>
  <c r="AG206" i="1"/>
  <c r="AD206" i="1"/>
  <c r="AG205" i="1"/>
  <c r="AD205" i="1"/>
  <c r="AG204" i="1"/>
  <c r="AE204" i="1"/>
  <c r="AD204" i="1"/>
  <c r="AG203" i="1"/>
  <c r="AD203" i="1"/>
  <c r="AG201" i="44"/>
  <c r="AE201" i="44"/>
  <c r="AD201" i="44"/>
  <c r="AG200" i="44"/>
  <c r="AE200" i="44"/>
  <c r="AD200" i="44"/>
  <c r="AG199" i="44"/>
  <c r="AE199" i="44"/>
  <c r="AD199" i="44"/>
  <c r="AG198" i="44"/>
  <c r="AE198" i="44"/>
  <c r="AD198" i="44"/>
  <c r="AG196" i="44"/>
  <c r="AE196" i="44"/>
  <c r="AD196" i="44"/>
  <c r="AG195" i="44"/>
  <c r="AE195" i="44"/>
  <c r="AD195" i="44"/>
  <c r="AG194" i="44"/>
  <c r="AE194" i="44"/>
  <c r="AD194" i="44"/>
  <c r="AG193" i="44"/>
  <c r="AE193" i="44"/>
  <c r="AD193" i="44"/>
  <c r="AG191" i="44"/>
  <c r="AE191" i="44"/>
  <c r="AD191" i="44"/>
  <c r="AG190" i="44"/>
  <c r="AE190" i="44"/>
  <c r="AD190" i="44"/>
  <c r="AG189" i="44"/>
  <c r="AE189" i="44"/>
  <c r="AD189" i="44"/>
  <c r="AG188" i="44"/>
  <c r="AE188" i="44"/>
  <c r="AD188" i="44"/>
  <c r="AG186" i="44"/>
  <c r="AE186" i="44"/>
  <c r="AD186" i="44"/>
  <c r="AG185" i="44"/>
  <c r="AE185" i="44"/>
  <c r="AD185" i="44"/>
  <c r="AG184" i="44"/>
  <c r="AE184" i="44"/>
  <c r="AD184" i="44"/>
  <c r="AG183" i="44"/>
  <c r="AE183" i="44"/>
  <c r="AD183" i="44"/>
  <c r="AG201" i="1"/>
  <c r="AD201" i="1"/>
  <c r="AG200" i="1"/>
  <c r="AD200" i="1"/>
  <c r="AG199" i="1"/>
  <c r="AE199" i="1"/>
  <c r="AD199" i="1"/>
  <c r="AG198" i="1"/>
  <c r="AD198" i="1"/>
  <c r="AG196" i="1"/>
  <c r="AD196" i="1"/>
  <c r="AG195" i="1"/>
  <c r="AD195" i="1"/>
  <c r="AG194" i="1"/>
  <c r="AE194" i="1"/>
  <c r="AD194" i="1"/>
  <c r="AG193" i="1"/>
  <c r="AD193" i="1"/>
  <c r="AG191" i="1"/>
  <c r="AD191" i="1"/>
  <c r="AG190" i="1"/>
  <c r="AD190" i="1"/>
  <c r="AG189" i="1"/>
  <c r="AE189" i="1"/>
  <c r="AD189" i="1"/>
  <c r="AG188" i="1"/>
  <c r="AD188" i="1"/>
  <c r="AG186" i="1"/>
  <c r="AD186" i="1"/>
  <c r="AG185" i="1"/>
  <c r="AD185" i="1"/>
  <c r="AG184" i="1"/>
  <c r="AE184" i="1"/>
  <c r="AD184" i="1"/>
  <c r="AG183" i="1"/>
  <c r="AD183" i="1"/>
  <c r="AG181" i="44"/>
  <c r="AE181" i="44"/>
  <c r="AD181" i="44"/>
  <c r="AG180" i="44"/>
  <c r="AE180" i="44"/>
  <c r="AD180" i="44"/>
  <c r="AG179" i="44"/>
  <c r="AE179" i="44"/>
  <c r="AD179" i="44"/>
  <c r="AG178" i="44"/>
  <c r="AE178" i="44"/>
  <c r="AD178" i="44"/>
  <c r="AG176" i="44"/>
  <c r="AE176" i="44"/>
  <c r="AD176" i="44"/>
  <c r="AG175" i="44"/>
  <c r="AE175" i="44"/>
  <c r="AD175" i="44"/>
  <c r="AG174" i="44"/>
  <c r="AE174" i="44"/>
  <c r="AD174" i="44"/>
  <c r="AG173" i="44"/>
  <c r="AE173" i="44"/>
  <c r="AD173" i="44"/>
  <c r="AG171" i="44"/>
  <c r="AE171" i="44"/>
  <c r="AD171" i="44"/>
  <c r="AG170" i="44"/>
  <c r="AE170" i="44"/>
  <c r="AD170" i="44"/>
  <c r="AG169" i="44"/>
  <c r="AE169" i="44"/>
  <c r="AD169" i="44"/>
  <c r="AG168" i="44"/>
  <c r="AE168" i="44"/>
  <c r="AD168" i="44"/>
  <c r="AG166" i="44"/>
  <c r="AE166" i="44"/>
  <c r="AD166" i="44"/>
  <c r="AG165" i="44"/>
  <c r="AE165" i="44"/>
  <c r="AD165" i="44"/>
  <c r="AG164" i="44"/>
  <c r="AE164" i="44"/>
  <c r="AD164" i="44"/>
  <c r="AG163" i="44"/>
  <c r="AE163" i="44"/>
  <c r="AD163" i="44"/>
  <c r="AG181" i="1"/>
  <c r="AD181" i="1"/>
  <c r="AG180" i="1"/>
  <c r="AD180" i="1"/>
  <c r="AG179" i="1"/>
  <c r="AE179" i="1"/>
  <c r="AD179" i="1"/>
  <c r="AG178" i="1"/>
  <c r="AD178" i="1"/>
  <c r="AG176" i="1"/>
  <c r="AD176" i="1"/>
  <c r="AG175" i="1"/>
  <c r="AD175" i="1"/>
  <c r="AG174" i="1"/>
  <c r="AE174" i="1"/>
  <c r="AD174" i="1"/>
  <c r="AG173" i="1"/>
  <c r="AD173" i="1"/>
  <c r="AG171" i="1"/>
  <c r="AD171" i="1"/>
  <c r="AG170" i="1"/>
  <c r="AD170" i="1"/>
  <c r="AG169" i="1"/>
  <c r="AE169" i="1"/>
  <c r="AD169" i="1"/>
  <c r="AG168" i="1"/>
  <c r="AD168" i="1"/>
  <c r="AG166" i="1"/>
  <c r="AD166" i="1"/>
  <c r="AG165" i="1"/>
  <c r="AD165" i="1"/>
  <c r="AG164" i="1"/>
  <c r="AE164" i="1"/>
  <c r="AD164" i="1"/>
  <c r="AG163" i="1"/>
  <c r="AD163" i="1"/>
  <c r="AG161" i="44"/>
  <c r="AE161" i="44"/>
  <c r="AD161" i="44"/>
  <c r="AG160" i="44"/>
  <c r="AE160" i="44"/>
  <c r="AD160" i="44"/>
  <c r="AG159" i="44"/>
  <c r="AE159" i="44"/>
  <c r="AD159" i="44"/>
  <c r="AG158" i="44"/>
  <c r="AE158" i="44"/>
  <c r="AD158" i="44"/>
  <c r="AG156" i="44"/>
  <c r="AE156" i="44"/>
  <c r="AD156" i="44"/>
  <c r="AG155" i="44"/>
  <c r="AE155" i="44"/>
  <c r="AD155" i="44"/>
  <c r="AG154" i="44"/>
  <c r="AE154" i="44"/>
  <c r="AD154" i="44"/>
  <c r="AG153" i="44"/>
  <c r="AE153" i="44"/>
  <c r="AD153" i="44"/>
  <c r="AG151" i="44"/>
  <c r="AE151" i="44"/>
  <c r="AD151" i="44"/>
  <c r="AG150" i="44"/>
  <c r="AE150" i="44"/>
  <c r="AD150" i="44"/>
  <c r="AG149" i="44"/>
  <c r="AE149" i="44"/>
  <c r="AD149" i="44"/>
  <c r="AG148" i="44"/>
  <c r="AE148" i="44"/>
  <c r="AD148" i="44"/>
  <c r="AG146" i="44"/>
  <c r="AE146" i="44"/>
  <c r="AD146" i="44"/>
  <c r="AG145" i="44"/>
  <c r="AE145" i="44"/>
  <c r="AD145" i="44"/>
  <c r="AG144" i="44"/>
  <c r="AE144" i="44"/>
  <c r="AD144" i="44"/>
  <c r="AG143" i="44"/>
  <c r="AE143" i="44"/>
  <c r="AD143" i="44"/>
  <c r="AG161" i="1"/>
  <c r="AD161" i="1"/>
  <c r="AG160" i="1"/>
  <c r="AD160" i="1"/>
  <c r="AG159" i="1"/>
  <c r="AE159" i="1"/>
  <c r="AD159" i="1"/>
  <c r="AG158" i="1"/>
  <c r="AD158" i="1"/>
  <c r="AG156" i="1"/>
  <c r="AD156" i="1"/>
  <c r="AG155" i="1"/>
  <c r="AD155" i="1"/>
  <c r="AG154" i="1"/>
  <c r="AE154" i="1"/>
  <c r="AD154" i="1"/>
  <c r="AG153" i="1"/>
  <c r="AD153" i="1"/>
  <c r="AG151" i="1"/>
  <c r="AD151" i="1"/>
  <c r="AG150" i="1"/>
  <c r="AD150" i="1"/>
  <c r="AG149" i="1"/>
  <c r="AE149" i="1"/>
  <c r="AD149" i="1"/>
  <c r="AG148" i="1"/>
  <c r="AD148" i="1"/>
  <c r="AG146" i="1"/>
  <c r="AD146" i="1"/>
  <c r="AG145" i="1"/>
  <c r="AD145" i="1"/>
  <c r="AG144" i="1"/>
  <c r="AE144" i="1"/>
  <c r="AD144" i="1"/>
  <c r="AG143" i="1"/>
  <c r="AD143" i="1"/>
  <c r="AG141" i="44"/>
  <c r="AG140" i="44"/>
  <c r="AG139" i="44"/>
  <c r="AG138" i="44"/>
  <c r="AG136" i="44"/>
  <c r="AG135" i="44"/>
  <c r="AG134" i="44"/>
  <c r="AG133" i="44"/>
  <c r="AG131" i="44"/>
  <c r="AG130" i="44"/>
  <c r="AG129" i="44"/>
  <c r="AG128" i="44"/>
  <c r="AG126" i="44"/>
  <c r="AG125" i="44"/>
  <c r="AG124" i="44"/>
  <c r="AG123" i="44"/>
  <c r="AG141" i="1"/>
  <c r="AG140" i="1"/>
  <c r="AG139" i="1"/>
  <c r="AG138" i="1"/>
  <c r="AG136" i="1"/>
  <c r="AG135" i="1"/>
  <c r="AG134" i="1"/>
  <c r="AG133" i="1"/>
  <c r="AG131" i="1"/>
  <c r="AG130" i="1"/>
  <c r="AG129" i="1"/>
  <c r="AG128" i="1"/>
  <c r="AG126" i="1"/>
  <c r="AG125" i="1"/>
  <c r="AG124" i="1"/>
  <c r="AG123" i="1"/>
  <c r="AG121" i="44"/>
  <c r="AG120" i="44"/>
  <c r="AG119" i="44"/>
  <c r="AG118" i="44"/>
  <c r="AG116" i="44"/>
  <c r="AG115" i="44"/>
  <c r="AG114" i="44"/>
  <c r="AG113" i="44"/>
  <c r="AG121" i="1"/>
  <c r="AG120" i="1"/>
  <c r="AG119" i="1"/>
  <c r="AG118" i="1"/>
  <c r="AG116" i="1"/>
  <c r="AG115" i="1"/>
  <c r="AG114" i="1"/>
  <c r="AG113" i="1"/>
  <c r="AG111" i="44"/>
  <c r="AG110" i="44"/>
  <c r="AG109" i="44"/>
  <c r="AG108" i="44"/>
  <c r="AG106" i="44"/>
  <c r="AG105" i="44"/>
  <c r="AG104" i="44"/>
  <c r="AG103" i="44"/>
  <c r="AG101" i="44"/>
  <c r="AG100" i="44"/>
  <c r="AG99" i="44"/>
  <c r="AG98" i="44"/>
  <c r="AG96" i="44"/>
  <c r="AG95" i="44"/>
  <c r="AG94" i="44"/>
  <c r="AG93" i="44"/>
  <c r="AG111" i="1"/>
  <c r="AG110" i="1"/>
  <c r="AG109" i="1"/>
  <c r="AG108" i="1"/>
  <c r="AG106" i="1"/>
  <c r="AG105" i="1"/>
  <c r="AG104" i="1"/>
  <c r="AG103" i="1"/>
  <c r="AG101" i="1"/>
  <c r="AG100" i="1"/>
  <c r="AG99" i="1"/>
  <c r="AG98" i="1"/>
  <c r="AG96" i="1"/>
  <c r="AG95" i="1"/>
  <c r="AG94" i="1"/>
  <c r="AG93" i="1"/>
  <c r="AG91" i="44"/>
  <c r="AG90" i="44"/>
  <c r="AG89" i="44"/>
  <c r="AG88" i="44"/>
  <c r="AG86" i="44"/>
  <c r="AG85" i="44"/>
  <c r="AG84" i="44"/>
  <c r="AG83" i="44"/>
  <c r="AG81" i="44"/>
  <c r="AG80" i="44"/>
  <c r="AG79" i="44"/>
  <c r="AG78" i="44"/>
  <c r="AG76" i="44"/>
  <c r="AG75" i="44"/>
  <c r="AG74" i="44"/>
  <c r="AG73" i="44"/>
  <c r="AG71" i="44"/>
  <c r="AG70" i="44"/>
  <c r="AG69" i="44"/>
  <c r="AG68" i="44"/>
  <c r="AG66" i="44"/>
  <c r="AG65" i="44"/>
  <c r="AG64" i="44"/>
  <c r="AG63" i="44"/>
  <c r="AG61" i="44"/>
  <c r="AG60" i="44"/>
  <c r="AG59" i="44"/>
  <c r="AG58" i="44"/>
  <c r="AG56" i="44"/>
  <c r="AG55" i="44"/>
  <c r="AG54" i="44"/>
  <c r="AG53" i="44"/>
  <c r="AG51" i="44"/>
  <c r="AG50" i="44"/>
  <c r="AG49" i="44"/>
  <c r="AG48" i="44"/>
  <c r="AG91" i="1"/>
  <c r="AG90" i="1"/>
  <c r="AG89" i="1"/>
  <c r="AG88" i="1"/>
  <c r="AG86" i="1"/>
  <c r="AG85" i="1"/>
  <c r="AG84" i="1"/>
  <c r="AG83" i="1"/>
  <c r="AG81" i="1"/>
  <c r="AG80" i="1"/>
  <c r="AG79" i="1"/>
  <c r="AG78" i="1"/>
  <c r="AG76" i="1"/>
  <c r="AG75" i="1"/>
  <c r="AG74" i="1"/>
  <c r="AG73" i="1"/>
  <c r="AG71" i="1"/>
  <c r="AG70" i="1"/>
  <c r="AG69" i="1"/>
  <c r="AG68" i="1"/>
  <c r="AG66" i="1"/>
  <c r="AG65" i="1"/>
  <c r="AG64" i="1"/>
  <c r="AG63" i="1"/>
  <c r="AG61" i="1"/>
  <c r="AG60" i="1"/>
  <c r="AG59" i="1"/>
  <c r="AG58" i="1"/>
  <c r="AG56" i="1"/>
  <c r="AG55" i="1"/>
  <c r="AG54" i="1"/>
  <c r="AG53" i="1"/>
  <c r="AG51" i="1"/>
  <c r="AG50" i="1"/>
  <c r="AG49" i="1"/>
  <c r="AG48" i="1"/>
  <c r="AG46" i="44"/>
  <c r="AG45" i="44"/>
  <c r="AG44" i="44"/>
  <c r="AG43" i="44"/>
  <c r="AG46" i="1"/>
  <c r="AG45" i="1"/>
  <c r="AG44" i="1"/>
  <c r="AG43" i="1"/>
  <c r="AG41" i="44"/>
  <c r="AG40" i="44"/>
  <c r="AG39" i="44"/>
  <c r="AG38" i="44"/>
  <c r="AG41" i="1"/>
  <c r="AG40" i="1"/>
  <c r="AG39" i="1"/>
  <c r="AG38" i="1"/>
  <c r="AG36" i="44"/>
  <c r="AG35" i="44"/>
  <c r="AG34" i="44"/>
  <c r="AG33" i="44"/>
  <c r="AG36" i="1"/>
  <c r="AG35" i="1"/>
  <c r="AG34" i="1"/>
  <c r="AG33" i="1"/>
  <c r="AG31" i="44"/>
  <c r="AG30" i="44"/>
  <c r="AG29" i="44"/>
  <c r="AG28" i="44"/>
  <c r="AG31" i="1"/>
  <c r="AG30" i="1"/>
  <c r="AG29" i="1"/>
  <c r="AG28" i="1"/>
  <c r="AG26" i="44"/>
  <c r="AG25" i="44"/>
  <c r="AG24" i="44"/>
  <c r="AG23" i="44"/>
  <c r="AG26" i="1"/>
  <c r="AG25" i="1"/>
  <c r="AG24" i="1"/>
  <c r="AG23" i="1"/>
  <c r="AG21" i="44"/>
  <c r="AG20" i="44"/>
  <c r="AG19" i="44"/>
  <c r="AG18" i="44"/>
  <c r="AG21" i="1"/>
  <c r="AG20" i="1"/>
  <c r="AG19" i="1"/>
  <c r="AG18" i="1"/>
  <c r="AG16" i="44"/>
  <c r="AG15" i="44"/>
  <c r="AG14" i="44"/>
  <c r="AG13" i="44"/>
  <c r="AG16" i="1"/>
  <c r="AG15" i="1"/>
  <c r="AG14" i="1"/>
  <c r="AG13" i="1"/>
  <c r="AG11" i="44"/>
  <c r="AG10" i="44"/>
  <c r="AG9" i="44"/>
  <c r="AG8" i="44"/>
  <c r="AG11" i="1"/>
  <c r="AG10" i="1"/>
  <c r="AG9" i="1"/>
  <c r="AG8" i="1"/>
  <c r="AG6" i="44"/>
  <c r="AG6" i="1"/>
  <c r="AG5" i="44"/>
  <c r="AG5" i="1"/>
  <c r="AG4" i="44"/>
  <c r="AG4" i="1"/>
  <c r="AG3" i="44"/>
  <c r="AG3" i="1"/>
  <c r="AE141" i="44"/>
  <c r="AD141" i="44"/>
  <c r="AE140" i="44"/>
  <c r="AD140" i="44"/>
  <c r="AE139" i="44"/>
  <c r="AD139" i="44"/>
  <c r="AE138" i="44"/>
  <c r="AD138" i="44"/>
  <c r="AD141" i="1"/>
  <c r="AD140" i="1"/>
  <c r="AE139" i="1"/>
  <c r="AD139" i="1"/>
  <c r="AD138" i="1"/>
  <c r="AE136" i="44"/>
  <c r="AD136" i="44"/>
  <c r="AE135" i="44"/>
  <c r="AD135" i="44"/>
  <c r="AE134" i="44"/>
  <c r="AD134" i="44"/>
  <c r="AE133" i="44"/>
  <c r="AD133" i="44"/>
  <c r="AE131" i="44"/>
  <c r="AD131" i="44"/>
  <c r="AE130" i="44"/>
  <c r="AD130" i="44"/>
  <c r="AE129" i="44"/>
  <c r="AD129" i="44"/>
  <c r="AE128" i="44"/>
  <c r="AD128" i="44"/>
  <c r="AE126" i="44"/>
  <c r="AE125" i="44"/>
  <c r="AE124" i="44"/>
  <c r="AE123" i="44"/>
  <c r="AD136" i="1"/>
  <c r="AD135" i="1"/>
  <c r="AE134" i="1"/>
  <c r="AD134" i="1"/>
  <c r="AD133" i="1"/>
  <c r="AD131" i="1"/>
  <c r="AD130" i="1"/>
  <c r="AE129" i="1"/>
  <c r="AD129" i="1"/>
  <c r="AD128" i="1"/>
  <c r="AD126" i="1"/>
  <c r="AD125" i="1"/>
  <c r="AE124" i="1"/>
  <c r="AD124" i="1"/>
  <c r="AD123" i="1"/>
  <c r="AE121" i="44"/>
  <c r="AD121" i="44"/>
  <c r="AE120" i="44"/>
  <c r="AD120" i="44"/>
  <c r="AE119" i="44"/>
  <c r="AD119" i="44"/>
  <c r="AE118" i="44"/>
  <c r="AD118" i="44"/>
  <c r="AE116" i="44"/>
  <c r="AD116" i="44"/>
  <c r="AE115" i="44"/>
  <c r="AD115" i="44"/>
  <c r="AE114" i="44"/>
  <c r="AD114" i="44"/>
  <c r="AE113" i="44"/>
  <c r="AD113" i="44"/>
  <c r="AE111" i="44"/>
  <c r="AD111" i="44"/>
  <c r="AE110" i="44"/>
  <c r="AD110" i="44"/>
  <c r="AE109" i="44"/>
  <c r="AD109" i="44"/>
  <c r="AE108" i="44"/>
  <c r="AD108" i="44"/>
  <c r="AE106" i="44"/>
  <c r="AD106" i="44"/>
  <c r="AE105" i="44"/>
  <c r="AD105" i="44"/>
  <c r="AE104" i="44"/>
  <c r="AD104" i="44"/>
  <c r="AE103" i="44"/>
  <c r="AD103" i="44"/>
  <c r="AE101" i="44"/>
  <c r="AD101" i="44"/>
  <c r="AE100" i="44"/>
  <c r="AD100" i="44"/>
  <c r="AE99" i="44"/>
  <c r="AD99" i="44"/>
  <c r="AE98" i="44"/>
  <c r="AD98" i="44"/>
  <c r="AE96" i="44"/>
  <c r="AD96" i="44"/>
  <c r="AE95" i="44"/>
  <c r="AD95" i="44"/>
  <c r="AE94" i="44"/>
  <c r="AD94" i="44"/>
  <c r="AE93" i="44"/>
  <c r="AD93" i="44"/>
  <c r="AD121" i="1"/>
  <c r="AD120" i="1"/>
  <c r="AE119" i="1"/>
  <c r="AD119" i="1"/>
  <c r="AD118" i="1"/>
  <c r="AD116" i="1"/>
  <c r="AD115" i="1"/>
  <c r="AE114" i="1"/>
  <c r="AD114" i="1"/>
  <c r="AD113" i="1"/>
  <c r="AD111" i="1"/>
  <c r="AD110" i="1"/>
  <c r="AE109" i="1"/>
  <c r="AD109" i="1"/>
  <c r="AD108" i="1"/>
  <c r="AD106" i="1"/>
  <c r="AD105" i="1"/>
  <c r="AE104" i="1"/>
  <c r="AD104" i="1"/>
  <c r="AD103" i="1"/>
  <c r="AD101" i="1"/>
  <c r="AD100" i="1"/>
  <c r="AE99" i="1"/>
  <c r="AD99" i="1"/>
  <c r="AD98" i="1"/>
  <c r="AD96" i="1"/>
  <c r="AD95" i="1"/>
  <c r="AE94" i="1"/>
  <c r="AD94" i="1"/>
  <c r="AD93" i="1"/>
  <c r="AE91" i="44"/>
  <c r="AD91" i="44"/>
  <c r="AE90" i="44"/>
  <c r="AD90" i="44"/>
  <c r="AE89" i="44"/>
  <c r="AD89" i="44"/>
  <c r="AE88" i="44"/>
  <c r="AD88" i="44"/>
  <c r="AE86" i="44"/>
  <c r="AD86" i="44"/>
  <c r="AE85" i="44"/>
  <c r="AD85" i="44"/>
  <c r="AE84" i="44"/>
  <c r="AD84" i="44"/>
  <c r="AE83" i="44"/>
  <c r="AD83" i="44"/>
  <c r="AE81" i="44"/>
  <c r="AD81" i="44"/>
  <c r="AE80" i="44"/>
  <c r="AD80" i="44"/>
  <c r="AE79" i="44"/>
  <c r="AD79" i="44"/>
  <c r="AE78" i="44"/>
  <c r="AD78" i="44"/>
  <c r="AE76" i="44"/>
  <c r="AD76" i="44"/>
  <c r="AE75" i="44"/>
  <c r="AD75" i="44"/>
  <c r="AE74" i="44"/>
  <c r="AD74" i="44"/>
  <c r="AE73" i="44"/>
  <c r="AD73" i="44"/>
  <c r="AE71" i="44"/>
  <c r="AD71" i="44"/>
  <c r="AE70" i="44"/>
  <c r="AD70" i="44"/>
  <c r="AE69" i="44"/>
  <c r="AD69" i="44"/>
  <c r="AE68" i="44"/>
  <c r="AD68" i="44"/>
  <c r="AE66" i="44"/>
  <c r="AD66" i="44"/>
  <c r="AE65" i="44"/>
  <c r="AD65" i="44"/>
  <c r="AE64" i="44"/>
  <c r="AD64" i="44"/>
  <c r="AE63" i="44"/>
  <c r="AD63" i="44"/>
  <c r="AD91" i="1"/>
  <c r="AD90" i="1"/>
  <c r="AE89" i="1"/>
  <c r="AD89" i="1"/>
  <c r="AD88" i="1"/>
  <c r="AD86" i="1"/>
  <c r="AD85" i="1"/>
  <c r="AE84" i="1"/>
  <c r="AD84" i="1"/>
  <c r="AD83" i="1"/>
  <c r="AD81" i="1"/>
  <c r="AD80" i="1"/>
  <c r="AE79" i="1"/>
  <c r="AD79" i="1"/>
  <c r="AD78" i="1"/>
  <c r="AD76" i="1"/>
  <c r="AD75" i="1"/>
  <c r="AE74" i="1"/>
  <c r="AD74" i="1"/>
  <c r="AD73" i="1"/>
  <c r="AD71" i="1"/>
  <c r="AD70" i="1"/>
  <c r="AE69" i="1"/>
  <c r="AD69" i="1"/>
  <c r="AD68" i="1"/>
  <c r="AD66" i="1"/>
  <c r="AD65" i="1"/>
  <c r="AE64" i="1"/>
  <c r="AD64" i="1"/>
  <c r="AD63" i="1"/>
  <c r="AE61" i="44"/>
  <c r="AD61" i="44"/>
  <c r="AE60" i="44"/>
  <c r="AD60" i="44"/>
  <c r="AE59" i="44"/>
  <c r="AD59" i="44"/>
  <c r="AE58" i="44"/>
  <c r="AD58" i="44"/>
  <c r="AE56" i="44"/>
  <c r="AD56" i="44"/>
  <c r="AE55" i="44"/>
  <c r="AD55" i="44"/>
  <c r="AE54" i="44"/>
  <c r="AD54" i="44"/>
  <c r="AE53" i="44"/>
  <c r="AD53" i="44"/>
  <c r="AE51" i="44"/>
  <c r="AD51" i="44"/>
  <c r="AE50" i="44"/>
  <c r="AD50" i="44"/>
  <c r="AE49" i="44"/>
  <c r="AD49" i="44"/>
  <c r="AE48" i="44"/>
  <c r="AD48" i="44"/>
  <c r="AE46" i="44"/>
  <c r="AE45" i="44"/>
  <c r="AE44" i="44"/>
  <c r="AE43" i="44"/>
  <c r="AE41" i="44"/>
  <c r="AE40" i="44"/>
  <c r="AE39" i="44"/>
  <c r="AE38" i="44"/>
  <c r="AE36" i="44"/>
  <c r="AE35" i="44"/>
  <c r="AE34" i="44"/>
  <c r="AE33" i="44"/>
  <c r="AD61" i="1"/>
  <c r="AD60" i="1"/>
  <c r="AE59" i="1"/>
  <c r="AD59" i="1"/>
  <c r="AD58" i="1"/>
  <c r="AD56" i="1"/>
  <c r="AD55" i="1"/>
  <c r="AE54" i="1"/>
  <c r="AD54" i="1"/>
  <c r="AD53" i="1"/>
  <c r="AD51" i="1"/>
  <c r="AD50" i="1"/>
  <c r="AE49" i="1"/>
  <c r="AD49" i="1"/>
  <c r="AD48" i="1"/>
  <c r="AD46" i="1"/>
  <c r="AD45" i="1"/>
  <c r="AE44" i="1"/>
  <c r="AD44" i="1"/>
  <c r="AD43" i="1"/>
  <c r="AD41" i="1"/>
  <c r="AD40" i="1"/>
  <c r="AE39" i="1"/>
  <c r="AD39" i="1"/>
  <c r="AD38" i="1"/>
  <c r="AD36" i="1"/>
  <c r="AD35" i="1"/>
  <c r="AE34" i="1"/>
  <c r="AD34" i="1"/>
  <c r="AD33" i="1"/>
  <c r="AE31" i="44"/>
  <c r="AE30" i="44"/>
  <c r="AE29" i="44"/>
  <c r="AE28" i="44"/>
  <c r="AE26" i="44"/>
  <c r="AE25" i="44"/>
  <c r="AE24" i="44"/>
  <c r="AE23" i="44"/>
  <c r="AD31" i="1"/>
  <c r="AD30" i="1"/>
  <c r="AE29" i="1"/>
  <c r="AD29" i="1"/>
  <c r="AD28" i="1"/>
  <c r="AD26" i="1"/>
  <c r="AD25" i="1"/>
  <c r="AE24" i="1"/>
  <c r="AD24" i="1"/>
  <c r="AD23" i="1"/>
  <c r="AE21" i="44"/>
  <c r="AE20" i="44"/>
  <c r="AE19" i="44"/>
  <c r="AE18" i="44"/>
  <c r="AE16" i="44"/>
  <c r="AE15" i="44"/>
  <c r="AE14" i="44"/>
  <c r="AE13" i="44"/>
  <c r="AD21" i="1"/>
  <c r="AD20" i="1"/>
  <c r="AE19" i="1"/>
  <c r="AD19" i="1"/>
  <c r="AD18" i="1"/>
  <c r="AD16" i="1"/>
  <c r="AD15" i="1"/>
  <c r="AE14" i="1"/>
  <c r="AD14" i="1"/>
  <c r="AD13" i="1"/>
  <c r="AE11" i="44"/>
  <c r="AE10" i="44"/>
  <c r="AE9" i="44"/>
  <c r="AE8" i="44"/>
  <c r="AD11" i="1"/>
  <c r="AD10" i="1"/>
  <c r="AE9" i="1"/>
  <c r="AD9" i="1"/>
  <c r="AD8" i="1"/>
  <c r="AE6" i="44"/>
  <c r="AE5" i="44"/>
  <c r="AE4" i="44"/>
  <c r="AE4" i="1"/>
  <c r="AE3" i="44"/>
  <c r="AD6" i="1"/>
  <c r="AD5" i="1"/>
  <c r="AD4" i="1"/>
  <c r="AD3" i="1"/>
  <c r="E589" i="1"/>
  <c r="E603" i="1"/>
  <c r="E1421" i="1"/>
  <c r="E1481" i="1"/>
  <c r="E618" i="1"/>
  <c r="E735" i="1"/>
  <c r="E1440" i="1"/>
  <c r="E704" i="1"/>
  <c r="E686" i="1"/>
  <c r="E669" i="1"/>
  <c r="E670" i="1" s="1"/>
  <c r="E768" i="1"/>
  <c r="E537" i="1"/>
  <c r="E538" i="1" s="1"/>
  <c r="E797" i="1"/>
  <c r="E654" i="1"/>
  <c r="E553" i="1"/>
  <c r="E1422" i="1"/>
  <c r="E571" i="1"/>
  <c r="E829" i="1"/>
  <c r="E504" i="1"/>
  <c r="E636" i="1"/>
  <c r="E810" i="1"/>
  <c r="E522" i="1"/>
  <c r="E721" i="1"/>
  <c r="E486" i="1"/>
  <c r="E750" i="1"/>
  <c r="E478" i="1" l="1"/>
  <c r="E473" i="1"/>
  <c r="E468" i="1"/>
  <c r="E463" i="1"/>
  <c r="E458" i="1"/>
  <c r="E453" i="1"/>
  <c r="E448" i="1"/>
  <c r="E443" i="1"/>
  <c r="E438" i="1"/>
  <c r="E433" i="1"/>
  <c r="E428" i="1"/>
  <c r="E423" i="1"/>
  <c r="E418" i="1"/>
  <c r="E413" i="1"/>
  <c r="E408" i="1"/>
  <c r="E403" i="1"/>
  <c r="E398" i="1"/>
  <c r="E393" i="1"/>
  <c r="E388" i="1"/>
  <c r="E383" i="1"/>
  <c r="E378" i="1"/>
  <c r="E373" i="1"/>
  <c r="E368" i="1"/>
  <c r="E363" i="1"/>
  <c r="E358" i="1"/>
  <c r="E353" i="1"/>
  <c r="E348" i="1"/>
  <c r="E343" i="1"/>
  <c r="E338" i="1"/>
  <c r="E333" i="1"/>
  <c r="E328" i="1"/>
  <c r="E323" i="1"/>
  <c r="E318" i="1"/>
  <c r="E313" i="1"/>
  <c r="E308" i="1"/>
  <c r="E303" i="1"/>
  <c r="E298" i="1"/>
  <c r="E293" i="1"/>
  <c r="E288" i="1"/>
  <c r="E283" i="1"/>
  <c r="E278" i="1"/>
  <c r="E273" i="1"/>
  <c r="E268" i="1"/>
  <c r="E263" i="1"/>
  <c r="E258" i="1"/>
  <c r="E253" i="1"/>
  <c r="E248" i="1"/>
  <c r="E243" i="1"/>
  <c r="E238" i="1"/>
  <c r="E233" i="1"/>
  <c r="E228" i="1"/>
  <c r="E223" i="1"/>
  <c r="E218" i="1"/>
  <c r="E213" i="1"/>
  <c r="E208" i="1"/>
  <c r="E203" i="1"/>
  <c r="E198" i="1"/>
  <c r="E193" i="1"/>
  <c r="E188" i="1"/>
  <c r="E183" i="1"/>
  <c r="E178" i="1"/>
  <c r="E173" i="1"/>
  <c r="E168" i="1"/>
  <c r="E163" i="1"/>
  <c r="E158" i="1"/>
  <c r="E153" i="1"/>
  <c r="E148" i="1"/>
  <c r="E143" i="1"/>
  <c r="E138" i="1"/>
  <c r="E133" i="1"/>
  <c r="E128" i="1"/>
  <c r="E123" i="1"/>
  <c r="E619" i="1"/>
  <c r="E339" i="1"/>
  <c r="J357" i="1"/>
  <c r="D312" i="1"/>
  <c r="D367" i="1"/>
  <c r="J337" i="1"/>
  <c r="E224" i="1"/>
  <c r="D347" i="1"/>
  <c r="D457" i="1"/>
  <c r="D282" i="1"/>
  <c r="J292" i="1"/>
  <c r="J282" i="1"/>
  <c r="E259" i="1"/>
  <c r="E1423" i="1"/>
  <c r="D262" i="1"/>
  <c r="E434" i="1"/>
  <c r="E129" i="1"/>
  <c r="D252" i="1"/>
  <c r="J452" i="1"/>
  <c r="E414" i="1"/>
  <c r="J462" i="1"/>
  <c r="E811" i="1"/>
  <c r="E219" i="1"/>
  <c r="D467" i="1"/>
  <c r="J237" i="1"/>
  <c r="E284" i="1"/>
  <c r="J217" i="1"/>
  <c r="D227" i="1"/>
  <c r="J197" i="1"/>
  <c r="D322" i="1"/>
  <c r="J402" i="1"/>
  <c r="J322" i="1"/>
  <c r="E359" i="1"/>
  <c r="J412" i="1"/>
  <c r="D197" i="1"/>
  <c r="E179" i="1"/>
  <c r="E314" i="1"/>
  <c r="E590" i="1"/>
  <c r="J277" i="1"/>
  <c r="E404" i="1"/>
  <c r="E655" i="1"/>
  <c r="J422" i="1"/>
  <c r="D232" i="1"/>
  <c r="E304" i="1"/>
  <c r="J287" i="1"/>
  <c r="D157" i="1"/>
  <c r="J177" i="1"/>
  <c r="E424" i="1"/>
  <c r="D442" i="1"/>
  <c r="J397" i="1"/>
  <c r="J317" i="1"/>
  <c r="D187" i="1"/>
  <c r="E309" i="1"/>
  <c r="D212" i="1"/>
  <c r="J262" i="1"/>
  <c r="J472" i="1"/>
  <c r="D377" i="1"/>
  <c r="E687" i="1"/>
  <c r="E464" i="1"/>
  <c r="E134" i="1"/>
  <c r="E554" i="1"/>
  <c r="J192" i="1"/>
  <c r="D207" i="1"/>
  <c r="E364" i="1"/>
  <c r="E379" i="1"/>
  <c r="E214" i="1"/>
  <c r="E769" i="1"/>
  <c r="E289" i="1"/>
  <c r="E164" i="1"/>
  <c r="E830" i="1"/>
  <c r="E174" i="1"/>
  <c r="E269" i="1"/>
  <c r="E469" i="1"/>
  <c r="E474" i="1"/>
  <c r="E736" i="1"/>
  <c r="E751" i="1"/>
  <c r="E752" i="1" s="1"/>
  <c r="E399" i="1"/>
  <c r="E329" i="1"/>
  <c r="D432" i="1"/>
  <c r="D182" i="1"/>
  <c r="J222" i="1"/>
  <c r="D357" i="1"/>
  <c r="J387" i="1"/>
  <c r="E239" i="1"/>
  <c r="D307" i="1"/>
  <c r="J257" i="1"/>
  <c r="J142" i="1"/>
  <c r="D222" i="1"/>
  <c r="D292" i="1"/>
  <c r="D247" i="1"/>
  <c r="D302" i="1"/>
  <c r="J267" i="1"/>
  <c r="J207" i="1"/>
  <c r="E244" i="1"/>
  <c r="D412" i="1"/>
  <c r="D437" i="1"/>
  <c r="D342" i="1"/>
  <c r="J302" i="1"/>
  <c r="D167" i="1"/>
  <c r="E604" i="1"/>
  <c r="E637" i="1"/>
  <c r="D237" i="1"/>
  <c r="D362" i="1"/>
  <c r="J352" i="1"/>
  <c r="D257" i="1"/>
  <c r="E254" i="1"/>
  <c r="J152" i="1"/>
  <c r="J137" i="1"/>
  <c r="E264" i="1"/>
  <c r="E705" i="1"/>
  <c r="J382" i="1"/>
  <c r="D402" i="1"/>
  <c r="E487" i="1"/>
  <c r="J372" i="1"/>
  <c r="D152" i="1"/>
  <c r="E409" i="1"/>
  <c r="J132" i="1"/>
  <c r="E324" i="1"/>
  <c r="D242" i="1"/>
  <c r="J252" i="1"/>
  <c r="J447" i="1"/>
  <c r="E139" i="1"/>
  <c r="E234" i="1"/>
  <c r="E319" i="1"/>
  <c r="E671" i="1"/>
  <c r="J272" i="1"/>
  <c r="E249" i="1"/>
  <c r="J147" i="1"/>
  <c r="J467" i="1"/>
  <c r="D147" i="1"/>
  <c r="E354" i="1"/>
  <c r="E124" i="1"/>
  <c r="E459" i="1"/>
  <c r="D407" i="1"/>
  <c r="J122" i="1"/>
  <c r="D202" i="1"/>
  <c r="D387" i="1"/>
  <c r="J417" i="1"/>
  <c r="E294" i="1"/>
  <c r="J442" i="1"/>
  <c r="J172" i="1"/>
  <c r="E439" i="1"/>
  <c r="E770" i="1"/>
  <c r="J367" i="1"/>
  <c r="E204" i="1"/>
  <c r="E369" i="1"/>
  <c r="D162" i="1"/>
  <c r="D277" i="1"/>
  <c r="E344" i="1"/>
  <c r="D142" i="1"/>
  <c r="J407" i="1"/>
  <c r="E334" i="1"/>
  <c r="J212" i="1"/>
  <c r="E539" i="1"/>
  <c r="D137" i="1"/>
  <c r="D317" i="1"/>
  <c r="D477" i="1"/>
  <c r="J162" i="1"/>
  <c r="E189" i="1"/>
  <c r="J187" i="1"/>
  <c r="E154" i="1"/>
  <c r="E429" i="1"/>
  <c r="E159" i="1"/>
  <c r="J247" i="1"/>
  <c r="J157" i="1"/>
  <c r="J312" i="1"/>
  <c r="J227" i="1"/>
  <c r="E384" i="1"/>
  <c r="E169" i="1"/>
  <c r="J167" i="1"/>
  <c r="E1482" i="1"/>
  <c r="E479" i="1"/>
  <c r="E349" i="1"/>
  <c r="E389" i="1"/>
  <c r="E394" i="1"/>
  <c r="J427" i="1"/>
  <c r="E229" i="1"/>
  <c r="D472" i="1"/>
  <c r="D337" i="1"/>
  <c r="E572" i="1"/>
  <c r="D382" i="1"/>
  <c r="D297" i="1"/>
  <c r="E505" i="1"/>
  <c r="E506" i="1" s="1"/>
  <c r="J377" i="1"/>
  <c r="D417" i="1"/>
  <c r="E722" i="1"/>
  <c r="E149" i="1"/>
  <c r="D447" i="1"/>
  <c r="J342" i="1"/>
  <c r="E144" i="1"/>
  <c r="D332" i="1"/>
  <c r="J477" i="1"/>
  <c r="E454" i="1"/>
  <c r="E374" i="1"/>
  <c r="D427" i="1"/>
  <c r="D372" i="1"/>
  <c r="J202" i="1"/>
  <c r="J347" i="1"/>
  <c r="J297" i="1"/>
  <c r="D392" i="1"/>
  <c r="D217" i="1"/>
  <c r="D132" i="1"/>
  <c r="J127" i="1"/>
  <c r="D127" i="1"/>
  <c r="J182" i="1"/>
  <c r="J437" i="1"/>
  <c r="E523" i="1"/>
  <c r="E419" i="1"/>
  <c r="D172" i="1"/>
  <c r="E620" i="1"/>
  <c r="E184" i="1"/>
  <c r="D267" i="1"/>
  <c r="E449" i="1"/>
  <c r="J242" i="1"/>
  <c r="D192" i="1"/>
  <c r="E444" i="1"/>
  <c r="D272" i="1"/>
  <c r="J307" i="1"/>
  <c r="D452" i="1"/>
  <c r="E299" i="1"/>
  <c r="E199" i="1"/>
  <c r="D352" i="1"/>
  <c r="D177" i="1"/>
  <c r="D397" i="1"/>
  <c r="J332" i="1"/>
  <c r="J392" i="1"/>
  <c r="E194" i="1"/>
  <c r="J232" i="1"/>
  <c r="D462" i="1"/>
  <c r="J327" i="1"/>
  <c r="E274" i="1"/>
  <c r="D287" i="1"/>
  <c r="J362" i="1"/>
  <c r="E209" i="1"/>
  <c r="J432" i="1"/>
  <c r="D327" i="1"/>
  <c r="J457" i="1"/>
  <c r="E798" i="1"/>
  <c r="D422" i="1"/>
  <c r="D122" i="1"/>
  <c r="E279" i="1"/>
  <c r="R122" i="1" l="1"/>
  <c r="R202" i="1"/>
  <c r="R192" i="1"/>
  <c r="S207" i="1"/>
  <c r="R282" i="1"/>
  <c r="S357" i="1"/>
  <c r="R417" i="1"/>
  <c r="R152" i="1"/>
  <c r="S147" i="1"/>
  <c r="S187" i="1"/>
  <c r="R257" i="1"/>
  <c r="R302" i="1"/>
  <c r="S252" i="1"/>
  <c r="R287" i="1"/>
  <c r="R382" i="1"/>
  <c r="R462" i="1"/>
  <c r="R367" i="1"/>
  <c r="R447" i="1"/>
  <c r="S382" i="1"/>
  <c r="S387" i="1"/>
  <c r="S427" i="1"/>
  <c r="S467" i="1"/>
  <c r="R187" i="1"/>
  <c r="R127" i="1"/>
  <c r="S237" i="1"/>
  <c r="S242" i="1"/>
  <c r="S277" i="1"/>
  <c r="S472" i="1"/>
  <c r="R222" i="1"/>
  <c r="R132" i="1"/>
  <c r="R137" i="1"/>
  <c r="S167" i="1"/>
  <c r="S217" i="1"/>
  <c r="R162" i="1"/>
  <c r="R232" i="1"/>
  <c r="S132" i="1"/>
  <c r="S162" i="1"/>
  <c r="S182" i="1"/>
  <c r="R157" i="1"/>
  <c r="R217" i="1"/>
  <c r="R142" i="1"/>
  <c r="R147" i="1"/>
  <c r="S197" i="1"/>
  <c r="R242" i="1"/>
  <c r="S292" i="1"/>
  <c r="S332" i="1"/>
  <c r="R307" i="1"/>
  <c r="R322" i="1"/>
  <c r="S282" i="1"/>
  <c r="S342" i="1"/>
  <c r="R297" i="1"/>
  <c r="S257" i="1"/>
  <c r="S297" i="1"/>
  <c r="S337" i="1"/>
  <c r="R392" i="1"/>
  <c r="S432" i="1"/>
  <c r="R377" i="1"/>
  <c r="R457" i="1"/>
  <c r="R237" i="1"/>
  <c r="S142" i="1"/>
  <c r="S222" i="1"/>
  <c r="R197" i="1"/>
  <c r="R312" i="1"/>
  <c r="S352" i="1"/>
  <c r="R347" i="1"/>
  <c r="S317" i="1"/>
  <c r="R432" i="1"/>
  <c r="R472" i="1"/>
  <c r="R207" i="1"/>
  <c r="R212" i="1"/>
  <c r="S202" i="1"/>
  <c r="S127" i="1"/>
  <c r="R172" i="1"/>
  <c r="S122" i="1"/>
  <c r="S152" i="1"/>
  <c r="S172" i="1"/>
  <c r="S192" i="1"/>
  <c r="S232" i="1"/>
  <c r="R177" i="1"/>
  <c r="R227" i="1"/>
  <c r="R182" i="1"/>
  <c r="S212" i="1"/>
  <c r="R167" i="1"/>
  <c r="S137" i="1"/>
  <c r="S157" i="1"/>
  <c r="S177" i="1"/>
  <c r="S227" i="1"/>
  <c r="R272" i="1"/>
  <c r="S312" i="1"/>
  <c r="R262" i="1"/>
  <c r="R352" i="1"/>
  <c r="R337" i="1"/>
  <c r="R422" i="1"/>
  <c r="S442" i="1"/>
  <c r="R407" i="1"/>
  <c r="R362" i="1"/>
  <c r="S367" i="1"/>
  <c r="S407" i="1"/>
  <c r="S447" i="1"/>
  <c r="R332" i="1"/>
  <c r="S272" i="1"/>
  <c r="R247" i="1"/>
  <c r="R317" i="1"/>
  <c r="R357" i="1"/>
  <c r="R402" i="1"/>
  <c r="R442" i="1"/>
  <c r="S372" i="1"/>
  <c r="S422" i="1"/>
  <c r="S462" i="1"/>
  <c r="R387" i="1"/>
  <c r="R427" i="1"/>
  <c r="R467" i="1"/>
  <c r="S362" i="1"/>
  <c r="S402" i="1"/>
  <c r="S377" i="1"/>
  <c r="S397" i="1"/>
  <c r="S417" i="1"/>
  <c r="S437" i="1"/>
  <c r="S457" i="1"/>
  <c r="S477" i="1"/>
  <c r="R252" i="1"/>
  <c r="S302" i="1"/>
  <c r="S322" i="1"/>
  <c r="R267" i="1"/>
  <c r="R292" i="1"/>
  <c r="R342" i="1"/>
  <c r="S262" i="1"/>
  <c r="R277" i="1"/>
  <c r="R327" i="1"/>
  <c r="S247" i="1"/>
  <c r="S267" i="1"/>
  <c r="S287" i="1"/>
  <c r="S307" i="1"/>
  <c r="S327" i="1"/>
  <c r="S347" i="1"/>
  <c r="R372" i="1"/>
  <c r="R412" i="1"/>
  <c r="R452" i="1"/>
  <c r="S392" i="1"/>
  <c r="S452" i="1"/>
  <c r="R397" i="1"/>
  <c r="R437" i="1"/>
  <c r="R477" i="1"/>
  <c r="S412" i="1"/>
  <c r="E280" i="1"/>
  <c r="E573" i="1"/>
  <c r="E475" i="1"/>
  <c r="E445" i="1"/>
  <c r="E330" i="1"/>
  <c r="D107" i="1"/>
  <c r="J102" i="1"/>
  <c r="J97" i="1"/>
  <c r="E395" i="1"/>
  <c r="E574" i="1"/>
  <c r="E638" i="1"/>
  <c r="E540" i="1"/>
  <c r="E380" i="1"/>
  <c r="E672" i="1"/>
  <c r="E250" i="1"/>
  <c r="D82" i="1"/>
  <c r="E320" i="1"/>
  <c r="E621" i="1"/>
  <c r="J92" i="1"/>
  <c r="E460" i="1"/>
  <c r="E605" i="1"/>
  <c r="D12" i="1"/>
  <c r="E150" i="1"/>
  <c r="E235" i="1"/>
  <c r="E220" i="1"/>
  <c r="E215" i="1"/>
  <c r="E507" i="1"/>
  <c r="D72" i="1"/>
  <c r="D32" i="1"/>
  <c r="D77" i="1"/>
  <c r="E300" i="1"/>
  <c r="E410" i="1"/>
  <c r="J17" i="1"/>
  <c r="J52" i="1"/>
  <c r="D22" i="1"/>
  <c r="D7" i="1"/>
  <c r="E240" i="1"/>
  <c r="E385" i="1"/>
  <c r="E125" i="1"/>
  <c r="D57" i="1"/>
  <c r="D17" i="1"/>
  <c r="E656" i="1"/>
  <c r="J107" i="1"/>
  <c r="E435" i="1"/>
  <c r="E753" i="1"/>
  <c r="E370" i="1"/>
  <c r="E175" i="1"/>
  <c r="E210" i="1"/>
  <c r="E315" i="1"/>
  <c r="E350" i="1"/>
  <c r="E688" i="1"/>
  <c r="E130" i="1"/>
  <c r="E723" i="1"/>
  <c r="D27" i="1"/>
  <c r="D62" i="1"/>
  <c r="E190" i="1"/>
  <c r="E524" i="1"/>
  <c r="E360" i="1"/>
  <c r="E361" i="1" s="1"/>
  <c r="J22" i="1"/>
  <c r="D102" i="1"/>
  <c r="D37" i="1"/>
  <c r="E455" i="1"/>
  <c r="E430" i="1"/>
  <c r="E440" i="1"/>
  <c r="E310" i="1"/>
  <c r="E525" i="1"/>
  <c r="J72" i="1"/>
  <c r="D52" i="1"/>
  <c r="E290" i="1"/>
  <c r="E135" i="1"/>
  <c r="E375" i="1"/>
  <c r="E420" i="1"/>
  <c r="J27" i="1"/>
  <c r="E415" i="1"/>
  <c r="E450" i="1"/>
  <c r="E335" i="1"/>
  <c r="J7" i="1"/>
  <c r="E325" i="1"/>
  <c r="E195" i="1"/>
  <c r="J32" i="1"/>
  <c r="E799" i="1"/>
  <c r="E245" i="1"/>
  <c r="E185" i="1"/>
  <c r="E260" i="1"/>
  <c r="E295" i="1"/>
  <c r="E160" i="1"/>
  <c r="E170" i="1"/>
  <c r="J57" i="1"/>
  <c r="E155" i="1"/>
  <c r="E812" i="1"/>
  <c r="D67" i="1"/>
  <c r="E200" i="1"/>
  <c r="D112" i="1"/>
  <c r="E285" i="1"/>
  <c r="E345" i="1"/>
  <c r="E441" i="1"/>
  <c r="E400" i="1"/>
  <c r="D47" i="1"/>
  <c r="J2" i="1"/>
  <c r="J77" i="1"/>
  <c r="E390" i="1"/>
  <c r="E488" i="1"/>
  <c r="E489" i="1" s="1"/>
  <c r="E270" i="1"/>
  <c r="E271" i="1" s="1"/>
  <c r="E180" i="1"/>
  <c r="E831" i="1"/>
  <c r="J67" i="1"/>
  <c r="J12" i="1"/>
  <c r="J82" i="1"/>
  <c r="E205" i="1"/>
  <c r="E340" i="1"/>
  <c r="E591" i="1"/>
  <c r="E230" i="1"/>
  <c r="E470" i="1"/>
  <c r="J42" i="1"/>
  <c r="E480" i="1"/>
  <c r="J117" i="1"/>
  <c r="J87" i="1"/>
  <c r="E165" i="1"/>
  <c r="E275" i="1"/>
  <c r="E405" i="1"/>
  <c r="E465" i="1"/>
  <c r="D87" i="1"/>
  <c r="E771" i="1"/>
  <c r="D42" i="1"/>
  <c r="E255" i="1"/>
  <c r="E145" i="1"/>
  <c r="E281" i="1"/>
  <c r="D97" i="1"/>
  <c r="E365" i="1"/>
  <c r="J62" i="1"/>
  <c r="E265" i="1"/>
  <c r="E1483" i="1"/>
  <c r="D92" i="1"/>
  <c r="J112" i="1"/>
  <c r="J37" i="1"/>
  <c r="E555" i="1"/>
  <c r="E425" i="1"/>
  <c r="E225" i="1"/>
  <c r="E706" i="1"/>
  <c r="E355" i="1"/>
  <c r="E140" i="1"/>
  <c r="E305" i="1"/>
  <c r="E737" i="1"/>
  <c r="J47" i="1"/>
  <c r="E707" i="1"/>
  <c r="D117" i="1"/>
  <c r="R42" i="1" l="1"/>
  <c r="R102" i="1"/>
  <c r="S12" i="1"/>
  <c r="S52" i="1"/>
  <c r="S92" i="1"/>
  <c r="R52" i="1"/>
  <c r="R47" i="1"/>
  <c r="R87" i="1"/>
  <c r="R32" i="1"/>
  <c r="S47" i="1"/>
  <c r="S87" i="1"/>
  <c r="S7" i="1"/>
  <c r="S42" i="1"/>
  <c r="R37" i="1"/>
  <c r="S37" i="1"/>
  <c r="S2" i="1"/>
  <c r="R72" i="1"/>
  <c r="R112" i="1"/>
  <c r="S22" i="1"/>
  <c r="S62" i="1"/>
  <c r="S102" i="1"/>
  <c r="R17" i="1"/>
  <c r="R57" i="1"/>
  <c r="R97" i="1"/>
  <c r="S17" i="1"/>
  <c r="S57" i="1"/>
  <c r="S97" i="1"/>
  <c r="R92" i="1"/>
  <c r="R12" i="1"/>
  <c r="R77" i="1"/>
  <c r="S77" i="1"/>
  <c r="R7" i="1"/>
  <c r="R82" i="1"/>
  <c r="R22" i="1"/>
  <c r="S32" i="1"/>
  <c r="S72" i="1"/>
  <c r="S112" i="1"/>
  <c r="R27" i="1"/>
  <c r="R67" i="1"/>
  <c r="R107" i="1"/>
  <c r="S27" i="1"/>
  <c r="S67" i="1"/>
  <c r="S107" i="1"/>
  <c r="R62" i="1"/>
  <c r="S82" i="1"/>
  <c r="R117" i="1"/>
  <c r="S117" i="1"/>
  <c r="V477" i="1"/>
  <c r="U477" i="1"/>
  <c r="V472" i="1"/>
  <c r="U472" i="1"/>
  <c r="V467" i="1"/>
  <c r="U467" i="1"/>
  <c r="V462" i="1"/>
  <c r="U462" i="1"/>
  <c r="V457" i="1"/>
  <c r="U457" i="1"/>
  <c r="V452" i="1"/>
  <c r="U452" i="1"/>
  <c r="V447" i="1"/>
  <c r="U447" i="1"/>
  <c r="V442" i="1"/>
  <c r="U442" i="1"/>
  <c r="V437" i="1"/>
  <c r="U437" i="1"/>
  <c r="V432" i="1"/>
  <c r="U432" i="1"/>
  <c r="V427" i="1"/>
  <c r="U427" i="1"/>
  <c r="V422" i="1"/>
  <c r="U422" i="1"/>
  <c r="V417" i="1"/>
  <c r="U417" i="1"/>
  <c r="V412" i="1"/>
  <c r="U412" i="1"/>
  <c r="V407" i="1"/>
  <c r="U407" i="1"/>
  <c r="V402" i="1"/>
  <c r="U402" i="1"/>
  <c r="V397" i="1"/>
  <c r="U397" i="1"/>
  <c r="V392" i="1"/>
  <c r="U392" i="1"/>
  <c r="V387" i="1"/>
  <c r="U387" i="1"/>
  <c r="V382" i="1"/>
  <c r="U382" i="1"/>
  <c r="V377" i="1"/>
  <c r="U377" i="1"/>
  <c r="V372" i="1"/>
  <c r="U372" i="1"/>
  <c r="V367" i="1"/>
  <c r="U367" i="1"/>
  <c r="V362" i="1"/>
  <c r="U362" i="1"/>
  <c r="V357" i="1"/>
  <c r="U357" i="1"/>
  <c r="V352" i="1"/>
  <c r="U352" i="1"/>
  <c r="V347" i="1"/>
  <c r="U347" i="1"/>
  <c r="V342" i="1"/>
  <c r="U342" i="1"/>
  <c r="V337" i="1"/>
  <c r="U337" i="1"/>
  <c r="V332" i="1"/>
  <c r="U332" i="1"/>
  <c r="V327" i="1"/>
  <c r="U327" i="1"/>
  <c r="V322" i="1"/>
  <c r="U322" i="1"/>
  <c r="V317" i="1"/>
  <c r="U317" i="1"/>
  <c r="V312" i="1"/>
  <c r="U312" i="1"/>
  <c r="V307" i="1"/>
  <c r="U307" i="1"/>
  <c r="V302" i="1"/>
  <c r="U302" i="1"/>
  <c r="V297" i="1"/>
  <c r="U297" i="1"/>
  <c r="V292" i="1"/>
  <c r="U292" i="1"/>
  <c r="V287" i="1"/>
  <c r="U287" i="1"/>
  <c r="V282" i="1"/>
  <c r="U282" i="1"/>
  <c r="V277" i="1"/>
  <c r="U277" i="1"/>
  <c r="V272" i="1"/>
  <c r="U272" i="1"/>
  <c r="V267" i="1"/>
  <c r="U267" i="1"/>
  <c r="V262" i="1"/>
  <c r="U262" i="1"/>
  <c r="V257" i="1"/>
  <c r="V252" i="1"/>
  <c r="U252" i="1"/>
  <c r="V247" i="1"/>
  <c r="U247" i="1"/>
  <c r="V242" i="1"/>
  <c r="U242" i="1"/>
  <c r="V237" i="1"/>
  <c r="U237" i="1"/>
  <c r="V232" i="1"/>
  <c r="U232" i="1"/>
  <c r="V227" i="1"/>
  <c r="U227" i="1"/>
  <c r="V222" i="1"/>
  <c r="U222" i="1"/>
  <c r="V217" i="1"/>
  <c r="U217" i="1"/>
  <c r="V212" i="1"/>
  <c r="U212" i="1"/>
  <c r="V207" i="1"/>
  <c r="U207" i="1"/>
  <c r="V202" i="1"/>
  <c r="U202" i="1"/>
  <c r="V197" i="1"/>
  <c r="U197" i="1"/>
  <c r="V192" i="1"/>
  <c r="U192" i="1"/>
  <c r="V187" i="1"/>
  <c r="U187" i="1"/>
  <c r="V182" i="1"/>
  <c r="U182" i="1"/>
  <c r="V177" i="1"/>
  <c r="U177" i="1"/>
  <c r="V172" i="1"/>
  <c r="U172" i="1"/>
  <c r="V167" i="1"/>
  <c r="U167" i="1"/>
  <c r="V162" i="1"/>
  <c r="U162" i="1"/>
  <c r="V157" i="1"/>
  <c r="U157" i="1"/>
  <c r="V152" i="1"/>
  <c r="U152" i="1"/>
  <c r="V147" i="1"/>
  <c r="U147" i="1"/>
  <c r="V142" i="1"/>
  <c r="U142" i="1"/>
  <c r="V137" i="1"/>
  <c r="U137" i="1"/>
  <c r="V132" i="1"/>
  <c r="U132" i="1"/>
  <c r="V127" i="1"/>
  <c r="U127" i="1"/>
  <c r="V122" i="1"/>
  <c r="U122" i="1"/>
  <c r="V117" i="1"/>
  <c r="U117" i="1"/>
  <c r="V112" i="1"/>
  <c r="U112" i="1"/>
  <c r="V107" i="1"/>
  <c r="U107" i="1"/>
  <c r="V102" i="1"/>
  <c r="U102" i="1"/>
  <c r="V97" i="1"/>
  <c r="U97" i="1"/>
  <c r="V92" i="1"/>
  <c r="U92" i="1"/>
  <c r="V87" i="1"/>
  <c r="U87" i="1"/>
  <c r="V82" i="1"/>
  <c r="U82" i="1"/>
  <c r="V77" i="1"/>
  <c r="U77" i="1"/>
  <c r="V72" i="1"/>
  <c r="U72" i="1"/>
  <c r="V67" i="1"/>
  <c r="U67" i="1"/>
  <c r="V62" i="1"/>
  <c r="U62" i="1"/>
  <c r="V57" i="1"/>
  <c r="U57" i="1"/>
  <c r="V52" i="1"/>
  <c r="U52" i="1"/>
  <c r="V47" i="1"/>
  <c r="U47" i="1"/>
  <c r="V42" i="1"/>
  <c r="U42" i="1"/>
  <c r="V37" i="1"/>
  <c r="U37" i="1"/>
  <c r="V32" i="1"/>
  <c r="U32" i="1"/>
  <c r="V27" i="1"/>
  <c r="U27" i="1"/>
  <c r="V22" i="1"/>
  <c r="U22" i="1"/>
  <c r="V17" i="1"/>
  <c r="U17" i="1"/>
  <c r="V12" i="1"/>
  <c r="U12" i="1"/>
  <c r="V7" i="1"/>
  <c r="U7" i="1"/>
  <c r="V2" i="1"/>
  <c r="U2" i="1"/>
  <c r="AA122" i="44"/>
  <c r="E211" i="1"/>
  <c r="E541" i="1"/>
  <c r="E411" i="1"/>
  <c r="E426" i="1"/>
  <c r="E176" i="1"/>
  <c r="E191" i="1"/>
  <c r="E376" i="1"/>
  <c r="E171" i="1"/>
  <c r="E606" i="1"/>
  <c r="E266" i="1"/>
  <c r="E186" i="1"/>
  <c r="E592" i="1"/>
  <c r="E336" i="1"/>
  <c r="E466" i="1"/>
  <c r="E301" i="1"/>
  <c r="E291" i="1"/>
  <c r="E657" i="1"/>
  <c r="E461" i="1"/>
  <c r="E381" i="1"/>
  <c r="E689" i="1"/>
  <c r="E331" i="1"/>
  <c r="E366" i="1"/>
  <c r="E476" i="1"/>
  <c r="E772" i="1"/>
  <c r="E456" i="1"/>
  <c r="E386" i="1"/>
  <c r="E490" i="1"/>
  <c r="E216" i="1"/>
  <c r="E166" i="1"/>
  <c r="E446" i="1"/>
  <c r="E639" i="1"/>
  <c r="E724" i="1"/>
  <c r="E356" i="1"/>
  <c r="E126" i="1"/>
  <c r="E813" i="1"/>
  <c r="E508" i="1"/>
  <c r="E351" i="1"/>
  <c r="E371" i="1"/>
  <c r="E673" i="1"/>
  <c r="E221" i="1"/>
  <c r="E201" i="1"/>
  <c r="E226" i="1"/>
  <c r="E556" i="1"/>
  <c r="E231" i="1"/>
  <c r="E321" i="1"/>
  <c r="E436" i="1"/>
  <c r="E151" i="1"/>
  <c r="E286" i="1"/>
  <c r="E236" i="1"/>
  <c r="E738" i="1"/>
  <c r="E451" i="1"/>
  <c r="E575" i="1"/>
  <c r="E306" i="1"/>
  <c r="E1484" i="1"/>
  <c r="E251" i="1"/>
  <c r="E206" i="1"/>
  <c r="E754" i="1"/>
  <c r="E471" i="1"/>
  <c r="E241" i="1"/>
  <c r="E156" i="1"/>
  <c r="E181" i="1"/>
  <c r="E316" i="1"/>
  <c r="E396" i="1"/>
  <c r="E346" i="1"/>
  <c r="E481" i="1"/>
  <c r="E431" i="1"/>
  <c r="E708" i="1"/>
  <c r="E296" i="1"/>
  <c r="E136" i="1"/>
  <c r="E311" i="1"/>
  <c r="E401" i="1"/>
  <c r="E406" i="1"/>
  <c r="E146" i="1"/>
  <c r="E526" i="1"/>
  <c r="E196" i="1"/>
  <c r="E800" i="1"/>
  <c r="E256" i="1"/>
  <c r="E326" i="1"/>
  <c r="E276" i="1"/>
  <c r="E622" i="1"/>
  <c r="E416" i="1"/>
  <c r="E161" i="1"/>
  <c r="E246" i="1"/>
  <c r="E261" i="1"/>
  <c r="E832" i="1"/>
  <c r="E421" i="1"/>
  <c r="E341" i="1"/>
  <c r="E391" i="1"/>
  <c r="E131" i="1"/>
  <c r="E141" i="1"/>
  <c r="AD123" i="44" l="1"/>
  <c r="AD124" i="44"/>
  <c r="AD125" i="44"/>
  <c r="AD126" i="44"/>
  <c r="AC257" i="1"/>
  <c r="A257" i="1" s="1"/>
  <c r="AE11" i="1"/>
  <c r="AE10" i="1"/>
  <c r="AE8" i="1"/>
  <c r="AE31" i="1"/>
  <c r="AE28" i="1"/>
  <c r="AE30" i="1"/>
  <c r="AE51" i="1"/>
  <c r="AE48" i="1"/>
  <c r="AE50" i="1"/>
  <c r="AE71" i="1"/>
  <c r="AE68" i="1"/>
  <c r="AE70" i="1"/>
  <c r="AE91" i="1"/>
  <c r="AE88" i="1"/>
  <c r="AE90" i="1"/>
  <c r="AE111" i="1"/>
  <c r="AE110" i="1"/>
  <c r="AE108" i="1"/>
  <c r="AE131" i="1"/>
  <c r="AE128" i="1"/>
  <c r="AE130" i="1"/>
  <c r="AE151" i="1"/>
  <c r="AE150" i="1"/>
  <c r="AE148" i="1"/>
  <c r="AE171" i="1"/>
  <c r="AE170" i="1"/>
  <c r="AE168" i="1"/>
  <c r="AE191" i="1"/>
  <c r="AE190" i="1"/>
  <c r="AE188" i="1"/>
  <c r="AE211" i="1"/>
  <c r="AE210" i="1"/>
  <c r="AE208" i="1"/>
  <c r="AE231" i="1"/>
  <c r="AE230" i="1"/>
  <c r="AE228" i="1"/>
  <c r="AE251" i="1"/>
  <c r="AE250" i="1"/>
  <c r="AE249" i="1"/>
  <c r="AE248" i="1"/>
  <c r="AE271" i="1"/>
  <c r="AE270" i="1"/>
  <c r="AE269" i="1"/>
  <c r="AE268" i="1"/>
  <c r="AE291" i="1"/>
  <c r="AE290" i="1"/>
  <c r="AE289" i="1"/>
  <c r="AE288" i="1"/>
  <c r="AE311" i="1"/>
  <c r="AE310" i="1"/>
  <c r="AE309" i="1"/>
  <c r="AE308" i="1"/>
  <c r="AE331" i="1"/>
  <c r="AE330" i="1"/>
  <c r="AE329" i="1"/>
  <c r="AE328" i="1"/>
  <c r="AE351" i="1"/>
  <c r="AE350" i="1"/>
  <c r="AE349" i="1"/>
  <c r="AE348" i="1"/>
  <c r="AE371" i="1"/>
  <c r="AE370" i="1"/>
  <c r="AE369" i="1"/>
  <c r="AE368" i="1"/>
  <c r="AE389" i="1"/>
  <c r="AE390" i="1"/>
  <c r="AE391" i="1"/>
  <c r="AE388" i="1"/>
  <c r="AE399" i="1"/>
  <c r="AE400" i="1"/>
  <c r="AE401" i="1"/>
  <c r="AE398" i="1"/>
  <c r="AE409" i="1"/>
  <c r="AE410" i="1"/>
  <c r="AE411" i="1"/>
  <c r="AE408" i="1"/>
  <c r="AE419" i="1"/>
  <c r="AE420" i="1"/>
  <c r="AE421" i="1"/>
  <c r="AE418" i="1"/>
  <c r="AE429" i="1"/>
  <c r="AE430" i="1"/>
  <c r="AE431" i="1"/>
  <c r="AE428" i="1"/>
  <c r="AE439" i="1"/>
  <c r="AE440" i="1"/>
  <c r="AE441" i="1"/>
  <c r="AE438" i="1"/>
  <c r="AE449" i="1"/>
  <c r="AE450" i="1"/>
  <c r="AE451" i="1"/>
  <c r="AE448" i="1"/>
  <c r="AE459" i="1"/>
  <c r="AE460" i="1"/>
  <c r="AE461" i="1"/>
  <c r="AE458" i="1"/>
  <c r="AE469" i="1"/>
  <c r="AE470" i="1"/>
  <c r="AE471" i="1"/>
  <c r="AE468" i="1"/>
  <c r="AE479" i="1"/>
  <c r="AE480" i="1"/>
  <c r="AE481" i="1"/>
  <c r="AE478" i="1"/>
  <c r="AF10" i="1"/>
  <c r="AF9" i="1"/>
  <c r="AF8" i="1"/>
  <c r="AF11" i="1"/>
  <c r="AF28" i="1"/>
  <c r="AF30" i="1"/>
  <c r="AF29" i="1"/>
  <c r="AF31" i="1"/>
  <c r="AF48" i="1"/>
  <c r="AF50" i="1"/>
  <c r="AF49" i="1"/>
  <c r="AF51" i="1"/>
  <c r="AF68" i="1"/>
  <c r="AF70" i="1"/>
  <c r="AF69" i="1"/>
  <c r="AF71" i="1"/>
  <c r="AF88" i="1"/>
  <c r="AF90" i="1"/>
  <c r="AF89" i="1"/>
  <c r="AF91" i="1"/>
  <c r="AF108" i="1"/>
  <c r="AF110" i="1"/>
  <c r="AF109" i="1"/>
  <c r="AF111" i="1"/>
  <c r="AF128" i="1"/>
  <c r="AF129" i="1"/>
  <c r="AF130" i="1"/>
  <c r="AF131" i="1"/>
  <c r="AF149" i="1"/>
  <c r="AF151" i="1"/>
  <c r="AF148" i="1"/>
  <c r="AF150" i="1"/>
  <c r="AF169" i="1"/>
  <c r="AF171" i="1"/>
  <c r="AF170" i="1"/>
  <c r="AF168" i="1"/>
  <c r="AF189" i="1"/>
  <c r="AF191" i="1"/>
  <c r="AF188" i="1"/>
  <c r="AF190" i="1"/>
  <c r="AF221" i="1"/>
  <c r="AF220" i="1"/>
  <c r="AF218" i="1"/>
  <c r="AF219" i="1"/>
  <c r="AF239" i="1"/>
  <c r="AF238" i="1"/>
  <c r="AF240" i="1"/>
  <c r="AF241" i="1"/>
  <c r="AF258" i="1"/>
  <c r="AF259" i="1"/>
  <c r="AF260" i="1"/>
  <c r="AF261" i="1"/>
  <c r="AF278" i="1"/>
  <c r="AF279" i="1"/>
  <c r="AF280" i="1"/>
  <c r="AF281" i="1"/>
  <c r="AF298" i="1"/>
  <c r="AF301" i="1"/>
  <c r="AF299" i="1"/>
  <c r="AF300" i="1"/>
  <c r="AF318" i="1"/>
  <c r="AF319" i="1"/>
  <c r="AF320" i="1"/>
  <c r="AF321" i="1"/>
  <c r="AF338" i="1"/>
  <c r="AF339" i="1"/>
  <c r="AF341" i="1"/>
  <c r="AF340" i="1"/>
  <c r="AF358" i="1"/>
  <c r="AF361" i="1"/>
  <c r="AF359" i="1"/>
  <c r="AF360" i="1"/>
  <c r="AF381" i="1"/>
  <c r="AF380" i="1"/>
  <c r="AF379" i="1"/>
  <c r="AF378" i="1"/>
  <c r="AF401" i="1"/>
  <c r="AF400" i="1"/>
  <c r="AF399" i="1"/>
  <c r="AF398" i="1"/>
  <c r="AE6" i="1"/>
  <c r="AE3" i="1"/>
  <c r="AC2" i="1"/>
  <c r="AE5" i="1"/>
  <c r="AE16" i="1"/>
  <c r="AE13" i="1"/>
  <c r="AE15" i="1"/>
  <c r="AE26" i="1"/>
  <c r="AE23" i="1"/>
  <c r="AE25" i="1"/>
  <c r="AE36" i="1"/>
  <c r="AE33" i="1"/>
  <c r="AE35" i="1"/>
  <c r="AE46" i="1"/>
  <c r="AE43" i="1"/>
  <c r="AE45" i="1"/>
  <c r="AE56" i="1"/>
  <c r="AE53" i="1"/>
  <c r="AE55" i="1"/>
  <c r="AE66" i="1"/>
  <c r="AE63" i="1"/>
  <c r="AE65" i="1"/>
  <c r="AE76" i="1"/>
  <c r="AE73" i="1"/>
  <c r="AE75" i="1"/>
  <c r="AE86" i="1"/>
  <c r="AE83" i="1"/>
  <c r="AE85" i="1"/>
  <c r="AE96" i="1"/>
  <c r="AE93" i="1"/>
  <c r="AE95" i="1"/>
  <c r="AE106" i="1"/>
  <c r="AE103" i="1"/>
  <c r="AE105" i="1"/>
  <c r="AE116" i="1"/>
  <c r="AE113" i="1"/>
  <c r="AE115" i="1"/>
  <c r="AE126" i="1"/>
  <c r="AE123" i="1"/>
  <c r="AE125" i="1"/>
  <c r="AE136" i="1"/>
  <c r="AE133" i="1"/>
  <c r="AE135" i="1"/>
  <c r="AE146" i="1"/>
  <c r="AE145" i="1"/>
  <c r="AE143" i="1"/>
  <c r="AE156" i="1"/>
  <c r="AE155" i="1"/>
  <c r="AE153" i="1"/>
  <c r="AE166" i="1"/>
  <c r="AE165" i="1"/>
  <c r="AE163" i="1"/>
  <c r="AE176" i="1"/>
  <c r="AE175" i="1"/>
  <c r="AE173" i="1"/>
  <c r="AE186" i="1"/>
  <c r="AE185" i="1"/>
  <c r="AE183" i="1"/>
  <c r="AE196" i="1"/>
  <c r="AE195" i="1"/>
  <c r="AE193" i="1"/>
  <c r="AE206" i="1"/>
  <c r="AE205" i="1"/>
  <c r="AE203" i="1"/>
  <c r="AE216" i="1"/>
  <c r="AE215" i="1"/>
  <c r="AE213" i="1"/>
  <c r="AE226" i="1"/>
  <c r="AE225" i="1"/>
  <c r="AE223" i="1"/>
  <c r="AE236" i="1"/>
  <c r="AE235" i="1"/>
  <c r="AE233" i="1"/>
  <c r="AE243" i="1"/>
  <c r="AE246" i="1"/>
  <c r="AE244" i="1"/>
  <c r="AE245" i="1"/>
  <c r="AE256" i="1"/>
  <c r="AE255" i="1"/>
  <c r="AE254" i="1"/>
  <c r="AE253" i="1"/>
  <c r="AE266" i="1"/>
  <c r="AE265" i="1"/>
  <c r="AE264" i="1"/>
  <c r="AE263" i="1"/>
  <c r="AE276" i="1"/>
  <c r="AE275" i="1"/>
  <c r="AE274" i="1"/>
  <c r="AE273" i="1"/>
  <c r="AE286" i="1"/>
  <c r="AE285" i="1"/>
  <c r="AE284" i="1"/>
  <c r="AE283" i="1"/>
  <c r="AE296" i="1"/>
  <c r="AE295" i="1"/>
  <c r="AE294" i="1"/>
  <c r="AE293" i="1"/>
  <c r="AE306" i="1"/>
  <c r="AE305" i="1"/>
  <c r="AE304" i="1"/>
  <c r="AE303" i="1"/>
  <c r="AE316" i="1"/>
  <c r="AE315" i="1"/>
  <c r="AE314" i="1"/>
  <c r="AE313" i="1"/>
  <c r="AE326" i="1"/>
  <c r="AE325" i="1"/>
  <c r="AE324" i="1"/>
  <c r="AE323" i="1"/>
  <c r="AE336" i="1"/>
  <c r="AE335" i="1"/>
  <c r="AE334" i="1"/>
  <c r="AE333" i="1"/>
  <c r="AE346" i="1"/>
  <c r="AE345" i="1"/>
  <c r="AE344" i="1"/>
  <c r="AE343" i="1"/>
  <c r="AE356" i="1"/>
  <c r="AE355" i="1"/>
  <c r="AE354" i="1"/>
  <c r="AE353" i="1"/>
  <c r="AE366" i="1"/>
  <c r="AE365" i="1"/>
  <c r="AE364" i="1"/>
  <c r="AE363" i="1"/>
  <c r="AE376" i="1"/>
  <c r="AE375" i="1"/>
  <c r="AE374" i="1"/>
  <c r="AE373" i="1"/>
  <c r="AE384" i="1"/>
  <c r="AE385" i="1"/>
  <c r="AE386" i="1"/>
  <c r="AE383" i="1"/>
  <c r="AE394" i="1"/>
  <c r="AE395" i="1"/>
  <c r="AE396" i="1"/>
  <c r="AE393" i="1"/>
  <c r="AE404" i="1"/>
  <c r="AE405" i="1"/>
  <c r="AE406" i="1"/>
  <c r="AE403" i="1"/>
  <c r="AE414" i="1"/>
  <c r="AE415" i="1"/>
  <c r="AE416" i="1"/>
  <c r="AE413" i="1"/>
  <c r="AE424" i="1"/>
  <c r="AE425" i="1"/>
  <c r="AE426" i="1"/>
  <c r="AE423" i="1"/>
  <c r="AE434" i="1"/>
  <c r="AE435" i="1"/>
  <c r="AE436" i="1"/>
  <c r="AE433" i="1"/>
  <c r="AE444" i="1"/>
  <c r="AE445" i="1"/>
  <c r="AE446" i="1"/>
  <c r="AE443" i="1"/>
  <c r="AE454" i="1"/>
  <c r="AE455" i="1"/>
  <c r="AE456" i="1"/>
  <c r="AE453" i="1"/>
  <c r="AE464" i="1"/>
  <c r="AE465" i="1"/>
  <c r="AE466" i="1"/>
  <c r="AE463" i="1"/>
  <c r="AE474" i="1"/>
  <c r="AE475" i="1"/>
  <c r="AE476" i="1"/>
  <c r="AE473" i="1"/>
  <c r="AE21" i="1"/>
  <c r="AE18" i="1"/>
  <c r="AE20" i="1"/>
  <c r="AE41" i="1"/>
  <c r="AE38" i="1"/>
  <c r="AE40" i="1"/>
  <c r="AE61" i="1"/>
  <c r="AE58" i="1"/>
  <c r="AE60" i="1"/>
  <c r="AE81" i="1"/>
  <c r="AE78" i="1"/>
  <c r="AE80" i="1"/>
  <c r="AE101" i="1"/>
  <c r="AE98" i="1"/>
  <c r="AE100" i="1"/>
  <c r="AE121" i="1"/>
  <c r="AE118" i="1"/>
  <c r="AE120" i="1"/>
  <c r="AE141" i="1"/>
  <c r="AE138" i="1"/>
  <c r="AE140" i="1"/>
  <c r="AE161" i="1"/>
  <c r="AE160" i="1"/>
  <c r="AE158" i="1"/>
  <c r="AE181" i="1"/>
  <c r="AE180" i="1"/>
  <c r="AE178" i="1"/>
  <c r="AE201" i="1"/>
  <c r="AE200" i="1"/>
  <c r="AE198" i="1"/>
  <c r="AE221" i="1"/>
  <c r="AE220" i="1"/>
  <c r="AE218" i="1"/>
  <c r="AE241" i="1"/>
  <c r="AE240" i="1"/>
  <c r="AE238" i="1"/>
  <c r="AE261" i="1"/>
  <c r="AE260" i="1"/>
  <c r="AE259" i="1"/>
  <c r="AE258" i="1"/>
  <c r="AE281" i="1"/>
  <c r="AE280" i="1"/>
  <c r="AE279" i="1"/>
  <c r="AE278" i="1"/>
  <c r="AE301" i="1"/>
  <c r="AE300" i="1"/>
  <c r="AE299" i="1"/>
  <c r="AE298" i="1"/>
  <c r="AE321" i="1"/>
  <c r="AE320" i="1"/>
  <c r="AE319" i="1"/>
  <c r="AE318" i="1"/>
  <c r="AE341" i="1"/>
  <c r="AE340" i="1"/>
  <c r="AE339" i="1"/>
  <c r="AE338" i="1"/>
  <c r="AE361" i="1"/>
  <c r="AE360" i="1"/>
  <c r="AE359" i="1"/>
  <c r="AE358" i="1"/>
  <c r="AE379" i="1"/>
  <c r="AE378" i="1"/>
  <c r="AE380" i="1"/>
  <c r="AE381" i="1"/>
  <c r="AF18" i="1"/>
  <c r="AF19" i="1"/>
  <c r="AF20" i="1"/>
  <c r="AF21" i="1"/>
  <c r="AF38" i="1"/>
  <c r="AF39" i="1"/>
  <c r="AF40" i="1"/>
  <c r="AF41" i="1"/>
  <c r="AF58" i="1"/>
  <c r="AF60" i="1"/>
  <c r="AF59" i="1"/>
  <c r="AF61" i="1"/>
  <c r="AF78" i="1"/>
  <c r="AF79" i="1"/>
  <c r="AF80" i="1"/>
  <c r="AF81" i="1"/>
  <c r="AF98" i="1"/>
  <c r="AF100" i="1"/>
  <c r="AF99" i="1"/>
  <c r="AF101" i="1"/>
  <c r="AF118" i="1"/>
  <c r="AF120" i="1"/>
  <c r="AF119" i="1"/>
  <c r="AF121" i="1"/>
  <c r="AF138" i="1"/>
  <c r="AF140" i="1"/>
  <c r="AF141" i="1"/>
  <c r="AF139" i="1"/>
  <c r="AF159" i="1"/>
  <c r="AF161" i="1"/>
  <c r="AF160" i="1"/>
  <c r="AF158" i="1"/>
  <c r="AF181" i="1"/>
  <c r="AF178" i="1"/>
  <c r="AF179" i="1"/>
  <c r="AF180" i="1"/>
  <c r="AF200" i="1"/>
  <c r="AF201" i="1"/>
  <c r="AF199" i="1"/>
  <c r="AF198" i="1"/>
  <c r="AF211" i="1"/>
  <c r="AF209" i="1"/>
  <c r="AF210" i="1"/>
  <c r="AF208" i="1"/>
  <c r="AF230" i="1"/>
  <c r="AF231" i="1"/>
  <c r="AF229" i="1"/>
  <c r="AF228" i="1"/>
  <c r="AF248" i="1"/>
  <c r="AF249" i="1"/>
  <c r="AF250" i="1"/>
  <c r="AF251" i="1"/>
  <c r="AF268" i="1"/>
  <c r="AF269" i="1"/>
  <c r="AF270" i="1"/>
  <c r="AF271" i="1"/>
  <c r="AF288" i="1"/>
  <c r="AF291" i="1"/>
  <c r="AF289" i="1"/>
  <c r="AF290" i="1"/>
  <c r="AF308" i="1"/>
  <c r="AF311" i="1"/>
  <c r="AF309" i="1"/>
  <c r="AF310" i="1"/>
  <c r="AF328" i="1"/>
  <c r="AF329" i="1"/>
  <c r="AF331" i="1"/>
  <c r="AF330" i="1"/>
  <c r="AF348" i="1"/>
  <c r="AF349" i="1"/>
  <c r="AF350" i="1"/>
  <c r="AF351" i="1"/>
  <c r="AF368" i="1"/>
  <c r="AF371" i="1"/>
  <c r="AF369" i="1"/>
  <c r="AF370" i="1"/>
  <c r="AF391" i="1"/>
  <c r="AF390" i="1"/>
  <c r="AF389" i="1"/>
  <c r="AF388" i="1"/>
  <c r="AF411" i="1"/>
  <c r="AF410" i="1"/>
  <c r="AF409" i="1"/>
  <c r="AF408" i="1"/>
  <c r="AF421" i="1"/>
  <c r="AF420" i="1"/>
  <c r="AF419" i="1"/>
  <c r="AF418" i="1"/>
  <c r="AF431" i="1"/>
  <c r="AF430" i="1"/>
  <c r="AF429" i="1"/>
  <c r="AF428" i="1"/>
  <c r="AF441" i="1"/>
  <c r="AF440" i="1"/>
  <c r="AF439" i="1"/>
  <c r="AF438" i="1"/>
  <c r="AF451" i="1"/>
  <c r="AF450" i="1"/>
  <c r="AF449" i="1"/>
  <c r="AF448" i="1"/>
  <c r="AF461" i="1"/>
  <c r="AF460" i="1"/>
  <c r="AF459" i="1"/>
  <c r="AF458" i="1"/>
  <c r="AF471" i="1"/>
  <c r="AF470" i="1"/>
  <c r="AF469" i="1"/>
  <c r="AF468" i="1"/>
  <c r="AF481" i="1"/>
  <c r="AF480" i="1"/>
  <c r="AF479" i="1"/>
  <c r="AF478" i="1"/>
  <c r="AF6" i="1"/>
  <c r="AF4" i="1"/>
  <c r="AF3" i="1"/>
  <c r="AF5" i="1"/>
  <c r="AF13" i="1"/>
  <c r="AF14" i="1"/>
  <c r="AF15" i="1"/>
  <c r="AF16" i="1"/>
  <c r="AF23" i="1"/>
  <c r="AF24" i="1"/>
  <c r="AF25" i="1"/>
  <c r="AF26" i="1"/>
  <c r="AF33" i="1"/>
  <c r="AF34" i="1"/>
  <c r="AF35" i="1"/>
  <c r="AF36" i="1"/>
  <c r="AF43" i="1"/>
  <c r="AF44" i="1"/>
  <c r="AF45" i="1"/>
  <c r="AF46" i="1"/>
  <c r="AF53" i="1"/>
  <c r="AF55" i="1"/>
  <c r="AF54" i="1"/>
  <c r="AF56" i="1"/>
  <c r="AF63" i="1"/>
  <c r="AF64" i="1"/>
  <c r="AF65" i="1"/>
  <c r="AF66" i="1"/>
  <c r="AF73" i="1"/>
  <c r="AF74" i="1"/>
  <c r="AF75" i="1"/>
  <c r="AF76" i="1"/>
  <c r="AF83" i="1"/>
  <c r="AF85" i="1"/>
  <c r="AF84" i="1"/>
  <c r="AF86" i="1"/>
  <c r="AF93" i="1"/>
  <c r="AF94" i="1"/>
  <c r="AF95" i="1"/>
  <c r="AF96" i="1"/>
  <c r="AF103" i="1"/>
  <c r="AF106" i="1"/>
  <c r="AF104" i="1"/>
  <c r="AF105" i="1"/>
  <c r="AF113" i="1"/>
  <c r="AF115" i="1"/>
  <c r="AF114" i="1"/>
  <c r="AF116" i="1"/>
  <c r="AF123" i="1"/>
  <c r="AF126" i="1"/>
  <c r="AF124" i="1"/>
  <c r="AF125" i="1"/>
  <c r="AF133" i="1"/>
  <c r="AF136" i="1"/>
  <c r="AF134" i="1"/>
  <c r="AF135" i="1"/>
  <c r="AF145" i="1"/>
  <c r="AF144" i="1"/>
  <c r="AF146" i="1"/>
  <c r="AF143" i="1"/>
  <c r="AF155" i="1"/>
  <c r="AF153" i="1"/>
  <c r="AF156" i="1"/>
  <c r="AF154" i="1"/>
  <c r="AF166" i="1"/>
  <c r="AF163" i="1"/>
  <c r="AF165" i="1"/>
  <c r="AF164" i="1"/>
  <c r="AF174" i="1"/>
  <c r="AF175" i="1"/>
  <c r="AF176" i="1"/>
  <c r="AF173" i="1"/>
  <c r="AF185" i="1"/>
  <c r="AF184" i="1"/>
  <c r="AF186" i="1"/>
  <c r="AF183" i="1"/>
  <c r="AF196" i="1"/>
  <c r="AF193" i="1"/>
  <c r="AF195" i="1"/>
  <c r="AF194" i="1"/>
  <c r="AF205" i="1"/>
  <c r="AF203" i="1"/>
  <c r="AF206" i="1"/>
  <c r="AF204" i="1"/>
  <c r="AF214" i="1"/>
  <c r="AF215" i="1"/>
  <c r="AF216" i="1"/>
  <c r="AF213" i="1"/>
  <c r="AF224" i="1"/>
  <c r="AF223" i="1"/>
  <c r="AF225" i="1"/>
  <c r="AF226" i="1"/>
  <c r="AF236" i="1"/>
  <c r="AF234" i="1"/>
  <c r="AF233" i="1"/>
  <c r="AF235" i="1"/>
  <c r="AF246" i="1"/>
  <c r="AF245" i="1"/>
  <c r="AF244" i="1"/>
  <c r="AF243" i="1"/>
  <c r="AF253" i="1"/>
  <c r="AF256" i="1"/>
  <c r="AF254" i="1"/>
  <c r="AF255" i="1"/>
  <c r="AF263" i="1"/>
  <c r="AF266" i="1"/>
  <c r="AF264" i="1"/>
  <c r="AF265" i="1"/>
  <c r="AF273" i="1"/>
  <c r="AF274" i="1"/>
  <c r="AF276" i="1"/>
  <c r="AF275" i="1"/>
  <c r="AF283" i="1"/>
  <c r="AF284" i="1"/>
  <c r="AF285" i="1"/>
  <c r="AF286" i="1"/>
  <c r="AF293" i="1"/>
  <c r="AF294" i="1"/>
  <c r="AF295" i="1"/>
  <c r="AF296" i="1"/>
  <c r="AF303" i="1"/>
  <c r="AF304" i="1"/>
  <c r="AF305" i="1"/>
  <c r="AF306" i="1"/>
  <c r="AF313" i="1"/>
  <c r="AF314" i="1"/>
  <c r="AF316" i="1"/>
  <c r="AF315" i="1"/>
  <c r="AF323" i="1"/>
  <c r="AF324" i="1"/>
  <c r="AF325" i="1"/>
  <c r="AF326" i="1"/>
  <c r="AF333" i="1"/>
  <c r="AF336" i="1"/>
  <c r="AF334" i="1"/>
  <c r="AF335" i="1"/>
  <c r="AF343" i="1"/>
  <c r="AF346" i="1"/>
  <c r="AF344" i="1"/>
  <c r="AF345" i="1"/>
  <c r="AF353" i="1"/>
  <c r="AF354" i="1"/>
  <c r="AF355" i="1"/>
  <c r="AF356" i="1"/>
  <c r="AF363" i="1"/>
  <c r="AF364" i="1"/>
  <c r="AF365" i="1"/>
  <c r="AF366" i="1"/>
  <c r="AF373" i="1"/>
  <c r="AF374" i="1"/>
  <c r="AF375" i="1"/>
  <c r="AF376" i="1"/>
  <c r="AF386" i="1"/>
  <c r="AF385" i="1"/>
  <c r="AF384" i="1"/>
  <c r="AF383" i="1"/>
  <c r="AF396" i="1"/>
  <c r="AF395" i="1"/>
  <c r="AF394" i="1"/>
  <c r="AF393" i="1"/>
  <c r="AF406" i="1"/>
  <c r="AF405" i="1"/>
  <c r="AF404" i="1"/>
  <c r="AF403" i="1"/>
  <c r="AF416" i="1"/>
  <c r="AF415" i="1"/>
  <c r="AF414" i="1"/>
  <c r="AF413" i="1"/>
  <c r="AF426" i="1"/>
  <c r="AF425" i="1"/>
  <c r="AF424" i="1"/>
  <c r="AF423" i="1"/>
  <c r="AF436" i="1"/>
  <c r="AF435" i="1"/>
  <c r="AF434" i="1"/>
  <c r="AF433" i="1"/>
  <c r="AF446" i="1"/>
  <c r="AF445" i="1"/>
  <c r="AF444" i="1"/>
  <c r="AF443" i="1"/>
  <c r="AF456" i="1"/>
  <c r="AF455" i="1"/>
  <c r="AF454" i="1"/>
  <c r="AF453" i="1"/>
  <c r="AF466" i="1"/>
  <c r="AF465" i="1"/>
  <c r="AF464" i="1"/>
  <c r="AF463" i="1"/>
  <c r="AF476" i="1"/>
  <c r="AF475" i="1"/>
  <c r="AF474" i="1"/>
  <c r="AF473" i="1"/>
  <c r="AC122" i="1"/>
  <c r="A122" i="1" s="1"/>
  <c r="Q477" i="44"/>
  <c r="A477" i="44"/>
  <c r="Q472" i="44"/>
  <c r="A472" i="44"/>
  <c r="Q467" i="44"/>
  <c r="A467" i="44"/>
  <c r="Q462" i="44"/>
  <c r="A462" i="44"/>
  <c r="Q457" i="44"/>
  <c r="A457" i="44"/>
  <c r="Q452" i="44"/>
  <c r="A452" i="44"/>
  <c r="Q447" i="44"/>
  <c r="A447" i="44"/>
  <c r="Q442" i="44"/>
  <c r="A442" i="44"/>
  <c r="Q437" i="44"/>
  <c r="A437" i="44"/>
  <c r="Q432" i="44"/>
  <c r="A432" i="44"/>
  <c r="Q427" i="44"/>
  <c r="A427" i="44"/>
  <c r="Q422" i="44"/>
  <c r="A422" i="44"/>
  <c r="B477" i="1"/>
  <c r="B472" i="1"/>
  <c r="B467" i="1"/>
  <c r="B462" i="1"/>
  <c r="B457" i="1"/>
  <c r="B452" i="1"/>
  <c r="B447" i="1"/>
  <c r="B442" i="1"/>
  <c r="B437" i="1"/>
  <c r="B432" i="1"/>
  <c r="B427" i="1"/>
  <c r="B422" i="1"/>
  <c r="Q417" i="44"/>
  <c r="A417" i="44"/>
  <c r="Q412" i="44"/>
  <c r="A412" i="44"/>
  <c r="Q407" i="44"/>
  <c r="A407" i="44"/>
  <c r="Q402" i="44"/>
  <c r="A402" i="44"/>
  <c r="Q397" i="44"/>
  <c r="A397" i="44"/>
  <c r="Q392" i="44"/>
  <c r="A392" i="44"/>
  <c r="Q387" i="44"/>
  <c r="A387" i="44"/>
  <c r="Q382" i="44"/>
  <c r="A382" i="44"/>
  <c r="Q377" i="44"/>
  <c r="A377" i="44"/>
  <c r="Q372" i="44"/>
  <c r="A372" i="44"/>
  <c r="Q367" i="44"/>
  <c r="A367" i="44"/>
  <c r="Q362" i="44"/>
  <c r="A362" i="44"/>
  <c r="B417" i="1"/>
  <c r="B412" i="1"/>
  <c r="B407" i="1"/>
  <c r="B402" i="1"/>
  <c r="B397" i="1"/>
  <c r="B392" i="1"/>
  <c r="B387" i="1"/>
  <c r="B382" i="1"/>
  <c r="B377" i="1"/>
  <c r="B372" i="1"/>
  <c r="B367" i="1"/>
  <c r="B362" i="1"/>
  <c r="Q357" i="44"/>
  <c r="A357" i="44"/>
  <c r="Q352" i="44"/>
  <c r="A352" i="44"/>
  <c r="Q347" i="44"/>
  <c r="A347" i="44"/>
  <c r="Q342" i="44"/>
  <c r="A342" i="44"/>
  <c r="Q337" i="44"/>
  <c r="A337" i="44"/>
  <c r="Q332" i="44"/>
  <c r="A332" i="44"/>
  <c r="Q327" i="44"/>
  <c r="A327" i="44"/>
  <c r="Q322" i="44"/>
  <c r="A322" i="44"/>
  <c r="Q317" i="44"/>
  <c r="A317" i="44"/>
  <c r="Q312" i="44"/>
  <c r="A312" i="44"/>
  <c r="Q307" i="44"/>
  <c r="A307" i="44"/>
  <c r="Q302" i="44"/>
  <c r="A302" i="44"/>
  <c r="B357" i="1"/>
  <c r="B352" i="1"/>
  <c r="B347" i="1"/>
  <c r="B342" i="1"/>
  <c r="B337" i="1"/>
  <c r="B332" i="1"/>
  <c r="B327" i="1"/>
  <c r="B322" i="1"/>
  <c r="B317" i="1"/>
  <c r="B312" i="1"/>
  <c r="B307" i="1"/>
  <c r="B302" i="1"/>
  <c r="Q297" i="44"/>
  <c r="A297" i="44"/>
  <c r="Q292" i="44"/>
  <c r="A292" i="44"/>
  <c r="Q287" i="44"/>
  <c r="A287" i="44"/>
  <c r="Q282" i="44"/>
  <c r="A282" i="44"/>
  <c r="Q277" i="44"/>
  <c r="A277" i="44"/>
  <c r="Q272" i="44"/>
  <c r="A272" i="44"/>
  <c r="Q267" i="44"/>
  <c r="A267" i="44"/>
  <c r="Q262" i="44"/>
  <c r="A262" i="44"/>
  <c r="Q257" i="44"/>
  <c r="A257" i="44"/>
  <c r="Q252" i="44"/>
  <c r="A252" i="44"/>
  <c r="Q247" i="44"/>
  <c r="Q242" i="44"/>
  <c r="A242" i="44"/>
  <c r="B297" i="1"/>
  <c r="B292" i="1"/>
  <c r="B287" i="1"/>
  <c r="B282" i="1"/>
  <c r="B277" i="1"/>
  <c r="B272" i="1"/>
  <c r="B267" i="1"/>
  <c r="B262" i="1"/>
  <c r="B257" i="1"/>
  <c r="B252" i="1"/>
  <c r="B247" i="1"/>
  <c r="B242" i="1"/>
  <c r="Q237" i="44"/>
  <c r="A237" i="44"/>
  <c r="Q232" i="44"/>
  <c r="A232" i="44"/>
  <c r="Q227" i="44"/>
  <c r="A227" i="44"/>
  <c r="Q222" i="44"/>
  <c r="A222" i="44"/>
  <c r="Q217" i="44"/>
  <c r="A217" i="44"/>
  <c r="Q212" i="44"/>
  <c r="A212" i="44"/>
  <c r="Q207" i="44"/>
  <c r="A207" i="44"/>
  <c r="Q202" i="44"/>
  <c r="A202" i="44"/>
  <c r="Q197" i="44"/>
  <c r="A197" i="44"/>
  <c r="Q192" i="44"/>
  <c r="A192" i="44"/>
  <c r="Q187" i="44"/>
  <c r="A187" i="44"/>
  <c r="Q182" i="44"/>
  <c r="A182" i="44"/>
  <c r="B237" i="1"/>
  <c r="B232" i="1"/>
  <c r="B227" i="1"/>
  <c r="B222" i="1"/>
  <c r="B217" i="1"/>
  <c r="B212" i="1"/>
  <c r="B207" i="1"/>
  <c r="B202" i="1"/>
  <c r="B197" i="1"/>
  <c r="B192" i="1"/>
  <c r="B187" i="1"/>
  <c r="B182" i="1"/>
  <c r="Q177" i="44"/>
  <c r="A177" i="44"/>
  <c r="Q172" i="44"/>
  <c r="A172" i="44"/>
  <c r="Q167" i="44"/>
  <c r="A167" i="44"/>
  <c r="Q162" i="44"/>
  <c r="A162" i="44"/>
  <c r="Q157" i="44"/>
  <c r="A157" i="44"/>
  <c r="Q152" i="44"/>
  <c r="A152" i="44"/>
  <c r="Q147" i="44"/>
  <c r="A147" i="44"/>
  <c r="Q142" i="44"/>
  <c r="A142" i="44"/>
  <c r="Q137" i="44"/>
  <c r="A137" i="44"/>
  <c r="Q132" i="44"/>
  <c r="A132" i="44"/>
  <c r="Q127" i="44"/>
  <c r="A127" i="44"/>
  <c r="Q122" i="44"/>
  <c r="A122" i="44"/>
  <c r="B177" i="1"/>
  <c r="B172" i="1"/>
  <c r="B167" i="1"/>
  <c r="B162" i="1"/>
  <c r="B157" i="1"/>
  <c r="B152" i="1"/>
  <c r="B147" i="1"/>
  <c r="B142" i="1"/>
  <c r="B137" i="1"/>
  <c r="B132" i="1"/>
  <c r="B127" i="1"/>
  <c r="B122" i="1"/>
  <c r="Q117" i="44"/>
  <c r="A117" i="44"/>
  <c r="Q112" i="44"/>
  <c r="A112" i="44"/>
  <c r="Q107" i="44"/>
  <c r="A107" i="44"/>
  <c r="Q102" i="44"/>
  <c r="A102" i="44"/>
  <c r="Q97" i="44"/>
  <c r="A97" i="44"/>
  <c r="Q92" i="44"/>
  <c r="A92" i="44"/>
  <c r="Q87" i="44"/>
  <c r="A87" i="44"/>
  <c r="Q82" i="44"/>
  <c r="A82" i="44"/>
  <c r="Q77" i="44"/>
  <c r="A77" i="44"/>
  <c r="Q72" i="44"/>
  <c r="A72" i="44"/>
  <c r="Q67" i="44"/>
  <c r="A67" i="44"/>
  <c r="Q62" i="44"/>
  <c r="A62" i="44"/>
  <c r="E118" i="1"/>
  <c r="B117" i="1"/>
  <c r="E113" i="1"/>
  <c r="B112" i="1"/>
  <c r="E108" i="1"/>
  <c r="B107" i="1"/>
  <c r="E103" i="1"/>
  <c r="B102" i="1"/>
  <c r="E98" i="1"/>
  <c r="B97" i="1"/>
  <c r="E93" i="1"/>
  <c r="B92" i="1"/>
  <c r="E88" i="1"/>
  <c r="B87" i="1"/>
  <c r="E83" i="1"/>
  <c r="B82" i="1"/>
  <c r="E78" i="1"/>
  <c r="B77" i="1"/>
  <c r="E73" i="1"/>
  <c r="B72" i="1"/>
  <c r="E68" i="1"/>
  <c r="B67" i="1"/>
  <c r="E63" i="1"/>
  <c r="B62" i="1"/>
  <c r="Q57" i="44"/>
  <c r="A57" i="44"/>
  <c r="Q52" i="44"/>
  <c r="A52" i="44"/>
  <c r="Q47" i="44"/>
  <c r="A47" i="44"/>
  <c r="Q42" i="44"/>
  <c r="Q37" i="44"/>
  <c r="Q32" i="44"/>
  <c r="E58" i="1"/>
  <c r="B57" i="1"/>
  <c r="E53" i="1"/>
  <c r="B52" i="1"/>
  <c r="E48" i="1"/>
  <c r="B47" i="1"/>
  <c r="E43" i="1"/>
  <c r="B42" i="1"/>
  <c r="E38" i="1"/>
  <c r="B37" i="1"/>
  <c r="E33" i="1"/>
  <c r="B32" i="1"/>
  <c r="Q27" i="44"/>
  <c r="E28" i="1"/>
  <c r="B27" i="1"/>
  <c r="Q22" i="44"/>
  <c r="E23" i="1"/>
  <c r="B22" i="1"/>
  <c r="Q17" i="44"/>
  <c r="E18" i="1"/>
  <c r="B17" i="1"/>
  <c r="Q12" i="44"/>
  <c r="E13" i="1"/>
  <c r="B12" i="1"/>
  <c r="C7" i="44"/>
  <c r="Q7" i="44" s="1"/>
  <c r="E8" i="1"/>
  <c r="B7" i="1"/>
  <c r="C2" i="44"/>
  <c r="Q2" i="44" s="1"/>
  <c r="E3" i="1"/>
  <c r="B2" i="1"/>
  <c r="Z477" i="44"/>
  <c r="Z472" i="44"/>
  <c r="Z467" i="44"/>
  <c r="Z462" i="44"/>
  <c r="Z457" i="44"/>
  <c r="Z452" i="44"/>
  <c r="Z447" i="44"/>
  <c r="Z442" i="44"/>
  <c r="Z437" i="44"/>
  <c r="Z432" i="44"/>
  <c r="Z427" i="44"/>
  <c r="Z422" i="44"/>
  <c r="Z417" i="44"/>
  <c r="Z412" i="44"/>
  <c r="Z407" i="44"/>
  <c r="Z402" i="44"/>
  <c r="Z397" i="44"/>
  <c r="Z392" i="44"/>
  <c r="Z387" i="44"/>
  <c r="Z382" i="44"/>
  <c r="Z377" i="44"/>
  <c r="Z372" i="44"/>
  <c r="Z367" i="44"/>
  <c r="Z362" i="44"/>
  <c r="Z357" i="44"/>
  <c r="Z352" i="44"/>
  <c r="Z347" i="44"/>
  <c r="Z342" i="44"/>
  <c r="Z337" i="44"/>
  <c r="Z332" i="44"/>
  <c r="Z327" i="44"/>
  <c r="Z322" i="44"/>
  <c r="Z317" i="44"/>
  <c r="Z312" i="44"/>
  <c r="Z307" i="44"/>
  <c r="Z302" i="44"/>
  <c r="Z297" i="44"/>
  <c r="Z292" i="44"/>
  <c r="Z287" i="44"/>
  <c r="Z282" i="44"/>
  <c r="Z277" i="44"/>
  <c r="Z272" i="44"/>
  <c r="Z267" i="44"/>
  <c r="Z262" i="44"/>
  <c r="Z257" i="44"/>
  <c r="Z252" i="44"/>
  <c r="AA247" i="44"/>
  <c r="Z247" i="44"/>
  <c r="Z242" i="44"/>
  <c r="Z237" i="44"/>
  <c r="Z232" i="44"/>
  <c r="Z227" i="44"/>
  <c r="Z222" i="44"/>
  <c r="Z217" i="44"/>
  <c r="Z212" i="44"/>
  <c r="Z207" i="44"/>
  <c r="Z202" i="44"/>
  <c r="Z197" i="44"/>
  <c r="Z192" i="44"/>
  <c r="Z187" i="44"/>
  <c r="Z182" i="44"/>
  <c r="Z177" i="44"/>
  <c r="Z172" i="44"/>
  <c r="Z167" i="44"/>
  <c r="Z162" i="44"/>
  <c r="Z157" i="44"/>
  <c r="Z152" i="44"/>
  <c r="Z147" i="44"/>
  <c r="Z142" i="44"/>
  <c r="Z137" i="44"/>
  <c r="Z132" i="44"/>
  <c r="Z127" i="44"/>
  <c r="Z122" i="44"/>
  <c r="Z117" i="44"/>
  <c r="Z112" i="44"/>
  <c r="Z107" i="44"/>
  <c r="Z102" i="44"/>
  <c r="Z97" i="44"/>
  <c r="Z92" i="44"/>
  <c r="Z87" i="44"/>
  <c r="Z82" i="44"/>
  <c r="Z77" i="44"/>
  <c r="Z72" i="44"/>
  <c r="Z67" i="44"/>
  <c r="Z62" i="44"/>
  <c r="Z57" i="44"/>
  <c r="Z52" i="44"/>
  <c r="Z47" i="44"/>
  <c r="AA42" i="44"/>
  <c r="Z42" i="44"/>
  <c r="AA37" i="44"/>
  <c r="Z37" i="44"/>
  <c r="AA32" i="44"/>
  <c r="Z32" i="44"/>
  <c r="AA27" i="44"/>
  <c r="Z27" i="44"/>
  <c r="AA22" i="44"/>
  <c r="Z22" i="44"/>
  <c r="AA17" i="44"/>
  <c r="Z17" i="44"/>
  <c r="AA12" i="44"/>
  <c r="Z12" i="44"/>
  <c r="AA7" i="44"/>
  <c r="Z7" i="44"/>
  <c r="AA2" i="44"/>
  <c r="Z2" i="44"/>
  <c r="AC477" i="1"/>
  <c r="A477" i="1" s="1"/>
  <c r="AC462" i="1"/>
  <c r="A462" i="1" s="1"/>
  <c r="AC447" i="1"/>
  <c r="A447" i="1" s="1"/>
  <c r="AC442" i="1"/>
  <c r="A442" i="1" s="1"/>
  <c r="AC427" i="1"/>
  <c r="A427" i="1" s="1"/>
  <c r="AC422" i="1"/>
  <c r="A422" i="1" s="1"/>
  <c r="AB357" i="1"/>
  <c r="AC357" i="1"/>
  <c r="A357" i="1" s="1"/>
  <c r="AB352" i="1"/>
  <c r="AC352" i="1"/>
  <c r="A352" i="1" s="1"/>
  <c r="AB347" i="1"/>
  <c r="AC347" i="1"/>
  <c r="A347" i="1" s="1"/>
  <c r="AB342" i="1"/>
  <c r="AC342" i="1"/>
  <c r="A342" i="1" s="1"/>
  <c r="AB337" i="1"/>
  <c r="AC337" i="1"/>
  <c r="A337" i="1" s="1"/>
  <c r="AC332" i="1"/>
  <c r="A332" i="1" s="1"/>
  <c r="AB327" i="1"/>
  <c r="AC327" i="1"/>
  <c r="A327" i="1" s="1"/>
  <c r="AC322" i="1"/>
  <c r="A322" i="1" s="1"/>
  <c r="AB317" i="1"/>
  <c r="AC317" i="1"/>
  <c r="A317" i="1" s="1"/>
  <c r="AC312" i="1"/>
  <c r="A312" i="1" s="1"/>
  <c r="AB307" i="1"/>
  <c r="AC307" i="1"/>
  <c r="A307" i="1" s="1"/>
  <c r="AC302" i="1"/>
  <c r="A302" i="1" s="1"/>
  <c r="AB287" i="1"/>
  <c r="AB282" i="1"/>
  <c r="AB267" i="1"/>
  <c r="AB262" i="1"/>
  <c r="AB247" i="1"/>
  <c r="AB242" i="1"/>
  <c r="AC227" i="1"/>
  <c r="A227" i="1" s="1"/>
  <c r="AC222" i="1"/>
  <c r="A222" i="1" s="1"/>
  <c r="AC207" i="1"/>
  <c r="A207" i="1" s="1"/>
  <c r="AC202" i="1"/>
  <c r="A202" i="1" s="1"/>
  <c r="AC187" i="1"/>
  <c r="A187" i="1" s="1"/>
  <c r="AC182" i="1"/>
  <c r="A182" i="1" s="1"/>
  <c r="AB177" i="1"/>
  <c r="AC177" i="1"/>
  <c r="A177" i="1" s="1"/>
  <c r="AC172" i="1"/>
  <c r="A172" i="1" s="1"/>
  <c r="AB167" i="1"/>
  <c r="AC167" i="1"/>
  <c r="A167" i="1" s="1"/>
  <c r="AC162" i="1"/>
  <c r="A162" i="1" s="1"/>
  <c r="AB157" i="1"/>
  <c r="AC147" i="1"/>
  <c r="A147" i="1" s="1"/>
  <c r="AC142" i="1"/>
  <c r="A142" i="1" s="1"/>
  <c r="AC137" i="1"/>
  <c r="A137" i="1" s="1"/>
  <c r="AC132" i="1"/>
  <c r="A132" i="1" s="1"/>
  <c r="AC127" i="1"/>
  <c r="A127" i="1" s="1"/>
  <c r="AC72" i="1"/>
  <c r="A72" i="1" s="1"/>
  <c r="AC67" i="1"/>
  <c r="A67" i="1" s="1"/>
  <c r="AB22" i="1"/>
  <c r="AC22" i="1"/>
  <c r="A22" i="1" s="1"/>
  <c r="AB17" i="1"/>
  <c r="AC17" i="1"/>
  <c r="A17" i="1" s="1"/>
  <c r="AC12" i="1"/>
  <c r="A12" i="1" s="1"/>
  <c r="E509" i="1"/>
  <c r="E34" i="1"/>
  <c r="E14" i="1"/>
  <c r="E833" i="1"/>
  <c r="E79" i="1"/>
  <c r="E69" i="1"/>
  <c r="E44" i="1"/>
  <c r="D2" i="1"/>
  <c r="E9" i="1"/>
  <c r="E94" i="1"/>
  <c r="E74" i="1"/>
  <c r="A1" i="44"/>
  <c r="E29" i="1"/>
  <c r="E674" i="1"/>
  <c r="E59" i="1"/>
  <c r="E725" i="1"/>
  <c r="E491" i="1"/>
  <c r="E607" i="1"/>
  <c r="E739" i="1"/>
  <c r="E49" i="1"/>
  <c r="E4" i="1"/>
  <c r="E104" i="1"/>
  <c r="E709" i="1"/>
  <c r="E89" i="1"/>
  <c r="E492" i="1"/>
  <c r="E755" i="1"/>
  <c r="E773" i="1"/>
  <c r="E1485" i="1"/>
  <c r="E527" i="1"/>
  <c r="E528" i="1" s="1"/>
  <c r="E114" i="1"/>
  <c r="E576" i="1"/>
  <c r="E542" i="1"/>
  <c r="E64" i="1"/>
  <c r="E119" i="1"/>
  <c r="E801" i="1"/>
  <c r="E109" i="1"/>
  <c r="E24" i="1"/>
  <c r="E510" i="1"/>
  <c r="E593" i="1"/>
  <c r="E640" i="1"/>
  <c r="E690" i="1"/>
  <c r="E19" i="1"/>
  <c r="E623" i="1"/>
  <c r="E557" i="1"/>
  <c r="E39" i="1"/>
  <c r="E99" i="1"/>
  <c r="E54" i="1"/>
  <c r="E814" i="1"/>
  <c r="E658" i="1"/>
  <c r="E84" i="1"/>
  <c r="AF9" i="44" l="1"/>
  <c r="AF8" i="44"/>
  <c r="AF10" i="44"/>
  <c r="AF11" i="44"/>
  <c r="AF41" i="44"/>
  <c r="AF38" i="44"/>
  <c r="AF39" i="44"/>
  <c r="AF40" i="44"/>
  <c r="AF89" i="44"/>
  <c r="AH89" i="44" s="1"/>
  <c r="AF90" i="44"/>
  <c r="AH90" i="44" s="1"/>
  <c r="AF91" i="44"/>
  <c r="AH91" i="44" s="1"/>
  <c r="AF88" i="44"/>
  <c r="AH88" i="44" s="1"/>
  <c r="AF151" i="44"/>
  <c r="AH151" i="44" s="1"/>
  <c r="AF150" i="44"/>
  <c r="AH150" i="44" s="1"/>
  <c r="AF149" i="44"/>
  <c r="AH149" i="44" s="1"/>
  <c r="AF148" i="44"/>
  <c r="AH148" i="44" s="1"/>
  <c r="AF191" i="44"/>
  <c r="AH191" i="44" s="1"/>
  <c r="AF190" i="44"/>
  <c r="AH190" i="44" s="1"/>
  <c r="AF189" i="44"/>
  <c r="AH189" i="44" s="1"/>
  <c r="AF188" i="44"/>
  <c r="AH188" i="44" s="1"/>
  <c r="AF231" i="44"/>
  <c r="AH231" i="44" s="1"/>
  <c r="AF230" i="44"/>
  <c r="AH230" i="44" s="1"/>
  <c r="AF229" i="44"/>
  <c r="AH229" i="44" s="1"/>
  <c r="AF228" i="44"/>
  <c r="AH228" i="44" s="1"/>
  <c r="AF286" i="44"/>
  <c r="AH286" i="44" s="1"/>
  <c r="AF285" i="44"/>
  <c r="AH285" i="44" s="1"/>
  <c r="AF284" i="44"/>
  <c r="AH284" i="44" s="1"/>
  <c r="AF283" i="44"/>
  <c r="AH283" i="44" s="1"/>
  <c r="AF366" i="44"/>
  <c r="AH366" i="44" s="1"/>
  <c r="AF365" i="44"/>
  <c r="AH365" i="44" s="1"/>
  <c r="AF364" i="44"/>
  <c r="AH364" i="44" s="1"/>
  <c r="AF363" i="44"/>
  <c r="AH363" i="44" s="1"/>
  <c r="A17" i="44"/>
  <c r="AD19" i="44"/>
  <c r="AD20" i="44"/>
  <c r="AD18" i="44"/>
  <c r="AH18" i="44" s="1"/>
  <c r="AD21" i="44"/>
  <c r="A37" i="44"/>
  <c r="AD39" i="44"/>
  <c r="AH39" i="44" s="1"/>
  <c r="AD40" i="44"/>
  <c r="AH40" i="44" s="1"/>
  <c r="AD41" i="44"/>
  <c r="AH41" i="44" s="1"/>
  <c r="AD38" i="44"/>
  <c r="AH38" i="44" s="1"/>
  <c r="AF74" i="44"/>
  <c r="AH74" i="44" s="1"/>
  <c r="AF75" i="44"/>
  <c r="AH75" i="44" s="1"/>
  <c r="AF76" i="44"/>
  <c r="AH76" i="44" s="1"/>
  <c r="AF73" i="44"/>
  <c r="AH73" i="44" s="1"/>
  <c r="AF116" i="44"/>
  <c r="AH116" i="44" s="1"/>
  <c r="AF113" i="44"/>
  <c r="AH113" i="44" s="1"/>
  <c r="AF114" i="44"/>
  <c r="AH114" i="44" s="1"/>
  <c r="AF115" i="44"/>
  <c r="AH115" i="44" s="1"/>
  <c r="AF156" i="44"/>
  <c r="AH156" i="44" s="1"/>
  <c r="AF155" i="44"/>
  <c r="AH155" i="44" s="1"/>
  <c r="AF154" i="44"/>
  <c r="AH154" i="44" s="1"/>
  <c r="AF153" i="44"/>
  <c r="AH153" i="44" s="1"/>
  <c r="AF196" i="44"/>
  <c r="AH196" i="44" s="1"/>
  <c r="AF195" i="44"/>
  <c r="AH195" i="44" s="1"/>
  <c r="AF194" i="44"/>
  <c r="AH194" i="44" s="1"/>
  <c r="AF193" i="44"/>
  <c r="AH193" i="44" s="1"/>
  <c r="A247" i="44"/>
  <c r="AD251" i="44"/>
  <c r="AH251" i="44" s="1"/>
  <c r="AD250" i="44"/>
  <c r="AD249" i="44"/>
  <c r="AD248" i="44"/>
  <c r="AF291" i="44"/>
  <c r="AH291" i="44" s="1"/>
  <c r="AF290" i="44"/>
  <c r="AH290" i="44" s="1"/>
  <c r="AF289" i="44"/>
  <c r="AH289" i="44" s="1"/>
  <c r="AF288" i="44"/>
  <c r="AH288" i="44" s="1"/>
  <c r="AF331" i="44"/>
  <c r="AH331" i="44" s="1"/>
  <c r="AF330" i="44"/>
  <c r="AH330" i="44" s="1"/>
  <c r="AF329" i="44"/>
  <c r="AH329" i="44" s="1"/>
  <c r="AF328" i="44"/>
  <c r="AH328" i="44" s="1"/>
  <c r="AF371" i="44"/>
  <c r="AH371" i="44" s="1"/>
  <c r="AF370" i="44"/>
  <c r="AH370" i="44" s="1"/>
  <c r="AF369" i="44"/>
  <c r="AH369" i="44" s="1"/>
  <c r="AF368" i="44"/>
  <c r="AH368" i="44" s="1"/>
  <c r="AF391" i="44"/>
  <c r="AH391" i="44" s="1"/>
  <c r="AF390" i="44"/>
  <c r="AH390" i="44" s="1"/>
  <c r="AF389" i="44"/>
  <c r="AH389" i="44" s="1"/>
  <c r="AF388" i="44"/>
  <c r="AH388" i="44" s="1"/>
  <c r="AF431" i="44"/>
  <c r="AH431" i="44" s="1"/>
  <c r="AF430" i="44"/>
  <c r="AH430" i="44" s="1"/>
  <c r="AF429" i="44"/>
  <c r="AH429" i="44" s="1"/>
  <c r="AF428" i="44"/>
  <c r="AH428" i="44" s="1"/>
  <c r="AF451" i="44"/>
  <c r="AH451" i="44" s="1"/>
  <c r="AF450" i="44"/>
  <c r="AH450" i="44" s="1"/>
  <c r="AF449" i="44"/>
  <c r="AH449" i="44" s="1"/>
  <c r="AF448" i="44"/>
  <c r="AH448" i="44" s="1"/>
  <c r="AF471" i="44"/>
  <c r="AH471" i="44" s="1"/>
  <c r="AF470" i="44"/>
  <c r="AH470" i="44" s="1"/>
  <c r="AF469" i="44"/>
  <c r="AH469" i="44" s="1"/>
  <c r="AF468" i="44"/>
  <c r="AH468" i="44" s="1"/>
  <c r="AH126" i="44"/>
  <c r="AF21" i="44"/>
  <c r="AF18" i="44"/>
  <c r="AF20" i="44"/>
  <c r="AF19" i="44"/>
  <c r="AF51" i="44"/>
  <c r="AH51" i="44" s="1"/>
  <c r="AF48" i="44"/>
  <c r="AH48" i="44" s="1"/>
  <c r="AF49" i="44"/>
  <c r="AH49" i="44" s="1"/>
  <c r="AF50" i="44"/>
  <c r="AH50" i="44" s="1"/>
  <c r="AF111" i="44"/>
  <c r="AH111" i="44" s="1"/>
  <c r="AF108" i="44"/>
  <c r="AH108" i="44" s="1"/>
  <c r="AF109" i="44"/>
  <c r="AH109" i="44" s="1"/>
  <c r="AF110" i="44"/>
  <c r="AH110" i="44" s="1"/>
  <c r="AF171" i="44"/>
  <c r="AH171" i="44" s="1"/>
  <c r="AF170" i="44"/>
  <c r="AH170" i="44" s="1"/>
  <c r="AF169" i="44"/>
  <c r="AH169" i="44" s="1"/>
  <c r="AF168" i="44"/>
  <c r="AH168" i="44" s="1"/>
  <c r="AF251" i="44"/>
  <c r="AF250" i="44"/>
  <c r="AF249" i="44"/>
  <c r="AF248" i="44"/>
  <c r="AF306" i="44"/>
  <c r="AH306" i="44" s="1"/>
  <c r="AF305" i="44"/>
  <c r="AH305" i="44" s="1"/>
  <c r="AF304" i="44"/>
  <c r="AH304" i="44" s="1"/>
  <c r="AF303" i="44"/>
  <c r="AH303" i="44" s="1"/>
  <c r="AF346" i="44"/>
  <c r="AH346" i="44" s="1"/>
  <c r="AF345" i="44"/>
  <c r="AH345" i="44" s="1"/>
  <c r="AF344" i="44"/>
  <c r="AH344" i="44" s="1"/>
  <c r="AF343" i="44"/>
  <c r="AH343" i="44" s="1"/>
  <c r="AF426" i="44"/>
  <c r="AH426" i="44" s="1"/>
  <c r="AF425" i="44"/>
  <c r="AH425" i="44" s="1"/>
  <c r="AF424" i="44"/>
  <c r="AH424" i="44" s="1"/>
  <c r="AF423" i="44"/>
  <c r="AH423" i="44" s="1"/>
  <c r="A7" i="44"/>
  <c r="AD10" i="44"/>
  <c r="AD8" i="44"/>
  <c r="AH8" i="44" s="1"/>
  <c r="AD11" i="44"/>
  <c r="AH11" i="44" s="1"/>
  <c r="AD9" i="44"/>
  <c r="AH9" i="44" s="1"/>
  <c r="A27" i="44"/>
  <c r="AD31" i="44"/>
  <c r="AD30" i="44"/>
  <c r="AH30" i="44" s="1"/>
  <c r="AD28" i="44"/>
  <c r="AD29" i="44"/>
  <c r="AF56" i="44"/>
  <c r="AH56" i="44" s="1"/>
  <c r="AF53" i="44"/>
  <c r="AH53" i="44" s="1"/>
  <c r="AF54" i="44"/>
  <c r="AH54" i="44" s="1"/>
  <c r="AF55" i="44"/>
  <c r="AH55" i="44" s="1"/>
  <c r="AF96" i="44"/>
  <c r="AH96" i="44" s="1"/>
  <c r="AF93" i="44"/>
  <c r="AH93" i="44" s="1"/>
  <c r="AF94" i="44"/>
  <c r="AH94" i="44" s="1"/>
  <c r="AF95" i="44"/>
  <c r="AH95" i="44" s="1"/>
  <c r="AF135" i="44"/>
  <c r="AH135" i="44" s="1"/>
  <c r="AF136" i="44"/>
  <c r="AH136" i="44" s="1"/>
  <c r="AF133" i="44"/>
  <c r="AH133" i="44" s="1"/>
  <c r="AF134" i="44"/>
  <c r="AH134" i="44" s="1"/>
  <c r="AF176" i="44"/>
  <c r="AH176" i="44" s="1"/>
  <c r="AF175" i="44"/>
  <c r="AH175" i="44" s="1"/>
  <c r="AF174" i="44"/>
  <c r="AH174" i="44" s="1"/>
  <c r="AF173" i="44"/>
  <c r="AH173" i="44" s="1"/>
  <c r="AF216" i="44"/>
  <c r="AH216" i="44" s="1"/>
  <c r="AF215" i="44"/>
  <c r="AH215" i="44" s="1"/>
  <c r="AF214" i="44"/>
  <c r="AH214" i="44" s="1"/>
  <c r="AF213" i="44"/>
  <c r="AH213" i="44" s="1"/>
  <c r="AF236" i="44"/>
  <c r="AH236" i="44" s="1"/>
  <c r="AF235" i="44"/>
  <c r="AH235" i="44" s="1"/>
  <c r="AF234" i="44"/>
  <c r="AH234" i="44" s="1"/>
  <c r="AF233" i="44"/>
  <c r="AH233" i="44" s="1"/>
  <c r="AF271" i="44"/>
  <c r="AH271" i="44" s="1"/>
  <c r="AF270" i="44"/>
  <c r="AH270" i="44" s="1"/>
  <c r="AF269" i="44"/>
  <c r="AH269" i="44" s="1"/>
  <c r="AF268" i="44"/>
  <c r="AH268" i="44" s="1"/>
  <c r="AF311" i="44"/>
  <c r="AH311" i="44" s="1"/>
  <c r="AF310" i="44"/>
  <c r="AH310" i="44" s="1"/>
  <c r="AF309" i="44"/>
  <c r="AH309" i="44" s="1"/>
  <c r="AF308" i="44"/>
  <c r="AH308" i="44" s="1"/>
  <c r="AF351" i="44"/>
  <c r="AH351" i="44" s="1"/>
  <c r="AF350" i="44"/>
  <c r="AH350" i="44" s="1"/>
  <c r="AF349" i="44"/>
  <c r="AH349" i="44" s="1"/>
  <c r="AF348" i="44"/>
  <c r="AH348" i="44" s="1"/>
  <c r="AF411" i="44"/>
  <c r="AH411" i="44" s="1"/>
  <c r="AF410" i="44"/>
  <c r="AH410" i="44" s="1"/>
  <c r="AF409" i="44"/>
  <c r="AH409" i="44" s="1"/>
  <c r="AF408" i="44"/>
  <c r="AH408" i="44" s="1"/>
  <c r="AF4" i="44"/>
  <c r="AF3" i="44"/>
  <c r="AF6" i="44"/>
  <c r="AF5" i="44"/>
  <c r="AF16" i="44"/>
  <c r="AF13" i="44"/>
  <c r="AF14" i="44"/>
  <c r="AF15" i="44"/>
  <c r="AF24" i="44"/>
  <c r="AF25" i="44"/>
  <c r="AF23" i="44"/>
  <c r="AF26" i="44"/>
  <c r="AF36" i="44"/>
  <c r="AF33" i="44"/>
  <c r="AF34" i="44"/>
  <c r="AF35" i="44"/>
  <c r="AF46" i="44"/>
  <c r="AF43" i="44"/>
  <c r="AF44" i="44"/>
  <c r="AF45" i="44"/>
  <c r="AF61" i="44"/>
  <c r="AH61" i="44" s="1"/>
  <c r="AF58" i="44"/>
  <c r="AH58" i="44" s="1"/>
  <c r="AF59" i="44"/>
  <c r="AH59" i="44" s="1"/>
  <c r="AF60" i="44"/>
  <c r="AH60" i="44" s="1"/>
  <c r="AF79" i="44"/>
  <c r="AH79" i="44" s="1"/>
  <c r="AF80" i="44"/>
  <c r="AH80" i="44" s="1"/>
  <c r="AF81" i="44"/>
  <c r="AH81" i="44" s="1"/>
  <c r="AF78" i="44"/>
  <c r="AH78" i="44" s="1"/>
  <c r="AF101" i="44"/>
  <c r="AH101" i="44" s="1"/>
  <c r="AF98" i="44"/>
  <c r="AH98" i="44" s="1"/>
  <c r="AF99" i="44"/>
  <c r="AH99" i="44" s="1"/>
  <c r="AF100" i="44"/>
  <c r="AH100" i="44" s="1"/>
  <c r="AF121" i="44"/>
  <c r="AH121" i="44" s="1"/>
  <c r="AF118" i="44"/>
  <c r="AH118" i="44" s="1"/>
  <c r="AF119" i="44"/>
  <c r="AH119" i="44" s="1"/>
  <c r="AF120" i="44"/>
  <c r="AH120" i="44" s="1"/>
  <c r="AF141" i="44"/>
  <c r="AH141" i="44" s="1"/>
  <c r="AF139" i="44"/>
  <c r="AH139" i="44" s="1"/>
  <c r="AF140" i="44"/>
  <c r="AH140" i="44" s="1"/>
  <c r="AF138" i="44"/>
  <c r="AH138" i="44" s="1"/>
  <c r="AF161" i="44"/>
  <c r="AH161" i="44" s="1"/>
  <c r="AF160" i="44"/>
  <c r="AH160" i="44" s="1"/>
  <c r="AF159" i="44"/>
  <c r="AH159" i="44" s="1"/>
  <c r="AF158" i="44"/>
  <c r="AH158" i="44" s="1"/>
  <c r="AF181" i="44"/>
  <c r="AH181" i="44" s="1"/>
  <c r="AF180" i="44"/>
  <c r="AH180" i="44" s="1"/>
  <c r="AF179" i="44"/>
  <c r="AH179" i="44" s="1"/>
  <c r="AF178" i="44"/>
  <c r="AH178" i="44" s="1"/>
  <c r="AF201" i="44"/>
  <c r="AH201" i="44" s="1"/>
  <c r="AF200" i="44"/>
  <c r="AH200" i="44" s="1"/>
  <c r="AF199" i="44"/>
  <c r="AH199" i="44" s="1"/>
  <c r="AF198" i="44"/>
  <c r="AH198" i="44" s="1"/>
  <c r="AF221" i="44"/>
  <c r="AH221" i="44" s="1"/>
  <c r="AF220" i="44"/>
  <c r="AH220" i="44" s="1"/>
  <c r="AF219" i="44"/>
  <c r="AH219" i="44" s="1"/>
  <c r="AF218" i="44"/>
  <c r="AH218" i="44" s="1"/>
  <c r="AF241" i="44"/>
  <c r="AH241" i="44" s="1"/>
  <c r="AF240" i="44"/>
  <c r="AH240" i="44" s="1"/>
  <c r="AF239" i="44"/>
  <c r="AH239" i="44" s="1"/>
  <c r="AF238" i="44"/>
  <c r="AH238" i="44" s="1"/>
  <c r="AF256" i="44"/>
  <c r="AH256" i="44" s="1"/>
  <c r="AF255" i="44"/>
  <c r="AH255" i="44" s="1"/>
  <c r="AF254" i="44"/>
  <c r="AH254" i="44" s="1"/>
  <c r="AF253" i="44"/>
  <c r="AH253" i="44" s="1"/>
  <c r="AF276" i="44"/>
  <c r="AH276" i="44" s="1"/>
  <c r="AF275" i="44"/>
  <c r="AH275" i="44" s="1"/>
  <c r="AF274" i="44"/>
  <c r="AH274" i="44" s="1"/>
  <c r="AF273" i="44"/>
  <c r="AH273" i="44" s="1"/>
  <c r="AF296" i="44"/>
  <c r="AH296" i="44" s="1"/>
  <c r="AF295" i="44"/>
  <c r="AH295" i="44" s="1"/>
  <c r="AF294" i="44"/>
  <c r="AH294" i="44" s="1"/>
  <c r="AF293" i="44"/>
  <c r="AH293" i="44" s="1"/>
  <c r="AF316" i="44"/>
  <c r="AH316" i="44" s="1"/>
  <c r="AF315" i="44"/>
  <c r="AH315" i="44" s="1"/>
  <c r="AF314" i="44"/>
  <c r="AH314" i="44" s="1"/>
  <c r="AF313" i="44"/>
  <c r="AH313" i="44" s="1"/>
  <c r="AF336" i="44"/>
  <c r="AH336" i="44" s="1"/>
  <c r="AF335" i="44"/>
  <c r="AH335" i="44" s="1"/>
  <c r="AF334" i="44"/>
  <c r="AH334" i="44" s="1"/>
  <c r="AF333" i="44"/>
  <c r="AH333" i="44" s="1"/>
  <c r="AF356" i="44"/>
  <c r="AH356" i="44" s="1"/>
  <c r="AF355" i="44"/>
  <c r="AH355" i="44" s="1"/>
  <c r="AF354" i="44"/>
  <c r="AH354" i="44" s="1"/>
  <c r="AF353" i="44"/>
  <c r="AH353" i="44" s="1"/>
  <c r="AF376" i="44"/>
  <c r="AH376" i="44" s="1"/>
  <c r="AF375" i="44"/>
  <c r="AH375" i="44" s="1"/>
  <c r="AF374" i="44"/>
  <c r="AH374" i="44" s="1"/>
  <c r="AF373" i="44"/>
  <c r="AH373" i="44" s="1"/>
  <c r="AF396" i="44"/>
  <c r="AH396" i="44" s="1"/>
  <c r="AF395" i="44"/>
  <c r="AH395" i="44" s="1"/>
  <c r="AF394" i="44"/>
  <c r="AH394" i="44" s="1"/>
  <c r="AF393" i="44"/>
  <c r="AH393" i="44" s="1"/>
  <c r="AF416" i="44"/>
  <c r="AH416" i="44" s="1"/>
  <c r="AF415" i="44"/>
  <c r="AH415" i="44" s="1"/>
  <c r="AF414" i="44"/>
  <c r="AH414" i="44" s="1"/>
  <c r="AF413" i="44"/>
  <c r="AH413" i="44" s="1"/>
  <c r="AF436" i="44"/>
  <c r="AH436" i="44" s="1"/>
  <c r="AF435" i="44"/>
  <c r="AH435" i="44" s="1"/>
  <c r="AF434" i="44"/>
  <c r="AH434" i="44" s="1"/>
  <c r="AF433" i="44"/>
  <c r="AH433" i="44" s="1"/>
  <c r="AF456" i="44"/>
  <c r="AH456" i="44" s="1"/>
  <c r="AF455" i="44"/>
  <c r="AH455" i="44" s="1"/>
  <c r="AF454" i="44"/>
  <c r="AH454" i="44" s="1"/>
  <c r="AF453" i="44"/>
  <c r="AH453" i="44" s="1"/>
  <c r="AF476" i="44"/>
  <c r="AH476" i="44" s="1"/>
  <c r="AF475" i="44"/>
  <c r="AH475" i="44" s="1"/>
  <c r="AF474" i="44"/>
  <c r="AH474" i="44" s="1"/>
  <c r="AF473" i="44"/>
  <c r="AH473" i="44" s="1"/>
  <c r="AH125" i="44"/>
  <c r="A2" i="44"/>
  <c r="AD6" i="44"/>
  <c r="AH6" i="44" s="1"/>
  <c r="AD4" i="44"/>
  <c r="AD5" i="44"/>
  <c r="AH5" i="44" s="1"/>
  <c r="AD3" i="44"/>
  <c r="AH3" i="44" s="1"/>
  <c r="A12" i="44"/>
  <c r="AD14" i="44"/>
  <c r="AH14" i="44" s="1"/>
  <c r="AD15" i="44"/>
  <c r="AH15" i="44" s="1"/>
  <c r="AD13" i="44"/>
  <c r="AH13" i="44" s="1"/>
  <c r="AD16" i="44"/>
  <c r="A22" i="44"/>
  <c r="AD26" i="44"/>
  <c r="AH26" i="44" s="1"/>
  <c r="AD23" i="44"/>
  <c r="AH23" i="44" s="1"/>
  <c r="AD24" i="44"/>
  <c r="AD25" i="44"/>
  <c r="A32" i="44"/>
  <c r="AD34" i="44"/>
  <c r="AH34" i="44" s="1"/>
  <c r="AD35" i="44"/>
  <c r="AH35" i="44" s="1"/>
  <c r="AD36" i="44"/>
  <c r="AD33" i="44"/>
  <c r="A42" i="44"/>
  <c r="AD44" i="44"/>
  <c r="AH44" i="44" s="1"/>
  <c r="AD45" i="44"/>
  <c r="AH45" i="44" s="1"/>
  <c r="AD46" i="44"/>
  <c r="AH46" i="44" s="1"/>
  <c r="AD43" i="44"/>
  <c r="AH43" i="44" s="1"/>
  <c r="AF64" i="44"/>
  <c r="AH64" i="44" s="1"/>
  <c r="AF65" i="44"/>
  <c r="AH65" i="44" s="1"/>
  <c r="AF66" i="44"/>
  <c r="AH66" i="44" s="1"/>
  <c r="AF63" i="44"/>
  <c r="AH63" i="44" s="1"/>
  <c r="AF84" i="44"/>
  <c r="AH84" i="44" s="1"/>
  <c r="AF85" i="44"/>
  <c r="AH85" i="44" s="1"/>
  <c r="AF86" i="44"/>
  <c r="AH86" i="44" s="1"/>
  <c r="AF83" i="44"/>
  <c r="AH83" i="44" s="1"/>
  <c r="AF106" i="44"/>
  <c r="AH106" i="44" s="1"/>
  <c r="AF103" i="44"/>
  <c r="AH103" i="44" s="1"/>
  <c r="AF104" i="44"/>
  <c r="AH104" i="44" s="1"/>
  <c r="AF105" i="44"/>
  <c r="AH105" i="44" s="1"/>
  <c r="AF125" i="44"/>
  <c r="AF126" i="44"/>
  <c r="AF123" i="44"/>
  <c r="AH123" i="44" s="1"/>
  <c r="AF124" i="44"/>
  <c r="AH124" i="44" s="1"/>
  <c r="AF146" i="44"/>
  <c r="AH146" i="44" s="1"/>
  <c r="AF145" i="44"/>
  <c r="AH145" i="44" s="1"/>
  <c r="AF144" i="44"/>
  <c r="AH144" i="44" s="1"/>
  <c r="AF143" i="44"/>
  <c r="AH143" i="44" s="1"/>
  <c r="AF166" i="44"/>
  <c r="AH166" i="44" s="1"/>
  <c r="AF165" i="44"/>
  <c r="AH165" i="44" s="1"/>
  <c r="AF164" i="44"/>
  <c r="AH164" i="44" s="1"/>
  <c r="AF163" i="44"/>
  <c r="AH163" i="44" s="1"/>
  <c r="AF186" i="44"/>
  <c r="AH186" i="44" s="1"/>
  <c r="AF185" i="44"/>
  <c r="AH185" i="44" s="1"/>
  <c r="AF184" i="44"/>
  <c r="AH184" i="44" s="1"/>
  <c r="AF183" i="44"/>
  <c r="AH183" i="44" s="1"/>
  <c r="AF206" i="44"/>
  <c r="AH206" i="44" s="1"/>
  <c r="AF205" i="44"/>
  <c r="AH205" i="44" s="1"/>
  <c r="AF204" i="44"/>
  <c r="AH204" i="44" s="1"/>
  <c r="AF203" i="44"/>
  <c r="AH203" i="44" s="1"/>
  <c r="AF226" i="44"/>
  <c r="AH226" i="44" s="1"/>
  <c r="AF225" i="44"/>
  <c r="AH225" i="44" s="1"/>
  <c r="AF224" i="44"/>
  <c r="AH224" i="44" s="1"/>
  <c r="AF223" i="44"/>
  <c r="AH223" i="44" s="1"/>
  <c r="AF243" i="44"/>
  <c r="AH243" i="44" s="1"/>
  <c r="AF246" i="44"/>
  <c r="AH246" i="44" s="1"/>
  <c r="AF245" i="44"/>
  <c r="AH245" i="44" s="1"/>
  <c r="AF244" i="44"/>
  <c r="AH244" i="44" s="1"/>
  <c r="AF261" i="44"/>
  <c r="AH261" i="44" s="1"/>
  <c r="AF260" i="44"/>
  <c r="AH260" i="44" s="1"/>
  <c r="AF259" i="44"/>
  <c r="AH259" i="44" s="1"/>
  <c r="AF258" i="44"/>
  <c r="AH258" i="44" s="1"/>
  <c r="AF281" i="44"/>
  <c r="AH281" i="44" s="1"/>
  <c r="AF280" i="44"/>
  <c r="AH280" i="44" s="1"/>
  <c r="AF279" i="44"/>
  <c r="AH279" i="44" s="1"/>
  <c r="AF278" i="44"/>
  <c r="AH278" i="44" s="1"/>
  <c r="AF301" i="44"/>
  <c r="AH301" i="44" s="1"/>
  <c r="AF300" i="44"/>
  <c r="AH300" i="44" s="1"/>
  <c r="AF299" i="44"/>
  <c r="AH299" i="44" s="1"/>
  <c r="AF298" i="44"/>
  <c r="AH298" i="44" s="1"/>
  <c r="AF321" i="44"/>
  <c r="AH321" i="44" s="1"/>
  <c r="AF320" i="44"/>
  <c r="AH320" i="44" s="1"/>
  <c r="AF319" i="44"/>
  <c r="AH319" i="44" s="1"/>
  <c r="AF318" i="44"/>
  <c r="AH318" i="44" s="1"/>
  <c r="AF341" i="44"/>
  <c r="AH341" i="44" s="1"/>
  <c r="AF340" i="44"/>
  <c r="AH340" i="44" s="1"/>
  <c r="AF339" i="44"/>
  <c r="AH339" i="44" s="1"/>
  <c r="AF338" i="44"/>
  <c r="AH338" i="44" s="1"/>
  <c r="AF361" i="44"/>
  <c r="AH361" i="44" s="1"/>
  <c r="AF360" i="44"/>
  <c r="AH360" i="44" s="1"/>
  <c r="AF359" i="44"/>
  <c r="AH359" i="44" s="1"/>
  <c r="AF358" i="44"/>
  <c r="AH358" i="44" s="1"/>
  <c r="AF381" i="44"/>
  <c r="AH381" i="44" s="1"/>
  <c r="AF380" i="44"/>
  <c r="AH380" i="44" s="1"/>
  <c r="AF379" i="44"/>
  <c r="AH379" i="44" s="1"/>
  <c r="AF378" i="44"/>
  <c r="AH378" i="44" s="1"/>
  <c r="AF401" i="44"/>
  <c r="AH401" i="44" s="1"/>
  <c r="AF400" i="44"/>
  <c r="AH400" i="44" s="1"/>
  <c r="AF399" i="44"/>
  <c r="AH399" i="44" s="1"/>
  <c r="AF398" i="44"/>
  <c r="AH398" i="44" s="1"/>
  <c r="AF421" i="44"/>
  <c r="AH421" i="44" s="1"/>
  <c r="AF420" i="44"/>
  <c r="AH420" i="44" s="1"/>
  <c r="AF419" i="44"/>
  <c r="AH419" i="44" s="1"/>
  <c r="AF418" i="44"/>
  <c r="AH418" i="44" s="1"/>
  <c r="AF441" i="44"/>
  <c r="AH441" i="44" s="1"/>
  <c r="AF440" i="44"/>
  <c r="AH440" i="44" s="1"/>
  <c r="AF439" i="44"/>
  <c r="AH439" i="44" s="1"/>
  <c r="AF438" i="44"/>
  <c r="AH438" i="44" s="1"/>
  <c r="AF461" i="44"/>
  <c r="AH461" i="44" s="1"/>
  <c r="AF460" i="44"/>
  <c r="AH460" i="44" s="1"/>
  <c r="AF459" i="44"/>
  <c r="AH459" i="44" s="1"/>
  <c r="AF458" i="44"/>
  <c r="AH458" i="44" s="1"/>
  <c r="AF481" i="44"/>
  <c r="AH481" i="44" s="1"/>
  <c r="AF480" i="44"/>
  <c r="AH480" i="44" s="1"/>
  <c r="AF479" i="44"/>
  <c r="AH479" i="44" s="1"/>
  <c r="AF478" i="44"/>
  <c r="AH478" i="44" s="1"/>
  <c r="AF29" i="44"/>
  <c r="AF30" i="44"/>
  <c r="AF31" i="44"/>
  <c r="AF28" i="44"/>
  <c r="AF69" i="44"/>
  <c r="AH69" i="44" s="1"/>
  <c r="AF70" i="44"/>
  <c r="AH70" i="44" s="1"/>
  <c r="AF71" i="44"/>
  <c r="AH71" i="44" s="1"/>
  <c r="AF68" i="44"/>
  <c r="AH68" i="44" s="1"/>
  <c r="AF130" i="44"/>
  <c r="AH130" i="44" s="1"/>
  <c r="AF131" i="44"/>
  <c r="AH131" i="44" s="1"/>
  <c r="AF128" i="44"/>
  <c r="AH128" i="44" s="1"/>
  <c r="AF129" i="44"/>
  <c r="AH129" i="44" s="1"/>
  <c r="AF211" i="44"/>
  <c r="AH211" i="44" s="1"/>
  <c r="AF210" i="44"/>
  <c r="AH210" i="44" s="1"/>
  <c r="AF209" i="44"/>
  <c r="AH209" i="44" s="1"/>
  <c r="AF208" i="44"/>
  <c r="AH208" i="44" s="1"/>
  <c r="AF266" i="44"/>
  <c r="AH266" i="44" s="1"/>
  <c r="AF265" i="44"/>
  <c r="AH265" i="44" s="1"/>
  <c r="AF264" i="44"/>
  <c r="AH264" i="44" s="1"/>
  <c r="AF263" i="44"/>
  <c r="AH263" i="44" s="1"/>
  <c r="AF326" i="44"/>
  <c r="AH326" i="44" s="1"/>
  <c r="AF325" i="44"/>
  <c r="AH325" i="44" s="1"/>
  <c r="AF324" i="44"/>
  <c r="AH324" i="44" s="1"/>
  <c r="AF323" i="44"/>
  <c r="AH323" i="44" s="1"/>
  <c r="AF386" i="44"/>
  <c r="AH386" i="44" s="1"/>
  <c r="AF385" i="44"/>
  <c r="AH385" i="44" s="1"/>
  <c r="AF384" i="44"/>
  <c r="AH384" i="44" s="1"/>
  <c r="AF383" i="44"/>
  <c r="AH383" i="44" s="1"/>
  <c r="AF406" i="44"/>
  <c r="AH406" i="44" s="1"/>
  <c r="AF405" i="44"/>
  <c r="AH405" i="44" s="1"/>
  <c r="AF404" i="44"/>
  <c r="AH404" i="44" s="1"/>
  <c r="AF403" i="44"/>
  <c r="AH403" i="44" s="1"/>
  <c r="AF446" i="44"/>
  <c r="AH446" i="44" s="1"/>
  <c r="AF445" i="44"/>
  <c r="AH445" i="44" s="1"/>
  <c r="AF444" i="44"/>
  <c r="AH444" i="44" s="1"/>
  <c r="AF443" i="44"/>
  <c r="AH443" i="44" s="1"/>
  <c r="AF466" i="44"/>
  <c r="AH466" i="44" s="1"/>
  <c r="AF465" i="44"/>
  <c r="AH465" i="44" s="1"/>
  <c r="AF464" i="44"/>
  <c r="AH464" i="44" s="1"/>
  <c r="AF463" i="44"/>
  <c r="AH463" i="44" s="1"/>
  <c r="AH134" i="1"/>
  <c r="C134" i="1"/>
  <c r="C124" i="1"/>
  <c r="AH124" i="1"/>
  <c r="AH114" i="1"/>
  <c r="C114" i="1"/>
  <c r="C104" i="1"/>
  <c r="AH104" i="1"/>
  <c r="AH84" i="1"/>
  <c r="C84" i="1"/>
  <c r="C54" i="1"/>
  <c r="AH54" i="1"/>
  <c r="C229" i="1"/>
  <c r="AH229" i="1"/>
  <c r="AH199" i="1"/>
  <c r="C199" i="1"/>
  <c r="AH179" i="1"/>
  <c r="C179" i="1"/>
  <c r="AH119" i="1"/>
  <c r="C119" i="1"/>
  <c r="C99" i="1"/>
  <c r="AH99" i="1"/>
  <c r="C59" i="1"/>
  <c r="AH59" i="1"/>
  <c r="C380" i="1"/>
  <c r="AH380" i="1"/>
  <c r="AH359" i="1"/>
  <c r="C359" i="1"/>
  <c r="AH339" i="1"/>
  <c r="C339" i="1"/>
  <c r="AH319" i="1"/>
  <c r="C319" i="1"/>
  <c r="AH299" i="1"/>
  <c r="C299" i="1"/>
  <c r="C279" i="1"/>
  <c r="AH279" i="1"/>
  <c r="C259" i="1"/>
  <c r="AH259" i="1"/>
  <c r="AH240" i="1"/>
  <c r="C240" i="1"/>
  <c r="C221" i="1"/>
  <c r="AH221" i="1"/>
  <c r="C178" i="1"/>
  <c r="AH178" i="1"/>
  <c r="AH160" i="1"/>
  <c r="C160" i="1"/>
  <c r="AH141" i="1"/>
  <c r="C141" i="1"/>
  <c r="C100" i="1"/>
  <c r="AH100" i="1"/>
  <c r="AH78" i="1"/>
  <c r="C78" i="1"/>
  <c r="AH61" i="1"/>
  <c r="C61" i="1"/>
  <c r="AH20" i="1"/>
  <c r="C20" i="1"/>
  <c r="AH476" i="1"/>
  <c r="C476" i="1"/>
  <c r="AH466" i="1"/>
  <c r="C466" i="1"/>
  <c r="AH456" i="1"/>
  <c r="C456" i="1"/>
  <c r="C446" i="1"/>
  <c r="AH446" i="1"/>
  <c r="AH436" i="1"/>
  <c r="C436" i="1"/>
  <c r="AH426" i="1"/>
  <c r="C426" i="1"/>
  <c r="AH416" i="1"/>
  <c r="C416" i="1"/>
  <c r="C406" i="1"/>
  <c r="AH406" i="1"/>
  <c r="AH396" i="1"/>
  <c r="C396" i="1"/>
  <c r="AH386" i="1"/>
  <c r="C386" i="1"/>
  <c r="C374" i="1"/>
  <c r="AH374" i="1"/>
  <c r="C364" i="1"/>
  <c r="AH364" i="1"/>
  <c r="AH354" i="1"/>
  <c r="C354" i="1"/>
  <c r="AH344" i="1"/>
  <c r="C344" i="1"/>
  <c r="AH334" i="1"/>
  <c r="C334" i="1"/>
  <c r="C324" i="1"/>
  <c r="AH324" i="1"/>
  <c r="C314" i="1"/>
  <c r="AH314" i="1"/>
  <c r="AH304" i="1"/>
  <c r="C304" i="1"/>
  <c r="AH294" i="1"/>
  <c r="C294" i="1"/>
  <c r="AH284" i="1"/>
  <c r="C284" i="1"/>
  <c r="AH274" i="1"/>
  <c r="C274" i="1"/>
  <c r="AH264" i="1"/>
  <c r="C264" i="1"/>
  <c r="AH254" i="1"/>
  <c r="C254" i="1"/>
  <c r="AH244" i="1"/>
  <c r="C244" i="1"/>
  <c r="AH235" i="1"/>
  <c r="C235" i="1"/>
  <c r="AH226" i="1"/>
  <c r="C226" i="1"/>
  <c r="C203" i="1"/>
  <c r="AH203" i="1"/>
  <c r="AH195" i="1"/>
  <c r="C195" i="1"/>
  <c r="AH186" i="1"/>
  <c r="C186" i="1"/>
  <c r="C163" i="1"/>
  <c r="AH163" i="1"/>
  <c r="AH155" i="1"/>
  <c r="C155" i="1"/>
  <c r="C146" i="1"/>
  <c r="AH146" i="1"/>
  <c r="AH125" i="1"/>
  <c r="C125" i="1"/>
  <c r="AH113" i="1"/>
  <c r="C113" i="1"/>
  <c r="C106" i="1"/>
  <c r="AH106" i="1"/>
  <c r="AH85" i="1"/>
  <c r="C85" i="1"/>
  <c r="AH73" i="1"/>
  <c r="C73" i="1"/>
  <c r="C66" i="1"/>
  <c r="AH66" i="1"/>
  <c r="AH45" i="1"/>
  <c r="C45" i="1"/>
  <c r="C33" i="1"/>
  <c r="AH33" i="1"/>
  <c r="AH26" i="1"/>
  <c r="C26" i="1"/>
  <c r="AH5" i="1"/>
  <c r="C5" i="1"/>
  <c r="C219" i="1"/>
  <c r="AH219" i="1"/>
  <c r="AH478" i="1"/>
  <c r="C478" i="1"/>
  <c r="C468" i="1"/>
  <c r="AH468" i="1"/>
  <c r="AH458" i="1"/>
  <c r="C458" i="1"/>
  <c r="C448" i="1"/>
  <c r="AH448" i="1"/>
  <c r="AH438" i="1"/>
  <c r="C438" i="1"/>
  <c r="AH428" i="1"/>
  <c r="C428" i="1"/>
  <c r="AH418" i="1"/>
  <c r="C418" i="1"/>
  <c r="C408" i="1"/>
  <c r="AH408" i="1"/>
  <c r="C398" i="1"/>
  <c r="AH398" i="1"/>
  <c r="C388" i="1"/>
  <c r="AH388" i="1"/>
  <c r="AH368" i="1"/>
  <c r="C368" i="1"/>
  <c r="C348" i="1"/>
  <c r="AH348" i="1"/>
  <c r="AH328" i="1"/>
  <c r="C328" i="1"/>
  <c r="AH308" i="1"/>
  <c r="C308" i="1"/>
  <c r="AH288" i="1"/>
  <c r="C288" i="1"/>
  <c r="AH268" i="1"/>
  <c r="C268" i="1"/>
  <c r="AH248" i="1"/>
  <c r="C248" i="1"/>
  <c r="AH228" i="1"/>
  <c r="C228" i="1"/>
  <c r="AH210" i="1"/>
  <c r="C210" i="1"/>
  <c r="AH191" i="1"/>
  <c r="C191" i="1"/>
  <c r="AH148" i="1"/>
  <c r="C148" i="1"/>
  <c r="AH128" i="1"/>
  <c r="C128" i="1"/>
  <c r="AH111" i="1"/>
  <c r="C111" i="1"/>
  <c r="C70" i="1"/>
  <c r="AH70" i="1"/>
  <c r="AH48" i="1"/>
  <c r="C48" i="1"/>
  <c r="C31" i="1"/>
  <c r="AH31" i="1"/>
  <c r="C234" i="1"/>
  <c r="AH234" i="1"/>
  <c r="AH184" i="1"/>
  <c r="C184" i="1"/>
  <c r="C144" i="1"/>
  <c r="AH144" i="1"/>
  <c r="C94" i="1"/>
  <c r="AH94" i="1"/>
  <c r="AH74" i="1"/>
  <c r="C74" i="1"/>
  <c r="C64" i="1"/>
  <c r="AH64" i="1"/>
  <c r="AH44" i="1"/>
  <c r="C44" i="1"/>
  <c r="AH34" i="1"/>
  <c r="C34" i="1"/>
  <c r="C24" i="1"/>
  <c r="AH24" i="1"/>
  <c r="C14" i="1"/>
  <c r="AH14" i="1"/>
  <c r="AH4" i="1"/>
  <c r="C4" i="1"/>
  <c r="C209" i="1"/>
  <c r="AH209" i="1"/>
  <c r="AH79" i="1"/>
  <c r="C79" i="1"/>
  <c r="AH39" i="1"/>
  <c r="C39" i="1"/>
  <c r="C19" i="1"/>
  <c r="AH19" i="1"/>
  <c r="AH378" i="1"/>
  <c r="C378" i="1"/>
  <c r="C360" i="1"/>
  <c r="AH360" i="1"/>
  <c r="C340" i="1"/>
  <c r="AH340" i="1"/>
  <c r="C320" i="1"/>
  <c r="AH320" i="1"/>
  <c r="AH300" i="1"/>
  <c r="C300" i="1"/>
  <c r="AH280" i="1"/>
  <c r="C280" i="1"/>
  <c r="AH260" i="1"/>
  <c r="C260" i="1"/>
  <c r="C241" i="1"/>
  <c r="AH241" i="1"/>
  <c r="C198" i="1"/>
  <c r="AH198" i="1"/>
  <c r="C180" i="1"/>
  <c r="AH180" i="1"/>
  <c r="C161" i="1"/>
  <c r="AH161" i="1"/>
  <c r="C120" i="1"/>
  <c r="AH120" i="1"/>
  <c r="AH98" i="1"/>
  <c r="C98" i="1"/>
  <c r="AH81" i="1"/>
  <c r="C81" i="1"/>
  <c r="C40" i="1"/>
  <c r="AH40" i="1"/>
  <c r="C18" i="1"/>
  <c r="AH18" i="1"/>
  <c r="C475" i="1"/>
  <c r="AH475" i="1"/>
  <c r="AH465" i="1"/>
  <c r="C465" i="1"/>
  <c r="C455" i="1"/>
  <c r="AH455" i="1"/>
  <c r="AH445" i="1"/>
  <c r="C445" i="1"/>
  <c r="AH435" i="1"/>
  <c r="C435" i="1"/>
  <c r="C425" i="1"/>
  <c r="AH425" i="1"/>
  <c r="AH415" i="1"/>
  <c r="C415" i="1"/>
  <c r="C405" i="1"/>
  <c r="AH405" i="1"/>
  <c r="C395" i="1"/>
  <c r="AH395" i="1"/>
  <c r="AH385" i="1"/>
  <c r="C385" i="1"/>
  <c r="AH375" i="1"/>
  <c r="C375" i="1"/>
  <c r="AH365" i="1"/>
  <c r="C365" i="1"/>
  <c r="AH355" i="1"/>
  <c r="C355" i="1"/>
  <c r="C345" i="1"/>
  <c r="AH345" i="1"/>
  <c r="C335" i="1"/>
  <c r="AH335" i="1"/>
  <c r="AH325" i="1"/>
  <c r="C325" i="1"/>
  <c r="AH315" i="1"/>
  <c r="C315" i="1"/>
  <c r="AH305" i="1"/>
  <c r="C305" i="1"/>
  <c r="AH295" i="1"/>
  <c r="C295" i="1"/>
  <c r="C285" i="1"/>
  <c r="AH285" i="1"/>
  <c r="C275" i="1"/>
  <c r="AH275" i="1"/>
  <c r="C265" i="1"/>
  <c r="AH265" i="1"/>
  <c r="AH255" i="1"/>
  <c r="C255" i="1"/>
  <c r="AH246" i="1"/>
  <c r="C246" i="1"/>
  <c r="C236" i="1"/>
  <c r="AH236" i="1"/>
  <c r="AH213" i="1"/>
  <c r="C213" i="1"/>
  <c r="AH205" i="1"/>
  <c r="C205" i="1"/>
  <c r="AH196" i="1"/>
  <c r="C196" i="1"/>
  <c r="C173" i="1"/>
  <c r="AH173" i="1"/>
  <c r="C165" i="1"/>
  <c r="AH165" i="1"/>
  <c r="C156" i="1"/>
  <c r="AH156" i="1"/>
  <c r="AH135" i="1"/>
  <c r="C135" i="1"/>
  <c r="C123" i="1"/>
  <c r="AH123" i="1"/>
  <c r="AH116" i="1"/>
  <c r="C116" i="1"/>
  <c r="AH95" i="1"/>
  <c r="C95" i="1"/>
  <c r="AH83" i="1"/>
  <c r="C83" i="1"/>
  <c r="C76" i="1"/>
  <c r="AH76" i="1"/>
  <c r="AH55" i="1"/>
  <c r="C55" i="1"/>
  <c r="AH43" i="1"/>
  <c r="C43" i="1"/>
  <c r="AH36" i="1"/>
  <c r="C36" i="1"/>
  <c r="AH15" i="1"/>
  <c r="C15" i="1"/>
  <c r="AH109" i="1"/>
  <c r="C109" i="1"/>
  <c r="AH89" i="1"/>
  <c r="C89" i="1"/>
  <c r="AH69" i="1"/>
  <c r="C69" i="1"/>
  <c r="AH49" i="1"/>
  <c r="C49" i="1"/>
  <c r="C29" i="1"/>
  <c r="AH29" i="1"/>
  <c r="AH481" i="1"/>
  <c r="C481" i="1"/>
  <c r="AH471" i="1"/>
  <c r="C471" i="1"/>
  <c r="C461" i="1"/>
  <c r="AH461" i="1"/>
  <c r="C451" i="1"/>
  <c r="AH451" i="1"/>
  <c r="AH441" i="1"/>
  <c r="C441" i="1"/>
  <c r="AH431" i="1"/>
  <c r="C431" i="1"/>
  <c r="C421" i="1"/>
  <c r="AH421" i="1"/>
  <c r="C411" i="1"/>
  <c r="AH411" i="1"/>
  <c r="AH401" i="1"/>
  <c r="C401" i="1"/>
  <c r="C391" i="1"/>
  <c r="AH391" i="1"/>
  <c r="C369" i="1"/>
  <c r="AH369" i="1"/>
  <c r="AH349" i="1"/>
  <c r="C349" i="1"/>
  <c r="C329" i="1"/>
  <c r="AH329" i="1"/>
  <c r="C309" i="1"/>
  <c r="AH309" i="1"/>
  <c r="C289" i="1"/>
  <c r="AH289" i="1"/>
  <c r="AH269" i="1"/>
  <c r="C269" i="1"/>
  <c r="C249" i="1"/>
  <c r="AH249" i="1"/>
  <c r="AH230" i="1"/>
  <c r="C230" i="1"/>
  <c r="C211" i="1"/>
  <c r="AH211" i="1"/>
  <c r="C168" i="1"/>
  <c r="AH168" i="1"/>
  <c r="AH150" i="1"/>
  <c r="C150" i="1"/>
  <c r="AH131" i="1"/>
  <c r="C131" i="1"/>
  <c r="C90" i="1"/>
  <c r="AH90" i="1"/>
  <c r="AH68" i="1"/>
  <c r="C68" i="1"/>
  <c r="AH51" i="1"/>
  <c r="C51" i="1"/>
  <c r="AH8" i="1"/>
  <c r="C8" i="1"/>
  <c r="AH224" i="1"/>
  <c r="C224" i="1"/>
  <c r="C214" i="1"/>
  <c r="AH214" i="1"/>
  <c r="AH174" i="1"/>
  <c r="C174" i="1"/>
  <c r="C159" i="1"/>
  <c r="AH159" i="1"/>
  <c r="AH379" i="1"/>
  <c r="C379" i="1"/>
  <c r="AH361" i="1"/>
  <c r="C361" i="1"/>
  <c r="AH341" i="1"/>
  <c r="C341" i="1"/>
  <c r="C321" i="1"/>
  <c r="AH321" i="1"/>
  <c r="AH301" i="1"/>
  <c r="C301" i="1"/>
  <c r="C281" i="1"/>
  <c r="AH281" i="1"/>
  <c r="C261" i="1"/>
  <c r="AH261" i="1"/>
  <c r="AH218" i="1"/>
  <c r="C218" i="1"/>
  <c r="C200" i="1"/>
  <c r="AH200" i="1"/>
  <c r="C181" i="1"/>
  <c r="AH181" i="1"/>
  <c r="C140" i="1"/>
  <c r="AH140" i="1"/>
  <c r="C118" i="1"/>
  <c r="AH118" i="1"/>
  <c r="AH101" i="1"/>
  <c r="C101" i="1"/>
  <c r="C60" i="1"/>
  <c r="AH60" i="1"/>
  <c r="AH38" i="1"/>
  <c r="C38" i="1"/>
  <c r="C21" i="1"/>
  <c r="AH21" i="1"/>
  <c r="C474" i="1"/>
  <c r="AH474" i="1"/>
  <c r="AH464" i="1"/>
  <c r="C464" i="1"/>
  <c r="C454" i="1"/>
  <c r="AH454" i="1"/>
  <c r="AH444" i="1"/>
  <c r="C444" i="1"/>
  <c r="AH434" i="1"/>
  <c r="C434" i="1"/>
  <c r="AH424" i="1"/>
  <c r="C424" i="1"/>
  <c r="AH414" i="1"/>
  <c r="C414" i="1"/>
  <c r="AH404" i="1"/>
  <c r="C404" i="1"/>
  <c r="AH394" i="1"/>
  <c r="C394" i="1"/>
  <c r="AH384" i="1"/>
  <c r="C384" i="1"/>
  <c r="C376" i="1"/>
  <c r="AH376" i="1"/>
  <c r="C366" i="1"/>
  <c r="AH366" i="1"/>
  <c r="AH356" i="1"/>
  <c r="C356" i="1"/>
  <c r="AH346" i="1"/>
  <c r="C346" i="1"/>
  <c r="AH336" i="1"/>
  <c r="C336" i="1"/>
  <c r="AH326" i="1"/>
  <c r="C326" i="1"/>
  <c r="C316" i="1"/>
  <c r="AH316" i="1"/>
  <c r="AH306" i="1"/>
  <c r="C306" i="1"/>
  <c r="C296" i="1"/>
  <c r="AH296" i="1"/>
  <c r="AH286" i="1"/>
  <c r="C286" i="1"/>
  <c r="C276" i="1"/>
  <c r="AH276" i="1"/>
  <c r="C266" i="1"/>
  <c r="AH266" i="1"/>
  <c r="AH256" i="1"/>
  <c r="C256" i="1"/>
  <c r="C243" i="1"/>
  <c r="AH243" i="1"/>
  <c r="AH223" i="1"/>
  <c r="C223" i="1"/>
  <c r="AH215" i="1"/>
  <c r="C215" i="1"/>
  <c r="C206" i="1"/>
  <c r="AH206" i="1"/>
  <c r="C183" i="1"/>
  <c r="AH183" i="1"/>
  <c r="C175" i="1"/>
  <c r="AH175" i="1"/>
  <c r="AH166" i="1"/>
  <c r="C166" i="1"/>
  <c r="AH143" i="1"/>
  <c r="C143" i="1"/>
  <c r="C133" i="1"/>
  <c r="AH133" i="1"/>
  <c r="C126" i="1"/>
  <c r="AH126" i="1"/>
  <c r="AH105" i="1"/>
  <c r="C105" i="1"/>
  <c r="C93" i="1"/>
  <c r="AH93" i="1"/>
  <c r="C86" i="1"/>
  <c r="AH86" i="1"/>
  <c r="AH65" i="1"/>
  <c r="C65" i="1"/>
  <c r="C53" i="1"/>
  <c r="AH53" i="1"/>
  <c r="AH46" i="1"/>
  <c r="C46" i="1"/>
  <c r="C25" i="1"/>
  <c r="AH25" i="1"/>
  <c r="AH13" i="1"/>
  <c r="C13" i="1"/>
  <c r="AH3" i="1"/>
  <c r="C3" i="1"/>
  <c r="C129" i="1"/>
  <c r="AH129" i="1"/>
  <c r="AH9" i="1"/>
  <c r="C9" i="1"/>
  <c r="AH480" i="1"/>
  <c r="C480" i="1"/>
  <c r="C470" i="1"/>
  <c r="AH470" i="1"/>
  <c r="C460" i="1"/>
  <c r="AH460" i="1"/>
  <c r="C450" i="1"/>
  <c r="AH450" i="1"/>
  <c r="C440" i="1"/>
  <c r="AH440" i="1"/>
  <c r="AH430" i="1"/>
  <c r="C430" i="1"/>
  <c r="AH420" i="1"/>
  <c r="C420" i="1"/>
  <c r="C410" i="1"/>
  <c r="AH410" i="1"/>
  <c r="AH400" i="1"/>
  <c r="C400" i="1"/>
  <c r="C390" i="1"/>
  <c r="AH390" i="1"/>
  <c r="C370" i="1"/>
  <c r="AH370" i="1"/>
  <c r="C350" i="1"/>
  <c r="AH350" i="1"/>
  <c r="AH330" i="1"/>
  <c r="C330" i="1"/>
  <c r="AH310" i="1"/>
  <c r="C310" i="1"/>
  <c r="C290" i="1"/>
  <c r="AH290" i="1"/>
  <c r="AH270" i="1"/>
  <c r="C270" i="1"/>
  <c r="C250" i="1"/>
  <c r="AH250" i="1"/>
  <c r="AH231" i="1"/>
  <c r="C231" i="1"/>
  <c r="AH188" i="1"/>
  <c r="C188" i="1"/>
  <c r="C170" i="1"/>
  <c r="AH170" i="1"/>
  <c r="C151" i="1"/>
  <c r="AH151" i="1"/>
  <c r="C108" i="1"/>
  <c r="AH108" i="1"/>
  <c r="C88" i="1"/>
  <c r="AH88" i="1"/>
  <c r="AH71" i="1"/>
  <c r="C71" i="1"/>
  <c r="AH30" i="1"/>
  <c r="C30" i="1"/>
  <c r="C10" i="1"/>
  <c r="AH10" i="1"/>
  <c r="C204" i="1"/>
  <c r="AH204" i="1"/>
  <c r="AH194" i="1"/>
  <c r="C194" i="1"/>
  <c r="AH164" i="1"/>
  <c r="C164" i="1"/>
  <c r="C154" i="1"/>
  <c r="AH154" i="1"/>
  <c r="AH139" i="1"/>
  <c r="C139" i="1"/>
  <c r="C381" i="1"/>
  <c r="AH381" i="1"/>
  <c r="C358" i="1"/>
  <c r="AH358" i="1"/>
  <c r="C338" i="1"/>
  <c r="AH338" i="1"/>
  <c r="C318" i="1"/>
  <c r="AH318" i="1"/>
  <c r="AH298" i="1"/>
  <c r="C298" i="1"/>
  <c r="AH278" i="1"/>
  <c r="C278" i="1"/>
  <c r="AH258" i="1"/>
  <c r="C258" i="1"/>
  <c r="C238" i="1"/>
  <c r="AH238" i="1"/>
  <c r="AH220" i="1"/>
  <c r="C220" i="1"/>
  <c r="C201" i="1"/>
  <c r="AH201" i="1"/>
  <c r="AH158" i="1"/>
  <c r="C158" i="1"/>
  <c r="AH138" i="1"/>
  <c r="C138" i="1"/>
  <c r="AH121" i="1"/>
  <c r="C121" i="1"/>
  <c r="C80" i="1"/>
  <c r="AH80" i="1"/>
  <c r="AH58" i="1"/>
  <c r="C58" i="1"/>
  <c r="C41" i="1"/>
  <c r="AH41" i="1"/>
  <c r="AH473" i="1"/>
  <c r="C473" i="1"/>
  <c r="C463" i="1"/>
  <c r="AH463" i="1"/>
  <c r="C453" i="1"/>
  <c r="AH453" i="1"/>
  <c r="C443" i="1"/>
  <c r="AH443" i="1"/>
  <c r="C433" i="1"/>
  <c r="AH433" i="1"/>
  <c r="C423" i="1"/>
  <c r="AH423" i="1"/>
  <c r="C413" i="1"/>
  <c r="AH413" i="1"/>
  <c r="AH403" i="1"/>
  <c r="C403" i="1"/>
  <c r="C393" i="1"/>
  <c r="AH393" i="1"/>
  <c r="C383" i="1"/>
  <c r="AH383" i="1"/>
  <c r="C373" i="1"/>
  <c r="AH373" i="1"/>
  <c r="AH363" i="1"/>
  <c r="C363" i="1"/>
  <c r="AH353" i="1"/>
  <c r="C353" i="1"/>
  <c r="AH343" i="1"/>
  <c r="C343" i="1"/>
  <c r="AH333" i="1"/>
  <c r="C333" i="1"/>
  <c r="AH323" i="1"/>
  <c r="C323" i="1"/>
  <c r="AH313" i="1"/>
  <c r="C313" i="1"/>
  <c r="C303" i="1"/>
  <c r="AH303" i="1"/>
  <c r="C293" i="1"/>
  <c r="AH293" i="1"/>
  <c r="C283" i="1"/>
  <c r="AH283" i="1"/>
  <c r="C273" i="1"/>
  <c r="AH273" i="1"/>
  <c r="C263" i="1"/>
  <c r="AH263" i="1"/>
  <c r="C253" i="1"/>
  <c r="AH253" i="1"/>
  <c r="AH245" i="1"/>
  <c r="C245" i="1"/>
  <c r="C233" i="1"/>
  <c r="AH233" i="1"/>
  <c r="AH225" i="1"/>
  <c r="C225" i="1"/>
  <c r="C216" i="1"/>
  <c r="AH216" i="1"/>
  <c r="C193" i="1"/>
  <c r="AH193" i="1"/>
  <c r="C185" i="1"/>
  <c r="AH185" i="1"/>
  <c r="AH176" i="1"/>
  <c r="C176" i="1"/>
  <c r="AH153" i="1"/>
  <c r="C153" i="1"/>
  <c r="AH145" i="1"/>
  <c r="C145" i="1"/>
  <c r="C136" i="1"/>
  <c r="AH136" i="1"/>
  <c r="AH115" i="1"/>
  <c r="C115" i="1"/>
  <c r="C103" i="1"/>
  <c r="AH103" i="1"/>
  <c r="C96" i="1"/>
  <c r="AH96" i="1"/>
  <c r="AH75" i="1"/>
  <c r="C75" i="1"/>
  <c r="C63" i="1"/>
  <c r="AH63" i="1"/>
  <c r="C56" i="1"/>
  <c r="AH56" i="1"/>
  <c r="AH35" i="1"/>
  <c r="C35" i="1"/>
  <c r="AH23" i="1"/>
  <c r="C23" i="1"/>
  <c r="AH16" i="1"/>
  <c r="C16" i="1"/>
  <c r="C6" i="1"/>
  <c r="AH6" i="1"/>
  <c r="AH239" i="1"/>
  <c r="C239" i="1"/>
  <c r="AH189" i="1"/>
  <c r="C189" i="1"/>
  <c r="AH169" i="1"/>
  <c r="C169" i="1"/>
  <c r="C149" i="1"/>
  <c r="AH149" i="1"/>
  <c r="AH479" i="1"/>
  <c r="C479" i="1"/>
  <c r="AH469" i="1"/>
  <c r="C469" i="1"/>
  <c r="AH459" i="1"/>
  <c r="C459" i="1"/>
  <c r="C449" i="1"/>
  <c r="AH449" i="1"/>
  <c r="AH439" i="1"/>
  <c r="C439" i="1"/>
  <c r="C429" i="1"/>
  <c r="AH429" i="1"/>
  <c r="C419" i="1"/>
  <c r="AH419" i="1"/>
  <c r="AH409" i="1"/>
  <c r="C409" i="1"/>
  <c r="C399" i="1"/>
  <c r="AH399" i="1"/>
  <c r="C389" i="1"/>
  <c r="AH389" i="1"/>
  <c r="AH371" i="1"/>
  <c r="C371" i="1"/>
  <c r="AH351" i="1"/>
  <c r="C351" i="1"/>
  <c r="C331" i="1"/>
  <c r="AH331" i="1"/>
  <c r="C311" i="1"/>
  <c r="AH311" i="1"/>
  <c r="AH291" i="1"/>
  <c r="C291" i="1"/>
  <c r="AH271" i="1"/>
  <c r="C271" i="1"/>
  <c r="C251" i="1"/>
  <c r="AH251" i="1"/>
  <c r="AH208" i="1"/>
  <c r="C208" i="1"/>
  <c r="C190" i="1"/>
  <c r="AH190" i="1"/>
  <c r="AH171" i="1"/>
  <c r="C171" i="1"/>
  <c r="C130" i="1"/>
  <c r="AH130" i="1"/>
  <c r="C110" i="1"/>
  <c r="AH110" i="1"/>
  <c r="AH91" i="1"/>
  <c r="C91" i="1"/>
  <c r="AH50" i="1"/>
  <c r="C50" i="1"/>
  <c r="C28" i="1"/>
  <c r="AH28" i="1"/>
  <c r="C11" i="1"/>
  <c r="AH11" i="1"/>
  <c r="Q287" i="1"/>
  <c r="M287" i="1" s="1"/>
  <c r="Q337" i="1"/>
  <c r="M337" i="1" s="1"/>
  <c r="Q347" i="1"/>
  <c r="M347" i="1" s="1"/>
  <c r="Q357" i="1"/>
  <c r="M357" i="1" s="1"/>
  <c r="P62" i="44"/>
  <c r="L62" i="44" s="1"/>
  <c r="P82" i="44"/>
  <c r="L82" i="44" s="1"/>
  <c r="P102" i="44"/>
  <c r="L102" i="44" s="1"/>
  <c r="P122" i="44"/>
  <c r="L122" i="44" s="1"/>
  <c r="P142" i="44"/>
  <c r="L142" i="44" s="1"/>
  <c r="P162" i="44"/>
  <c r="L162" i="44" s="1"/>
  <c r="P182" i="44"/>
  <c r="L182" i="44" s="1"/>
  <c r="P202" i="44"/>
  <c r="L202" i="44" s="1"/>
  <c r="P222" i="44"/>
  <c r="L222" i="44" s="1"/>
  <c r="P242" i="44"/>
  <c r="L242" i="44" s="1"/>
  <c r="P257" i="44"/>
  <c r="L257" i="44" s="1"/>
  <c r="P277" i="44"/>
  <c r="L277" i="44" s="1"/>
  <c r="P297" i="44"/>
  <c r="L297" i="44" s="1"/>
  <c r="P317" i="44"/>
  <c r="L317" i="44" s="1"/>
  <c r="P337" i="44"/>
  <c r="L337" i="44" s="1"/>
  <c r="P357" i="44"/>
  <c r="L357" i="44" s="1"/>
  <c r="P377" i="44"/>
  <c r="L377" i="44" s="1"/>
  <c r="P397" i="44"/>
  <c r="L397" i="44" s="1"/>
  <c r="P417" i="44"/>
  <c r="L417" i="44" s="1"/>
  <c r="P437" i="44"/>
  <c r="L437" i="44" s="1"/>
  <c r="P457" i="44"/>
  <c r="L457" i="44" s="1"/>
  <c r="P477" i="44"/>
  <c r="L477" i="44" s="1"/>
  <c r="Q177" i="1"/>
  <c r="M177" i="1" s="1"/>
  <c r="Q247" i="1"/>
  <c r="M247" i="1" s="1"/>
  <c r="Q22" i="1"/>
  <c r="M22" i="1" s="1"/>
  <c r="Q167" i="1"/>
  <c r="M167" i="1" s="1"/>
  <c r="Q262" i="1"/>
  <c r="M262" i="1" s="1"/>
  <c r="Q327" i="1"/>
  <c r="M327" i="1" s="1"/>
  <c r="P7" i="44"/>
  <c r="L7" i="44" s="1"/>
  <c r="P17" i="44"/>
  <c r="L17" i="44" s="1"/>
  <c r="P27" i="44"/>
  <c r="L27" i="44" s="1"/>
  <c r="P37" i="44"/>
  <c r="L37" i="44" s="1"/>
  <c r="P47" i="44"/>
  <c r="L47" i="44" s="1"/>
  <c r="P67" i="44"/>
  <c r="L67" i="44" s="1"/>
  <c r="P87" i="44"/>
  <c r="L87" i="44" s="1"/>
  <c r="P107" i="44"/>
  <c r="L107" i="44" s="1"/>
  <c r="P127" i="44"/>
  <c r="L127" i="44" s="1"/>
  <c r="P147" i="44"/>
  <c r="L147" i="44" s="1"/>
  <c r="P167" i="44"/>
  <c r="L167" i="44" s="1"/>
  <c r="P187" i="44"/>
  <c r="L187" i="44" s="1"/>
  <c r="P207" i="44"/>
  <c r="L207" i="44" s="1"/>
  <c r="P227" i="44"/>
  <c r="L227" i="44" s="1"/>
  <c r="P247" i="44"/>
  <c r="L247" i="44" s="1"/>
  <c r="P262" i="44"/>
  <c r="L262" i="44" s="1"/>
  <c r="P282" i="44"/>
  <c r="L282" i="44" s="1"/>
  <c r="P302" i="44"/>
  <c r="L302" i="44" s="1"/>
  <c r="P322" i="44"/>
  <c r="L322" i="44" s="1"/>
  <c r="P342" i="44"/>
  <c r="L342" i="44" s="1"/>
  <c r="P362" i="44"/>
  <c r="L362" i="44" s="1"/>
  <c r="P382" i="44"/>
  <c r="L382" i="44" s="1"/>
  <c r="P402" i="44"/>
  <c r="L402" i="44" s="1"/>
  <c r="P422" i="44"/>
  <c r="L422" i="44" s="1"/>
  <c r="P442" i="44"/>
  <c r="L442" i="44" s="1"/>
  <c r="P462" i="44"/>
  <c r="L462" i="44" s="1"/>
  <c r="Q317" i="1"/>
  <c r="M317" i="1" s="1"/>
  <c r="Q342" i="1"/>
  <c r="M342" i="1" s="1"/>
  <c r="Q352" i="1"/>
  <c r="M352" i="1" s="1"/>
  <c r="P52" i="44"/>
  <c r="L52" i="44" s="1"/>
  <c r="P72" i="44"/>
  <c r="L72" i="44" s="1"/>
  <c r="P92" i="44"/>
  <c r="L92" i="44" s="1"/>
  <c r="P112" i="44"/>
  <c r="L112" i="44" s="1"/>
  <c r="P132" i="44"/>
  <c r="L132" i="44" s="1"/>
  <c r="P152" i="44"/>
  <c r="L152" i="44" s="1"/>
  <c r="P172" i="44"/>
  <c r="L172" i="44" s="1"/>
  <c r="P192" i="44"/>
  <c r="L192" i="44" s="1"/>
  <c r="P212" i="44"/>
  <c r="L212" i="44" s="1"/>
  <c r="P232" i="44"/>
  <c r="L232" i="44" s="1"/>
  <c r="P267" i="44"/>
  <c r="L267" i="44" s="1"/>
  <c r="P287" i="44"/>
  <c r="L287" i="44" s="1"/>
  <c r="P307" i="44"/>
  <c r="L307" i="44" s="1"/>
  <c r="P327" i="44"/>
  <c r="L327" i="44" s="1"/>
  <c r="P347" i="44"/>
  <c r="L347" i="44" s="1"/>
  <c r="P367" i="44"/>
  <c r="L367" i="44" s="1"/>
  <c r="P387" i="44"/>
  <c r="L387" i="44" s="1"/>
  <c r="P407" i="44"/>
  <c r="L407" i="44" s="1"/>
  <c r="P427" i="44"/>
  <c r="L427" i="44" s="1"/>
  <c r="P447" i="44"/>
  <c r="L447" i="44" s="1"/>
  <c r="P467" i="44"/>
  <c r="L467" i="44" s="1"/>
  <c r="Q157" i="1"/>
  <c r="M157" i="1" s="1"/>
  <c r="Q267" i="1"/>
  <c r="M267" i="1" s="1"/>
  <c r="Q17" i="1"/>
  <c r="M17" i="1" s="1"/>
  <c r="Q242" i="1"/>
  <c r="M242" i="1" s="1"/>
  <c r="Q282" i="1"/>
  <c r="M282" i="1" s="1"/>
  <c r="Q307" i="1"/>
  <c r="M307" i="1" s="1"/>
  <c r="P2" i="44"/>
  <c r="L2" i="44" s="1"/>
  <c r="P12" i="44"/>
  <c r="L12" i="44" s="1"/>
  <c r="P22" i="44"/>
  <c r="L22" i="44" s="1"/>
  <c r="P32" i="44"/>
  <c r="L32" i="44" s="1"/>
  <c r="P42" i="44"/>
  <c r="L42" i="44" s="1"/>
  <c r="P57" i="44"/>
  <c r="L57" i="44" s="1"/>
  <c r="P77" i="44"/>
  <c r="L77" i="44" s="1"/>
  <c r="P97" i="44"/>
  <c r="L97" i="44" s="1"/>
  <c r="P117" i="44"/>
  <c r="L117" i="44" s="1"/>
  <c r="P137" i="44"/>
  <c r="L137" i="44" s="1"/>
  <c r="P157" i="44"/>
  <c r="L157" i="44" s="1"/>
  <c r="P177" i="44"/>
  <c r="L177" i="44" s="1"/>
  <c r="P197" i="44"/>
  <c r="L197" i="44" s="1"/>
  <c r="P217" i="44"/>
  <c r="L217" i="44" s="1"/>
  <c r="P237" i="44"/>
  <c r="L237" i="44" s="1"/>
  <c r="P252" i="44"/>
  <c r="L252" i="44" s="1"/>
  <c r="P272" i="44"/>
  <c r="L272" i="44" s="1"/>
  <c r="P292" i="44"/>
  <c r="L292" i="44" s="1"/>
  <c r="P312" i="44"/>
  <c r="L312" i="44" s="1"/>
  <c r="P332" i="44"/>
  <c r="L332" i="44" s="1"/>
  <c r="P352" i="44"/>
  <c r="L352" i="44" s="1"/>
  <c r="P372" i="44"/>
  <c r="L372" i="44" s="1"/>
  <c r="P392" i="44"/>
  <c r="L392" i="44" s="1"/>
  <c r="P412" i="44"/>
  <c r="L412" i="44" s="1"/>
  <c r="P432" i="44"/>
  <c r="L432" i="44" s="1"/>
  <c r="P452" i="44"/>
  <c r="L452" i="44" s="1"/>
  <c r="P472" i="44"/>
  <c r="L472" i="44" s="1"/>
  <c r="R2" i="1"/>
  <c r="AC62" i="1"/>
  <c r="A62" i="1" s="1"/>
  <c r="AC152" i="1"/>
  <c r="A152" i="1" s="1"/>
  <c r="AB162" i="1"/>
  <c r="AB192" i="1"/>
  <c r="AC192" i="1"/>
  <c r="A192" i="1" s="1"/>
  <c r="AB217" i="1"/>
  <c r="AC217" i="1"/>
  <c r="A217" i="1" s="1"/>
  <c r="AB232" i="1"/>
  <c r="AC232" i="1"/>
  <c r="A232" i="1" s="1"/>
  <c r="AB257" i="1"/>
  <c r="AB272" i="1"/>
  <c r="AB297" i="1"/>
  <c r="AB302" i="1"/>
  <c r="AB322" i="1"/>
  <c r="AB432" i="1"/>
  <c r="AC432" i="1"/>
  <c r="A432" i="1" s="1"/>
  <c r="AC457" i="1"/>
  <c r="A457" i="1" s="1"/>
  <c r="AB472" i="1"/>
  <c r="AC472" i="1"/>
  <c r="A472" i="1" s="1"/>
  <c r="AB32" i="1"/>
  <c r="AB37" i="1"/>
  <c r="AB42" i="1"/>
  <c r="AB47" i="1"/>
  <c r="AB52" i="1"/>
  <c r="AB57" i="1"/>
  <c r="AB62" i="1"/>
  <c r="A2" i="1"/>
  <c r="AB7" i="1"/>
  <c r="AB27" i="1"/>
  <c r="AC32" i="1"/>
  <c r="A32" i="1" s="1"/>
  <c r="AC37" i="1"/>
  <c r="A37" i="1" s="1"/>
  <c r="AC42" i="1"/>
  <c r="A42" i="1" s="1"/>
  <c r="AC47" i="1"/>
  <c r="A47" i="1" s="1"/>
  <c r="AC52" i="1"/>
  <c r="A52" i="1" s="1"/>
  <c r="AC57" i="1"/>
  <c r="A57" i="1" s="1"/>
  <c r="AB122" i="1"/>
  <c r="AB127" i="1"/>
  <c r="AB132" i="1"/>
  <c r="AB137" i="1"/>
  <c r="AB142" i="1"/>
  <c r="AB147" i="1"/>
  <c r="AB152" i="1"/>
  <c r="AB172" i="1"/>
  <c r="AB197" i="1"/>
  <c r="AC197" i="1"/>
  <c r="A197" i="1" s="1"/>
  <c r="AB212" i="1"/>
  <c r="AC212" i="1"/>
  <c r="A212" i="1" s="1"/>
  <c r="AB237" i="1"/>
  <c r="AC237" i="1"/>
  <c r="A237" i="1" s="1"/>
  <c r="AB252" i="1"/>
  <c r="AB277" i="1"/>
  <c r="AB292" i="1"/>
  <c r="AB312" i="1"/>
  <c r="AB332" i="1"/>
  <c r="AC437" i="1"/>
  <c r="A437" i="1" s="1"/>
  <c r="AB452" i="1"/>
  <c r="AC452" i="1"/>
  <c r="A452" i="1" s="1"/>
  <c r="AC157" i="1"/>
  <c r="A157" i="1" s="1"/>
  <c r="AB187" i="1"/>
  <c r="AB207" i="1"/>
  <c r="AB227" i="1"/>
  <c r="AB427" i="1"/>
  <c r="AB447" i="1"/>
  <c r="AB467" i="1"/>
  <c r="AB182" i="1"/>
  <c r="AB202" i="1"/>
  <c r="AB222" i="1"/>
  <c r="AB422" i="1"/>
  <c r="AB442" i="1"/>
  <c r="AB462" i="1"/>
  <c r="AB437" i="1"/>
  <c r="AB457" i="1"/>
  <c r="AC467" i="1"/>
  <c r="A467" i="1" s="1"/>
  <c r="AB477" i="1"/>
  <c r="AC372" i="1"/>
  <c r="A372" i="1" s="1"/>
  <c r="AB372" i="1"/>
  <c r="AC392" i="1"/>
  <c r="A392" i="1" s="1"/>
  <c r="AB392" i="1"/>
  <c r="AC402" i="1"/>
  <c r="A402" i="1" s="1"/>
  <c r="AB402" i="1"/>
  <c r="AC362" i="1"/>
  <c r="A362" i="1" s="1"/>
  <c r="AB362" i="1"/>
  <c r="AC382" i="1"/>
  <c r="A382" i="1" s="1"/>
  <c r="AB382" i="1"/>
  <c r="AC412" i="1"/>
  <c r="A412" i="1" s="1"/>
  <c r="AB412" i="1"/>
  <c r="AC367" i="1"/>
  <c r="A367" i="1" s="1"/>
  <c r="AB367" i="1"/>
  <c r="AC377" i="1"/>
  <c r="A377" i="1" s="1"/>
  <c r="AB377" i="1"/>
  <c r="AC387" i="1"/>
  <c r="A387" i="1" s="1"/>
  <c r="AB387" i="1"/>
  <c r="AC397" i="1"/>
  <c r="A397" i="1" s="1"/>
  <c r="AB397" i="1"/>
  <c r="AC407" i="1"/>
  <c r="A407" i="1" s="1"/>
  <c r="AB407" i="1"/>
  <c r="AC417" i="1"/>
  <c r="A417" i="1" s="1"/>
  <c r="AB417" i="1"/>
  <c r="AC242" i="1"/>
  <c r="A242" i="1" s="1"/>
  <c r="AC247" i="1"/>
  <c r="A247" i="1" s="1"/>
  <c r="AC252" i="1"/>
  <c r="A252" i="1" s="1"/>
  <c r="AC262" i="1"/>
  <c r="A262" i="1" s="1"/>
  <c r="AC267" i="1"/>
  <c r="A267" i="1" s="1"/>
  <c r="AC272" i="1"/>
  <c r="A272" i="1" s="1"/>
  <c r="AC277" i="1"/>
  <c r="A277" i="1" s="1"/>
  <c r="AC282" i="1"/>
  <c r="A282" i="1" s="1"/>
  <c r="AC287" i="1"/>
  <c r="A287" i="1" s="1"/>
  <c r="AC292" i="1"/>
  <c r="A292" i="1" s="1"/>
  <c r="AC297" i="1"/>
  <c r="A297" i="1" s="1"/>
  <c r="AC97" i="1"/>
  <c r="A97" i="1" s="1"/>
  <c r="AB97" i="1"/>
  <c r="AC107" i="1"/>
  <c r="A107" i="1" s="1"/>
  <c r="AB107" i="1"/>
  <c r="AB72" i="1"/>
  <c r="AC102" i="1"/>
  <c r="A102" i="1" s="1"/>
  <c r="AB102" i="1"/>
  <c r="AC77" i="1"/>
  <c r="A77" i="1" s="1"/>
  <c r="AB77" i="1"/>
  <c r="AC87" i="1"/>
  <c r="A87" i="1" s="1"/>
  <c r="AB87" i="1"/>
  <c r="AC117" i="1"/>
  <c r="A117" i="1" s="1"/>
  <c r="AB117" i="1"/>
  <c r="AC82" i="1"/>
  <c r="A82" i="1" s="1"/>
  <c r="AB82" i="1"/>
  <c r="AC92" i="1"/>
  <c r="A92" i="1" s="1"/>
  <c r="AB92" i="1"/>
  <c r="AC112" i="1"/>
  <c r="A112" i="1" s="1"/>
  <c r="AB112" i="1"/>
  <c r="AB67" i="1"/>
  <c r="AC27" i="1"/>
  <c r="A27" i="1" s="1"/>
  <c r="AB12" i="1"/>
  <c r="AC7" i="1"/>
  <c r="A7" i="1" s="1"/>
  <c r="AB2" i="1"/>
  <c r="E35" i="1"/>
  <c r="E5" i="1"/>
  <c r="E55" i="1"/>
  <c r="E529" i="1"/>
  <c r="E594" i="1"/>
  <c r="E493" i="1"/>
  <c r="E100" i="1"/>
  <c r="E710" i="1"/>
  <c r="E774" i="1"/>
  <c r="E740" i="1"/>
  <c r="E65" i="1"/>
  <c r="E120" i="1"/>
  <c r="E45" i="1"/>
  <c r="E641" i="1"/>
  <c r="E20" i="1"/>
  <c r="E511" i="1"/>
  <c r="E110" i="1"/>
  <c r="E80" i="1"/>
  <c r="E105" i="1"/>
  <c r="E75" i="1"/>
  <c r="E115" i="1"/>
  <c r="E577" i="1"/>
  <c r="E50" i="1"/>
  <c r="E726" i="1"/>
  <c r="E60" i="1"/>
  <c r="E642" i="1"/>
  <c r="E543" i="1"/>
  <c r="E624" i="1"/>
  <c r="E15" i="1"/>
  <c r="E608" i="1"/>
  <c r="E659" i="1"/>
  <c r="E802" i="1"/>
  <c r="E30" i="1"/>
  <c r="E815" i="1"/>
  <c r="E70" i="1"/>
  <c r="E691" i="1"/>
  <c r="E558" i="1"/>
  <c r="E10" i="1"/>
  <c r="E11" i="1" s="1"/>
  <c r="E834" i="1"/>
  <c r="E675" i="1"/>
  <c r="E90" i="1"/>
  <c r="E91" i="1" s="1"/>
  <c r="E25" i="1"/>
  <c r="E756" i="1"/>
  <c r="E85" i="1"/>
  <c r="E95" i="1"/>
  <c r="E40" i="1"/>
  <c r="AH33" i="44" l="1"/>
  <c r="AH31" i="44"/>
  <c r="AH248" i="44"/>
  <c r="AH20" i="44"/>
  <c r="AH36" i="44"/>
  <c r="AH25" i="44"/>
  <c r="AH4" i="44"/>
  <c r="AH29" i="44"/>
  <c r="AH10" i="44"/>
  <c r="AH249" i="44"/>
  <c r="AH19" i="44"/>
  <c r="AH24" i="44"/>
  <c r="AH16" i="44"/>
  <c r="AH28" i="44"/>
  <c r="AH250" i="44"/>
  <c r="AH21" i="44"/>
  <c r="Q67" i="1"/>
  <c r="M67" i="1" s="1"/>
  <c r="Q377" i="1"/>
  <c r="M377" i="1" s="1"/>
  <c r="Q477" i="1"/>
  <c r="M477" i="1" s="1"/>
  <c r="Q427" i="1"/>
  <c r="M427" i="1" s="1"/>
  <c r="Q252" i="1"/>
  <c r="M252" i="1" s="1"/>
  <c r="Q152" i="1"/>
  <c r="M152" i="1" s="1"/>
  <c r="Q62" i="1"/>
  <c r="M62" i="1" s="1"/>
  <c r="Q322" i="1"/>
  <c r="M322" i="1" s="1"/>
  <c r="Q2" i="1"/>
  <c r="M2" i="1" s="1"/>
  <c r="Q412" i="1"/>
  <c r="M412" i="1" s="1"/>
  <c r="Q462" i="1"/>
  <c r="M462" i="1" s="1"/>
  <c r="Q332" i="1"/>
  <c r="M332" i="1" s="1"/>
  <c r="Q132" i="1"/>
  <c r="M132" i="1" s="1"/>
  <c r="Q42" i="1"/>
  <c r="M42" i="1" s="1"/>
  <c r="Q217" i="1"/>
  <c r="M217" i="1" s="1"/>
  <c r="Q87" i="1"/>
  <c r="M87" i="1" s="1"/>
  <c r="Q397" i="1"/>
  <c r="M397" i="1" s="1"/>
  <c r="Q392" i="1"/>
  <c r="M392" i="1" s="1"/>
  <c r="Q472" i="1"/>
  <c r="M472" i="1" s="1"/>
  <c r="Q257" i="1"/>
  <c r="M257" i="1" s="1"/>
  <c r="Q112" i="1"/>
  <c r="M112" i="1" s="1"/>
  <c r="Q102" i="1"/>
  <c r="M102" i="1" s="1"/>
  <c r="Q57" i="1"/>
  <c r="M57" i="1" s="1"/>
  <c r="Q302" i="1"/>
  <c r="M302" i="1" s="1"/>
  <c r="Q12" i="1"/>
  <c r="M12" i="1" s="1"/>
  <c r="Q97" i="1"/>
  <c r="M97" i="1" s="1"/>
  <c r="Q407" i="1"/>
  <c r="M407" i="1" s="1"/>
  <c r="Q387" i="1"/>
  <c r="M387" i="1" s="1"/>
  <c r="Q367" i="1"/>
  <c r="M367" i="1" s="1"/>
  <c r="Q382" i="1"/>
  <c r="M382" i="1" s="1"/>
  <c r="Q402" i="1"/>
  <c r="M402" i="1" s="1"/>
  <c r="Q372" i="1"/>
  <c r="M372" i="1" s="1"/>
  <c r="Q457" i="1"/>
  <c r="M457" i="1" s="1"/>
  <c r="Q422" i="1"/>
  <c r="M422" i="1" s="1"/>
  <c r="Q467" i="1"/>
  <c r="M467" i="1" s="1"/>
  <c r="Q207" i="1"/>
  <c r="M207" i="1" s="1"/>
  <c r="Q452" i="1"/>
  <c r="M452" i="1" s="1"/>
  <c r="Q292" i="1"/>
  <c r="M292" i="1" s="1"/>
  <c r="Q237" i="1"/>
  <c r="M237" i="1" s="1"/>
  <c r="Q197" i="1"/>
  <c r="M197" i="1" s="1"/>
  <c r="Q142" i="1"/>
  <c r="M142" i="1" s="1"/>
  <c r="Q122" i="1"/>
  <c r="M122" i="1" s="1"/>
  <c r="Q7" i="1"/>
  <c r="M7" i="1" s="1"/>
  <c r="Q52" i="1"/>
  <c r="M52" i="1" s="1"/>
  <c r="Q32" i="1"/>
  <c r="M32" i="1" s="1"/>
  <c r="Q297" i="1"/>
  <c r="M297" i="1" s="1"/>
  <c r="Q232" i="1"/>
  <c r="M232" i="1" s="1"/>
  <c r="Q192" i="1"/>
  <c r="M192" i="1" s="1"/>
  <c r="Q107" i="1"/>
  <c r="M107" i="1" s="1"/>
  <c r="Q417" i="1"/>
  <c r="M417" i="1" s="1"/>
  <c r="Q362" i="1"/>
  <c r="M362" i="1" s="1"/>
  <c r="Q202" i="1"/>
  <c r="M202" i="1" s="1"/>
  <c r="Q212" i="1"/>
  <c r="M212" i="1" s="1"/>
  <c r="Q82" i="1"/>
  <c r="M82" i="1" s="1"/>
  <c r="Q442" i="1"/>
  <c r="M442" i="1" s="1"/>
  <c r="Q182" i="1"/>
  <c r="M182" i="1" s="1"/>
  <c r="Q227" i="1"/>
  <c r="M227" i="1" s="1"/>
  <c r="Q312" i="1"/>
  <c r="M312" i="1" s="1"/>
  <c r="Q147" i="1"/>
  <c r="M147" i="1" s="1"/>
  <c r="Q127" i="1"/>
  <c r="M127" i="1" s="1"/>
  <c r="Q27" i="1"/>
  <c r="M27" i="1" s="1"/>
  <c r="Q37" i="1"/>
  <c r="M37" i="1" s="1"/>
  <c r="Q92" i="1"/>
  <c r="M92" i="1" s="1"/>
  <c r="Q117" i="1"/>
  <c r="M117" i="1" s="1"/>
  <c r="Q77" i="1"/>
  <c r="M77" i="1" s="1"/>
  <c r="Q72" i="1"/>
  <c r="M72" i="1" s="1"/>
  <c r="Q437" i="1"/>
  <c r="M437" i="1" s="1"/>
  <c r="Q222" i="1"/>
  <c r="M222" i="1" s="1"/>
  <c r="Q447" i="1"/>
  <c r="M447" i="1" s="1"/>
  <c r="Q187" i="1"/>
  <c r="M187" i="1" s="1"/>
  <c r="Q277" i="1"/>
  <c r="M277" i="1" s="1"/>
  <c r="Q172" i="1"/>
  <c r="M172" i="1" s="1"/>
  <c r="Q137" i="1"/>
  <c r="M137" i="1" s="1"/>
  <c r="Q47" i="1"/>
  <c r="M47" i="1" s="1"/>
  <c r="Q432" i="1"/>
  <c r="M432" i="1" s="1"/>
  <c r="Q272" i="1"/>
  <c r="M272" i="1" s="1"/>
  <c r="Q162" i="1"/>
  <c r="M162" i="1" s="1"/>
  <c r="E757" i="1"/>
  <c r="E121" i="1"/>
  <c r="E96" i="1"/>
  <c r="E625" i="1"/>
  <c r="E816" i="1"/>
  <c r="E609" i="1"/>
  <c r="E26" i="1"/>
  <c r="E711" i="1"/>
  <c r="E610" i="1"/>
  <c r="E611" i="1"/>
  <c r="E6" i="1"/>
  <c r="E530" i="1"/>
  <c r="E21" i="1"/>
  <c r="E660" i="1"/>
  <c r="E41" i="1"/>
  <c r="E692" i="1"/>
  <c r="E544" i="1"/>
  <c r="E116" i="1"/>
  <c r="E727" i="1"/>
  <c r="E578" i="1"/>
  <c r="E101" i="1"/>
  <c r="E86" i="1"/>
  <c r="E31" i="1"/>
  <c r="E676" i="1"/>
  <c r="E728" i="1"/>
  <c r="E36" i="1"/>
  <c r="E46" i="1"/>
  <c r="E61" i="1"/>
  <c r="E16" i="1"/>
  <c r="E559" i="1"/>
  <c r="E560" i="1" s="1"/>
  <c r="E81" i="1"/>
  <c r="E106" i="1"/>
  <c r="E595" i="1"/>
  <c r="E56" i="1"/>
  <c r="E758" i="1"/>
  <c r="E775" i="1"/>
  <c r="E111" i="1"/>
  <c r="E545" i="1"/>
  <c r="E643" i="1"/>
  <c r="E644" i="1" s="1"/>
  <c r="E76" i="1"/>
  <c r="E661" i="1"/>
  <c r="E662" i="1" s="1"/>
  <c r="E663" i="1" s="1"/>
  <c r="E512" i="1"/>
  <c r="E513" i="1" s="1"/>
  <c r="E66" i="1"/>
  <c r="E626" i="1"/>
  <c r="E494" i="1"/>
  <c r="E51" i="1"/>
  <c r="E495" i="1"/>
  <c r="E579" i="1"/>
  <c r="E580" i="1" s="1"/>
  <c r="E741" i="1"/>
  <c r="E71" i="1"/>
  <c r="E835" i="1"/>
  <c r="E693" i="1"/>
  <c r="E496" i="1"/>
  <c r="E497" i="1" s="1"/>
  <c r="E498" i="1"/>
  <c r="E581" i="1"/>
  <c r="E645" i="1"/>
  <c r="E646" i="1" s="1"/>
  <c r="E596" i="1"/>
  <c r="E597" i="1" s="1"/>
  <c r="E531" i="1"/>
  <c r="E677" i="1"/>
  <c r="E694" i="1"/>
  <c r="E695" i="1" s="1"/>
  <c r="E627" i="1"/>
  <c r="E628" i="1" s="1"/>
  <c r="E546" i="1"/>
  <c r="E561" i="1"/>
  <c r="E612" i="1"/>
  <c r="E712" i="1"/>
  <c r="E713" i="1" s="1"/>
  <c r="E664" i="1"/>
  <c r="E817" i="1"/>
  <c r="E818" i="1" s="1"/>
  <c r="E819" i="1" s="1"/>
  <c r="E820" i="1" s="1"/>
  <c r="E836" i="1"/>
  <c r="E514" i="1"/>
  <c r="E776" i="1"/>
  <c r="E729" i="1"/>
  <c r="E742" i="1"/>
  <c r="E759" i="1"/>
  <c r="E760" i="1"/>
  <c r="E761" i="1" s="1"/>
  <c r="E515" i="1"/>
  <c r="E516" i="1" s="1"/>
  <c r="E613" i="1"/>
  <c r="E696" i="1"/>
  <c r="E647" i="1"/>
  <c r="E547" i="1"/>
  <c r="E629" i="1"/>
  <c r="E743" i="1"/>
  <c r="E837" i="1"/>
  <c r="E562" i="1"/>
  <c r="E563" i="1" s="1"/>
  <c r="E678" i="1"/>
  <c r="E582" i="1"/>
  <c r="E583" i="1" s="1"/>
  <c r="E821" i="1"/>
  <c r="E822" i="1" s="1"/>
  <c r="E499" i="1"/>
  <c r="E598" i="1"/>
  <c r="E730" i="1"/>
  <c r="E532" i="1"/>
  <c r="E777" i="1"/>
  <c r="E714" i="1"/>
  <c r="E715" i="1" s="1"/>
  <c r="E778" i="1"/>
  <c r="E838" i="1"/>
  <c r="E697" i="1"/>
  <c r="E648" i="1"/>
  <c r="E823" i="1"/>
  <c r="E744" i="1"/>
  <c r="E517" i="1"/>
  <c r="E762" i="1"/>
  <c r="E679" i="1"/>
  <c r="E630" i="1"/>
  <c r="E631" i="1" s="1"/>
  <c r="E564" i="1"/>
  <c r="E565" i="1"/>
  <c r="E649" i="1"/>
  <c r="E763" i="1"/>
  <c r="E839" i="1"/>
  <c r="E779" i="1"/>
  <c r="E780" i="1" s="1"/>
  <c r="E745" i="1"/>
  <c r="E824" i="1"/>
  <c r="E781" i="1"/>
  <c r="E840" i="1"/>
  <c r="E841" i="1"/>
  <c r="E782" i="1"/>
  <c r="E783" i="1"/>
  <c r="E842" i="1"/>
  <c r="E843" i="1" s="1"/>
  <c r="E844" i="1" s="1"/>
  <c r="E845" i="1"/>
  <c r="E846" i="1" s="1"/>
  <c r="E784" i="1"/>
  <c r="E785" i="1"/>
  <c r="E847" i="1"/>
  <c r="E848" i="1"/>
  <c r="E786" i="1"/>
  <c r="E787" i="1"/>
  <c r="E849" i="1"/>
  <c r="E850" i="1"/>
  <c r="E788" i="1"/>
</calcChain>
</file>

<file path=xl/sharedStrings.xml><?xml version="1.0" encoding="utf-8"?>
<sst xmlns="http://schemas.openxmlformats.org/spreadsheetml/2006/main" count="12489" uniqueCount="973">
  <si>
    <t>Field Name</t>
  </si>
  <si>
    <t>Width</t>
  </si>
  <si>
    <t>Bits</t>
  </si>
  <si>
    <t>Description</t>
  </si>
  <si>
    <t>Need to latch for at-speed scan?</t>
  </si>
  <si>
    <t>COMMON</t>
  </si>
  <si>
    <t>NO</t>
  </si>
  <si>
    <t>1'b0</t>
  </si>
  <si>
    <t>YES</t>
  </si>
  <si>
    <t>FFDIV</t>
  </si>
  <si>
    <t>DEBUF</t>
  </si>
  <si>
    <t>HEX2DEC</t>
  </si>
  <si>
    <t>DEC2HEX</t>
  </si>
  <si>
    <t>PULSE</t>
  </si>
  <si>
    <t>SEBUF</t>
  </si>
  <si>
    <t>wr</t>
  </si>
  <si>
    <t>r</t>
  </si>
  <si>
    <t>hw type</t>
  </si>
  <si>
    <t>hwclr</t>
  </si>
  <si>
    <t>we</t>
  </si>
  <si>
    <t>PHMOD</t>
  </si>
  <si>
    <t>Reg Offset</t>
  </si>
  <si>
    <t>CMU</t>
  </si>
  <si>
    <t>default type</t>
  </si>
  <si>
    <t>Reg Type</t>
  </si>
  <si>
    <t>WR</t>
  </si>
  <si>
    <t>RO</t>
  </si>
  <si>
    <t>REG_TYPE</t>
  </si>
  <si>
    <t>DEFAULT_TYPE</t>
  </si>
  <si>
    <t>soft strap</t>
  </si>
  <si>
    <t>default</t>
  </si>
  <si>
    <t>strap</t>
  </si>
  <si>
    <t>fuse</t>
  </si>
  <si>
    <t>Reg Name</t>
  </si>
  <si>
    <t>Sus Well</t>
  </si>
  <si>
    <t>Date</t>
  </si>
  <si>
    <t>Default</t>
  </si>
  <si>
    <t>Revision</t>
  </si>
  <si>
    <t>Comment</t>
  </si>
  <si>
    <t>Removing un-allocated registers from the list (PLLDIVRATIOS_1, PLLSEQUENCE_0 &amp; DFT_2)</t>
  </si>
  <si>
    <t>10/12/2012</t>
  </si>
  <si>
    <t>All reserved registers type changed to RO type</t>
  </si>
  <si>
    <t>1.0 - POLO</t>
  </si>
  <si>
    <t>Default change: [[CONFIG_1]] changed From 32'b00100000000000000000000000000000 To  32'b001000S0000000000000000000000000</t>
  </si>
  <si>
    <t>CHV PROD</t>
  </si>
  <si>
    <t>Default change: [[DFT_1]] changed From 32'b00110000000000000100010000000000To  32'b0011000000000000SSSS110000000000</t>
  </si>
  <si>
    <t>BXT/DNV - RTL0p8</t>
  </si>
  <si>
    <t>Register byte name changes:
1) PLLSEQUENCE_1 --&gt; PLLSEQUENCE_0
2) DFT_3 --&gt; DFT_2</t>
  </si>
  <si>
    <t>New register byts:
1) DFT_BIST - Control the fbdiv SHMOO HVM test
2) CALIB_MNTR - RO register for calibration information loggin</t>
  </si>
  <si>
    <t>DFT_0: Modified registers
1) dcofine_val[10:0] --&gt; dcofine_val[8:0]</t>
  </si>
  <si>
    <t>FILTER_OBS: Modified registers
1) fine_min[10:0] --&gt; fine_min[8:0]
2) fine_max[10:0] --&gt; fine_max[8:0]
3) Added spare registers: spare_filter[3:0]</t>
  </si>
  <si>
    <t>SFRCONFIG_0: Modified registers
1) sfrlpfres_ovrd_sel
2) sfrlpfres_ovrd_val
3) digmode_en</t>
  </si>
  <si>
    <t>25/6/2013</t>
  </si>
  <si>
    <t>Default change: [[PLLDIVRATIOS_0]] changed From 32'bSSSSSSSS011001000000000000000000 To  32'bSSSSSSSS011001000001000000000000</t>
  </si>
  <si>
    <t>Default change: [[FILTER_OBS]] changed From 32'b10000000000000000000000000000000 To  32'b11111111100000000000000000000000</t>
  </si>
  <si>
    <t>Default change: [[DFT_BIST]] changed From 32'b00000000000000000100000000000000 To  32'b00000000000000000110000000000000</t>
  </si>
  <si>
    <t>Default change: [[CALIB_MNTR]] changed From 32'b00000000000000000000000000000000 To  32'b10000000000000000000000000000000</t>
  </si>
  <si>
    <t>Default change: [[CALIB_MNTR]] changed From 32'b10000000000000000000000000000000 To  32'b10001000000000000000000000000000</t>
  </si>
  <si>
    <t>Default change: [[CALIB_MNTR]] changed From 32'b10001000000000000000000000000000 To  32'b10001000011100000000000000000000</t>
  </si>
  <si>
    <t>Default change: [[DFT_0]] changed From 32'b00000000000000000000000000000000 To  32'b10000100000000001111110000000000</t>
  </si>
  <si>
    <t>Default change: [[DFT_1]] changed From 32'b10000100000000001111110000000000 To  32'b0011000000000000SSSSSS0000000000</t>
  </si>
  <si>
    <t>BXT/DNV - RTL1p0</t>
  </si>
  <si>
    <t>BXT/DNV - POLO</t>
  </si>
  <si>
    <t>Default register updates [FILTER_OBS]:
1) pe_min[4:0] --&gt; 5'b01111
2) pe_max[4:0] --&gt; 5'b10000</t>
  </si>
  <si>
    <t>Renamed registers [DFT_1]:
1) Fine_p2p  --&gt; fine_pe_minmax_p2p
2) Fine_minmaxen --&gt; fine_pe_minmaxen
3) Fine_minmaxrst --&gt; fine_pe_minmaxrst</t>
  </si>
  <si>
    <t>Removed registers [DFT_1]:
1) Pe_minmaxrst
2) Pe_minmaxen
3) Disable_autoclkgate</t>
  </si>
  <si>
    <t>Renamed register [DFT_2]:
1) lock_testfail --&gt; narrow_lock</t>
  </si>
  <si>
    <t>Added register [DFT_1]:
1) p2p_fine_pe_selsect</t>
  </si>
  <si>
    <t>RW</t>
  </si>
  <si>
    <t>sar_array_sapre (routed)</t>
  </si>
  <si>
    <t>nob</t>
  </si>
  <si>
    <t>dac_reset_force_dfx</t>
  </si>
  <si>
    <t>dac_clear_force_dfx</t>
  </si>
  <si>
    <t>force DAC and memory reset</t>
  </si>
  <si>
    <t>force DAC clear (short dacp to dacn)</t>
  </si>
  <si>
    <t>Default change: [[reg015]] changed From 32'b00000001000000100000000000000000 To  32'b00000000000000000000000000000000</t>
  </si>
  <si>
    <t>Default change: [[sar_common_ctl]] changed From 32'b00000000000000000000000000000000 To  32'b00000001000000100000000000000000</t>
  </si>
  <si>
    <t>th_boost_select</t>
  </si>
  <si>
    <t>5'b00000</t>
  </si>
  <si>
    <t>Reg Soconline Offset</t>
  </si>
  <si>
    <r>
      <rPr>
        <b/>
        <sz val="11"/>
        <color theme="1"/>
        <rFont val="Calibri"/>
        <family val="2"/>
        <scheme val="minor"/>
      </rPr>
      <t>nober of bits:</t>
    </r>
    <r>
      <rPr>
        <sz val="11"/>
        <color theme="1"/>
        <rFont val="Calibri"/>
        <family val="2"/>
        <scheme val="minor"/>
      </rPr>
      <t xml:space="preserve">
bits 24:23 
2'b00 - 5 bits
2'b01 - 6 bits
2'b10 - 7 bits
2'b11 - 8 bits
</t>
    </r>
    <r>
      <rPr>
        <b/>
        <sz val="11"/>
        <color theme="1"/>
        <rFont val="Calibri"/>
        <family val="2"/>
        <scheme val="minor"/>
      </rPr>
      <t>bit 25</t>
    </r>
    <r>
      <rPr>
        <sz val="11"/>
        <color theme="1"/>
        <rFont val="Calibri"/>
        <family val="2"/>
        <scheme val="minor"/>
      </rPr>
      <t xml:space="preserve">
1'b0 - 8th data bit = valid
1'b1 - 8th data bit = SAR 8th bit</t>
    </r>
  </si>
  <si>
    <t>3'b010</t>
  </si>
  <si>
    <t>user define</t>
  </si>
  <si>
    <t xml:space="preserve">Domain </t>
  </si>
  <si>
    <t>decoder pin</t>
  </si>
  <si>
    <t>Default change: [[QVT0_QURTET0]] changed From  To  32'b00000000000000000000000000000000</t>
  </si>
  <si>
    <t>Default change: [[SAR_COMMON_REG0]] changed From 32'b00000000000000000000000000000000 To  32'b00000001110000000000000000000000</t>
  </si>
  <si>
    <t>Default change: [[SAR_COMMON_REG1]] changed From 32'b00000001110000000000000000000000 To  32'b00000000000000000000000000000000</t>
  </si>
  <si>
    <t>SA ADDRESS</t>
  </si>
  <si>
    <t>Default change: [[QUAD0_QURTET0]] changed From 32'b00000000000000000000000000000000 To  32'b00000000000000000000000000000001</t>
  </si>
  <si>
    <t>Default change: [[QUAD0_QURTET0]] changed From 32'b00000000000000000000000000000001 To  32'b00100000000000000000000000000001</t>
  </si>
  <si>
    <t>Default change: [[QUAD0_QURTET0]] changed From 32'b00100000000000000000000000000001 To  32'b00100000000000000000000000000000</t>
  </si>
  <si>
    <t>Default change: [[QUAD0_QURTET0]] changed From 32'b00100000000000000000000000000000 To  32'b00100010000000000000000000000000</t>
  </si>
  <si>
    <t>Default change: [[QUAD0_QURTET0]] changed From 32'b00100010000000000000000000000000 To  32'b00100010000000000000000000000001</t>
  </si>
  <si>
    <t>Default change: [[QUAD0_QURTET0]] changed From 32'b00100010000000000000000000000001 To  32'b00100010000000000000000000000000</t>
  </si>
  <si>
    <t>Default change: [[QUAD0_QURTET0]] changed From 32'b00100010000000000000000000000000 To  32'b00100000000000000000000000000000</t>
  </si>
  <si>
    <t>Default change: [[QUAD0_QURTET0]] changed From 32'b00100000000000000000000000000000 To  32'b00000000000000000000000000000000</t>
  </si>
  <si>
    <t>Default Value(HEX)</t>
  </si>
  <si>
    <t>Default change: [[SAR_COMMON_REG1]] changed From 32'b00000001000000000000000000000000 To  32'b00000000000000000000000000000000</t>
  </si>
  <si>
    <t>Default change: [[DATA_ALIGN_REG0]] changed From 32'b00000000000000000000000000000000 To  32'b00000001000000000000000000000000</t>
  </si>
  <si>
    <t>Default change: [[DATA_ALIGN_REG0]] changed From 32'b00000001000000000000000000000000 To  32'b00000011000000000000000000000000</t>
  </si>
  <si>
    <t>Default change: [[SAR_COMMON_REG1]] changed From 32'b00000011000000000000000000000000 To  32'b00000000000000000000000000000000</t>
  </si>
  <si>
    <t>Default change: [[DATA_ALIGN_REG0]] changed From 32'b00000000000000000000000000000000 To  32'b00000011000000000000000000000000</t>
  </si>
  <si>
    <t>Default change: [[DATA_ALIGN_REG0]] changed From 32'b00000000000000000000000000000000 To  32'b00000011000000000000100000000000</t>
  </si>
  <si>
    <t>Default change: [[SAR_COMMON_REG1]] changed From 32'b00000011000000000000100000000000 To  32'b00000000000000000000000000000000</t>
  </si>
  <si>
    <t>Default change: [[DATA_ALIGN_REG0]] changed From 32'b00000000000000000000000000000000 To  32'b00000011000000001100100000000000</t>
  </si>
  <si>
    <t>Default change: [[DATA_ALIGN_REG0]] changed From 32'b00000011000000001100100000000000 To  32'b00000011000000000000100000000000</t>
  </si>
  <si>
    <t>Default change: [[DATA_ALIGN_REG0]] changed From 32'b00000011000000000000100000000000 To  32'b00000011000000001100100000000000</t>
  </si>
  <si>
    <t>Default change: [[SAR_COMMON_REG1]] changed From 32'b00000011000000001100100000000000 To  32'b00000000000000000000000000000000</t>
  </si>
  <si>
    <t>Default change: [[DATA_ALIGN_REG0]] changed From 32'b00000011000000001100100000000000 To  32'b00001111000000000000111100000000</t>
  </si>
  <si>
    <t>Default change: [[DATA_ALIGN_REG0]] changed From 32'b00000011000000001100100000000000 To  32'b00000010000000001100100000000000</t>
  </si>
  <si>
    <t>Default change: [[DATA_ALIGN_REG1]] changed From 32'b00001111000000000000111100000000 To  32'b00000011000000000000111100000000</t>
  </si>
  <si>
    <t>Default change: [[DATA_ALIGN_REG1]] changed From 32'b00000011000000000000111100000000 To  32'b00000011000000000000001100000000</t>
  </si>
  <si>
    <t>Default change: [[LDO_DCOM]] changed From 32'b00000010000000001100100000000000 To  32'b00000011000000000000001100000000</t>
  </si>
  <si>
    <t>Default change: [[DIVIDER_CTRL]] changed From 32'b00000011000000000000001100000000 To  32'b00000000000000000000000000000000</t>
  </si>
  <si>
    <t>Default change: [[DIVIDER_CTRL]] changed From 32'b00000000000000000000000000000000 To  32'b10000000000000000000000000000000</t>
  </si>
  <si>
    <t>Default change: [[DIVIDER_CTRL]] changed From 32'b10000000000000000000000000000000 To  32'b10000101000000000000000000000000</t>
  </si>
  <si>
    <t>Default change: [[DIVIDER_CTRL]] changed From 32'b10000101000000000000000000000000 To  32'b10000101010110000000000000000000</t>
  </si>
  <si>
    <t>Default change: [[DIVIDER_CTRL]] changed From 32'b10000101010110000000000000000000 To  32'b10000101110110000000000000000000</t>
  </si>
  <si>
    <t>Default change: [[LDO_DCOM]] changed From 32'b10000101110110000000000000000000 To  32'b00000011000000000000001100000000</t>
  </si>
  <si>
    <t>Default change: [[DIVIDER_CTRL]] changed From 32'b00000011000000000000001100000000 To  32'b10000101110110000000000000000000</t>
  </si>
  <si>
    <t>Default change: [[LDO_CTRL]] changed From 32'b10000101110110000000000000000000 To  32'b00000000000000000000011111111111</t>
  </si>
  <si>
    <t>Default change: [[LDO_CTRL]] changed From 32'b00000011000000000000001100000000 To  32'b00000000000000000000011111111111</t>
  </si>
  <si>
    <t>Default change: [[DIVIDER_CTRL]] changed From 32'b10000101110110000000000000000000 To  32'b00000101110110000000000000000000</t>
  </si>
  <si>
    <t>Default change: [[LDO_DCOM]] changed From 32'b00000000000000000000011111111111 To  32'b00000000000000000000000000000000</t>
  </si>
  <si>
    <t>dom</t>
  </si>
  <si>
    <t>M/L</t>
  </si>
  <si>
    <t>slicer</t>
  </si>
  <si>
    <t>sar</t>
  </si>
  <si>
    <t>quad</t>
  </si>
  <si>
    <t>addr</t>
  </si>
  <si>
    <t>reg_name_struct</t>
  </si>
  <si>
    <t>pin</t>
  </si>
  <si>
    <t>8'b0</t>
  </si>
  <si>
    <t>NVM value</t>
  </si>
  <si>
    <t>Reset value</t>
  </si>
  <si>
    <t>Reset Value(HEX)</t>
  </si>
  <si>
    <t>sar_n</t>
  </si>
  <si>
    <t>qurtet_n</t>
  </si>
  <si>
    <t>quad_n</t>
  </si>
  <si>
    <t>slc_n</t>
  </si>
  <si>
    <t>=CONCATENATE("sar",RC[27]+RC[28]*4+RC[29]*16,"_slc",RC[30])</t>
  </si>
  <si>
    <t>sar_interleave</t>
  </si>
  <si>
    <t>8 bit: MSB,sign  ,others , magnitude gray code (0:126) 127 iligeal.</t>
  </si>
  <si>
    <t>QUAD0_QURTET0</t>
  </si>
  <si>
    <t>o_qrt0_init_clgc_fw</t>
  </si>
  <si>
    <t>4'b1000</t>
  </si>
  <si>
    <t>initial clogic val</t>
  </si>
  <si>
    <t>o_qrt0_dis_clgc</t>
  </si>
  <si>
    <t>4'b0</t>
  </si>
  <si>
    <t>disable clgc</t>
  </si>
  <si>
    <t>o_qrt0_dcmon_en</t>
  </si>
  <si>
    <t xml:space="preserve">"1" - open dcmon quad0 quartet0  , "0"  - close dcmon quad quartet0 </t>
  </si>
  <si>
    <t>o_qrt0_sar0_gain_per_sar_fw</t>
  </si>
  <si>
    <t>2'b0</t>
  </si>
  <si>
    <t>not implement yet</t>
  </si>
  <si>
    <t>o_qrt0_sar0_spare_fw</t>
  </si>
  <si>
    <t>SAR 0 spare</t>
  </si>
  <si>
    <t>o_qrt0_sar1_gain_per_sar_fw</t>
  </si>
  <si>
    <t>o_qrt0_sar1_spare_fw</t>
  </si>
  <si>
    <t>SAR 1 spare</t>
  </si>
  <si>
    <t>o_qrt0_sar2_gain_per_sar_fw</t>
  </si>
  <si>
    <t>o_qrt0_sar2_spare_fw</t>
  </si>
  <si>
    <t>SAR 2 spare</t>
  </si>
  <si>
    <t>o_qrt0_sar3_gain_per_sar_fw</t>
  </si>
  <si>
    <t>o_qrt0_sar3_spare_fw</t>
  </si>
  <si>
    <t>SAR 3 spare</t>
  </si>
  <si>
    <t>o_qrt0_dcmon_0p9_sar_en_fw</t>
  </si>
  <si>
    <t>sar_dcmon_en:
2'b00 - SAR0
2'b01 - SAR1
2'b10 - SAR2
2'b11 - SAR3</t>
  </si>
  <si>
    <t>o_octet0_left_dcmon_p_en</t>
  </si>
  <si>
    <t xml:space="preserve">octet dcmon_p left </t>
  </si>
  <si>
    <t>o_octet0_left_dcmon_n_en</t>
  </si>
  <si>
    <t xml:space="preserve">octet dcmon_n left </t>
  </si>
  <si>
    <t>o_octet0_right_dcmon_p_en</t>
  </si>
  <si>
    <t>octet dcmon_p right</t>
  </si>
  <si>
    <t>o_octet0_right_dcmon_n_en</t>
  </si>
  <si>
    <t>octet dcmon_n right</t>
  </si>
  <si>
    <t>o_qrt0_clgc_clk_dc_ctrl_fw</t>
  </si>
  <si>
    <t>3'b0</t>
  </si>
  <si>
    <t>MSB clgc_clk_dc_ctrl_fw[2] - "0" disable delay , "1" enable delay.
when delay is off:
clgc_clk_dc_ctrl_fw[1:0] - "0","1","2","3" - TH2 duty cycle 8UI
When delay is on:
clgc_clk_dc_ctrl_fw[1:0] - "0" - TH2 duty cycle 9UI
clgc_clk_dc_ctrl_fw[1:0] - "1" - TH2 duty cycle 9.25UI
clgc_clk_dc_ctrl_fw[1:0] - "2" - TH2 duty cycle 9.5UI
clgc_clk_dc_ctrl_fw[1:0] - "3" - TH2 duty cycle 10UI</t>
  </si>
  <si>
    <t>QUAD0_QURTET1</t>
  </si>
  <si>
    <t>o_qrt1_init_clgc_fw</t>
  </si>
  <si>
    <t>4'b0100</t>
  </si>
  <si>
    <t>o_qrt1_dis_clgc</t>
  </si>
  <si>
    <t>o_qrt1_dcmon_en</t>
  </si>
  <si>
    <t>"1" - open dcmon quad0 quartet1  , "0"  - close dcmon quad quartet1</t>
  </si>
  <si>
    <t>o_qrt1_sar0_gain_per_sar_fw</t>
  </si>
  <si>
    <t>o_qrt1_sar0_spare_fw</t>
  </si>
  <si>
    <t>o_qrt1_sar1_gain_per_sar_fw</t>
  </si>
  <si>
    <t>o_qrt1_sar1_spare_fw</t>
  </si>
  <si>
    <t>o_qrt1_sar2_gain_per_sar_fw</t>
  </si>
  <si>
    <t>o_qrt1_sar2_spare_fw</t>
  </si>
  <si>
    <t>o_qrt1_sar3_gain_per_sar_fw</t>
  </si>
  <si>
    <t>o_qrt1_sar3_spare_fw</t>
  </si>
  <si>
    <t>o_qrt1_dcmon_0p9_sar_en_fw</t>
  </si>
  <si>
    <t>o_octet1_left_dcmon_p_en</t>
  </si>
  <si>
    <t>o_octet1_left_dcmon_n_en</t>
  </si>
  <si>
    <t>o_octet1_right_dcmon_p_en</t>
  </si>
  <si>
    <t>o_octet1_right_dcmon_n_en</t>
  </si>
  <si>
    <t>o_qrt1_clgc_clk_dc_ctrl_fw</t>
  </si>
  <si>
    <t>QUAD0_QURTET2</t>
  </si>
  <si>
    <t>o_qrt2_init_clgc_fw</t>
  </si>
  <si>
    <t>4'b0010</t>
  </si>
  <si>
    <t>o_qrt2_dis_clgc</t>
  </si>
  <si>
    <t>o_qrt2_dcmon_en</t>
  </si>
  <si>
    <t>"1" - open dcmon quad0 quartet2  , "0"  - close dcmon quad quartet2</t>
  </si>
  <si>
    <t>o_qrt2_sar0_gain_per_sar_fw</t>
  </si>
  <si>
    <t>o_qrt2_sar0_spare_fw</t>
  </si>
  <si>
    <t>o_qrt2_sar1_gain_per_sar_fw</t>
  </si>
  <si>
    <t>o_qrt2_sar1_spare_fw</t>
  </si>
  <si>
    <t>o_qrt2_sar2_gain_per_sar_fw</t>
  </si>
  <si>
    <t>o_qrt2_sar2_spare_fw</t>
  </si>
  <si>
    <t>o_qrt2_sar3_gain_per_sar_fw</t>
  </si>
  <si>
    <t>o_qrt2_sar3_spare_fw</t>
  </si>
  <si>
    <t>o_qrt2_dcmon_0p9_sar_en_fw</t>
  </si>
  <si>
    <t>o_qrt2_clgc_clk_dc_ctrl_fw</t>
  </si>
  <si>
    <t>oct1_qrt2_spare</t>
  </si>
  <si>
    <t>SPARE</t>
  </si>
  <si>
    <t>QUAD0_QURTET3</t>
  </si>
  <si>
    <t>o_qrt3_init_clgc_fw</t>
  </si>
  <si>
    <t>4'b0001</t>
  </si>
  <si>
    <t>o_qrt3_dis_clgc</t>
  </si>
  <si>
    <t>o_qrt3_dcmon_en</t>
  </si>
  <si>
    <t>"1" - open dcmon quad0 quartet3  , "0"  - close dcmon quad quartet3</t>
  </si>
  <si>
    <t>o_qrt3_sar0_gain_per_sar_fw</t>
  </si>
  <si>
    <t>o_qrt3_sar0_spare_fw</t>
  </si>
  <si>
    <t>o_qrt3_sar1_gain_per_sar_fw</t>
  </si>
  <si>
    <t>o_qrt3_sar1_spare_fw</t>
  </si>
  <si>
    <t>o_qrt3_sar2_gain_per_sar_fw</t>
  </si>
  <si>
    <t>o_qrt3_sar2_spare_fw</t>
  </si>
  <si>
    <t>o_qrt3_sar3_gain_per_sar_fw</t>
  </si>
  <si>
    <t>o_qrt3_sar3_spare_fw</t>
  </si>
  <si>
    <t>o_qrt3_dcmon_0p9_sar_en_fw</t>
  </si>
  <si>
    <t>o_qrt3_clgc_clk_dc_ctrl_fw</t>
  </si>
  <si>
    <t>oct0_qrt3_spare</t>
  </si>
  <si>
    <t>QUAD1_QURTET0</t>
  </si>
  <si>
    <t>QUAD1_QURTET1</t>
  </si>
  <si>
    <t>QUAD1_QURTET2</t>
  </si>
  <si>
    <t>QUAD1_QURTET3</t>
  </si>
  <si>
    <t>QUAD2_QURTET0</t>
  </si>
  <si>
    <t>QUAD2_QURTET1</t>
  </si>
  <si>
    <t>QUAD2_QURTET2</t>
  </si>
  <si>
    <t>QUAD2_QURTET3</t>
  </si>
  <si>
    <t>QUAD3_QURTET0</t>
  </si>
  <si>
    <t>QUAD3_QURTET1</t>
  </si>
  <si>
    <t>QUAD3_QURTET2</t>
  </si>
  <si>
    <t>QUAD3_QURTET3</t>
  </si>
  <si>
    <t>SAR_COMMON_REG0</t>
  </si>
  <si>
    <t>sar_com_spare</t>
  </si>
  <si>
    <t>6'b0</t>
  </si>
  <si>
    <t>o_ch_a2f_boost_fw</t>
  </si>
  <si>
    <t>a2f boost</t>
  </si>
  <si>
    <t>o_quartet_rstb_fw</t>
  </si>
  <si>
    <t xml:space="preserve">SAR ARRAY RESET , "0" - set to reset ,"1" - relase from reset , </t>
  </si>
  <si>
    <t>o_quartet_en_runinv_for_pd_fw</t>
  </si>
  <si>
    <t>switching valid to run for pd</t>
  </si>
  <si>
    <t>o_quartet_nob_fw</t>
  </si>
  <si>
    <t>2'b11</t>
  </si>
  <si>
    <t>cofig number of bit:
2'b00 - 3bit
2'b01 - 4bit
2'b10 - 5bit
2'b11 - 6bit</t>
  </si>
  <si>
    <t>o_quartet_dac_rst_force_fw</t>
  </si>
  <si>
    <t>need to implement</t>
  </si>
  <si>
    <t>o_quartet_slc_en_dly_ctrl_fw</t>
  </si>
  <si>
    <t>bit 2 bit delay slicer delay.</t>
  </si>
  <si>
    <t>o_quartet_slc_tail_en_fw</t>
  </si>
  <si>
    <t xml:space="preserve">enable slicer tail delay  , "0" - disable tail delay , "1" - enable tail delay </t>
  </si>
  <si>
    <t>o_quartet_slc_tail_dly_fw</t>
  </si>
  <si>
    <t>config slicer tail delay</t>
  </si>
  <si>
    <t>o_quartet_dac_clr_force_fw</t>
  </si>
  <si>
    <t>o_quartet_dac_clr_dis_fw</t>
  </si>
  <si>
    <t>1'b1</t>
  </si>
  <si>
    <t>"0" - enbale clear  , "1" disable clear</t>
  </si>
  <si>
    <t>o_quartet_dac_clr_dly_fw</t>
  </si>
  <si>
    <t>3'b000</t>
  </si>
  <si>
    <t xml:space="preserve">config clear width </t>
  </si>
  <si>
    <t>o_global_gain_ctrl_fw</t>
  </si>
  <si>
    <t xml:space="preserve">global gain ctrl </t>
  </si>
  <si>
    <t>o_sar_dcmon_sel_0p9_fw</t>
  </si>
  <si>
    <t>sar  dcmon 0p9 domain select</t>
  </si>
  <si>
    <t>o_sar_global_spare</t>
  </si>
  <si>
    <t>global spare</t>
  </si>
  <si>
    <t>o_quartet_dacdrv_rst_force_fw</t>
  </si>
  <si>
    <t>bedore disable the DACDRV the AMP of the DACDRV from LDO must be disable first.
dacdrv  "0" - rst dacdrv output  , "1" - unreset dacdrv output</t>
  </si>
  <si>
    <t>o_clgc_rst</t>
  </si>
  <si>
    <t>clgc reset</t>
  </si>
  <si>
    <t>SAR_COMMON_REG1</t>
  </si>
  <si>
    <t>spare_noconn</t>
  </si>
  <si>
    <t>o_refgen_dcmon_sel_fw</t>
  </si>
  <si>
    <t>o_hsmon_sar_en</t>
  </si>
  <si>
    <t>hsmon sar sel "1" enable "0" disable</t>
  </si>
  <si>
    <t>o_hsmon_dalign_en</t>
  </si>
  <si>
    <t>hsmon data align sel "1" enable "0" disable</t>
  </si>
  <si>
    <t>o_hsmon_a2f_and_ring_en</t>
  </si>
  <si>
    <t>a2f and ring en</t>
  </si>
  <si>
    <t>o_comp_en</t>
  </si>
  <si>
    <t>enable comparator measure</t>
  </si>
  <si>
    <t>o_sarldo_dcmon_p_en</t>
  </si>
  <si>
    <t>measure dcmon p ldosar "1" enable "0" disable</t>
  </si>
  <si>
    <t>o_sarldo_dcmon_n_en</t>
  </si>
  <si>
    <t>measure dcmon n ldosar "1" enable "0" disable</t>
  </si>
  <si>
    <t>o_sarldo_comp_p_en</t>
  </si>
  <si>
    <t>measure comp p ldosar "1" enable "0" disable</t>
  </si>
  <si>
    <t>o_sarldo_comp_n_en</t>
  </si>
  <si>
    <t>measure comp n ldosar "1" enable "0" disable</t>
  </si>
  <si>
    <t>o_refgen_dcmon_p_en</t>
  </si>
  <si>
    <t>measure dcmon p refgen "1" enable "0" disable</t>
  </si>
  <si>
    <t>o_refgen_dcmon_n_en</t>
  </si>
  <si>
    <t>measure dcmon n refgen "1" enable "0" disable</t>
  </si>
  <si>
    <t>o_refgen_comp_p_en</t>
  </si>
  <si>
    <t>measure comp p refgen "1" enable "0" disable</t>
  </si>
  <si>
    <t>o_refgen_comp_n_en</t>
  </si>
  <si>
    <t>measure comp n refgen "1" enable "0" disable</t>
  </si>
  <si>
    <t>o_sararray_dcmon_p_en</t>
  </si>
  <si>
    <t>measure dcmon p sararray "1" enable "0" disable</t>
  </si>
  <si>
    <t>o_sararray_dcmon_n_en</t>
  </si>
  <si>
    <t>measure dcmon n sararray "1" enable "0" disable</t>
  </si>
  <si>
    <t>o_sararray_comp_p_en</t>
  </si>
  <si>
    <t>measure comp p sararray "1" enable "0" disable</t>
  </si>
  <si>
    <t>o_sararray_comp_n_en</t>
  </si>
  <si>
    <t>measure comp n sararray "1" enable "0" disable</t>
  </si>
  <si>
    <t>o_dalign_dcmon_p_en</t>
  </si>
  <si>
    <t>measure dcmon p dalign "1" enable "0" disable</t>
  </si>
  <si>
    <t>o_dalign_dcmon_n_en</t>
  </si>
  <si>
    <t>measure dcmon n dalign "1" enable "0" disable</t>
  </si>
  <si>
    <t>o_dalign_comp_p_en</t>
  </si>
  <si>
    <t>measure comp p dalign "1" enable "0" disable</t>
  </si>
  <si>
    <t>o_dalign_comp_n_en</t>
  </si>
  <si>
    <t>measure comp n dalign "1" enable "0" disable</t>
  </si>
  <si>
    <t>o_sar_dcmon_sel_fw</t>
  </si>
  <si>
    <t>sel   dcmon_n       dcmon_p
0     highZ         highZ
1     th_pulse      th_boost
2     vcc0p9        vcc0p9
3     run           vref0
4     finish        vref
5     vcc0p65       vcc0p65
6     vss dfx       vss dfx
7     vss (core)    vss (core)
8     ofc_p[0]      ofc_p[3]
9     ofc_n[0]      ofc_n[3]
10    ofc_p[1]      ofc_p[4]
11    ofc_n[1]      ofc_n[4]
12    ofc_p[2]      ofc_p[5]
13    ofc_n[2]      ofc_n[5]
14    highZ	        highZ
15    highZ         highZ</t>
  </si>
  <si>
    <t>sar_dcmon_en_fw</t>
  </si>
  <si>
    <t>4'b0000</t>
  </si>
  <si>
    <t>sar_dcmon_en:(one hot code)
4'b0001 - SAR0
4'b0010 - SAR1
4'b0100 - SAR2
4'b1000 - SAR3</t>
  </si>
  <si>
    <t>LDOSAR_REG0</t>
  </si>
  <si>
    <t>ldosar_current_bias_en</t>
  </si>
  <si>
    <t>enable currents bias</t>
  </si>
  <si>
    <t>ldosar_dacdrv_amp_en</t>
  </si>
  <si>
    <t>enable dacdrv amp</t>
  </si>
  <si>
    <t>ldosar_th2_vboost_amp_en</t>
  </si>
  <si>
    <t>enable th2 boost amp</t>
  </si>
  <si>
    <t>ldosar_ofc_h_stg1_amp_en</t>
  </si>
  <si>
    <t>enable ofc h amp stg1</t>
  </si>
  <si>
    <t>ldosar_ofc_h_stg2_amp_en</t>
  </si>
  <si>
    <t>enable ofc h amp stg2</t>
  </si>
  <si>
    <t>ldosar_phdet_en</t>
  </si>
  <si>
    <t>enable phase detector amp</t>
  </si>
  <si>
    <t>ldosar_ofc_l_amp_en</t>
  </si>
  <si>
    <t>enable ofc l amp</t>
  </si>
  <si>
    <t>ldosar_spare</t>
  </si>
  <si>
    <t>spare connect</t>
  </si>
  <si>
    <t>ldosar_dcmon_dacdrv_vref_en</t>
  </si>
  <si>
    <t>dcmon for vref of the dacdrv</t>
  </si>
  <si>
    <t>ldosar_dcmon_th2_vboost_vref_en</t>
  </si>
  <si>
    <t>dcmon for vref of th2 boost</t>
  </si>
  <si>
    <t>ldosar_dcmon_ofc_h_stg1_vref_en</t>
  </si>
  <si>
    <t>dcmon for vref of the ofc h stg1</t>
  </si>
  <si>
    <t>ldosar_dcmon_ofc_h_stg2_vref_en</t>
  </si>
  <si>
    <t>dcmon for vref of the ofc h stg2</t>
  </si>
  <si>
    <t>ldosar_dcmon_ofc_l_vref_en</t>
  </si>
  <si>
    <t>dcmon for vref ofc l</t>
  </si>
  <si>
    <t>ldosar_dcmon_phdet_vref_en</t>
  </si>
  <si>
    <t>dcmon for vref phase detector</t>
  </si>
  <si>
    <t>ldosar_dcmon_amp_bias_en</t>
  </si>
  <si>
    <t>dcmon for amp bias</t>
  </si>
  <si>
    <t>ldosar_dcmon_ofc_l_bias1</t>
  </si>
  <si>
    <t>dcmon for ofc l amp bias1</t>
  </si>
  <si>
    <t>ldosar_dcmon_ofc_l_bias2</t>
  </si>
  <si>
    <t>dcmon for ofc l amp bias2</t>
  </si>
  <si>
    <t>ldosar_dcmon_th2_fb_en</t>
  </si>
  <si>
    <t>dcmon for th2 fb</t>
  </si>
  <si>
    <t>ldosar_dcmon_ofc_h_stg1_fb_en</t>
  </si>
  <si>
    <t>dcmon for ofc h stg1 fb</t>
  </si>
  <si>
    <t>ldosar_dcmon_ofc_h_stg2_fb_en</t>
  </si>
  <si>
    <t>dcmon for ofc h stg2 fb</t>
  </si>
  <si>
    <t>ldosar_dcmon_ofc_l_fb_en</t>
  </si>
  <si>
    <t>dcmon for ofc l fb</t>
  </si>
  <si>
    <t>ldosar_dcmon_phdet_fb_en</t>
  </si>
  <si>
    <t>dcmon for phase dectector fb</t>
  </si>
  <si>
    <t>ldsar_dcmon_n_en</t>
  </si>
  <si>
    <t>open dcmon n</t>
  </si>
  <si>
    <t>ldsar_dcmon_p_en</t>
  </si>
  <si>
    <t xml:space="preserve">open dcmon p </t>
  </si>
  <si>
    <t>spare no connected</t>
  </si>
  <si>
    <t>QUAD0_PI0_PREBUFF</t>
  </si>
  <si>
    <t>NVM_value</t>
  </si>
  <si>
    <t>Reset Value</t>
  </si>
  <si>
    <t>SP0</t>
  </si>
  <si>
    <t>reg0_spare</t>
  </si>
  <si>
    <t>Prebuff CM current thief enable</t>
  </si>
  <si>
    <t>prebuf_spare</t>
  </si>
  <si>
    <t>Amon cnontrols</t>
  </si>
  <si>
    <t>prebuff_ofc_fine</t>
  </si>
  <si>
    <t>ofsset fine control</t>
  </si>
  <si>
    <t>prebuff_amon_ctl</t>
  </si>
  <si>
    <t>5'b00001</t>
  </si>
  <si>
    <t>amod select</t>
  </si>
  <si>
    <t>reg0_spare2</t>
  </si>
  <si>
    <t>spare</t>
  </si>
  <si>
    <t>pi0_dis_dir</t>
  </si>
  <si>
    <t>disable direction bit. If dis_dit=1'b0, the pi_clk is pulled to vss, otherwise pi_clk is pulled to vcc</t>
  </si>
  <si>
    <t>pi0_en</t>
  </si>
  <si>
    <t>enable all pi's in this quad</t>
  </si>
  <si>
    <t>pi0_phase_gry</t>
  </si>
  <si>
    <t>11'b110001000</t>
  </si>
  <si>
    <t>PI phase control. GRAY code</t>
  </si>
  <si>
    <t>QUAD0_PI3_PREBUFF</t>
  </si>
  <si>
    <t>reg3_spare</t>
  </si>
  <si>
    <t>Spare</t>
  </si>
  <si>
    <t>prebuff_res_ctl_b</t>
  </si>
  <si>
    <t>14'b11111111111111</t>
  </si>
  <si>
    <t>PREBUFF's resistor control - impact gain</t>
  </si>
  <si>
    <t>reg3_spare2</t>
  </si>
  <si>
    <t>pi3_dis_dir</t>
  </si>
  <si>
    <t>pi3_en</t>
  </si>
  <si>
    <t>pi3_phase_gry</t>
  </si>
  <si>
    <t>11'b01100010000</t>
  </si>
  <si>
    <t>QUAD0_PI1_PREBUFF</t>
  </si>
  <si>
    <t>reg01_spare</t>
  </si>
  <si>
    <t>prebuff_cm_n_shift</t>
  </si>
  <si>
    <t>Rnable current thief in prebuff</t>
  </si>
  <si>
    <t>prebuff_gm_nsw0</t>
  </si>
  <si>
    <t>6'b111000</t>
  </si>
  <si>
    <t>Prebuff gain ctrl</t>
  </si>
  <si>
    <t>prebuff_gm_psw0</t>
  </si>
  <si>
    <t>6'b000111</t>
  </si>
  <si>
    <t>prebuff_bias_en</t>
  </si>
  <si>
    <t>enable prebuff</t>
  </si>
  <si>
    <t>reg01_spare2</t>
  </si>
  <si>
    <t>pi1_dis_dir</t>
  </si>
  <si>
    <t>pi1_en</t>
  </si>
  <si>
    <t>pi1_phase_gry</t>
  </si>
  <si>
    <t>QUAD0_PI2_PREBUFF</t>
  </si>
  <si>
    <t>reg02_spare</t>
  </si>
  <si>
    <t>Sapre</t>
  </si>
  <si>
    <t>prebuff_ofc_coarse</t>
  </si>
  <si>
    <t>5'b0</t>
  </si>
  <si>
    <t xml:space="preserve">Prebuff DAC negative LSB </t>
  </si>
  <si>
    <t>prebuff_ofc_polarity</t>
  </si>
  <si>
    <t xml:space="preserve">Prebuff  offxet corection polarity </t>
  </si>
  <si>
    <t>pi_all_col3</t>
  </si>
  <si>
    <t>PI configuration per quarts - for pin cl3</t>
  </si>
  <si>
    <t>pi_all_col2</t>
  </si>
  <si>
    <t>PI configuration per quarts - for pin cl2</t>
  </si>
  <si>
    <t>reg02_spare2</t>
  </si>
  <si>
    <t>pi2_dis_dir</t>
  </si>
  <si>
    <t>pi2_en</t>
  </si>
  <si>
    <t>pi2_phase_gry</t>
  </si>
  <si>
    <t>QUAD0_FFE0_REG0</t>
  </si>
  <si>
    <t>ffe0_tap_cm2_control</t>
  </si>
  <si>
    <t>FFE negitive tap 2 controls</t>
  </si>
  <si>
    <t>ffe0_tap_cm1_control</t>
  </si>
  <si>
    <t>FFE negative tap 1 controls</t>
  </si>
  <si>
    <t>ffe0_tap_cp1_control</t>
  </si>
  <si>
    <t>FFE positive tap 1 controls</t>
  </si>
  <si>
    <t>ffe0_tap_cp2_control</t>
  </si>
  <si>
    <t>FFE positive tap 2 controls</t>
  </si>
  <si>
    <t>QUAD0_FFE0_REG1</t>
  </si>
  <si>
    <t>ffe0_dfx_ctrl</t>
  </si>
  <si>
    <t>16'b0</t>
  </si>
  <si>
    <t>FFE 0 DFX controls</t>
  </si>
  <si>
    <t>ffe0_dcd_ctrl0</t>
  </si>
  <si>
    <t>dcd control - will be romover</t>
  </si>
  <si>
    <t>ffe0_cap_ctrl0</t>
  </si>
  <si>
    <t>cap control</t>
  </si>
  <si>
    <t>ffe0_amon_vcc_sel_b_l</t>
  </si>
  <si>
    <t>dcmon select</t>
  </si>
  <si>
    <t>ffe0_spare_ctrl_l</t>
  </si>
  <si>
    <t>ffe0_reg0_spare</t>
  </si>
  <si>
    <t>QUAD0_SUMMER0</t>
  </si>
  <si>
    <t>summer0_dfx</t>
  </si>
  <si>
    <t xml:space="preserve">DFX for summer </t>
  </si>
  <si>
    <t>summer0_res_control</t>
  </si>
  <si>
    <t>8'b10110011</t>
  </si>
  <si>
    <t>Summer  gain control</t>
  </si>
  <si>
    <t>summer0_ofc</t>
  </si>
  <si>
    <t>10'b0001100000</t>
  </si>
  <si>
    <t>Summer offset corection</t>
  </si>
  <si>
    <t>summer0_and_ffe0_en</t>
  </si>
  <si>
    <t>Summe and FFE enable</t>
  </si>
  <si>
    <t>summer0_cmfb_ofc</t>
  </si>
  <si>
    <t>Summer CM FB amplifier offset correction</t>
  </si>
  <si>
    <t>QUAD0_FFE3_REG0</t>
  </si>
  <si>
    <t>ffe3_tap_cm2_control</t>
  </si>
  <si>
    <t>ffe3_tap_cm1_control</t>
  </si>
  <si>
    <t>ffe3_tap_cp1_control</t>
  </si>
  <si>
    <t>ffe3_tap_cp2_control</t>
  </si>
  <si>
    <t>QUAD0_FFE3_REG1</t>
  </si>
  <si>
    <t>ffe3_dfx_ctrll</t>
  </si>
  <si>
    <t>ffe3_pi_clkmntr_b_en</t>
  </si>
  <si>
    <t>clk monitor input b en</t>
  </si>
  <si>
    <t>ffe3_trist_buff_b_en</t>
  </si>
  <si>
    <t>tri-state buffer en</t>
  </si>
  <si>
    <t>ffe3_dcd_ctrl3</t>
  </si>
  <si>
    <t>will be removed</t>
  </si>
  <si>
    <t>ffe3_cap_ctrl3</t>
  </si>
  <si>
    <t>QUAD0_SUMMER3</t>
  </si>
  <si>
    <t>summer3_dfx</t>
  </si>
  <si>
    <t>summer3_res_control</t>
  </si>
  <si>
    <t>summer3_ofc</t>
  </si>
  <si>
    <t>summer3_and_ffe3_en</t>
  </si>
  <si>
    <t>summer3_cmfb_ofc</t>
  </si>
  <si>
    <t>QUAD0_FFE1_REG0</t>
  </si>
  <si>
    <t>ffe1_tap_cm2_control</t>
  </si>
  <si>
    <t>ffe1_tap_cm1_control</t>
  </si>
  <si>
    <t>ffe1_tap_cp1_control</t>
  </si>
  <si>
    <t>ffe1_tap_cp2_control</t>
  </si>
  <si>
    <t>QUAD0_FFE1_REG1</t>
  </si>
  <si>
    <t>ffe1_dfx_ctrll</t>
  </si>
  <si>
    <t>FFE 1 DFX controls</t>
  </si>
  <si>
    <t>ffe1_pi_clkmntr_a_en</t>
  </si>
  <si>
    <t>clk monitor input a en</t>
  </si>
  <si>
    <t>ffe1_trist_buff_a_en</t>
  </si>
  <si>
    <t>ffe1_dcd_ctrl3</t>
  </si>
  <si>
    <t>ffe1_cap_ctrl3</t>
  </si>
  <si>
    <t>QUAD0_SUMMER1</t>
  </si>
  <si>
    <t>summer1_dfx</t>
  </si>
  <si>
    <t>summer1_res_control</t>
  </si>
  <si>
    <t>summer1_ofc</t>
  </si>
  <si>
    <t>summer1_and_ffe1_en</t>
  </si>
  <si>
    <t>summer1_cmfb_ofc</t>
  </si>
  <si>
    <t>QUAD0_FFE2_REG0</t>
  </si>
  <si>
    <t>ffe2_tap_cm2_control</t>
  </si>
  <si>
    <t>ffe2_tap_cm1_control</t>
  </si>
  <si>
    <t>ffe2_tap_cp1_control</t>
  </si>
  <si>
    <t>ffe2_tap_cp2_control</t>
  </si>
  <si>
    <t>QUAD0_FFE2_REG1</t>
  </si>
  <si>
    <t>ffe2_dfx_ctrll</t>
  </si>
  <si>
    <t>FFE 2 DFX controls</t>
  </si>
  <si>
    <t>ffe2_dcd_ctrl0</t>
  </si>
  <si>
    <t>ffe2_cap_ctrl0</t>
  </si>
  <si>
    <t>ffe2_amon_vcc_sel_b_r</t>
  </si>
  <si>
    <t>ffe2_spare_ctrl_r</t>
  </si>
  <si>
    <t>ffe2_reg2_spare</t>
  </si>
  <si>
    <t>QUAD0_SUMMER2</t>
  </si>
  <si>
    <t>summer2_dfx</t>
  </si>
  <si>
    <t>summer2_res_control</t>
  </si>
  <si>
    <t>summer2_ofc</t>
  </si>
  <si>
    <t>summer2_and_ffe2_en</t>
  </si>
  <si>
    <t>summer2_cmfb_ofc</t>
  </si>
  <si>
    <t>QUAD0_IBIAS_CTRL0</t>
  </si>
  <si>
    <t>summer_0_bias_ctrl</t>
  </si>
  <si>
    <t>4'b1111</t>
  </si>
  <si>
    <t>Summer bias control bits</t>
  </si>
  <si>
    <t>nsf_0_bias_ctrl</t>
  </si>
  <si>
    <t>4'b0111</t>
  </si>
  <si>
    <t>NSF bias control bits</t>
  </si>
  <si>
    <t>cadcade_0_bias_ctrl</t>
  </si>
  <si>
    <t>4'b1101</t>
  </si>
  <si>
    <t>summee cascade bias control</t>
  </si>
  <si>
    <t>gm_c0_0_bias_ctrl</t>
  </si>
  <si>
    <t>FFE C0 bias control</t>
  </si>
  <si>
    <t>gm_tap_0_bias_ctrl</t>
  </si>
  <si>
    <t>4'b1011</t>
  </si>
  <si>
    <t>FFE tap - bias control bits</t>
  </si>
  <si>
    <t>cmfb_0_bias_ctrl</t>
  </si>
  <si>
    <t>CM FB amplifier bias control bits</t>
  </si>
  <si>
    <t>ofc_0_bias_ctrl</t>
  </si>
  <si>
    <t>offset corection bias control</t>
  </si>
  <si>
    <t>spare1</t>
  </si>
  <si>
    <t>QUAD0_IBIAS_CTRL3</t>
  </si>
  <si>
    <t>summer_12_bias_ctrl</t>
  </si>
  <si>
    <t>nsf_12_bias_ctrl</t>
  </si>
  <si>
    <t>cadcade_12_bias_ctrl</t>
  </si>
  <si>
    <t>gm_c0_12_bias_ctrl</t>
  </si>
  <si>
    <t>gm_tap_12_bias_ctrl</t>
  </si>
  <si>
    <t>cmfb_12_bias_ctrl</t>
  </si>
  <si>
    <t>ofc_12_bias_ctrl</t>
  </si>
  <si>
    <t>spare2</t>
  </si>
  <si>
    <t>QUAD0_IBIAS_CTRL1</t>
  </si>
  <si>
    <t>summer_4_bias_ctrl</t>
  </si>
  <si>
    <t>nsf_4_bias_ctrl</t>
  </si>
  <si>
    <t>cadcade_4_bias_ctrl</t>
  </si>
  <si>
    <t>gm_c0_4_bias_ctrl</t>
  </si>
  <si>
    <t>gm_tap_4_bias_ctrl</t>
  </si>
  <si>
    <t>cmfb_4_bias_ctrl</t>
  </si>
  <si>
    <t>ofc_4_bias_ctrl</t>
  </si>
  <si>
    <t>spare3</t>
  </si>
  <si>
    <t>QUAD0_IBIAS_CTRL2</t>
  </si>
  <si>
    <t>summer_8_bias_ctrl</t>
  </si>
  <si>
    <t>nsf_8_bias_ctrl</t>
  </si>
  <si>
    <t>cadcade_8_bias_ctrl</t>
  </si>
  <si>
    <t>gm_c0_8_bias_ctrl</t>
  </si>
  <si>
    <t>gm_tap_8_bias_ctrl</t>
  </si>
  <si>
    <t>cmfb_8_bias_ctrl</t>
  </si>
  <si>
    <t>ofc_8_bias_ctrl</t>
  </si>
  <si>
    <t>spare4</t>
  </si>
  <si>
    <t>QUAD3_PI0_PREBUFF</t>
  </si>
  <si>
    <t>QUAD3_PI3_PREBUFF</t>
  </si>
  <si>
    <t>QUAD3_PI1_PREBUFF</t>
  </si>
  <si>
    <t>QUAD3_PI2_PREBUFF</t>
  </si>
  <si>
    <t>QUAD3_FFE0_REG0</t>
  </si>
  <si>
    <t>QUAD3_FFE0_REG1</t>
  </si>
  <si>
    <t>ffe0_dfx_ctrll</t>
  </si>
  <si>
    <t>QUAD3_SUMMER0</t>
  </si>
  <si>
    <t>QUAD3_FFE3_REG0</t>
  </si>
  <si>
    <t>QUAD3_FFE3_REG1</t>
  </si>
  <si>
    <t>QUAD3_SUMMER3</t>
  </si>
  <si>
    <t>QUAD3_FFE1_REG0</t>
  </si>
  <si>
    <t>QUAD3_FFE1_REG1</t>
  </si>
  <si>
    <t>QUAD3_SUMMER1</t>
  </si>
  <si>
    <t>QUAD3_FFE2_REG0</t>
  </si>
  <si>
    <t>QUAD3_FFE2_REG1</t>
  </si>
  <si>
    <t>QUAD3_SUMMER2</t>
  </si>
  <si>
    <t>QUAD3_IBIAS_CTRL0</t>
  </si>
  <si>
    <t>summer_3_bias_ctrl</t>
  </si>
  <si>
    <t>nsf_3_bias_ctrl</t>
  </si>
  <si>
    <t>cadcade_3_bias_ctrl</t>
  </si>
  <si>
    <t>gm_c0_3_bias_ctrl</t>
  </si>
  <si>
    <t>gm_tap_3_bias_ctrl</t>
  </si>
  <si>
    <t>cmfb_3_bias_ctrl</t>
  </si>
  <si>
    <t>ofc_3_bias_ctrl</t>
  </si>
  <si>
    <t>QUAD3_IBIAS_CTRL3</t>
  </si>
  <si>
    <t>summer_15_bias_ctrl</t>
  </si>
  <si>
    <t>nsf_15_bias_ctrl</t>
  </si>
  <si>
    <t>cadcade_15_bias_ctrl</t>
  </si>
  <si>
    <t>gm_c0_15_bias_ctrl</t>
  </si>
  <si>
    <t>gm_tap_15_bias_ctrl</t>
  </si>
  <si>
    <t>cmfb_15_bias_ctrl</t>
  </si>
  <si>
    <t>ofc_15_bias_ctrl</t>
  </si>
  <si>
    <t>QUAD3_IBIAS_CTRL1</t>
  </si>
  <si>
    <t>summer_7_bias_ctrl</t>
  </si>
  <si>
    <t>nsf_7_bias_ctrl</t>
  </si>
  <si>
    <t>cadcade_7_bias_ctrl</t>
  </si>
  <si>
    <t>gm_c0_7_bias_ctrl</t>
  </si>
  <si>
    <t>gm_tap_7_bias_ctrl</t>
  </si>
  <si>
    <t>cmfb_7_bias_ctrl</t>
  </si>
  <si>
    <t>ofc_7_bias_ctrl</t>
  </si>
  <si>
    <t>en_b_master_summer</t>
  </si>
  <si>
    <t>Summer master bias enable</t>
  </si>
  <si>
    <t>en_b_nsf</t>
  </si>
  <si>
    <t>Enable bar for nsf bias</t>
  </si>
  <si>
    <t>en_b_sum</t>
  </si>
  <si>
    <t>Enable bar for summer bias</t>
  </si>
  <si>
    <t>en_b_vref</t>
  </si>
  <si>
    <t xml:space="preserve">Enable bar for vref bias </t>
  </si>
  <si>
    <t>QUAD3_IBIAS_CTRL2</t>
  </si>
  <si>
    <t>summer_11_bias_ctrl</t>
  </si>
  <si>
    <t>nsf_11_bias_ctrl</t>
  </si>
  <si>
    <t>cadcade_11_bias_ctrl</t>
  </si>
  <si>
    <t>gm_c0_11_bias_ctrl</t>
  </si>
  <si>
    <t>gm_tap_11_bias_ctrl</t>
  </si>
  <si>
    <t>cmfb_11_bias_ctrl</t>
  </si>
  <si>
    <t>ofc_11_bias_ctrl</t>
  </si>
  <si>
    <t>sum_master_bias_ctrl_bar</t>
  </si>
  <si>
    <t xml:space="preserve">Summer master bias controls - bar </t>
  </si>
  <si>
    <t>QUAD1_PI0_PREBUFF</t>
  </si>
  <si>
    <t>QUAD1_PI3_PREBUFF</t>
  </si>
  <si>
    <t>QUAD1_PI1_PREBUFF</t>
  </si>
  <si>
    <t>QUAD1_PI2_PREBUFF</t>
  </si>
  <si>
    <t>QUAD1_FFE0_REG0</t>
  </si>
  <si>
    <t>QUAD1_FFE0_REG1</t>
  </si>
  <si>
    <t>QUAD1_SUMMER0</t>
  </si>
  <si>
    <t>QUAD1_FFE3_REG0</t>
  </si>
  <si>
    <t>QUAD1_FFE3_REG1</t>
  </si>
  <si>
    <t>QUAD1_SUMMER3</t>
  </si>
  <si>
    <t>QUAD1_FFE1_REG0</t>
  </si>
  <si>
    <t>QUAD1_FFE1_REG1</t>
  </si>
  <si>
    <t>QUAD1_SUMMER1</t>
  </si>
  <si>
    <t>QUAD1_FFE2_REG0</t>
  </si>
  <si>
    <t>QUAD1_FFE2_REG1</t>
  </si>
  <si>
    <t>QUAD1_SUMMER2</t>
  </si>
  <si>
    <t>QUAD1_IBIAS_CTRL0</t>
  </si>
  <si>
    <t>summer_1_bias_ctrl</t>
  </si>
  <si>
    <t>nsf_1_bias_ctrl</t>
  </si>
  <si>
    <t>cadcade_1_bias_ctrl</t>
  </si>
  <si>
    <t>gm_c0_1_bias_ctrl</t>
  </si>
  <si>
    <t>gm_tap_1_bias_ctrl</t>
  </si>
  <si>
    <t>cmfb_1_bias_ctrl</t>
  </si>
  <si>
    <t>ofc_1_bias_ctrl</t>
  </si>
  <si>
    <t>nbias_master_ctrl</t>
  </si>
  <si>
    <t>All nbias master bias control (gm_c, gm_tap, cmfb, offset)</t>
  </si>
  <si>
    <t>QUAD1_IBIAS_CTRL3</t>
  </si>
  <si>
    <t>summer_13_bias_ctrl</t>
  </si>
  <si>
    <t>nsf_13_bias_ctrl</t>
  </si>
  <si>
    <t>cadcade_13_bias_ctrl</t>
  </si>
  <si>
    <t>gm_c0_13_bias_ctrl</t>
  </si>
  <si>
    <t>gm_tap_13_bias_ctrl</t>
  </si>
  <si>
    <t>cmfb_13_bias_ctrl</t>
  </si>
  <si>
    <t>ofc_13_bias_ctrl</t>
  </si>
  <si>
    <t>en_master_nbias</t>
  </si>
  <si>
    <t>All nbias master enable (gm_c, gm_tap, cmfb, offset)</t>
  </si>
  <si>
    <t>en_gm</t>
  </si>
  <si>
    <t>gm bias enable</t>
  </si>
  <si>
    <t>en_cmfb</t>
  </si>
  <si>
    <t>CMFB bias enable</t>
  </si>
  <si>
    <t>en_offset</t>
  </si>
  <si>
    <t>offset corection bias enable</t>
  </si>
  <si>
    <t>QUAD1_IBIAS_CTRL1</t>
  </si>
  <si>
    <t>summer_5_bias_ctrl</t>
  </si>
  <si>
    <t>nsf_5_bias_ctrl</t>
  </si>
  <si>
    <t>cadcade_5_bias_ctrl</t>
  </si>
  <si>
    <t>gm_c0_5_bias_ctrl</t>
  </si>
  <si>
    <t>gm_tap_5_bias_ctrl</t>
  </si>
  <si>
    <t>cmfb_5_bias_ctrl</t>
  </si>
  <si>
    <t>ofc_5_bias_ctrl</t>
  </si>
  <si>
    <t>QUAD1_IBIAS_CTRL2</t>
  </si>
  <si>
    <t>summer_9_bias_ctrl</t>
  </si>
  <si>
    <t>nsf_9_bias_ctrl</t>
  </si>
  <si>
    <t>cadcade_9_bias_ctrl</t>
  </si>
  <si>
    <t>gm_c0_9_bias_ctrl</t>
  </si>
  <si>
    <t>gm_tap_9_bias_ctrl</t>
  </si>
  <si>
    <t>cmfb_9_bias_ctrl</t>
  </si>
  <si>
    <t>ofc_9_bias_ctrl</t>
  </si>
  <si>
    <t>QUAD2_PI0_PREBUFF</t>
  </si>
  <si>
    <t>QUAD2_PI3_PREBUFF</t>
  </si>
  <si>
    <t>QUAD2_PI1_PREBUFF</t>
  </si>
  <si>
    <t>QUAD2_PI2_PREBUFF</t>
  </si>
  <si>
    <t>QUAD2_FFE0_REG0</t>
  </si>
  <si>
    <t>QUAD2_FFE0_REG1</t>
  </si>
  <si>
    <t>QUAD2_SUMMER0</t>
  </si>
  <si>
    <t>QUAD2_FFE3_REG0</t>
  </si>
  <si>
    <t>QUAD2_FFE3_REG1</t>
  </si>
  <si>
    <t>QUAD2_SUMMER3</t>
  </si>
  <si>
    <t>QUAD2_FFE1_REG0</t>
  </si>
  <si>
    <t>QUAD2_FFE1_REG1</t>
  </si>
  <si>
    <t>QUAD2_SUMMER1</t>
  </si>
  <si>
    <t>QUAD2_FFE2_REG0</t>
  </si>
  <si>
    <t>QUAD2_FFE2_REG1</t>
  </si>
  <si>
    <t>QUAD2_SUMMER2</t>
  </si>
  <si>
    <t>QUAD2_IBIAS_CTRL0</t>
  </si>
  <si>
    <t>summer_2_bias_ctrl</t>
  </si>
  <si>
    <t>nsf_2_bias_ctrl</t>
  </si>
  <si>
    <t>cadcade_2_bias_ctrl</t>
  </si>
  <si>
    <t>gm_c0_2_bias_ctrl</t>
  </si>
  <si>
    <t>gm_tap_2_bias_ctrl</t>
  </si>
  <si>
    <t>cmfb_2_bias_ctrl</t>
  </si>
  <si>
    <t>ofc_2_bias_ctrl</t>
  </si>
  <si>
    <t>QUAD2_IBIAS_CTRL3</t>
  </si>
  <si>
    <t>summer_14_bias_ctrl</t>
  </si>
  <si>
    <t>nsf_14_bias_ctrl</t>
  </si>
  <si>
    <t>cadcade_14_bias_ctrl</t>
  </si>
  <si>
    <t>gm_c0_14_bias_ctrl</t>
  </si>
  <si>
    <t>gm_tap_14_bias_ctrl</t>
  </si>
  <si>
    <t>cmfb_14_bias_ctrl</t>
  </si>
  <si>
    <t>ofc_14_bias_ctrl</t>
  </si>
  <si>
    <t>QUAD2_IBIAS_CTRL1</t>
  </si>
  <si>
    <t>summer_6_bias_ctrl</t>
  </si>
  <si>
    <t>nsf_6_bias_ctrl</t>
  </si>
  <si>
    <t>cadcade_6_bias_ctrl</t>
  </si>
  <si>
    <t>gm_c0_6_bias_ctrl</t>
  </si>
  <si>
    <t>gm_tap_6_bias_ctrl</t>
  </si>
  <si>
    <t>cmfb_6_bias_ctrl</t>
  </si>
  <si>
    <t>ofc_6_bias_ctrl</t>
  </si>
  <si>
    <t>QUAD2_IBIAS_CTRL2</t>
  </si>
  <si>
    <t>summer_10_bias_ctrl</t>
  </si>
  <si>
    <t>nsf_10_bias_ctrl</t>
  </si>
  <si>
    <t>cadcade_10_bias_ctrl</t>
  </si>
  <si>
    <t>gm_c0_10_bias_ctrl</t>
  </si>
  <si>
    <t>gm_tap_10_bias_ctrl</t>
  </si>
  <si>
    <t>cmfb_10_bias_ctrl</t>
  </si>
  <si>
    <t>ofc_10_bias_ctrl</t>
  </si>
  <si>
    <t>LDO_CTRL</t>
  </si>
  <si>
    <t>dcmon_p</t>
  </si>
  <si>
    <t>ldo dcmon p</t>
  </si>
  <si>
    <t>dcmon_n</t>
  </si>
  <si>
    <t>ldo dcmon n</t>
  </si>
  <si>
    <t>ldo_dfx_rx_vref_stg2_tag</t>
  </si>
  <si>
    <t>ldo_dfx_rx_vref_stg1_tag</t>
  </si>
  <si>
    <t>ldo_dfx_th1_fb_in</t>
  </si>
  <si>
    <t>ldo_dfx_dcodrv_stg2_fb</t>
  </si>
  <si>
    <t>ldo_dfx_dcodrv_stg1_fb</t>
  </si>
  <si>
    <t>ldo_dfx_0p75v_out</t>
  </si>
  <si>
    <t>ldo_dfx_th1_out</t>
  </si>
  <si>
    <t>ldo_dfx_vref_pkdet</t>
  </si>
  <si>
    <t>ldo_dfx_div_vref_stg2</t>
  </si>
  <si>
    <t>ldo_dfx_div_vref_stg1</t>
  </si>
  <si>
    <t>ldo_dfx_rx_vref_stg2</t>
  </si>
  <si>
    <t>ldo_dfx_rx_vref_stg1</t>
  </si>
  <si>
    <t>ldo_dfx_ldo_th1_vref</t>
  </si>
  <si>
    <t>ldo_dfx_dco_vref_stg2</t>
  </si>
  <si>
    <t>ldo_dfx_dco_vref_stg1</t>
  </si>
  <si>
    <t>ldo_pkdet_en</t>
  </si>
  <si>
    <t>ldo_div_stg2_en</t>
  </si>
  <si>
    <t>ldo_div_stg1_en</t>
  </si>
  <si>
    <t>ldo_rx_stg2_en</t>
  </si>
  <si>
    <t>ldo_rx_stg1_en</t>
  </si>
  <si>
    <t>ldo_th1_en</t>
  </si>
  <si>
    <t>ldo_dco_stg2_en</t>
  </si>
  <si>
    <t>ldo_dco_stg1_en</t>
  </si>
  <si>
    <t>ldo_fm1_bias_en</t>
  </si>
  <si>
    <t>ldo_spare</t>
  </si>
  <si>
    <t>ldo_rc_filter</t>
  </si>
  <si>
    <t>rc filter control</t>
  </si>
  <si>
    <t>DIVIDER_CTRL1</t>
  </si>
  <si>
    <t>i_rate_select</t>
  </si>
  <si>
    <t>select falcon mode:
project             rate_sel     division 
falcon               5'b10000         2
brk high freq     5'b00000        4
brk high freq     5'b00001        8
brk high freq     5'b00010        12
brk high freq     5'b00011        16
brk high freq     5'b00100        20
brk high freq     5'b00101        24
brk high freq     5'b00110        28</t>
  </si>
  <si>
    <t>shunt_en</t>
  </si>
  <si>
    <t>resistance control of output filter</t>
  </si>
  <si>
    <t>vco_en</t>
  </si>
  <si>
    <t>enable skew detector block</t>
  </si>
  <si>
    <t>reg_divby10_8</t>
  </si>
  <si>
    <t>14'b11010000001000</t>
  </si>
  <si>
    <t>logic divider control</t>
  </si>
  <si>
    <t>clk_to_logic_en</t>
  </si>
  <si>
    <t>enbale clcoks to logic</t>
  </si>
  <si>
    <t>pkdet_en_bit</t>
  </si>
  <si>
    <t xml:space="preserve">Peak detect enable </t>
  </si>
  <si>
    <t>pkdet_vref_en</t>
  </si>
  <si>
    <t>Peack detect VREF enable. High only during peak detector calibration.Can not be high at the same time as pkdet_sns_en</t>
  </si>
  <si>
    <t>pkdet_sns_en</t>
  </si>
  <si>
    <t>Peak detect sense enable.High only during peak detector calibration.Can not be high at the same time as pkdet_vref_en</t>
  </si>
  <si>
    <t>DIVIDER_CTRL2</t>
  </si>
  <si>
    <t>hs_dc_mon_control_bits</t>
  </si>
  <si>
    <t>Monitor control bits: not all combinations are allowed!
signals to hsmon and dcmon           hs select value      dc select value
ph270 clk to pi                                       6b010000              6b110000
ph90 clk to pi                                         6b010001              6b110001
ph180 clk to pi                                       6b010010              6b110010
ph0 clk to pi                                           6b010011               6b110011
ph270 dco div2 clk                                6b010100              6b110100
ph90 dco div2 clk                                  6b010101              6b110101
ph180 dco div2 clk                                6b010110              6b110110
ph0 dco div2 clk                                    6b010111              6b110111
hsmon only signals                            select value
skew detector clk                                 6b011000
brk low frq clk n                                    6b011001
brk low frq clk p                                    6b011010</t>
  </si>
  <si>
    <t>fb_0p7_0p8_en</t>
  </si>
  <si>
    <t>Enable supply probes for 0.7 and 0.7 vcc</t>
  </si>
  <si>
    <t>fingers_config_nmos_th</t>
  </si>
  <si>
    <t>fingers_config_pmos_th</t>
  </si>
  <si>
    <t>4'b1110</t>
  </si>
  <si>
    <t>pk_sw_controles</t>
  </si>
  <si>
    <t>pk_vref_dcmon_controle</t>
  </si>
  <si>
    <t>12'b0</t>
  </si>
  <si>
    <t>DIVIDER_CTRL3</t>
  </si>
  <si>
    <t>en_ph0_n</t>
  </si>
  <si>
    <t xml:space="preserve">Phase 0 Driver n enables </t>
  </si>
  <si>
    <t>en_ph0_p</t>
  </si>
  <si>
    <t xml:space="preserve">Phase 0 Driver p enables </t>
  </si>
  <si>
    <t>en_ph180_n</t>
  </si>
  <si>
    <t xml:space="preserve">Phase 180 Driver n enables </t>
  </si>
  <si>
    <t>en_ph180_p</t>
  </si>
  <si>
    <t xml:space="preserve">Phase 180 Driver p enables </t>
  </si>
  <si>
    <t>en_ph90_n</t>
  </si>
  <si>
    <t xml:space="preserve">Phase 90 Driver n enables </t>
  </si>
  <si>
    <t>en_ph90_p</t>
  </si>
  <si>
    <t xml:space="preserve">Phase 90 Driver p enables </t>
  </si>
  <si>
    <t>en_ph270_n</t>
  </si>
  <si>
    <t xml:space="preserve">Phase 270 Driver n enables </t>
  </si>
  <si>
    <t>en_ph270_p</t>
  </si>
  <si>
    <t xml:space="preserve">Phase 270 Driver p enables </t>
  </si>
  <si>
    <t>CHANNEL_CTRL</t>
  </si>
  <si>
    <t>sar_array_hsmon_local_en</t>
  </si>
  <si>
    <t>clkdiv_hsmon_local_en</t>
  </si>
  <si>
    <t>pi_phase0_hsmon_local_en</t>
  </si>
  <si>
    <t>pi_phase1_hsmon_local_en</t>
  </si>
  <si>
    <t>sar_array_hsmon_next_en</t>
  </si>
  <si>
    <t>clkdiv_hsmon_next_en</t>
  </si>
  <si>
    <t>pi_phase0_hsmon_next_en</t>
  </si>
  <si>
    <t>pi_phase1_hsmon_next_en</t>
  </si>
  <si>
    <t>ffe_dcmon_en</t>
  </si>
  <si>
    <t>ffe_comp_en</t>
  </si>
  <si>
    <t>th1_prebuff_dcmon_en</t>
  </si>
  <si>
    <t>th1_prebuff_comp_en</t>
  </si>
  <si>
    <t>ldo_clkdiv_dcmon_en</t>
  </si>
  <si>
    <t>ldo_clkdiv_comp_en</t>
  </si>
  <si>
    <t>pi_dcmon_en</t>
  </si>
  <si>
    <t>pi_comp_en</t>
  </si>
  <si>
    <t>comp_en</t>
  </si>
  <si>
    <t>pi_vccop9_mon_en</t>
  </si>
  <si>
    <t>pi_vcc0p8_mon_en</t>
  </si>
  <si>
    <t>pi_vcc0p7_mon_en</t>
  </si>
  <si>
    <t>ffe_broadcast_en</t>
  </si>
  <si>
    <t>dco_hsmon_local_en</t>
  </si>
  <si>
    <t>DCO HSMON enable</t>
  </si>
  <si>
    <t>pi_pd_en</t>
  </si>
  <si>
    <t xml:space="preserve">PI PD enable </t>
  </si>
  <si>
    <t>pi_pd_lpf_en</t>
  </si>
  <si>
    <t>pi pd lpf enable</t>
  </si>
  <si>
    <t>pi_ph0_lpf_en</t>
  </si>
  <si>
    <t>pi lpf rc input en</t>
  </si>
  <si>
    <t>7'b0</t>
  </si>
  <si>
    <t>RXDCO_CALIBRATION</t>
  </si>
  <si>
    <t>Reset_value</t>
  </si>
  <si>
    <t>reg_spare0</t>
  </si>
  <si>
    <t>spares</t>
  </si>
  <si>
    <t>reg_2f0p</t>
  </si>
  <si>
    <t>9'b011111111</t>
  </si>
  <si>
    <t>Control the 2f0p cap bank</t>
  </si>
  <si>
    <t>reg_2f0n</t>
  </si>
  <si>
    <t>Control the 2f0n cap bank</t>
  </si>
  <si>
    <t>reg_afc</t>
  </si>
  <si>
    <t>Control the afc cap bank</t>
  </si>
  <si>
    <t>RXDCO_CONFIG</t>
  </si>
  <si>
    <t>reg_vrc_pulldown</t>
  </si>
  <si>
    <t>reg_spare_31_31</t>
  </si>
  <si>
    <t>reg_bti_clkgate</t>
  </si>
  <si>
    <t>reg_refgen_sel1_next</t>
  </si>
  <si>
    <t>3'b101</t>
  </si>
  <si>
    <t>reg_refgen_sel0_next</t>
  </si>
  <si>
    <t>reg_fine_prop7_sel</t>
  </si>
  <si>
    <t>3'b111</t>
  </si>
  <si>
    <t>reg_fine_prop6_sel</t>
  </si>
  <si>
    <t>reg_fine_prop5_sel</t>
  </si>
  <si>
    <t>reg_fine_prop4_sel</t>
  </si>
  <si>
    <t>reg_fine_prop3_sel</t>
  </si>
  <si>
    <t>reg_fine_prop2_sel</t>
  </si>
  <si>
    <t>reg_fine_prop1_sel</t>
  </si>
  <si>
    <t>reg_fine_prop0_sel</t>
  </si>
  <si>
    <t>RXDCO_DFX</t>
  </si>
  <si>
    <t>reg_spare2_31_8</t>
  </si>
  <si>
    <t>24'b0</t>
  </si>
  <si>
    <t>reg_a2f_en</t>
  </si>
  <si>
    <t>reg_hscntr_hsclk_sel</t>
  </si>
  <si>
    <t>reg_refgen_sel1</t>
  </si>
  <si>
    <t>reg_refgen_sel1[2:0]</t>
  </si>
  <si>
    <t>reg_refgen_sel0</t>
  </si>
  <si>
    <t>reg_refgen_sel0[2:0]</t>
  </si>
  <si>
    <t>DATA_ALIGN_REG0</t>
  </si>
  <si>
    <t>o_pd_spare3</t>
  </si>
  <si>
    <t>o_pd_chkn_swap</t>
  </si>
  <si>
    <t>o_pd_bias_gen_en</t>
  </si>
  <si>
    <t>o_pd_shreg_rb</t>
  </si>
  <si>
    <t>Enables sampling flops of PD required when enabling Phase-detector.</t>
  </si>
  <si>
    <t>o_global_align_rb</t>
  </si>
  <si>
    <t>Enables sampling flops of GA. Set to '1' as part of wake-up sequence.</t>
  </si>
  <si>
    <t>o_pd_bias_ctrl</t>
  </si>
  <si>
    <t>5'b01010</t>
  </si>
  <si>
    <t>o_pd_start_late</t>
  </si>
  <si>
    <t>When '1' (POR) PD latency is 16UI after sar-array. When '0' it's 8UI (timing issue)</t>
  </si>
  <si>
    <t>o_pd_stop_late</t>
  </si>
  <si>
    <t>When '1' (POR) Vote duration is 16UI. When '0' it's 8UI (half gain)</t>
  </si>
  <si>
    <t>o_pd_stop_next_cyc</t>
  </si>
  <si>
    <t>When '1' Vote duration is 32UI (double gain) ignoring "stop_late". POR is '0'</t>
  </si>
  <si>
    <t>o_pd_ref11err</t>
  </si>
  <si>
    <t>4'b1100</t>
  </si>
  <si>
    <t>o_pd_ref1xdata</t>
  </si>
  <si>
    <t>o_pd_ref10err</t>
  </si>
  <si>
    <t>3'b100</t>
  </si>
  <si>
    <t>Threshold for data 10 (and data 01) digital error slicer on sar_data output</t>
  </si>
  <si>
    <t>o_pd_spare0</t>
  </si>
  <si>
    <t>DATA_ALIGN_REG1</t>
  </si>
  <si>
    <t>o_global_align_spare2</t>
  </si>
  <si>
    <t>o_global_align_clk2lgc_phase_m180deg</t>
  </si>
  <si>
    <t>o_global_align_clk2lgc_phase_p90deg</t>
  </si>
  <si>
    <t>o_global_align_clk2lgc_phase_sel</t>
  </si>
  <si>
    <t>4'b0011</t>
  </si>
  <si>
    <t>o_global_align_spare1</t>
  </si>
  <si>
    <t>o_cml_dfx_en</t>
  </si>
  <si>
    <t>o_dfx_sel</t>
  </si>
  <si>
    <t>dfx_dcmon_vmid_en</t>
  </si>
  <si>
    <t>o_global_align_spare0</t>
  </si>
  <si>
    <t>o_global_align_clk2lgc_at_div_2ndclk</t>
  </si>
  <si>
    <t>o_global_align_clkphase_m180deg</t>
  </si>
  <si>
    <t>o_global_align_clkphase_p90deg</t>
  </si>
  <si>
    <t>o_global_align_clkphase_sel</t>
  </si>
  <si>
    <t>dfx_hsmon_0p9_a2f_boost</t>
  </si>
  <si>
    <t>dfx_hsmon_0p9_a2f_en</t>
  </si>
  <si>
    <t>dfx_hsmon_lgc_a2f_boost</t>
  </si>
  <si>
    <t>dfx_hsmon_lgc_a2f_en</t>
  </si>
  <si>
    <t>dfx_dcmon_vbiasupper_en</t>
  </si>
  <si>
    <t>dfx_dcmon_vbiaslower_en</t>
  </si>
  <si>
    <t>dfx_dcmon_amp_avg_en</t>
  </si>
  <si>
    <t>dfx_dcmon_msb_avg_en</t>
  </si>
  <si>
    <t>11'b101000101</t>
  </si>
  <si>
    <t>11'b01100000000</t>
  </si>
  <si>
    <t>2'b01</t>
  </si>
  <si>
    <t>11'b100101010</t>
  </si>
  <si>
    <t>2'b10</t>
  </si>
  <si>
    <t>11'b101100100</t>
  </si>
  <si>
    <t>ldosar_spare_ns</t>
  </si>
  <si>
    <t>Enables Current mirros of PD required when enabling Phase-detector</t>
  </si>
  <si>
    <t>Threshold when data=11 (and data=00) for highest (and lowest) digital error slicer on sar_data output</t>
  </si>
  <si>
    <t>Threshold for 2nd-MSB determining in digital slicer on sar-data</t>
  </si>
  <si>
    <t>Probes ‘pd_dfx_dcmon_p’ on ‘dfx_dcmon_p’</t>
  </si>
  <si>
    <t>Probes ‘pd_dfx_dcmon_n’ on ‘dfx_dcmon_n’</t>
  </si>
  <si>
    <t>When enabled opens probing of bias-lower on ‘dfx_dcmon_n’</t>
  </si>
  <si>
    <t>When enabled opens probing of bias-upper on ‘dfx_dcmon_p’</t>
  </si>
  <si>
    <t>Enables 0.75V ring-oscillator</t>
  </si>
  <si>
    <t>Increases frequency of 0.75V ring-oscillator (less inverters in loop)</t>
  </si>
  <si>
    <t>Enables 0.9V ring-oscillator</t>
  </si>
  <si>
    <t>Increases frequency of 0.9V ring-oscillator (less inverters in loop)</t>
  </si>
  <si>
    <t>Defining clk division and phase. i.e. 0011 for divby4, 0101 for divby2. Barak2-TC1 POR mode is clean with 0110</t>
  </si>
  <si>
    <t>Selecting qrt clk 1 for qrt11_clk , 0 for qrt15_clk. Barak2-TC1 POR needs ‘1’</t>
  </si>
  <si>
    <t>Selecting qrt_clk phase req 1 for clk , 0 for clk_b. Barak2-TC1 POR needs ‘0’</t>
  </si>
  <si>
    <t>Set to ‘1’ when dividing by 2 instead of 4 so internal clock is still inv of out-clk</t>
  </si>
  <si>
    <t>Bit not is use. (Was for case we need better noise isolation in DC-mon)</t>
  </si>
  <si>
    <t>Enable for the Differential output pair of dfx CML in the PD for statistics on PD data through DC-mon differential output</t>
  </si>
  <si>
    <r>
      <t>Selects in PD dfx CML: ‘000’ – ‘0’, ‘001’ – amp_h, ‘010’ – amp_l, ‘011’ – dt[1], ‘100’ – dt[0]</t>
    </r>
    <r>
      <rPr>
        <b/>
        <sz val="11"/>
        <color rgb="FF000000"/>
        <rFont val="Calibri"/>
        <family val="2"/>
      </rPr>
      <t>,  ‘101’ – Err,  ‘110’ – ‘0’, ‘011’ – ‘1’</t>
    </r>
  </si>
  <si>
    <t>(PD) Swapping between go_early&amp;go_later bits. BRK2-TC1 req set to ‘1’</t>
  </si>
  <si>
    <t>Selecting qrt_clk phase req 1 for clk 0 for clk_b. for shreg of output clock to digital. should follow the value in ‘o_global_align_clkphase_m180deg’</t>
  </si>
  <si>
    <t>Selecting qrt clk 1 for qrt11_clk 0 for qrt15_clk for shreg of output clock to digital. should follow the value in ‘o_global_align_clkphase_p90deg’</t>
  </si>
  <si>
    <r>
      <t xml:space="preserve">Sets Clock division and phase for shreg of output clock to digital. For 180deg phase versus GA internal clock this init should be bit-wise inverse of ‘o_global_align_clkphase_sel[3:0]’ i.e. in Barak2-TC1 POR  </t>
    </r>
    <r>
      <rPr>
        <sz val="8"/>
        <color rgb="FF0070C0"/>
        <rFont val="Calibri"/>
        <family val="2"/>
      </rPr>
      <t>1001</t>
    </r>
  </si>
  <si>
    <t>pk_sw_controles: to control phases to measure in peak detector as this table below:
Valid states
11xx : operate all 
100x : operate 0,180
011x : operate 90,270
00xx : select single diode xx where: 
xx=00: phs0
xx=01: phs180
xx=10: phs90
xx=11: phs270
Note: codes 101x , 010x are not valid (would create three enabled diodes)</t>
  </si>
  <si>
    <t>enable to measure vref after ldo driver inside the peak detector by dcmon path</t>
  </si>
  <si>
    <t>HDL_PATH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</si>
</sst>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5">
    <font>
      <sz val="11"/>
      <color indexed="8"/>
      <name val="Calibri"/>
      <family val="2"/>
    </font>
    <font>
      <sz val="11"/>
      <color theme="1"/>
      <name val="Calibri"/>
      <family val="2"/>
      <scheme val="minor"/>
    </font>
    <font>
      <sz val="11"/>
      <color theme="1"/>
      <name val="Calibri"/>
      <family val="2"/>
      <scheme val="minor"/>
    </font>
    <font>
      <sz val="11"/>
      <color theme="1"/>
      <name val="Calibri"/>
      <family val="2"/>
      <scheme val="minor"/>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sz val="10"/>
      <name val="Arial"/>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0"/>
      <color indexed="8"/>
      <name val="Calibri"/>
      <family val="2"/>
    </font>
    <font>
      <sz val="11"/>
      <color indexed="8"/>
      <name val="Calibri"/>
      <family val="2"/>
    </font>
    <font>
      <sz val="11"/>
      <color theme="1"/>
      <name val="Calibri"/>
      <family val="2"/>
      <scheme val="minor"/>
    </font>
    <font>
      <b/>
      <sz val="10"/>
      <color indexed="8"/>
      <name val="Neo Sans Intel"/>
      <family val="2"/>
    </font>
    <font>
      <sz val="10"/>
      <color indexed="8"/>
      <name val="Neo Sans Intel"/>
      <family val="2"/>
    </font>
    <font>
      <b/>
      <sz val="10"/>
      <color indexed="60"/>
      <name val="Neo Sans Intel"/>
      <family val="2"/>
    </font>
    <font>
      <sz val="11"/>
      <color rgb="FF006100"/>
      <name val="Calibri"/>
      <family val="2"/>
      <scheme val="minor"/>
    </font>
    <font>
      <b/>
      <sz val="11"/>
      <color theme="0"/>
      <name val="Calibri"/>
      <family val="2"/>
      <scheme val="minor"/>
    </font>
    <font>
      <i/>
      <sz val="11"/>
      <color indexed="8"/>
      <name val="Calibri"/>
      <family val="2"/>
    </font>
    <font>
      <b/>
      <sz val="11"/>
      <color theme="1"/>
      <name val="Calibri"/>
      <family val="2"/>
      <scheme val="minor"/>
    </font>
    <font>
      <b/>
      <sz val="10"/>
      <name val="Neo Sans Intel"/>
      <family val="2"/>
    </font>
    <font>
      <sz val="10"/>
      <color indexed="60"/>
      <name val="Neo Sans Intel"/>
      <family val="2"/>
    </font>
    <font>
      <b/>
      <sz val="11"/>
      <color rgb="FF000000"/>
      <name val="Calibri"/>
      <family val="2"/>
    </font>
    <font>
      <sz val="8"/>
      <color rgb="FF0070C0"/>
      <name val="Calibri"/>
      <family val="2"/>
    </font>
  </fonts>
  <fills count="61">
    <fill>
      <patternFill patternType="none"/>
    </fill>
    <fill>
      <patternFill patternType="gray125"/>
    </fill>
    <fill>
      <patternFill patternType="solid">
        <fgColor indexed="31"/>
        <bgColor indexed="22"/>
      </patternFill>
    </fill>
    <fill>
      <patternFill patternType="solid">
        <fgColor indexed="45"/>
        <bgColor indexed="29"/>
      </patternFill>
    </fill>
    <fill>
      <patternFill patternType="solid">
        <fgColor indexed="42"/>
        <bgColor indexed="27"/>
      </patternFill>
    </fill>
    <fill>
      <patternFill patternType="solid">
        <fgColor indexed="46"/>
        <bgColor indexed="24"/>
      </patternFill>
    </fill>
    <fill>
      <patternFill patternType="solid">
        <fgColor indexed="27"/>
        <bgColor indexed="41"/>
      </patternFill>
    </fill>
    <fill>
      <patternFill patternType="solid">
        <fgColor indexed="47"/>
        <bgColor indexed="22"/>
      </patternFill>
    </fill>
    <fill>
      <patternFill patternType="solid">
        <fgColor indexed="44"/>
        <bgColor indexed="31"/>
      </patternFill>
    </fill>
    <fill>
      <patternFill patternType="solid">
        <fgColor indexed="29"/>
        <bgColor indexed="45"/>
      </patternFill>
    </fill>
    <fill>
      <patternFill patternType="solid">
        <fgColor indexed="11"/>
        <bgColor indexed="49"/>
      </patternFill>
    </fill>
    <fill>
      <patternFill patternType="solid">
        <fgColor indexed="51"/>
        <bgColor indexed="13"/>
      </patternFill>
    </fill>
    <fill>
      <patternFill patternType="solid">
        <fgColor indexed="30"/>
        <bgColor indexed="21"/>
      </patternFill>
    </fill>
    <fill>
      <patternFill patternType="solid">
        <fgColor indexed="20"/>
        <bgColor indexed="36"/>
      </patternFill>
    </fill>
    <fill>
      <patternFill patternType="solid">
        <fgColor indexed="49"/>
        <bgColor indexed="40"/>
      </patternFill>
    </fill>
    <fill>
      <patternFill patternType="solid">
        <fgColor indexed="52"/>
        <bgColor indexed="51"/>
      </patternFill>
    </fill>
    <fill>
      <patternFill patternType="solid">
        <fgColor indexed="62"/>
        <bgColor indexed="56"/>
      </patternFill>
    </fill>
    <fill>
      <patternFill patternType="solid">
        <fgColor indexed="10"/>
        <bgColor indexed="60"/>
      </patternFill>
    </fill>
    <fill>
      <patternFill patternType="solid">
        <fgColor indexed="57"/>
        <bgColor indexed="21"/>
      </patternFill>
    </fill>
    <fill>
      <patternFill patternType="solid">
        <fgColor indexed="53"/>
        <bgColor indexed="52"/>
      </patternFill>
    </fill>
    <fill>
      <patternFill patternType="solid">
        <fgColor indexed="22"/>
        <bgColor indexed="3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rgb="FFC6EFCE"/>
      </patternFill>
    </fill>
    <fill>
      <patternFill patternType="solid">
        <fgColor rgb="FFA5A5A5"/>
      </patternFill>
    </fill>
    <fill>
      <patternFill patternType="solid">
        <fgColor theme="7" tint="0.79998168889431442"/>
        <bgColor indexed="64"/>
      </patternFill>
    </fill>
    <fill>
      <patternFill patternType="solid">
        <fgColor rgb="FFBEFDBB"/>
        <bgColor indexed="26"/>
      </patternFill>
    </fill>
    <fill>
      <patternFill patternType="solid">
        <fgColor theme="5"/>
        <bgColor indexed="64"/>
      </patternFill>
    </fill>
    <fill>
      <patternFill patternType="solid">
        <fgColor rgb="FFFCBCFC"/>
        <bgColor indexed="64"/>
      </patternFill>
    </fill>
    <fill>
      <patternFill patternType="solid">
        <fgColor theme="4" tint="0.79998168889431442"/>
        <bgColor indexed="64"/>
      </patternFill>
    </fill>
    <fill>
      <patternFill patternType="solid">
        <fgColor rgb="FFFFFF99"/>
        <bgColor indexed="64"/>
      </patternFill>
    </fill>
    <fill>
      <patternFill patternType="solid">
        <fgColor rgb="FF00CCFF"/>
        <bgColor indexed="64"/>
      </patternFill>
    </fill>
    <fill>
      <patternFill patternType="solid">
        <fgColor rgb="FFB686DA"/>
        <bgColor indexed="64"/>
      </patternFill>
    </fill>
    <fill>
      <patternFill patternType="solid">
        <fgColor rgb="FFBBF2FD"/>
        <bgColor indexed="26"/>
      </patternFill>
    </fill>
    <fill>
      <patternFill patternType="solid">
        <fgColor theme="0"/>
        <bgColor indexed="64"/>
      </patternFill>
    </fill>
    <fill>
      <patternFill patternType="solid">
        <fgColor rgb="FFFCBCFC"/>
        <bgColor indexed="26"/>
      </patternFill>
    </fill>
    <fill>
      <patternFill patternType="solid">
        <fgColor rgb="FFFF9999"/>
        <bgColor indexed="26"/>
      </patternFill>
    </fill>
    <fill>
      <patternFill patternType="solid">
        <fgColor rgb="FFFF9999"/>
        <bgColor indexed="64"/>
      </patternFill>
    </fill>
    <fill>
      <patternFill patternType="solid">
        <fgColor rgb="FFE0A3FF"/>
        <bgColor indexed="26"/>
      </patternFill>
    </fill>
    <fill>
      <patternFill patternType="solid">
        <fgColor rgb="FFE0A3FF"/>
        <bgColor indexed="64"/>
      </patternFill>
    </fill>
    <fill>
      <patternFill patternType="solid">
        <fgColor rgb="FFCCECFF"/>
        <bgColor indexed="26"/>
      </patternFill>
    </fill>
    <fill>
      <patternFill patternType="solid">
        <fgColor rgb="FFC6FFB9"/>
        <bgColor indexed="26"/>
      </patternFill>
    </fill>
    <fill>
      <patternFill patternType="solid">
        <fgColor rgb="FF00CCFF"/>
        <bgColor indexed="26"/>
      </patternFill>
    </fill>
    <fill>
      <patternFill patternType="solid">
        <fgColor theme="3" tint="0.79998168889431442"/>
        <bgColor indexed="26"/>
      </patternFill>
    </fill>
    <fill>
      <patternFill patternType="solid">
        <fgColor rgb="FFFFFF00"/>
        <bgColor indexed="64"/>
      </patternFill>
    </fill>
    <fill>
      <patternFill patternType="solid">
        <fgColor theme="3" tint="0.59999389629810485"/>
        <bgColor indexed="26"/>
      </patternFill>
    </fill>
    <fill>
      <patternFill patternType="solid">
        <fgColor theme="3" tint="0.39997558519241921"/>
        <bgColor indexed="26"/>
      </patternFill>
    </fill>
    <fill>
      <patternFill patternType="solid">
        <fgColor theme="6" tint="0.79998168889431442"/>
        <bgColor indexed="26"/>
      </patternFill>
    </fill>
    <fill>
      <patternFill patternType="solid">
        <fgColor theme="6" tint="0.59999389629810485"/>
        <bgColor indexed="26"/>
      </patternFill>
    </fill>
    <fill>
      <patternFill patternType="solid">
        <fgColor theme="6" tint="0.39997558519241921"/>
        <bgColor indexed="26"/>
      </patternFill>
    </fill>
    <fill>
      <patternFill patternType="solid">
        <fgColor theme="9" tint="0.79998168889431442"/>
        <bgColor indexed="26"/>
      </patternFill>
    </fill>
    <fill>
      <patternFill patternType="solid">
        <fgColor theme="9" tint="0.59999389629810485"/>
        <bgColor indexed="26"/>
      </patternFill>
    </fill>
    <fill>
      <patternFill patternType="solid">
        <fgColor theme="9" tint="0.39997558519241921"/>
        <bgColor indexed="26"/>
      </patternFill>
    </fill>
    <fill>
      <patternFill patternType="solid">
        <fgColor theme="5" tint="0.79998168889431442"/>
        <bgColor indexed="26"/>
      </patternFill>
    </fill>
    <fill>
      <patternFill patternType="solid">
        <fgColor theme="5" tint="0.59999389629810485"/>
        <bgColor indexed="26"/>
      </patternFill>
    </fill>
    <fill>
      <patternFill patternType="solid">
        <fgColor theme="5" tint="0.39997558519241921"/>
        <bgColor indexed="26"/>
      </patternFill>
    </fill>
    <fill>
      <patternFill patternType="solid">
        <fgColor theme="7" tint="0.59999389629810485"/>
        <bgColor indexed="26"/>
      </patternFill>
    </fill>
    <fill>
      <patternFill patternType="solid">
        <fgColor theme="7" tint="0.39997558519241921"/>
        <bgColor indexed="26"/>
      </patternFill>
    </fill>
    <fill>
      <patternFill patternType="solid">
        <fgColor rgb="FFFFC000"/>
        <bgColor indexed="26"/>
      </patternFill>
    </fill>
    <fill>
      <patternFill patternType="solid">
        <fgColor theme="8" tint="0.59999389629810485"/>
        <bgColor indexed="26"/>
      </patternFill>
    </fill>
  </fills>
  <borders count="72">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style="double">
        <color rgb="FF3F3F3F"/>
      </left>
      <right style="double">
        <color rgb="FF3F3F3F"/>
      </right>
      <top style="double">
        <color rgb="FF3F3F3F"/>
      </top>
      <bottom style="double">
        <color rgb="FF3F3F3F"/>
      </bottom>
      <diagonal/>
    </border>
    <border>
      <left style="thin">
        <color auto="1"/>
      </left>
      <right style="thin">
        <color auto="1"/>
      </right>
      <top style="thin">
        <color auto="1"/>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medium">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medium">
        <color indexed="64"/>
      </bottom>
      <diagonal/>
    </border>
    <border>
      <left style="medium">
        <color indexed="64"/>
      </left>
      <right style="medium">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thin">
        <color indexed="64"/>
      </right>
      <top/>
      <bottom/>
      <diagonal/>
    </border>
    <border>
      <left style="medium">
        <color indexed="64"/>
      </left>
      <right style="thin">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s>
  <cellStyleXfs count="58">
    <xf numFmtId="0" fontId="0" fillId="0" borderId="0"/>
    <xf numFmtId="0" fontId="22" fillId="2" borderId="0" applyNumberFormat="0" applyBorder="0" applyAlignment="0" applyProtection="0"/>
    <xf numFmtId="0" fontId="22" fillId="3" borderId="0" applyNumberFormat="0" applyBorder="0" applyAlignment="0" applyProtection="0"/>
    <xf numFmtId="0" fontId="22" fillId="4" borderId="0" applyNumberFormat="0" applyBorder="0" applyAlignment="0" applyProtection="0"/>
    <xf numFmtId="0" fontId="22" fillId="5" borderId="0" applyNumberFormat="0" applyBorder="0" applyAlignment="0" applyProtection="0"/>
    <xf numFmtId="0" fontId="22" fillId="6" borderId="0" applyNumberFormat="0" applyBorder="0" applyAlignment="0" applyProtection="0"/>
    <xf numFmtId="0" fontId="22" fillId="7" borderId="0" applyNumberFormat="0" applyBorder="0" applyAlignment="0" applyProtection="0"/>
    <xf numFmtId="0" fontId="22" fillId="8" borderId="0" applyNumberFormat="0" applyBorder="0" applyAlignment="0" applyProtection="0"/>
    <xf numFmtId="0" fontId="22" fillId="9" borderId="0" applyNumberFormat="0" applyBorder="0" applyAlignment="0" applyProtection="0"/>
    <xf numFmtId="0" fontId="22" fillId="10" borderId="0" applyNumberFormat="0" applyBorder="0" applyAlignment="0" applyProtection="0"/>
    <xf numFmtId="0" fontId="22" fillId="5" borderId="0" applyNumberFormat="0" applyBorder="0" applyAlignment="0" applyProtection="0"/>
    <xf numFmtId="0" fontId="22" fillId="8" borderId="0" applyNumberFormat="0" applyBorder="0" applyAlignment="0" applyProtection="0"/>
    <xf numFmtId="0" fontId="22" fillId="11" borderId="0" applyNumberFormat="0" applyBorder="0" applyAlignment="0" applyProtection="0"/>
    <xf numFmtId="0" fontId="4" fillId="12"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18"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9" borderId="0" applyNumberFormat="0" applyBorder="0" applyAlignment="0" applyProtection="0"/>
    <xf numFmtId="0" fontId="5" fillId="3" borderId="0" applyNumberFormat="0" applyBorder="0" applyAlignment="0" applyProtection="0"/>
    <xf numFmtId="0" fontId="6" fillId="20" borderId="1" applyNumberFormat="0" applyAlignment="0" applyProtection="0"/>
    <xf numFmtId="0" fontId="7" fillId="21" borderId="2" applyNumberFormat="0" applyAlignment="0" applyProtection="0"/>
    <xf numFmtId="0" fontId="8" fillId="0" borderId="0" applyNumberFormat="0" applyFill="0" applyBorder="0" applyAlignment="0" applyProtection="0"/>
    <xf numFmtId="0" fontId="9" fillId="4" borderId="0" applyNumberFormat="0" applyBorder="0" applyAlignment="0" applyProtection="0"/>
    <xf numFmtId="0" fontId="10" fillId="0" borderId="3" applyNumberFormat="0" applyFill="0" applyAlignment="0" applyProtection="0"/>
    <xf numFmtId="0" fontId="11" fillId="0" borderId="4" applyNumberFormat="0" applyFill="0" applyAlignment="0" applyProtection="0"/>
    <xf numFmtId="0" fontId="12" fillId="0" borderId="5" applyNumberFormat="0" applyFill="0" applyAlignment="0" applyProtection="0"/>
    <xf numFmtId="0" fontId="12" fillId="0" borderId="0" applyNumberFormat="0" applyFill="0" applyBorder="0" applyAlignment="0" applyProtection="0"/>
    <xf numFmtId="0" fontId="13" fillId="7" borderId="1" applyNumberFormat="0" applyAlignment="0" applyProtection="0"/>
    <xf numFmtId="0" fontId="14" fillId="0" borderId="6" applyNumberFormat="0" applyFill="0" applyAlignment="0" applyProtection="0"/>
    <xf numFmtId="0" fontId="15" fillId="22" borderId="0" applyNumberFormat="0" applyBorder="0" applyAlignment="0" applyProtection="0"/>
    <xf numFmtId="0" fontId="16" fillId="0" borderId="0"/>
    <xf numFmtId="0" fontId="16" fillId="0" borderId="0"/>
    <xf numFmtId="0" fontId="23" fillId="0" borderId="0"/>
    <xf numFmtId="0" fontId="22" fillId="23" borderId="7" applyNumberFormat="0" applyAlignment="0" applyProtection="0"/>
    <xf numFmtId="0" fontId="17" fillId="20" borderId="8" applyNumberFormat="0" applyAlignment="0" applyProtection="0"/>
    <xf numFmtId="0" fontId="18" fillId="0" borderId="0" applyNumberFormat="0" applyFill="0" applyBorder="0" applyAlignment="0" applyProtection="0"/>
    <xf numFmtId="0" fontId="19" fillId="0" borderId="9" applyNumberFormat="0" applyFill="0" applyAlignment="0" applyProtection="0"/>
    <xf numFmtId="0" fontId="20" fillId="0" borderId="0" applyNumberFormat="0" applyFill="0" applyBorder="0" applyAlignment="0" applyProtection="0"/>
    <xf numFmtId="0" fontId="27" fillId="24" borderId="0" applyNumberFormat="0" applyBorder="0" applyAlignment="0" applyProtection="0"/>
    <xf numFmtId="0" fontId="28" fillId="25" borderId="14" applyNumberFormat="0" applyAlignment="0" applyProtection="0"/>
    <xf numFmtId="0" fontId="17" fillId="20" borderId="24" applyNumberFormat="0" applyAlignment="0" applyProtection="0"/>
    <xf numFmtId="0" fontId="22" fillId="23" borderId="23" applyNumberFormat="0" applyAlignment="0" applyProtection="0"/>
    <xf numFmtId="0" fontId="19" fillId="0" borderId="29" applyNumberFormat="0" applyFill="0" applyAlignment="0" applyProtection="0"/>
    <xf numFmtId="0" fontId="17" fillId="20" borderId="28" applyNumberFormat="0" applyAlignment="0" applyProtection="0"/>
    <xf numFmtId="0" fontId="22" fillId="23" borderId="27" applyNumberFormat="0" applyAlignment="0" applyProtection="0"/>
    <xf numFmtId="0" fontId="13" fillId="7" borderId="22" applyNumberFormat="0" applyAlignment="0" applyProtection="0"/>
    <xf numFmtId="0" fontId="13" fillId="7" borderId="26" applyNumberFormat="0" applyAlignment="0" applyProtection="0"/>
    <xf numFmtId="0" fontId="6" fillId="20" borderId="22" applyNumberFormat="0" applyAlignment="0" applyProtection="0"/>
    <xf numFmtId="0" fontId="6" fillId="20" borderId="26" applyNumberFormat="0" applyAlignment="0" applyProtection="0"/>
    <xf numFmtId="0" fontId="3" fillId="0" borderId="0"/>
    <xf numFmtId="0" fontId="19" fillId="0" borderId="25" applyNumberFormat="0" applyFill="0" applyAlignment="0" applyProtection="0"/>
  </cellStyleXfs>
  <cellXfs count="332">
    <xf numFmtId="0" fontId="0" fillId="0" borderId="0" xfId="0"/>
    <xf numFmtId="0" fontId="21" fillId="0" borderId="0" xfId="0" applyFont="1" applyBorder="1" applyAlignment="1">
      <alignment wrapText="1"/>
    </xf>
    <xf numFmtId="0" fontId="0" fillId="0" borderId="0" xfId="0" applyFill="1" applyBorder="1" applyAlignment="1">
      <alignment wrapText="1"/>
    </xf>
    <xf numFmtId="0" fontId="0" fillId="0" borderId="0" xfId="0" applyBorder="1"/>
    <xf numFmtId="0" fontId="0" fillId="0" borderId="17" xfId="0" applyBorder="1"/>
    <xf numFmtId="0" fontId="0" fillId="0" borderId="18" xfId="0" applyBorder="1"/>
    <xf numFmtId="0" fontId="0" fillId="0" borderId="12" xfId="0" applyBorder="1"/>
    <xf numFmtId="0" fontId="0" fillId="0" borderId="13" xfId="0" applyBorder="1"/>
    <xf numFmtId="0" fontId="0" fillId="0" borderId="19" xfId="0" applyBorder="1"/>
    <xf numFmtId="0" fontId="0" fillId="0" borderId="20" xfId="0" applyBorder="1"/>
    <xf numFmtId="0" fontId="0" fillId="0" borderId="21" xfId="0" applyBorder="1"/>
    <xf numFmtId="0" fontId="0" fillId="0" borderId="16" xfId="0" applyBorder="1"/>
    <xf numFmtId="0" fontId="29" fillId="0" borderId="15" xfId="0" applyFont="1" applyBorder="1" applyAlignment="1">
      <alignment horizontal="center"/>
    </xf>
    <xf numFmtId="0" fontId="29" fillId="0" borderId="15" xfId="0" applyFont="1" applyBorder="1" applyAlignment="1">
      <alignment horizontal="center" vertical="center"/>
    </xf>
    <xf numFmtId="0" fontId="29" fillId="0" borderId="15" xfId="0" applyFont="1" applyBorder="1" applyAlignment="1">
      <alignment horizontal="center" vertical="center" wrapText="1"/>
    </xf>
    <xf numFmtId="0" fontId="0" fillId="0" borderId="15" xfId="0" applyBorder="1" applyAlignment="1">
      <alignment horizontal="center"/>
    </xf>
    <xf numFmtId="0" fontId="0" fillId="0" borderId="15" xfId="0" applyBorder="1" applyAlignment="1">
      <alignment horizontal="left" wrapText="1"/>
    </xf>
    <xf numFmtId="0" fontId="0" fillId="0" borderId="0" xfId="0" applyBorder="1" applyAlignment="1">
      <alignment horizontal="center" vertical="center" wrapText="1"/>
    </xf>
    <xf numFmtId="0" fontId="0" fillId="0" borderId="33" xfId="0" applyBorder="1" applyAlignment="1">
      <alignment horizontal="left" wrapText="1"/>
    </xf>
    <xf numFmtId="0" fontId="0" fillId="0" borderId="15" xfId="0" quotePrefix="1" applyBorder="1" applyAlignment="1">
      <alignment horizontal="center"/>
    </xf>
    <xf numFmtId="14" fontId="0" fillId="0" borderId="15" xfId="0" applyNumberFormat="1" applyBorder="1" applyAlignment="1">
      <alignment horizontal="center"/>
    </xf>
    <xf numFmtId="14" fontId="0" fillId="0" borderId="15" xfId="0" applyNumberFormat="1" applyBorder="1" applyAlignment="1">
      <alignment horizontal="center" vertical="center"/>
    </xf>
    <xf numFmtId="49" fontId="0" fillId="0" borderId="0" xfId="0" applyNumberFormat="1" applyBorder="1" applyAlignment="1">
      <alignment horizontal="center" vertical="center" wrapText="1"/>
    </xf>
    <xf numFmtId="0" fontId="0" fillId="0" borderId="0" xfId="0" applyBorder="1" applyAlignment="1">
      <alignment wrapText="1"/>
    </xf>
    <xf numFmtId="0" fontId="0" fillId="0" borderId="0" xfId="0" applyBorder="1" applyAlignment="1">
      <alignment horizontal="left" wrapText="1"/>
    </xf>
    <xf numFmtId="0" fontId="24" fillId="26" borderId="39" xfId="0" applyFont="1" applyFill="1" applyBorder="1" applyAlignment="1">
      <alignment horizontal="center" vertical="center" wrapText="1"/>
    </xf>
    <xf numFmtId="49" fontId="24" fillId="26" borderId="39" xfId="0" applyNumberFormat="1" applyFont="1" applyFill="1" applyBorder="1" applyAlignment="1">
      <alignment horizontal="center" vertical="center" wrapText="1"/>
    </xf>
    <xf numFmtId="0" fontId="24" fillId="26" borderId="40" xfId="0" applyFont="1" applyFill="1" applyBorder="1" applyAlignment="1">
      <alignment horizontal="center" vertical="center" wrapText="1"/>
    </xf>
    <xf numFmtId="0" fontId="24" fillId="26" borderId="34" xfId="0" applyFont="1" applyFill="1" applyBorder="1" applyAlignment="1">
      <alignment horizontal="center" vertical="center" wrapText="1"/>
    </xf>
    <xf numFmtId="0" fontId="19" fillId="0" borderId="38" xfId="0" applyFont="1" applyFill="1" applyBorder="1" applyAlignment="1">
      <alignment horizontal="center" wrapText="1"/>
    </xf>
    <xf numFmtId="49" fontId="24" fillId="0" borderId="38" xfId="0" applyNumberFormat="1" applyFont="1" applyBorder="1" applyAlignment="1">
      <alignment horizontal="center" vertical="center" wrapText="1"/>
    </xf>
    <xf numFmtId="49" fontId="24" fillId="0" borderId="38" xfId="0" applyNumberFormat="1" applyFont="1" applyFill="1" applyBorder="1" applyAlignment="1">
      <alignment horizontal="center" vertical="center" wrapText="1"/>
    </xf>
    <xf numFmtId="0" fontId="31" fillId="0" borderId="38" xfId="37" applyFont="1" applyBorder="1" applyAlignment="1">
      <alignment horizontal="center" vertical="center" wrapText="1"/>
    </xf>
    <xf numFmtId="0" fontId="24" fillId="0" borderId="38" xfId="0" applyFont="1" applyBorder="1" applyAlignment="1">
      <alignment horizontal="center" vertical="center" wrapText="1"/>
    </xf>
    <xf numFmtId="0" fontId="19" fillId="0" borderId="0" xfId="0" applyFont="1" applyFill="1" applyBorder="1" applyAlignment="1">
      <alignment horizontal="center" vertical="center" wrapText="1"/>
    </xf>
    <xf numFmtId="0" fontId="30" fillId="28" borderId="34" xfId="0" applyFont="1" applyFill="1" applyBorder="1" applyAlignment="1">
      <alignment vertical="center"/>
    </xf>
    <xf numFmtId="0" fontId="30" fillId="28" borderId="34" xfId="0" applyFont="1" applyFill="1" applyBorder="1" applyAlignment="1">
      <alignment horizontal="center" vertical="center"/>
    </xf>
    <xf numFmtId="0" fontId="30" fillId="28" borderId="40" xfId="0" applyFont="1" applyFill="1" applyBorder="1" applyAlignment="1">
      <alignment horizontal="center" vertical="center"/>
    </xf>
    <xf numFmtId="0" fontId="19" fillId="0" borderId="0" xfId="0" applyFont="1" applyAlignment="1">
      <alignment horizontal="center" vertical="center"/>
    </xf>
    <xf numFmtId="0" fontId="0" fillId="0" borderId="41" xfId="0" applyBorder="1"/>
    <xf numFmtId="0" fontId="0" fillId="0" borderId="42" xfId="0" applyBorder="1"/>
    <xf numFmtId="0" fontId="0" fillId="0" borderId="34" xfId="0" applyBorder="1"/>
    <xf numFmtId="0" fontId="0" fillId="0" borderId="40" xfId="0" applyBorder="1"/>
    <xf numFmtId="0" fontId="30" fillId="0" borderId="38" xfId="0" applyFont="1" applyBorder="1" applyAlignment="1">
      <alignment horizontal="left" vertical="center"/>
    </xf>
    <xf numFmtId="0" fontId="31" fillId="0" borderId="38" xfId="39" applyFont="1" applyFill="1" applyBorder="1" applyAlignment="1">
      <alignment horizontal="center" vertical="center" wrapText="1"/>
    </xf>
    <xf numFmtId="0" fontId="19" fillId="0" borderId="0" xfId="0" applyFont="1" applyFill="1" applyBorder="1" applyAlignment="1">
      <alignment wrapText="1"/>
    </xf>
    <xf numFmtId="0" fontId="24" fillId="35" borderId="38" xfId="0" applyFont="1" applyFill="1" applyBorder="1" applyAlignment="1">
      <alignment wrapText="1"/>
    </xf>
    <xf numFmtId="0" fontId="0" fillId="0" borderId="38" xfId="0" applyBorder="1" applyAlignment="1">
      <alignment horizontal="center" vertical="center" wrapText="1"/>
    </xf>
    <xf numFmtId="0" fontId="0" fillId="0" borderId="38" xfId="0" applyFill="1" applyBorder="1" applyAlignment="1">
      <alignment horizontal="center" wrapText="1"/>
    </xf>
    <xf numFmtId="0" fontId="2" fillId="0" borderId="38" xfId="39" applyFont="1" applyBorder="1" applyAlignment="1">
      <alignment wrapText="1"/>
    </xf>
    <xf numFmtId="0" fontId="2" fillId="0" borderId="37" xfId="39" applyFont="1" applyBorder="1" applyAlignment="1">
      <alignment wrapText="1"/>
    </xf>
    <xf numFmtId="49" fontId="25" fillId="0" borderId="38" xfId="0" applyNumberFormat="1" applyFont="1" applyBorder="1" applyAlignment="1">
      <alignment horizontal="center" vertical="center" wrapText="1"/>
    </xf>
    <xf numFmtId="1" fontId="0" fillId="0" borderId="0" xfId="0" applyNumberFormat="1"/>
    <xf numFmtId="0" fontId="0" fillId="29" borderId="38" xfId="0" applyFill="1" applyBorder="1" applyAlignment="1">
      <alignment horizontal="center" vertical="center" wrapText="1"/>
    </xf>
    <xf numFmtId="0" fontId="0" fillId="38" borderId="38" xfId="0" applyFill="1" applyBorder="1" applyAlignment="1">
      <alignment horizontal="center" vertical="center" wrapText="1"/>
    </xf>
    <xf numFmtId="0" fontId="0" fillId="40" borderId="38" xfId="0" applyFill="1" applyBorder="1" applyAlignment="1">
      <alignment horizontal="center" vertical="center" wrapText="1"/>
    </xf>
    <xf numFmtId="0" fontId="26" fillId="22" borderId="51" xfId="36" applyNumberFormat="1" applyFont="1" applyBorder="1" applyAlignment="1" applyProtection="1">
      <alignment vertical="center" wrapText="1"/>
    </xf>
    <xf numFmtId="0" fontId="30" fillId="30" borderId="38" xfId="0" applyFont="1" applyFill="1" applyBorder="1" applyAlignment="1">
      <alignment vertical="center"/>
    </xf>
    <xf numFmtId="0" fontId="0" fillId="0" borderId="38" xfId="0" applyBorder="1" applyAlignment="1"/>
    <xf numFmtId="0" fontId="0" fillId="0" borderId="0" xfId="0" applyFill="1" applyBorder="1" applyAlignment="1"/>
    <xf numFmtId="0" fontId="26" fillId="22" borderId="54" xfId="36" applyNumberFormat="1" applyFont="1" applyBorder="1" applyAlignment="1" applyProtection="1">
      <alignment vertical="center" wrapText="1"/>
    </xf>
    <xf numFmtId="0" fontId="0" fillId="0" borderId="0" xfId="0" applyAlignment="1">
      <alignment wrapText="1"/>
    </xf>
    <xf numFmtId="0" fontId="31" fillId="0" borderId="38" xfId="39" applyFont="1" applyBorder="1" applyAlignment="1">
      <alignment horizontal="center" vertical="center" wrapText="1"/>
    </xf>
    <xf numFmtId="0" fontId="19" fillId="0" borderId="0" xfId="0" applyFont="1" applyAlignment="1">
      <alignment wrapText="1"/>
    </xf>
    <xf numFmtId="0" fontId="30" fillId="0" borderId="38" xfId="39" applyFont="1" applyBorder="1" applyAlignment="1">
      <alignment wrapText="1"/>
    </xf>
    <xf numFmtId="0" fontId="30" fillId="0" borderId="38" xfId="39" applyFont="1" applyBorder="1" applyAlignment="1">
      <alignment vertical="center" wrapText="1"/>
    </xf>
    <xf numFmtId="0" fontId="24" fillId="35" borderId="39" xfId="0" applyFont="1" applyFill="1" applyBorder="1" applyAlignment="1">
      <alignment wrapText="1"/>
    </xf>
    <xf numFmtId="49" fontId="24" fillId="0" borderId="39" xfId="0" applyNumberFormat="1" applyFont="1" applyBorder="1" applyAlignment="1">
      <alignment horizontal="center" vertical="center" wrapText="1"/>
    </xf>
    <xf numFmtId="0" fontId="31" fillId="0" borderId="39" xfId="37" applyFont="1" applyBorder="1" applyAlignment="1">
      <alignment horizontal="center" vertical="center" wrapText="1"/>
    </xf>
    <xf numFmtId="0" fontId="24" fillId="0" borderId="39" xfId="0" applyFont="1" applyBorder="1" applyAlignment="1">
      <alignment horizontal="center" vertical="center" wrapText="1"/>
    </xf>
    <xf numFmtId="0" fontId="19" fillId="0" borderId="38" xfId="0" applyFont="1" applyBorder="1" applyAlignment="1">
      <alignment horizontal="center" wrapText="1"/>
    </xf>
    <xf numFmtId="0" fontId="26" fillId="22" borderId="54" xfId="36" applyFont="1" applyBorder="1" applyAlignment="1">
      <alignment vertical="center" wrapText="1"/>
    </xf>
    <xf numFmtId="0" fontId="30" fillId="0" borderId="39" xfId="0" applyFont="1" applyBorder="1" applyAlignment="1">
      <alignment horizontal="left" vertical="center"/>
    </xf>
    <xf numFmtId="0" fontId="26" fillId="34" borderId="51" xfId="36" applyNumberFormat="1" applyFont="1" applyFill="1" applyBorder="1" applyAlignment="1" applyProtection="1">
      <alignment vertical="center" wrapText="1"/>
    </xf>
    <xf numFmtId="0" fontId="26" fillId="34" borderId="53" xfId="36" applyNumberFormat="1" applyFont="1" applyFill="1" applyBorder="1" applyAlignment="1" applyProtection="1">
      <alignment vertical="center" wrapText="1"/>
    </xf>
    <xf numFmtId="0" fontId="30" fillId="0" borderId="38" xfId="39" applyFont="1" applyBorder="1" applyAlignment="1">
      <alignment vertical="center"/>
    </xf>
    <xf numFmtId="49" fontId="24" fillId="45" borderId="38" xfId="0" applyNumberFormat="1" applyFont="1" applyFill="1" applyBorder="1" applyAlignment="1">
      <alignment horizontal="center" vertical="center" wrapText="1"/>
    </xf>
    <xf numFmtId="0" fontId="30" fillId="0" borderId="61" xfId="0" applyFont="1" applyBorder="1" applyAlignment="1">
      <alignment horizontal="left" vertical="center"/>
    </xf>
    <xf numFmtId="0" fontId="31" fillId="0" borderId="61" xfId="39" applyFont="1" applyBorder="1" applyAlignment="1">
      <alignment horizontal="center" vertical="center" wrapText="1"/>
    </xf>
    <xf numFmtId="49" fontId="24" fillId="0" borderId="62" xfId="0" applyNumberFormat="1" applyFont="1" applyBorder="1" applyAlignment="1">
      <alignment horizontal="center" vertical="center" wrapText="1"/>
    </xf>
    <xf numFmtId="0" fontId="30" fillId="0" borderId="61" xfId="39" applyFont="1" applyBorder="1" applyAlignment="1">
      <alignment vertical="center" wrapText="1"/>
    </xf>
    <xf numFmtId="0" fontId="24" fillId="35" borderId="63" xfId="0" applyFont="1" applyFill="1" applyBorder="1" applyAlignment="1">
      <alignment wrapText="1"/>
    </xf>
    <xf numFmtId="0" fontId="26" fillId="47" borderId="32" xfId="36" applyNumberFormat="1" applyFont="1" applyFill="1" applyBorder="1" applyAlignment="1" applyProtection="1">
      <alignment horizontal="center" vertical="center" wrapText="1"/>
    </xf>
    <xf numFmtId="49" fontId="24" fillId="0" borderId="38" xfId="0" quotePrefix="1" applyNumberFormat="1" applyFont="1" applyBorder="1" applyAlignment="1">
      <alignment horizontal="center" vertical="center" wrapText="1"/>
    </xf>
    <xf numFmtId="0" fontId="26" fillId="27" borderId="32" xfId="36" applyNumberFormat="1" applyFont="1" applyFill="1" applyBorder="1" applyAlignment="1" applyProtection="1">
      <alignment horizontal="center" vertical="center" wrapText="1"/>
    </xf>
    <xf numFmtId="0" fontId="26" fillId="27" borderId="46" xfId="36" applyNumberFormat="1" applyFont="1" applyFill="1" applyBorder="1" applyAlignment="1" applyProtection="1">
      <alignment horizontal="center" vertical="center" wrapText="1"/>
    </xf>
    <xf numFmtId="0" fontId="26" fillId="27" borderId="17" xfId="36" applyNumberFormat="1" applyFont="1" applyFill="1" applyBorder="1" applyAlignment="1" applyProtection="1">
      <alignment horizontal="center" vertical="center" wrapText="1"/>
    </xf>
    <xf numFmtId="0" fontId="26" fillId="22" borderId="61" xfId="36" applyNumberFormat="1" applyFont="1" applyBorder="1" applyAlignment="1" applyProtection="1">
      <alignment vertical="center" wrapText="1"/>
    </xf>
    <xf numFmtId="0" fontId="26" fillId="34" borderId="61" xfId="36" applyNumberFormat="1" applyFont="1" applyFill="1" applyBorder="1" applyAlignment="1" applyProtection="1">
      <alignment vertical="center" wrapText="1"/>
    </xf>
    <xf numFmtId="0" fontId="19" fillId="0" borderId="38" xfId="0" applyFont="1" applyBorder="1" applyAlignment="1">
      <alignment wrapText="1"/>
    </xf>
    <xf numFmtId="0" fontId="26" fillId="22" borderId="51" xfId="36" applyFont="1" applyBorder="1" applyAlignment="1">
      <alignment vertical="center" wrapText="1"/>
    </xf>
    <xf numFmtId="0" fontId="26" fillId="34" borderId="51" xfId="36" applyFont="1" applyFill="1" applyBorder="1" applyAlignment="1">
      <alignment vertical="center" wrapText="1"/>
    </xf>
    <xf numFmtId="0" fontId="26" fillId="34" borderId="53" xfId="36" applyFont="1" applyFill="1" applyBorder="1" applyAlignment="1">
      <alignment vertical="center" wrapText="1"/>
    </xf>
    <xf numFmtId="0" fontId="19" fillId="0" borderId="38" xfId="0" applyFont="1" applyBorder="1" applyAlignment="1">
      <alignment horizontal="center" vertical="center" wrapText="1"/>
    </xf>
    <xf numFmtId="0" fontId="30" fillId="0" borderId="39" xfId="39" applyFont="1" applyBorder="1" applyAlignment="1">
      <alignment horizontal="center" wrapText="1"/>
    </xf>
    <xf numFmtId="0" fontId="0" fillId="0" borderId="38" xfId="0" applyBorder="1" applyAlignment="1">
      <alignment wrapText="1"/>
    </xf>
    <xf numFmtId="0" fontId="19" fillId="0" borderId="38" xfId="0" applyFont="1" applyBorder="1" applyAlignment="1">
      <alignment horizontal="left" vertical="center" wrapText="1"/>
    </xf>
    <xf numFmtId="0" fontId="30" fillId="0" borderId="38" xfId="39" applyFont="1" applyBorder="1" applyAlignment="1">
      <alignment horizontal="center" wrapText="1"/>
    </xf>
    <xf numFmtId="0" fontId="32" fillId="22" borderId="42" xfId="36" applyFont="1" applyBorder="1" applyAlignment="1">
      <alignment horizontal="left" vertical="center" wrapText="1"/>
    </xf>
    <xf numFmtId="0" fontId="19" fillId="0" borderId="15" xfId="0" applyFont="1" applyBorder="1" applyAlignment="1">
      <alignment horizontal="left" vertical="center" wrapText="1"/>
    </xf>
    <xf numFmtId="0" fontId="19" fillId="0" borderId="15" xfId="0" applyFont="1" applyBorder="1" applyAlignment="1">
      <alignment horizontal="center" vertical="center" wrapText="1"/>
    </xf>
    <xf numFmtId="0" fontId="24" fillId="0" borderId="15" xfId="0" applyFont="1" applyBorder="1" applyAlignment="1">
      <alignment horizontal="center" vertical="center" wrapText="1"/>
    </xf>
    <xf numFmtId="0" fontId="30" fillId="0" borderId="67" xfId="39" applyFont="1" applyBorder="1" applyAlignment="1">
      <alignment horizontal="center" wrapText="1"/>
    </xf>
    <xf numFmtId="49" fontId="24" fillId="0" borderId="15" xfId="0" applyNumberFormat="1" applyFont="1" applyBorder="1" applyAlignment="1">
      <alignment horizontal="center" vertical="center" wrapText="1"/>
    </xf>
    <xf numFmtId="0" fontId="31" fillId="0" borderId="15" xfId="37" applyFont="1" applyBorder="1" applyAlignment="1">
      <alignment horizontal="center" vertical="center" wrapText="1"/>
    </xf>
    <xf numFmtId="0" fontId="0" fillId="0" borderId="15" xfId="0" applyBorder="1" applyAlignment="1">
      <alignment wrapText="1"/>
    </xf>
    <xf numFmtId="0" fontId="0" fillId="0" borderId="15" xfId="0" applyBorder="1" applyAlignment="1">
      <alignment horizontal="left" vertical="center" wrapText="1"/>
    </xf>
    <xf numFmtId="0" fontId="0" fillId="0" borderId="0" xfId="0" applyAlignment="1">
      <alignment horizontal="left" vertical="center" wrapText="1"/>
    </xf>
    <xf numFmtId="0" fontId="19" fillId="0" borderId="15" xfId="0" applyFont="1" applyBorder="1" applyAlignment="1">
      <alignment horizontal="center" wrapText="1"/>
    </xf>
    <xf numFmtId="0" fontId="30" fillId="0" borderId="15" xfId="39" applyFont="1" applyBorder="1" applyAlignment="1">
      <alignment horizontal="center" wrapText="1"/>
    </xf>
    <xf numFmtId="0" fontId="30" fillId="0" borderId="15" xfId="39" applyFont="1" applyBorder="1" applyAlignment="1">
      <alignment vertical="center" wrapText="1"/>
    </xf>
    <xf numFmtId="0" fontId="30" fillId="0" borderId="15" xfId="39" applyFont="1" applyBorder="1" applyAlignment="1">
      <alignment wrapText="1"/>
    </xf>
    <xf numFmtId="0" fontId="19" fillId="0" borderId="71" xfId="0" applyFont="1" applyBorder="1" applyAlignment="1">
      <alignment horizontal="center" vertical="center" wrapText="1"/>
    </xf>
    <xf numFmtId="0" fontId="30" fillId="0" borderId="71" xfId="39" applyFont="1" applyBorder="1" applyAlignment="1">
      <alignment horizontal="center" wrapText="1"/>
    </xf>
    <xf numFmtId="49" fontId="24" fillId="0" borderId="71" xfId="0" applyNumberFormat="1" applyFont="1" applyBorder="1" applyAlignment="1">
      <alignment horizontal="center" vertical="center" wrapText="1"/>
    </xf>
    <xf numFmtId="0" fontId="31" fillId="0" borderId="71" xfId="37" applyFont="1" applyBorder="1" applyAlignment="1">
      <alignment horizontal="center" vertical="center" wrapText="1"/>
    </xf>
    <xf numFmtId="0" fontId="24" fillId="0" borderId="71" xfId="0" applyFont="1" applyBorder="1" applyAlignment="1">
      <alignment horizontal="center" vertical="center" wrapText="1"/>
    </xf>
    <xf numFmtId="0" fontId="30" fillId="0" borderId="15" xfId="39" applyFont="1" applyBorder="1" applyAlignment="1">
      <alignment vertical="center"/>
    </xf>
    <xf numFmtId="0" fontId="30" fillId="0" borderId="38" xfId="39" applyFont="1" applyBorder="1" applyAlignment="1"/>
    <xf numFmtId="0" fontId="26" fillId="27" borderId="10" xfId="36" applyNumberFormat="1" applyFont="1" applyFill="1" applyBorder="1" applyAlignment="1" applyProtection="1">
      <alignment horizontal="center" vertical="center" wrapText="1"/>
    </xf>
    <xf numFmtId="0" fontId="26" fillId="27" borderId="38" xfId="36" applyNumberFormat="1" applyFont="1" applyFill="1" applyBorder="1" applyAlignment="1" applyProtection="1">
      <alignment horizontal="center" vertical="center" wrapText="1"/>
    </xf>
    <xf numFmtId="0" fontId="26" fillId="27" borderId="11" xfId="36" applyNumberFormat="1" applyFont="1" applyFill="1" applyBorder="1" applyAlignment="1" applyProtection="1">
      <alignment horizontal="center" vertical="center" wrapText="1"/>
    </xf>
    <xf numFmtId="0" fontId="26" fillId="27" borderId="37" xfId="36" applyNumberFormat="1" applyFont="1" applyFill="1" applyBorder="1" applyAlignment="1" applyProtection="1">
      <alignment horizontal="center" vertical="center" wrapText="1"/>
    </xf>
    <xf numFmtId="1" fontId="26" fillId="27" borderId="11" xfId="36" applyNumberFormat="1" applyFont="1" applyFill="1" applyBorder="1" applyAlignment="1" applyProtection="1">
      <alignment horizontal="center" vertical="center" wrapText="1"/>
    </xf>
    <xf numFmtId="1" fontId="26" fillId="27" borderId="37" xfId="36" applyNumberFormat="1" applyFont="1" applyFill="1" applyBorder="1" applyAlignment="1" applyProtection="1">
      <alignment horizontal="center" vertical="center" wrapText="1"/>
    </xf>
    <xf numFmtId="0" fontId="26" fillId="39" borderId="35" xfId="36" applyNumberFormat="1" applyFont="1" applyFill="1" applyBorder="1" applyAlignment="1" applyProtection="1">
      <alignment horizontal="center" vertical="center" wrapText="1"/>
    </xf>
    <xf numFmtId="0" fontId="26" fillId="39" borderId="36" xfId="36" applyNumberFormat="1" applyFont="1" applyFill="1" applyBorder="1" applyAlignment="1" applyProtection="1">
      <alignment horizontal="center" vertical="center" wrapText="1"/>
    </xf>
    <xf numFmtId="0" fontId="26" fillId="39" borderId="10" xfId="36" applyNumberFormat="1" applyFont="1" applyFill="1" applyBorder="1" applyAlignment="1" applyProtection="1">
      <alignment horizontal="center" vertical="center" wrapText="1"/>
    </xf>
    <xf numFmtId="0" fontId="26" fillId="39" borderId="38" xfId="36" applyNumberFormat="1" applyFont="1" applyFill="1" applyBorder="1" applyAlignment="1" applyProtection="1">
      <alignment horizontal="center" vertical="center" wrapText="1"/>
    </xf>
    <xf numFmtId="0" fontId="26" fillId="22" borderId="51" xfId="36" applyNumberFormat="1" applyFont="1" applyBorder="1" applyAlignment="1" applyProtection="1">
      <alignment horizontal="center" vertical="center" wrapText="1"/>
    </xf>
    <xf numFmtId="0" fontId="26" fillId="22" borderId="52" xfId="36" applyNumberFormat="1" applyFont="1" applyBorder="1" applyAlignment="1" applyProtection="1">
      <alignment horizontal="center" vertical="center" wrapText="1"/>
    </xf>
    <xf numFmtId="0" fontId="26" fillId="34" borderId="52" xfId="36" applyNumberFormat="1" applyFont="1" applyFill="1" applyBorder="1" applyAlignment="1" applyProtection="1">
      <alignment horizontal="center" vertical="center" wrapText="1"/>
    </xf>
    <xf numFmtId="0" fontId="26" fillId="34" borderId="53" xfId="36" applyNumberFormat="1" applyFont="1" applyFill="1" applyBorder="1" applyAlignment="1" applyProtection="1">
      <alignment horizontal="center" vertical="center" wrapText="1"/>
    </xf>
    <xf numFmtId="0" fontId="26" fillId="37" borderId="35" xfId="36" applyNumberFormat="1" applyFont="1" applyFill="1" applyBorder="1" applyAlignment="1" applyProtection="1">
      <alignment horizontal="center" vertical="center" wrapText="1"/>
    </xf>
    <xf numFmtId="0" fontId="26" fillId="37" borderId="36" xfId="36" applyNumberFormat="1" applyFont="1" applyFill="1" applyBorder="1" applyAlignment="1" applyProtection="1">
      <alignment horizontal="center" vertical="center" wrapText="1"/>
    </xf>
    <xf numFmtId="0" fontId="26" fillId="37" borderId="10" xfId="36" applyNumberFormat="1" applyFont="1" applyFill="1" applyBorder="1" applyAlignment="1" applyProtection="1">
      <alignment horizontal="center" vertical="center" wrapText="1"/>
    </xf>
    <xf numFmtId="0" fontId="26" fillId="37" borderId="38" xfId="36" applyNumberFormat="1" applyFont="1" applyFill="1" applyBorder="1" applyAlignment="1" applyProtection="1">
      <alignment horizontal="center" vertical="center" wrapText="1"/>
    </xf>
    <xf numFmtId="0" fontId="26" fillId="36" borderId="35" xfId="36" applyNumberFormat="1" applyFont="1" applyFill="1" applyBorder="1" applyAlignment="1" applyProtection="1">
      <alignment horizontal="center" vertical="center" wrapText="1"/>
    </xf>
    <xf numFmtId="0" fontId="26" fillId="36" borderId="36" xfId="36" applyNumberFormat="1" applyFont="1" applyFill="1" applyBorder="1" applyAlignment="1" applyProtection="1">
      <alignment horizontal="center" vertical="center" wrapText="1"/>
    </xf>
    <xf numFmtId="0" fontId="26" fillId="36" borderId="10" xfId="36" applyNumberFormat="1" applyFont="1" applyFill="1" applyBorder="1" applyAlignment="1" applyProtection="1">
      <alignment horizontal="center" vertical="center" wrapText="1"/>
    </xf>
    <xf numFmtId="0" fontId="26" fillId="36" borderId="38" xfId="36" applyNumberFormat="1" applyFont="1" applyFill="1" applyBorder="1" applyAlignment="1" applyProtection="1">
      <alignment horizontal="center" vertical="center" wrapText="1"/>
    </xf>
    <xf numFmtId="0" fontId="26" fillId="34" borderId="35" xfId="36" applyNumberFormat="1" applyFont="1" applyFill="1" applyBorder="1" applyAlignment="1" applyProtection="1">
      <alignment horizontal="center" vertical="center" wrapText="1"/>
    </xf>
    <xf numFmtId="0" fontId="26" fillId="34" borderId="36" xfId="36" applyNumberFormat="1" applyFont="1" applyFill="1" applyBorder="1" applyAlignment="1" applyProtection="1">
      <alignment horizontal="center" vertical="center" wrapText="1"/>
    </xf>
    <xf numFmtId="0" fontId="26" fillId="34" borderId="10" xfId="36" applyNumberFormat="1" applyFont="1" applyFill="1" applyBorder="1" applyAlignment="1" applyProtection="1">
      <alignment horizontal="center" vertical="center" wrapText="1"/>
    </xf>
    <xf numFmtId="0" fontId="26" fillId="34" borderId="38" xfId="36" applyNumberFormat="1" applyFont="1" applyFill="1" applyBorder="1" applyAlignment="1" applyProtection="1">
      <alignment horizontal="center" vertical="center" wrapText="1"/>
    </xf>
    <xf numFmtId="0" fontId="30" fillId="30" borderId="44" xfId="0" applyFont="1" applyFill="1" applyBorder="1" applyAlignment="1">
      <alignment horizontal="center" vertical="center"/>
    </xf>
    <xf numFmtId="0" fontId="30" fillId="30" borderId="46" xfId="0" applyFont="1" applyFill="1" applyBorder="1" applyAlignment="1">
      <alignment horizontal="center" vertical="center"/>
    </xf>
    <xf numFmtId="0" fontId="30" fillId="30" borderId="49" xfId="0" applyFont="1" applyFill="1" applyBorder="1" applyAlignment="1">
      <alignment horizontal="center" vertical="center"/>
    </xf>
    <xf numFmtId="0" fontId="30" fillId="30" borderId="34" xfId="0" applyFont="1" applyFill="1" applyBorder="1" applyAlignment="1">
      <alignment horizontal="center" vertical="center"/>
    </xf>
    <xf numFmtId="0" fontId="30" fillId="30" borderId="17" xfId="0" applyFont="1" applyFill="1" applyBorder="1" applyAlignment="1">
      <alignment horizontal="center" vertical="center"/>
    </xf>
    <xf numFmtId="0" fontId="30" fillId="30" borderId="18" xfId="0" applyFont="1" applyFill="1" applyBorder="1" applyAlignment="1">
      <alignment horizontal="center" vertical="center"/>
    </xf>
    <xf numFmtId="0" fontId="30" fillId="30" borderId="42" xfId="0" applyFont="1" applyFill="1" applyBorder="1" applyAlignment="1">
      <alignment horizontal="center" vertical="center"/>
    </xf>
    <xf numFmtId="0" fontId="30" fillId="30" borderId="0" xfId="0" applyFont="1" applyFill="1" applyBorder="1" applyAlignment="1">
      <alignment horizontal="center" vertical="center"/>
    </xf>
    <xf numFmtId="0" fontId="30" fillId="30" borderId="19" xfId="0" applyFont="1" applyFill="1" applyBorder="1" applyAlignment="1">
      <alignment horizontal="center" vertical="center"/>
    </xf>
    <xf numFmtId="0" fontId="19" fillId="33" borderId="17" xfId="0" applyFont="1" applyFill="1" applyBorder="1" applyAlignment="1">
      <alignment horizontal="center" vertical="center" wrapText="1"/>
    </xf>
    <xf numFmtId="0" fontId="30" fillId="30" borderId="43" xfId="0" applyFont="1" applyFill="1" applyBorder="1" applyAlignment="1">
      <alignment horizontal="center" vertical="center"/>
    </xf>
    <xf numFmtId="0" fontId="30" fillId="30" borderId="45" xfId="0" applyFont="1" applyFill="1" applyBorder="1" applyAlignment="1">
      <alignment horizontal="center" vertical="center"/>
    </xf>
    <xf numFmtId="0" fontId="30" fillId="30" borderId="48" xfId="0" applyFont="1" applyFill="1" applyBorder="1" applyAlignment="1">
      <alignment horizontal="center" vertical="center"/>
    </xf>
    <xf numFmtId="0" fontId="19" fillId="32" borderId="17" xfId="0" applyFont="1" applyFill="1" applyBorder="1" applyAlignment="1">
      <alignment horizontal="center" vertical="center" wrapText="1"/>
    </xf>
    <xf numFmtId="0" fontId="19" fillId="31" borderId="17" xfId="0" applyFont="1" applyFill="1" applyBorder="1" applyAlignment="1">
      <alignment horizontal="center" vertical="center" wrapText="1"/>
    </xf>
    <xf numFmtId="0" fontId="19" fillId="29" borderId="17" xfId="0" applyFont="1" applyFill="1" applyBorder="1" applyAlignment="1">
      <alignment horizontal="center" vertical="center" wrapText="1"/>
    </xf>
    <xf numFmtId="0" fontId="30" fillId="28" borderId="41" xfId="0" applyFont="1" applyFill="1" applyBorder="1" applyAlignment="1">
      <alignment horizontal="center" vertical="center"/>
    </xf>
    <xf numFmtId="0" fontId="30" fillId="28" borderId="42" xfId="0" applyFont="1" applyFill="1" applyBorder="1" applyAlignment="1">
      <alignment horizontal="center" vertical="center"/>
    </xf>
    <xf numFmtId="0" fontId="30" fillId="28" borderId="40" xfId="0" applyFont="1" applyFill="1" applyBorder="1" applyAlignment="1">
      <alignment horizontal="center" vertical="center"/>
    </xf>
    <xf numFmtId="0" fontId="26" fillId="22" borderId="54" xfId="36" applyNumberFormat="1" applyFont="1" applyBorder="1" applyAlignment="1" applyProtection="1">
      <alignment horizontal="center" vertical="center" wrapText="1"/>
    </xf>
    <xf numFmtId="0" fontId="26" fillId="22" borderId="21" xfId="36" applyNumberFormat="1" applyFont="1" applyBorder="1" applyAlignment="1" applyProtection="1">
      <alignment horizontal="center" vertical="center" wrapText="1"/>
    </xf>
    <xf numFmtId="0" fontId="26" fillId="41" borderId="21" xfId="36" applyNumberFormat="1" applyFont="1" applyFill="1" applyBorder="1" applyAlignment="1" applyProtection="1">
      <alignment horizontal="center" vertical="center" wrapText="1"/>
    </xf>
    <xf numFmtId="0" fontId="26" fillId="41" borderId="55" xfId="36" applyNumberFormat="1" applyFont="1" applyFill="1" applyBorder="1" applyAlignment="1" applyProtection="1">
      <alignment horizontal="center" vertical="center" wrapText="1"/>
    </xf>
    <xf numFmtId="0" fontId="26" fillId="41" borderId="54" xfId="36" applyNumberFormat="1" applyFont="1" applyFill="1" applyBorder="1" applyAlignment="1" applyProtection="1">
      <alignment horizontal="center" vertical="center" wrapText="1"/>
    </xf>
    <xf numFmtId="0" fontId="26" fillId="34" borderId="56" xfId="36" applyNumberFormat="1" applyFont="1" applyFill="1" applyBorder="1" applyAlignment="1" applyProtection="1">
      <alignment horizontal="center" vertical="center" wrapText="1"/>
    </xf>
    <xf numFmtId="0" fontId="26" fillId="27" borderId="39" xfId="36" applyNumberFormat="1" applyFont="1" applyFill="1" applyBorder="1" applyAlignment="1" applyProtection="1">
      <alignment horizontal="center" vertical="center" wrapText="1"/>
    </xf>
    <xf numFmtId="0" fontId="26" fillId="27" borderId="57" xfId="36" applyNumberFormat="1" applyFont="1" applyFill="1" applyBorder="1" applyAlignment="1" applyProtection="1">
      <alignment horizontal="center" vertical="center" wrapText="1"/>
    </xf>
    <xf numFmtId="0" fontId="26" fillId="42" borderId="35" xfId="36" applyNumberFormat="1" applyFont="1" applyFill="1" applyBorder="1" applyAlignment="1" applyProtection="1">
      <alignment horizontal="center" vertical="center" wrapText="1"/>
    </xf>
    <xf numFmtId="0" fontId="26" fillId="42" borderId="58" xfId="36" applyNumberFormat="1" applyFont="1" applyFill="1" applyBorder="1" applyAlignment="1" applyProtection="1">
      <alignment horizontal="center" vertical="center" wrapText="1"/>
    </xf>
    <xf numFmtId="0" fontId="26" fillId="42" borderId="36" xfId="36" applyNumberFormat="1" applyFont="1" applyFill="1" applyBorder="1" applyAlignment="1" applyProtection="1">
      <alignment horizontal="center" vertical="center" wrapText="1"/>
    </xf>
    <xf numFmtId="0" fontId="26" fillId="42" borderId="10" xfId="36" applyNumberFormat="1" applyFont="1" applyFill="1" applyBorder="1" applyAlignment="1" applyProtection="1">
      <alignment horizontal="center" vertical="center" wrapText="1"/>
    </xf>
    <xf numFmtId="0" fontId="26" fillId="42" borderId="31" xfId="36" applyNumberFormat="1" applyFont="1" applyFill="1" applyBorder="1" applyAlignment="1" applyProtection="1">
      <alignment horizontal="center" vertical="center" wrapText="1"/>
    </xf>
    <xf numFmtId="0" fontId="26" fillId="42" borderId="38" xfId="36" applyNumberFormat="1" applyFont="1" applyFill="1" applyBorder="1" applyAlignment="1" applyProtection="1">
      <alignment horizontal="center" vertical="center" wrapText="1"/>
    </xf>
    <xf numFmtId="0" fontId="26" fillId="27" borderId="31" xfId="36" applyNumberFormat="1" applyFont="1" applyFill="1" applyBorder="1" applyAlignment="1" applyProtection="1">
      <alignment horizontal="center" vertical="center" wrapText="1"/>
    </xf>
    <xf numFmtId="0" fontId="26" fillId="27" borderId="59" xfId="36" applyNumberFormat="1" applyFont="1" applyFill="1" applyBorder="1" applyAlignment="1" applyProtection="1">
      <alignment horizontal="center" vertical="center" wrapText="1"/>
    </xf>
    <xf numFmtId="0" fontId="26" fillId="36" borderId="58" xfId="36" applyNumberFormat="1" applyFont="1" applyFill="1" applyBorder="1" applyAlignment="1" applyProtection="1">
      <alignment horizontal="center" vertical="center" wrapText="1"/>
    </xf>
    <xf numFmtId="0" fontId="26" fillId="36" borderId="31" xfId="36" applyNumberFormat="1" applyFont="1" applyFill="1" applyBorder="1" applyAlignment="1" applyProtection="1">
      <alignment horizontal="center" vertical="center" wrapText="1"/>
    </xf>
    <xf numFmtId="0" fontId="26" fillId="37" borderId="58" xfId="36" applyNumberFormat="1" applyFont="1" applyFill="1" applyBorder="1" applyAlignment="1" applyProtection="1">
      <alignment horizontal="center" vertical="center" wrapText="1"/>
    </xf>
    <xf numFmtId="0" fontId="26" fillId="37" borderId="31" xfId="36" applyNumberFormat="1" applyFont="1" applyFill="1" applyBorder="1" applyAlignment="1" applyProtection="1">
      <alignment horizontal="center" vertical="center" wrapText="1"/>
    </xf>
    <xf numFmtId="0" fontId="26" fillId="43" borderId="35" xfId="36" applyNumberFormat="1" applyFont="1" applyFill="1" applyBorder="1" applyAlignment="1" applyProtection="1">
      <alignment horizontal="center" vertical="center" wrapText="1"/>
    </xf>
    <xf numFmtId="0" fontId="26" fillId="43" borderId="36" xfId="36" applyNumberFormat="1" applyFont="1" applyFill="1" applyBorder="1" applyAlignment="1" applyProtection="1">
      <alignment horizontal="center" vertical="center" wrapText="1"/>
    </xf>
    <xf numFmtId="0" fontId="26" fillId="43" borderId="10" xfId="36" applyNumberFormat="1" applyFont="1" applyFill="1" applyBorder="1" applyAlignment="1" applyProtection="1">
      <alignment horizontal="center" vertical="center" wrapText="1"/>
    </xf>
    <xf numFmtId="0" fontId="26" fillId="43" borderId="38" xfId="36" applyNumberFormat="1" applyFont="1" applyFill="1" applyBorder="1" applyAlignment="1" applyProtection="1">
      <alignment horizontal="center" vertical="center" wrapText="1"/>
    </xf>
    <xf numFmtId="0" fontId="26" fillId="43" borderId="36" xfId="36" applyFont="1" applyFill="1" applyBorder="1" applyAlignment="1">
      <alignment horizontal="center" vertical="center" wrapText="1"/>
    </xf>
    <xf numFmtId="0" fontId="26" fillId="43" borderId="56" xfId="36" applyFont="1" applyFill="1" applyBorder="1" applyAlignment="1">
      <alignment horizontal="center" vertical="center" wrapText="1"/>
    </xf>
    <xf numFmtId="0" fontId="26" fillId="43" borderId="38" xfId="36" applyFont="1" applyFill="1" applyBorder="1" applyAlignment="1">
      <alignment horizontal="center" vertical="center" wrapText="1"/>
    </xf>
    <xf numFmtId="0" fontId="26" fillId="43" borderId="39" xfId="36" applyFont="1" applyFill="1" applyBorder="1" applyAlignment="1">
      <alignment horizontal="center" vertical="center" wrapText="1"/>
    </xf>
    <xf numFmtId="0" fontId="26" fillId="22" borderId="54" xfId="36" applyFont="1" applyBorder="1" applyAlignment="1">
      <alignment horizontal="center" vertical="center" wrapText="1"/>
    </xf>
    <xf numFmtId="0" fontId="26" fillId="22" borderId="21" xfId="36" applyFont="1" applyBorder="1" applyAlignment="1">
      <alignment horizontal="center" vertical="center" wrapText="1"/>
    </xf>
    <xf numFmtId="0" fontId="26" fillId="27" borderId="38" xfId="36" applyFont="1" applyFill="1" applyBorder="1" applyAlignment="1">
      <alignment horizontal="center" vertical="center" wrapText="1"/>
    </xf>
    <xf numFmtId="0" fontId="26" fillId="27" borderId="39" xfId="36" applyFont="1" applyFill="1" applyBorder="1" applyAlignment="1">
      <alignment horizontal="center" vertical="center" wrapText="1"/>
    </xf>
    <xf numFmtId="0" fontId="26" fillId="27" borderId="37" xfId="36" applyFont="1" applyFill="1" applyBorder="1" applyAlignment="1">
      <alignment horizontal="center" vertical="center" wrapText="1"/>
    </xf>
    <xf numFmtId="0" fontId="26" fillId="27" borderId="57" xfId="36" applyFont="1" applyFill="1" applyBorder="1" applyAlignment="1">
      <alignment horizontal="center" vertical="center" wrapText="1"/>
    </xf>
    <xf numFmtId="0" fontId="26" fillId="44" borderId="35" xfId="36" applyNumberFormat="1" applyFont="1" applyFill="1" applyBorder="1" applyAlignment="1" applyProtection="1">
      <alignment horizontal="center" vertical="center" wrapText="1"/>
    </xf>
    <xf numFmtId="0" fontId="26" fillId="44" borderId="36" xfId="36" applyNumberFormat="1" applyFont="1" applyFill="1" applyBorder="1" applyAlignment="1" applyProtection="1">
      <alignment horizontal="center" vertical="center" wrapText="1"/>
    </xf>
    <xf numFmtId="0" fontId="26" fillId="44" borderId="10" xfId="36" applyNumberFormat="1" applyFont="1" applyFill="1" applyBorder="1" applyAlignment="1" applyProtection="1">
      <alignment horizontal="center" vertical="center" wrapText="1"/>
    </xf>
    <xf numFmtId="0" fontId="26" fillId="44" borderId="38" xfId="36" applyNumberFormat="1" applyFont="1" applyFill="1" applyBorder="1" applyAlignment="1" applyProtection="1">
      <alignment horizontal="center" vertical="center" wrapText="1"/>
    </xf>
    <xf numFmtId="0" fontId="26" fillId="34" borderId="51" xfId="36" applyNumberFormat="1" applyFont="1" applyFill="1" applyBorder="1" applyAlignment="1" applyProtection="1">
      <alignment horizontal="center" vertical="center" wrapText="1"/>
    </xf>
    <xf numFmtId="0" fontId="26" fillId="27" borderId="34" xfId="36" applyNumberFormat="1" applyFont="1" applyFill="1" applyBorder="1" applyAlignment="1" applyProtection="1">
      <alignment horizontal="center" vertical="center" wrapText="1"/>
    </xf>
    <xf numFmtId="0" fontId="26" fillId="27" borderId="17" xfId="36" applyNumberFormat="1" applyFont="1" applyFill="1" applyBorder="1" applyAlignment="1" applyProtection="1">
      <alignment horizontal="center" vertical="center" wrapText="1"/>
    </xf>
    <xf numFmtId="0" fontId="26" fillId="22" borderId="53" xfId="36" applyNumberFormat="1" applyFont="1" applyBorder="1" applyAlignment="1" applyProtection="1">
      <alignment horizontal="center" vertical="center" wrapText="1"/>
    </xf>
    <xf numFmtId="0" fontId="26" fillId="46" borderId="35" xfId="36" applyNumberFormat="1" applyFont="1" applyFill="1" applyBorder="1" applyAlignment="1" applyProtection="1">
      <alignment horizontal="center" vertical="center" wrapText="1"/>
    </xf>
    <xf numFmtId="0" fontId="26" fillId="46" borderId="36" xfId="36" applyNumberFormat="1" applyFont="1" applyFill="1" applyBorder="1" applyAlignment="1" applyProtection="1">
      <alignment horizontal="center" vertical="center" wrapText="1"/>
    </xf>
    <xf numFmtId="0" fontId="26" fillId="46" borderId="10" xfId="36" applyNumberFormat="1" applyFont="1" applyFill="1" applyBorder="1" applyAlignment="1" applyProtection="1">
      <alignment horizontal="center" vertical="center" wrapText="1"/>
    </xf>
    <xf numFmtId="0" fontId="26" fillId="46" borderId="38" xfId="36" applyNumberFormat="1" applyFont="1" applyFill="1" applyBorder="1" applyAlignment="1" applyProtection="1">
      <alignment horizontal="center" vertical="center" wrapText="1"/>
    </xf>
    <xf numFmtId="0" fontId="26" fillId="27" borderId="18" xfId="36" applyNumberFormat="1" applyFont="1" applyFill="1" applyBorder="1" applyAlignment="1" applyProtection="1">
      <alignment horizontal="center" vertical="center" wrapText="1"/>
    </xf>
    <xf numFmtId="0" fontId="26" fillId="46" borderId="56" xfId="36" applyNumberFormat="1" applyFont="1" applyFill="1" applyBorder="1" applyAlignment="1" applyProtection="1">
      <alignment horizontal="center" vertical="center" wrapText="1"/>
    </xf>
    <xf numFmtId="0" fontId="26" fillId="46" borderId="45" xfId="36" applyNumberFormat="1" applyFont="1" applyFill="1" applyBorder="1" applyAlignment="1" applyProtection="1">
      <alignment horizontal="center" vertical="center" wrapText="1"/>
    </xf>
    <xf numFmtId="0" fontId="26" fillId="46" borderId="58" xfId="36" applyNumberFormat="1" applyFont="1" applyFill="1" applyBorder="1" applyAlignment="1" applyProtection="1">
      <alignment horizontal="center" vertical="center" wrapText="1"/>
    </xf>
    <xf numFmtId="0" fontId="26" fillId="46" borderId="60" xfId="36" applyNumberFormat="1" applyFont="1" applyFill="1" applyBorder="1" applyAlignment="1" applyProtection="1">
      <alignment horizontal="center" vertical="center" wrapText="1"/>
    </xf>
    <xf numFmtId="0" fontId="26" fillId="46" borderId="32" xfId="36" applyNumberFormat="1" applyFont="1" applyFill="1" applyBorder="1" applyAlignment="1" applyProtection="1">
      <alignment horizontal="center" vertical="center" wrapText="1"/>
    </xf>
    <xf numFmtId="0" fontId="26" fillId="46" borderId="64" xfId="36" applyNumberFormat="1" applyFont="1" applyFill="1" applyBorder="1" applyAlignment="1" applyProtection="1">
      <alignment horizontal="center" vertical="center" wrapText="1"/>
    </xf>
    <xf numFmtId="0" fontId="26" fillId="27" borderId="60" xfId="36" applyNumberFormat="1" applyFont="1" applyFill="1" applyBorder="1" applyAlignment="1" applyProtection="1">
      <alignment horizontal="center" vertical="center" wrapText="1"/>
    </xf>
    <xf numFmtId="0" fontId="26" fillId="27" borderId="32" xfId="36" applyNumberFormat="1" applyFont="1" applyFill="1" applyBorder="1" applyAlignment="1" applyProtection="1">
      <alignment horizontal="center" vertical="center" wrapText="1"/>
    </xf>
    <xf numFmtId="0" fontId="26" fillId="27" borderId="64" xfId="36" applyNumberFormat="1" applyFont="1" applyFill="1" applyBorder="1" applyAlignment="1" applyProtection="1">
      <alignment horizontal="center" vertical="center" wrapText="1"/>
    </xf>
    <xf numFmtId="0" fontId="26" fillId="47" borderId="56" xfId="36" applyNumberFormat="1" applyFont="1" applyFill="1" applyBorder="1" applyAlignment="1" applyProtection="1">
      <alignment horizontal="center" vertical="center" wrapText="1"/>
    </xf>
    <xf numFmtId="0" fontId="26" fillId="47" borderId="45" xfId="36" applyNumberFormat="1" applyFont="1" applyFill="1" applyBorder="1" applyAlignment="1" applyProtection="1">
      <alignment horizontal="center" vertical="center" wrapText="1"/>
    </xf>
    <xf numFmtId="0" fontId="26" fillId="47" borderId="58" xfId="36" applyNumberFormat="1" applyFont="1" applyFill="1" applyBorder="1" applyAlignment="1" applyProtection="1">
      <alignment horizontal="center" vertical="center" wrapText="1"/>
    </xf>
    <xf numFmtId="0" fontId="26" fillId="47" borderId="60" xfId="36" applyNumberFormat="1" applyFont="1" applyFill="1" applyBorder="1" applyAlignment="1" applyProtection="1">
      <alignment horizontal="center" vertical="center" wrapText="1"/>
    </xf>
    <xf numFmtId="0" fontId="26" fillId="47" borderId="32" xfId="36" applyNumberFormat="1" applyFont="1" applyFill="1" applyBorder="1" applyAlignment="1" applyProtection="1">
      <alignment horizontal="center" vertical="center" wrapText="1"/>
    </xf>
    <xf numFmtId="0" fontId="26" fillId="27" borderId="46" xfId="36" applyNumberFormat="1" applyFont="1" applyFill="1" applyBorder="1" applyAlignment="1" applyProtection="1">
      <alignment horizontal="center" vertical="center" wrapText="1"/>
    </xf>
    <xf numFmtId="0" fontId="26" fillId="22" borderId="61" xfId="36" applyNumberFormat="1" applyFont="1" applyBorder="1" applyAlignment="1" applyProtection="1">
      <alignment horizontal="center" vertical="center" wrapText="1"/>
    </xf>
    <xf numFmtId="0" fontId="26" fillId="22" borderId="62" xfId="36" applyNumberFormat="1" applyFont="1" applyBorder="1" applyAlignment="1" applyProtection="1">
      <alignment horizontal="center" vertical="center" wrapText="1"/>
    </xf>
    <xf numFmtId="0" fontId="26" fillId="22" borderId="63" xfId="36" applyNumberFormat="1" applyFont="1" applyBorder="1" applyAlignment="1" applyProtection="1">
      <alignment horizontal="center" vertical="center" wrapText="1"/>
    </xf>
    <xf numFmtId="0" fontId="26" fillId="48" borderId="43" xfId="36" applyNumberFormat="1" applyFont="1" applyFill="1" applyBorder="1" applyAlignment="1" applyProtection="1">
      <alignment horizontal="center" vertical="center" wrapText="1"/>
    </xf>
    <xf numFmtId="0" fontId="26" fillId="48" borderId="45" xfId="36" applyNumberFormat="1" applyFont="1" applyFill="1" applyBorder="1" applyAlignment="1" applyProtection="1">
      <alignment horizontal="center" vertical="center" wrapText="1"/>
    </xf>
    <xf numFmtId="0" fontId="26" fillId="48" borderId="58" xfId="36" applyNumberFormat="1" applyFont="1" applyFill="1" applyBorder="1" applyAlignment="1" applyProtection="1">
      <alignment horizontal="center" vertical="center" wrapText="1"/>
    </xf>
    <xf numFmtId="0" fontId="26" fillId="48" borderId="60" xfId="36" applyNumberFormat="1" applyFont="1" applyFill="1" applyBorder="1" applyAlignment="1" applyProtection="1">
      <alignment horizontal="center" vertical="center" wrapText="1"/>
    </xf>
    <xf numFmtId="0" fontId="26" fillId="48" borderId="32" xfId="36" applyNumberFormat="1" applyFont="1" applyFill="1" applyBorder="1" applyAlignment="1" applyProtection="1">
      <alignment horizontal="center" vertical="center" wrapText="1"/>
    </xf>
    <xf numFmtId="0" fontId="26" fillId="48" borderId="64" xfId="36" applyNumberFormat="1" applyFont="1" applyFill="1" applyBorder="1" applyAlignment="1" applyProtection="1">
      <alignment horizontal="center" vertical="center" wrapText="1"/>
    </xf>
    <xf numFmtId="0" fontId="26" fillId="48" borderId="56" xfId="36" applyNumberFormat="1" applyFont="1" applyFill="1" applyBorder="1" applyAlignment="1" applyProtection="1">
      <alignment horizontal="center" vertical="center" wrapText="1"/>
    </xf>
    <xf numFmtId="0" fontId="26" fillId="48" borderId="36" xfId="36" applyNumberFormat="1" applyFont="1" applyFill="1" applyBorder="1" applyAlignment="1" applyProtection="1">
      <alignment horizontal="center" vertical="center" wrapText="1"/>
    </xf>
    <xf numFmtId="0" fontId="26" fillId="48" borderId="10" xfId="36" applyNumberFormat="1" applyFont="1" applyFill="1" applyBorder="1" applyAlignment="1" applyProtection="1">
      <alignment horizontal="center" vertical="center" wrapText="1"/>
    </xf>
    <xf numFmtId="0" fontId="26" fillId="48" borderId="38" xfId="36" applyNumberFormat="1" applyFont="1" applyFill="1" applyBorder="1" applyAlignment="1" applyProtection="1">
      <alignment horizontal="center" vertical="center" wrapText="1"/>
    </xf>
    <xf numFmtId="0" fontId="26" fillId="49" borderId="35" xfId="36" applyNumberFormat="1" applyFont="1" applyFill="1" applyBorder="1" applyAlignment="1" applyProtection="1">
      <alignment horizontal="center" vertical="center" wrapText="1"/>
    </xf>
    <xf numFmtId="0" fontId="26" fillId="49" borderId="36" xfId="36" applyNumberFormat="1" applyFont="1" applyFill="1" applyBorder="1" applyAlignment="1" applyProtection="1">
      <alignment horizontal="center" vertical="center" wrapText="1"/>
    </xf>
    <xf numFmtId="0" fontId="26" fillId="49" borderId="10" xfId="36" applyNumberFormat="1" applyFont="1" applyFill="1" applyBorder="1" applyAlignment="1" applyProtection="1">
      <alignment horizontal="center" vertical="center" wrapText="1"/>
    </xf>
    <xf numFmtId="0" fontId="26" fillId="49" borderId="38" xfId="36" applyNumberFormat="1" applyFont="1" applyFill="1" applyBorder="1" applyAlignment="1" applyProtection="1">
      <alignment horizontal="center" vertical="center" wrapText="1"/>
    </xf>
    <xf numFmtId="0" fontId="26" fillId="50" borderId="56" xfId="36" applyNumberFormat="1" applyFont="1" applyFill="1" applyBorder="1" applyAlignment="1" applyProtection="1">
      <alignment horizontal="center" vertical="center" wrapText="1"/>
    </xf>
    <xf numFmtId="0" fontId="26" fillId="50" borderId="45" xfId="36" applyNumberFormat="1" applyFont="1" applyFill="1" applyBorder="1" applyAlignment="1" applyProtection="1">
      <alignment horizontal="center" vertical="center" wrapText="1"/>
    </xf>
    <xf numFmtId="0" fontId="26" fillId="50" borderId="60" xfId="36" applyNumberFormat="1" applyFont="1" applyFill="1" applyBorder="1" applyAlignment="1" applyProtection="1">
      <alignment horizontal="center" vertical="center" wrapText="1"/>
    </xf>
    <xf numFmtId="0" fontId="26" fillId="50" borderId="32" xfId="36" applyNumberFormat="1" applyFont="1" applyFill="1" applyBorder="1" applyAlignment="1" applyProtection="1">
      <alignment horizontal="center" vertical="center" wrapText="1"/>
    </xf>
    <xf numFmtId="0" fontId="26" fillId="51" borderId="35" xfId="36" applyNumberFormat="1" applyFont="1" applyFill="1" applyBorder="1" applyAlignment="1" applyProtection="1">
      <alignment horizontal="center" vertical="center" wrapText="1"/>
    </xf>
    <xf numFmtId="0" fontId="26" fillId="51" borderId="36" xfId="36" applyNumberFormat="1" applyFont="1" applyFill="1" applyBorder="1" applyAlignment="1" applyProtection="1">
      <alignment horizontal="center" vertical="center" wrapText="1"/>
    </xf>
    <xf numFmtId="0" fontId="26" fillId="51" borderId="10" xfId="36" applyNumberFormat="1" applyFont="1" applyFill="1" applyBorder="1" applyAlignment="1" applyProtection="1">
      <alignment horizontal="center" vertical="center" wrapText="1"/>
    </xf>
    <xf numFmtId="0" fontId="26" fillId="51" borderId="38" xfId="36" applyNumberFormat="1" applyFont="1" applyFill="1" applyBorder="1" applyAlignment="1" applyProtection="1">
      <alignment horizontal="center" vertical="center" wrapText="1"/>
    </xf>
    <xf numFmtId="0" fontId="26" fillId="52" borderId="35" xfId="36" applyNumberFormat="1" applyFont="1" applyFill="1" applyBorder="1" applyAlignment="1" applyProtection="1">
      <alignment horizontal="center" vertical="center" wrapText="1"/>
    </xf>
    <xf numFmtId="0" fontId="26" fillId="52" borderId="36" xfId="36" applyNumberFormat="1" applyFont="1" applyFill="1" applyBorder="1" applyAlignment="1" applyProtection="1">
      <alignment horizontal="center" vertical="center" wrapText="1"/>
    </xf>
    <xf numFmtId="0" fontId="26" fillId="52" borderId="10" xfId="36" applyNumberFormat="1" applyFont="1" applyFill="1" applyBorder="1" applyAlignment="1" applyProtection="1">
      <alignment horizontal="center" vertical="center" wrapText="1"/>
    </xf>
    <xf numFmtId="0" fontId="26" fillId="52" borderId="38" xfId="36" applyNumberFormat="1" applyFont="1" applyFill="1" applyBorder="1" applyAlignment="1" applyProtection="1">
      <alignment horizontal="center" vertical="center" wrapText="1"/>
    </xf>
    <xf numFmtId="0" fontId="26" fillId="53" borderId="56" xfId="36" applyNumberFormat="1" applyFont="1" applyFill="1" applyBorder="1" applyAlignment="1" applyProtection="1">
      <alignment horizontal="center" vertical="center" wrapText="1"/>
    </xf>
    <xf numFmtId="0" fontId="26" fillId="53" borderId="45" xfId="36" applyNumberFormat="1" applyFont="1" applyFill="1" applyBorder="1" applyAlignment="1" applyProtection="1">
      <alignment horizontal="center" vertical="center" wrapText="1"/>
    </xf>
    <xf numFmtId="0" fontId="26" fillId="53" borderId="60" xfId="36" applyNumberFormat="1" applyFont="1" applyFill="1" applyBorder="1" applyAlignment="1" applyProtection="1">
      <alignment horizontal="center" vertical="center" wrapText="1"/>
    </xf>
    <xf numFmtId="0" fontId="26" fillId="53" borderId="32" xfId="36" applyNumberFormat="1" applyFont="1" applyFill="1" applyBorder="1" applyAlignment="1" applyProtection="1">
      <alignment horizontal="center" vertical="center" wrapText="1"/>
    </xf>
    <xf numFmtId="0" fontId="26" fillId="54" borderId="35" xfId="36" applyNumberFormat="1" applyFont="1" applyFill="1" applyBorder="1" applyAlignment="1" applyProtection="1">
      <alignment horizontal="center" vertical="center" wrapText="1"/>
    </xf>
    <xf numFmtId="0" fontId="26" fillId="54" borderId="36" xfId="36" applyNumberFormat="1" applyFont="1" applyFill="1" applyBorder="1" applyAlignment="1" applyProtection="1">
      <alignment horizontal="center" vertical="center" wrapText="1"/>
    </xf>
    <xf numFmtId="0" fontId="26" fillId="54" borderId="10" xfId="36" applyNumberFormat="1" applyFont="1" applyFill="1" applyBorder="1" applyAlignment="1" applyProtection="1">
      <alignment horizontal="center" vertical="center" wrapText="1"/>
    </xf>
    <xf numFmtId="0" fontId="26" fillId="54" borderId="38" xfId="36" applyNumberFormat="1" applyFont="1" applyFill="1" applyBorder="1" applyAlignment="1" applyProtection="1">
      <alignment horizontal="center" vertical="center" wrapText="1"/>
    </xf>
    <xf numFmtId="0" fontId="26" fillId="55" borderId="35" xfId="36" applyNumberFormat="1" applyFont="1" applyFill="1" applyBorder="1" applyAlignment="1" applyProtection="1">
      <alignment horizontal="center" vertical="center" wrapText="1"/>
    </xf>
    <xf numFmtId="0" fontId="26" fillId="55" borderId="36" xfId="36" applyNumberFormat="1" applyFont="1" applyFill="1" applyBorder="1" applyAlignment="1" applyProtection="1">
      <alignment horizontal="center" vertical="center" wrapText="1"/>
    </xf>
    <xf numFmtId="0" fontId="26" fillId="55" borderId="10" xfId="36" applyNumberFormat="1" applyFont="1" applyFill="1" applyBorder="1" applyAlignment="1" applyProtection="1">
      <alignment horizontal="center" vertical="center" wrapText="1"/>
    </xf>
    <xf numFmtId="0" fontId="26" fillId="55" borderId="38" xfId="36" applyNumberFormat="1" applyFont="1" applyFill="1" applyBorder="1" applyAlignment="1" applyProtection="1">
      <alignment horizontal="center" vertical="center" wrapText="1"/>
    </xf>
    <xf numFmtId="0" fontId="26" fillId="56" borderId="56" xfId="36" applyNumberFormat="1" applyFont="1" applyFill="1" applyBorder="1" applyAlignment="1" applyProtection="1">
      <alignment horizontal="center" vertical="center" wrapText="1"/>
    </xf>
    <xf numFmtId="0" fontId="26" fillId="56" borderId="45" xfId="36" applyNumberFormat="1" applyFont="1" applyFill="1" applyBorder="1" applyAlignment="1" applyProtection="1">
      <alignment horizontal="center" vertical="center" wrapText="1"/>
    </xf>
    <xf numFmtId="0" fontId="26" fillId="56" borderId="60" xfId="36" applyNumberFormat="1" applyFont="1" applyFill="1" applyBorder="1" applyAlignment="1" applyProtection="1">
      <alignment horizontal="center" vertical="center" wrapText="1"/>
    </xf>
    <xf numFmtId="0" fontId="26" fillId="56" borderId="32" xfId="36" applyNumberFormat="1" applyFont="1" applyFill="1" applyBorder="1" applyAlignment="1" applyProtection="1">
      <alignment horizontal="center" vertical="center" wrapText="1"/>
    </xf>
    <xf numFmtId="0" fontId="26" fillId="27" borderId="34" xfId="36" applyFont="1" applyFill="1" applyBorder="1" applyAlignment="1">
      <alignment horizontal="center" vertical="center" wrapText="1"/>
    </xf>
    <xf numFmtId="0" fontId="26" fillId="27" borderId="17" xfId="36" applyFont="1" applyFill="1" applyBorder="1" applyAlignment="1">
      <alignment horizontal="center" vertical="center" wrapText="1"/>
    </xf>
    <xf numFmtId="0" fontId="26" fillId="58" borderId="35" xfId="36" applyNumberFormat="1" applyFont="1" applyFill="1" applyBorder="1" applyAlignment="1" applyProtection="1">
      <alignment horizontal="center" vertical="center" wrapText="1"/>
    </xf>
    <xf numFmtId="0" fontId="26" fillId="58" borderId="36" xfId="36" applyNumberFormat="1" applyFont="1" applyFill="1" applyBorder="1" applyAlignment="1" applyProtection="1">
      <alignment horizontal="center" vertical="center" wrapText="1"/>
    </xf>
    <xf numFmtId="0" fontId="26" fillId="58" borderId="10" xfId="36" applyNumberFormat="1" applyFont="1" applyFill="1" applyBorder="1" applyAlignment="1" applyProtection="1">
      <alignment horizontal="center" vertical="center" wrapText="1"/>
    </xf>
    <xf numFmtId="0" fontId="26" fillId="58" borderId="38" xfId="36" applyNumberFormat="1" applyFont="1" applyFill="1" applyBorder="1" applyAlignment="1" applyProtection="1">
      <alignment horizontal="center" vertical="center" wrapText="1"/>
    </xf>
    <xf numFmtId="0" fontId="26" fillId="22" borderId="51" xfId="36" applyFont="1" applyBorder="1" applyAlignment="1">
      <alignment horizontal="center" vertical="center" wrapText="1"/>
    </xf>
    <xf numFmtId="0" fontId="26" fillId="22" borderId="52" xfId="36" applyFont="1" applyBorder="1" applyAlignment="1">
      <alignment horizontal="center" vertical="center" wrapText="1"/>
    </xf>
    <xf numFmtId="0" fontId="26" fillId="22" borderId="53" xfId="36" applyFont="1" applyBorder="1" applyAlignment="1">
      <alignment horizontal="center" vertical="center" wrapText="1"/>
    </xf>
    <xf numFmtId="0" fontId="26" fillId="34" borderId="51" xfId="36" applyFont="1" applyFill="1" applyBorder="1" applyAlignment="1">
      <alignment horizontal="center" vertical="center" wrapText="1"/>
    </xf>
    <xf numFmtId="0" fontId="26" fillId="34" borderId="52" xfId="36" applyFont="1" applyFill="1" applyBorder="1" applyAlignment="1">
      <alignment horizontal="center" vertical="center" wrapText="1"/>
    </xf>
    <xf numFmtId="0" fontId="26" fillId="34" borderId="53" xfId="36" applyFont="1" applyFill="1" applyBorder="1" applyAlignment="1">
      <alignment horizontal="center" vertical="center" wrapText="1"/>
    </xf>
    <xf numFmtId="0" fontId="26" fillId="27" borderId="65" xfId="36" applyNumberFormat="1" applyFont="1" applyFill="1" applyBorder="1" applyAlignment="1" applyProtection="1">
      <alignment horizontal="center" vertical="center" wrapText="1"/>
    </xf>
    <xf numFmtId="0" fontId="26" fillId="57" borderId="35" xfId="36" applyNumberFormat="1" applyFont="1" applyFill="1" applyBorder="1" applyAlignment="1" applyProtection="1">
      <alignment horizontal="center" vertical="center" wrapText="1"/>
    </xf>
    <xf numFmtId="0" fontId="26" fillId="57" borderId="36" xfId="36" applyNumberFormat="1" applyFont="1" applyFill="1" applyBorder="1" applyAlignment="1" applyProtection="1">
      <alignment horizontal="center" vertical="center" wrapText="1"/>
    </xf>
    <xf numFmtId="0" fontId="26" fillId="57" borderId="10" xfId="36" applyNumberFormat="1" applyFont="1" applyFill="1" applyBorder="1" applyAlignment="1" applyProtection="1">
      <alignment horizontal="center" vertical="center" wrapText="1"/>
    </xf>
    <xf numFmtId="0" fontId="26" fillId="57" borderId="38" xfId="36" applyNumberFormat="1" applyFont="1" applyFill="1" applyBorder="1" applyAlignment="1" applyProtection="1">
      <alignment horizontal="center" vertical="center" wrapText="1"/>
    </xf>
    <xf numFmtId="0" fontId="26" fillId="27" borderId="60" xfId="36" applyFont="1" applyFill="1" applyBorder="1" applyAlignment="1">
      <alignment horizontal="center" vertical="center" wrapText="1"/>
    </xf>
    <xf numFmtId="0" fontId="26" fillId="27" borderId="32" xfId="36" applyFont="1" applyFill="1" applyBorder="1" applyAlignment="1">
      <alignment horizontal="center" vertical="center" wrapText="1"/>
    </xf>
    <xf numFmtId="0" fontId="26" fillId="27" borderId="18" xfId="36" applyFont="1" applyFill="1" applyBorder="1" applyAlignment="1">
      <alignment horizontal="center" vertical="center" wrapText="1"/>
    </xf>
    <xf numFmtId="0" fontId="26" fillId="60" borderId="66" xfId="36" applyNumberFormat="1" applyFont="1" applyFill="1" applyBorder="1" applyAlignment="1" applyProtection="1">
      <alignment horizontal="center" vertical="center" wrapText="1"/>
    </xf>
    <xf numFmtId="0" fontId="26" fillId="60" borderId="68" xfId="36" applyNumberFormat="1" applyFont="1" applyFill="1" applyBorder="1" applyAlignment="1" applyProtection="1">
      <alignment horizontal="center" vertical="center" wrapText="1"/>
    </xf>
    <xf numFmtId="0" fontId="26" fillId="60" borderId="63" xfId="36" applyNumberFormat="1" applyFont="1" applyFill="1" applyBorder="1" applyAlignment="1" applyProtection="1">
      <alignment horizontal="center" vertical="center" wrapText="1"/>
    </xf>
    <xf numFmtId="0" fontId="32" fillId="22" borderId="54" xfId="36" applyFont="1" applyBorder="1" applyAlignment="1">
      <alignment horizontal="center" vertical="center" wrapText="1"/>
    </xf>
    <xf numFmtId="0" fontId="32" fillId="22" borderId="42" xfId="36" applyFont="1" applyBorder="1" applyAlignment="1">
      <alignment horizontal="center" vertical="center" wrapText="1"/>
    </xf>
    <xf numFmtId="0" fontId="32" fillId="22" borderId="21" xfId="36" applyFont="1" applyBorder="1" applyAlignment="1">
      <alignment horizontal="center" vertical="center" wrapText="1"/>
    </xf>
    <xf numFmtId="0" fontId="26" fillId="41" borderId="21" xfId="36" applyFont="1" applyFill="1" applyBorder="1" applyAlignment="1">
      <alignment horizontal="center" vertical="center" wrapText="1"/>
    </xf>
    <xf numFmtId="0" fontId="26" fillId="41" borderId="55" xfId="36" applyFont="1" applyFill="1" applyBorder="1" applyAlignment="1">
      <alignment horizontal="center" vertical="center" wrapText="1"/>
    </xf>
    <xf numFmtId="0" fontId="26" fillId="41" borderId="54" xfId="36" applyFont="1" applyFill="1" applyBorder="1" applyAlignment="1">
      <alignment horizontal="center" vertical="center" wrapText="1"/>
    </xf>
    <xf numFmtId="0" fontId="26" fillId="27" borderId="31" xfId="36" applyFont="1" applyFill="1" applyBorder="1" applyAlignment="1">
      <alignment horizontal="center" vertical="center" wrapText="1"/>
    </xf>
    <xf numFmtId="0" fontId="26" fillId="59" borderId="66" xfId="36" applyFont="1" applyFill="1" applyBorder="1" applyAlignment="1">
      <alignment horizontal="center" vertical="center" wrapText="1"/>
    </xf>
    <xf numFmtId="0" fontId="26" fillId="59" borderId="68" xfId="36" applyFont="1" applyFill="1" applyBorder="1" applyAlignment="1">
      <alignment horizontal="center" vertical="center" wrapText="1"/>
    </xf>
    <xf numFmtId="0" fontId="26" fillId="59" borderId="63" xfId="36" applyFont="1" applyFill="1" applyBorder="1" applyAlignment="1">
      <alignment horizontal="center" vertical="center" wrapText="1"/>
    </xf>
    <xf numFmtId="0" fontId="26" fillId="59" borderId="67" xfId="36" applyFont="1" applyFill="1" applyBorder="1" applyAlignment="1">
      <alignment horizontal="center" vertical="center" wrapText="1"/>
    </xf>
    <xf numFmtId="0" fontId="26" fillId="59" borderId="32" xfId="36" applyFont="1" applyFill="1" applyBorder="1" applyAlignment="1">
      <alignment horizontal="center" vertical="center" wrapText="1"/>
    </xf>
    <xf numFmtId="0" fontId="26" fillId="59" borderId="31" xfId="36" applyFont="1" applyFill="1" applyBorder="1" applyAlignment="1">
      <alignment horizontal="center" vertical="center" wrapText="1"/>
    </xf>
    <xf numFmtId="0" fontId="26" fillId="60" borderId="36" xfId="36" applyNumberFormat="1" applyFont="1" applyFill="1" applyBorder="1" applyAlignment="1" applyProtection="1">
      <alignment horizontal="center" vertical="center" wrapText="1"/>
    </xf>
    <xf numFmtId="0" fontId="26" fillId="60" borderId="69" xfId="36" applyNumberFormat="1" applyFont="1" applyFill="1" applyBorder="1" applyAlignment="1" applyProtection="1">
      <alignment horizontal="center" vertical="center" wrapText="1"/>
    </xf>
    <xf numFmtId="0" fontId="26" fillId="60" borderId="70" xfId="36" applyNumberFormat="1" applyFont="1" applyFill="1" applyBorder="1" applyAlignment="1" applyProtection="1">
      <alignment horizontal="center" vertical="center" wrapText="1"/>
    </xf>
    <xf numFmtId="0" fontId="26" fillId="27" borderId="64" xfId="36" applyFont="1" applyFill="1" applyBorder="1" applyAlignment="1">
      <alignment horizontal="center" vertical="center" wrapText="1"/>
    </xf>
    <xf numFmtId="0" fontId="0" fillId="0" borderId="44" xfId="0" applyBorder="1" applyAlignment="1">
      <alignment horizontal="center"/>
    </xf>
    <xf numFmtId="0" fontId="0" fillId="0" borderId="46" xfId="0" applyBorder="1" applyAlignment="1">
      <alignment horizontal="center"/>
    </xf>
    <xf numFmtId="0" fontId="0" fillId="0" borderId="49" xfId="0" applyBorder="1" applyAlignment="1">
      <alignment horizontal="center"/>
    </xf>
    <xf numFmtId="0" fontId="0" fillId="0" borderId="34"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40" xfId="0" applyBorder="1" applyAlignment="1">
      <alignment horizontal="center"/>
    </xf>
    <xf numFmtId="0" fontId="0" fillId="0" borderId="47" xfId="0" applyBorder="1" applyAlignment="1">
      <alignment horizontal="center"/>
    </xf>
    <xf numFmtId="0" fontId="0" fillId="0" borderId="50" xfId="0" applyBorder="1" applyAlignment="1">
      <alignment horizontal="center"/>
    </xf>
    <xf numFmtId="0" fontId="19" fillId="33" borderId="47" xfId="0" applyFont="1" applyFill="1" applyBorder="1" applyAlignment="1">
      <alignment horizontal="center" vertical="center"/>
    </xf>
    <xf numFmtId="0" fontId="0" fillId="0" borderId="43" xfId="0" applyBorder="1" applyAlignment="1">
      <alignment horizontal="center"/>
    </xf>
    <xf numFmtId="0" fontId="0" fillId="0" borderId="45" xfId="0" applyBorder="1" applyAlignment="1">
      <alignment horizontal="center"/>
    </xf>
    <xf numFmtId="0" fontId="0" fillId="0" borderId="48" xfId="0" applyBorder="1" applyAlignment="1">
      <alignment horizontal="center"/>
    </xf>
    <xf numFmtId="0" fontId="19" fillId="32" borderId="47" xfId="0" applyFont="1" applyFill="1" applyBorder="1" applyAlignment="1">
      <alignment horizontal="center" vertical="center"/>
    </xf>
    <xf numFmtId="0" fontId="19" fillId="31" borderId="47" xfId="0" applyFont="1" applyFill="1" applyBorder="1" applyAlignment="1">
      <alignment horizontal="center" vertical="center"/>
    </xf>
    <xf numFmtId="0" fontId="19" fillId="29" borderId="47" xfId="0" applyFont="1" applyFill="1" applyBorder="1" applyAlignment="1">
      <alignment horizontal="center" vertical="center"/>
    </xf>
    <xf numFmtId="0" fontId="26" fillId="22" borderId="10" xfId="36" applyNumberFormat="1" applyFont="1" applyBorder="1" applyAlignment="1" applyProtection="1">
      <alignment horizontal="center" vertical="center" wrapText="1"/>
    </xf>
    <xf numFmtId="0" fontId="26" fillId="22" borderId="11" xfId="36" applyNumberFormat="1" applyFont="1" applyBorder="1" applyAlignment="1" applyProtection="1">
      <alignment horizontal="center" vertical="center" wrapText="1"/>
    </xf>
    <xf numFmtId="0" fontId="0" fillId="0" borderId="30" xfId="0" applyBorder="1" applyAlignment="1">
      <alignment horizontal="center" vertical="center"/>
    </xf>
    <xf numFmtId="0" fontId="0" fillId="0" borderId="31" xfId="0" applyBorder="1" applyAlignment="1">
      <alignment horizontal="center" vertical="center"/>
    </xf>
    <xf numFmtId="0" fontId="0" fillId="0" borderId="32" xfId="0" applyBorder="1" applyAlignment="1">
      <alignment horizontal="center" vertical="center"/>
    </xf>
  </cellXfs>
  <cellStyles count="58">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alculation 2" xfId="54" xr:uid="{00000000-0005-0000-0000-00001A000000}"/>
    <cellStyle name="Calculation 3" xfId="55" xr:uid="{00000000-0005-0000-0000-00001B000000}"/>
    <cellStyle name="Check Cell" xfId="27" builtinId="23" customBuiltin="1"/>
    <cellStyle name="Check Cell 2" xfId="46" xr:uid="{00000000-0005-0000-0000-00001D000000}"/>
    <cellStyle name="Explanatory Text" xfId="28" builtinId="53" customBuiltin="1"/>
    <cellStyle name="Good" xfId="29" builtinId="26" customBuiltin="1"/>
    <cellStyle name="Good 2" xfId="45" xr:uid="{00000000-0005-0000-0000-000020000000}"/>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Input 2" xfId="52" xr:uid="{00000000-0005-0000-0000-000026000000}"/>
    <cellStyle name="Input 3" xfId="53" xr:uid="{00000000-0005-0000-0000-000027000000}"/>
    <cellStyle name="Linked Cell" xfId="35" builtinId="24" customBuiltin="1"/>
    <cellStyle name="Neutral" xfId="36" builtinId="28" customBuiltin="1"/>
    <cellStyle name="Normal" xfId="0" builtinId="0"/>
    <cellStyle name="Normal 2" xfId="37" xr:uid="{00000000-0005-0000-0000-00002B000000}"/>
    <cellStyle name="Normal 2 2" xfId="38" xr:uid="{00000000-0005-0000-0000-00002C000000}"/>
    <cellStyle name="Normal 3" xfId="39" xr:uid="{00000000-0005-0000-0000-00002D000000}"/>
    <cellStyle name="Normal 3 2" xfId="56" xr:uid="{00000000-0005-0000-0000-00002E000000}"/>
    <cellStyle name="Note" xfId="40" builtinId="10" customBuiltin="1"/>
    <cellStyle name="Note 2" xfId="48" xr:uid="{00000000-0005-0000-0000-000030000000}"/>
    <cellStyle name="Note 3" xfId="51" xr:uid="{00000000-0005-0000-0000-000031000000}"/>
    <cellStyle name="Output" xfId="41" builtinId="21" customBuiltin="1"/>
    <cellStyle name="Output 2" xfId="47" xr:uid="{00000000-0005-0000-0000-000033000000}"/>
    <cellStyle name="Output 3" xfId="50" xr:uid="{00000000-0005-0000-0000-000034000000}"/>
    <cellStyle name="Title" xfId="42" builtinId="15" customBuiltin="1"/>
    <cellStyle name="Total" xfId="43" builtinId="25" customBuiltin="1"/>
    <cellStyle name="Total 2" xfId="57" xr:uid="{00000000-0005-0000-0000-000037000000}"/>
    <cellStyle name="Total 3" xfId="49" xr:uid="{00000000-0005-0000-0000-000038000000}"/>
    <cellStyle name="Warning Text" xfId="44" builtinId="11" customBuiltin="1"/>
  </cellStyles>
  <dxfs count="836">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s>
  <tableStyles count="0" defaultTableStyle="TableStyleMedium2" defaultPivotStyle="PivotStyleLight16"/>
  <colors>
    <mruColors>
      <color rgb="FFBBF2FD"/>
      <color rgb="FFE0A3FF"/>
      <color rgb="FFCC66FF"/>
      <color rgb="FF000000"/>
      <color rgb="FFFF9999"/>
      <color rgb="FFFCBCFC"/>
      <color rgb="FF00CCFF"/>
      <color rgb="FFC6FFB9"/>
      <color rgb="FFBEFDB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sharepoint.ger.ith.intel.com/Users/uvirobni/AppData/Local/Microsoft/Windows/Temporary%20Internet%20Files/Content.Outlook/KURMAHKO/p1269_iCLK_CAS_Signal_Bucketing_LP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SC_Grandioso"/>
      <sheetName val="SSCa"/>
      <sheetName val="SSCa_PI"/>
      <sheetName val="SSCa_Postdiv"/>
      <sheetName val="SSCa_AsyncLogic"/>
      <sheetName val="SSCd"/>
      <sheetName val="GEN Diff Buffer"/>
      <sheetName val="GEN MoDDIV"/>
      <sheetName val="GEN SE Buffer"/>
      <sheetName val="Non-SSC Divtop"/>
      <sheetName val="Diff Buffer"/>
      <sheetName val="CBTOP"/>
      <sheetName val="CBANA"/>
      <sheetName val="CBTOP_OLD"/>
      <sheetName val="iref bias"/>
      <sheetName val="OSC"/>
      <sheetName val="SFR"/>
      <sheetName val="LCPLLTOP"/>
      <sheetName val="Mon Port"/>
      <sheetName val="CML2CMOS"/>
      <sheetName val="c69pxpllshr_inbufreftop"/>
      <sheetName val="c69pxpllshr_inbuftop"/>
      <sheetName val="List"/>
      <sheetName val="sandbox"/>
      <sheetName val="Sheet1"/>
      <sheetName val="Crapo"/>
      <sheetName val="Sheet8"/>
      <sheetName val="Sheet9"/>
      <sheetName val="Sheet10"/>
      <sheetName val="Sheet11"/>
      <sheetName val="Sheet1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row r="1">
          <cell r="J1" t="str">
            <v>FUSE (high priority)  w/ internally hard tied register default</v>
          </cell>
        </row>
        <row r="2">
          <cell r="J2" t="str">
            <v>FUSE (nice to have)  w/ internally hard tied register default</v>
          </cell>
        </row>
        <row r="3">
          <cell r="J3" t="str">
            <v>PIN/STRAP - externally hard tied register default</v>
          </cell>
        </row>
        <row r="4">
          <cell r="J4" t="str">
            <v>Internally hard tied register default (no fuse)</v>
          </cell>
        </row>
        <row r="5">
          <cell r="J5" t="str">
            <v>N/A</v>
          </cell>
        </row>
      </sheetData>
      <sheetData sheetId="23"/>
      <sheetData sheetId="24"/>
      <sheetData sheetId="25"/>
      <sheetData sheetId="26"/>
      <sheetData sheetId="27"/>
      <sheetData sheetId="28"/>
      <sheetData sheetId="29"/>
      <sheetData sheetId="3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AJ1491"/>
  <sheetViews>
    <sheetView tabSelected="1" topLeftCell="AC1" zoomScale="70" zoomScaleNormal="70" workbookViewId="0">
      <pane ySplit="1" topLeftCell="A2" activePane="bottomLeft" state="frozen"/>
      <selection activeCell="AA262" sqref="AA262:AA266"/>
      <selection pane="bottomLeft" activeCell="AI2" sqref="AI2"/>
    </sheetView>
  </sheetViews>
  <sheetFormatPr defaultColWidth="78.88671875" defaultRowHeight="14.4"/>
  <cols>
    <col min="1" max="1" width="40.33203125" style="23" bestFit="1" customWidth="1"/>
    <col min="2" max="2" width="14.88671875" style="24" bestFit="1" customWidth="1"/>
    <col min="3" max="3" width="37.21875" style="17" customWidth="1"/>
    <col min="4" max="4" width="12.88671875" style="17" bestFit="1" customWidth="1"/>
    <col min="5" max="5" width="11.44140625" style="22" bestFit="1" customWidth="1"/>
    <col min="6" max="6" width="27.109375" style="22" customWidth="1"/>
    <col min="7" max="7" width="24.21875" style="22" customWidth="1"/>
    <col min="8" max="8" width="94.109375" style="1" customWidth="1"/>
    <col min="9" max="9" width="14.109375" style="17" bestFit="1" customWidth="1"/>
    <col min="10" max="10" width="16.33203125" style="17" bestFit="1" customWidth="1"/>
    <col min="11" max="11" width="13.5546875" style="23" bestFit="1" customWidth="1"/>
    <col min="12" max="12" width="36" style="23" bestFit="1" customWidth="1"/>
    <col min="13" max="13" width="24.88671875" style="24" bestFit="1" customWidth="1"/>
    <col min="14" max="14" width="15.6640625" style="24" bestFit="1" customWidth="1"/>
    <col min="15" max="15" width="14.44140625" style="24" bestFit="1" customWidth="1"/>
    <col min="16" max="16" width="16.6640625" style="24" bestFit="1" customWidth="1"/>
    <col min="17" max="17" width="19.109375" style="24" bestFit="1" customWidth="1"/>
    <col min="18" max="18" width="23" style="24" bestFit="1" customWidth="1"/>
    <col min="19" max="19" width="21.44140625" style="24" bestFit="1" customWidth="1"/>
    <col min="20" max="20" width="8.5546875" style="34" bestFit="1" customWidth="1"/>
    <col min="21" max="22" width="3.109375" style="2" bestFit="1" customWidth="1"/>
    <col min="23" max="23" width="9.109375" style="2" bestFit="1" customWidth="1"/>
    <col min="24" max="25" width="3.109375" style="2" bestFit="1" customWidth="1"/>
    <col min="26" max="26" width="8.5546875" style="2" bestFit="1" customWidth="1"/>
    <col min="27" max="27" width="10.6640625" style="2" bestFit="1" customWidth="1"/>
    <col min="28" max="28" width="13.44140625" style="2" bestFit="1" customWidth="1"/>
    <col min="29" max="29" width="45" style="2" bestFit="1" customWidth="1"/>
    <col min="30" max="30" width="13.5546875" style="2" bestFit="1" customWidth="1"/>
    <col min="31" max="32" width="14.5546875" style="2" bestFit="1" customWidth="1"/>
    <col min="33" max="33" width="14.44140625" style="2" bestFit="1" customWidth="1"/>
    <col min="34" max="34" width="24.5546875" style="2" bestFit="1" customWidth="1"/>
    <col min="35" max="16384" width="78.88671875" style="2"/>
  </cols>
  <sheetData>
    <row r="1" spans="1:35" ht="15" thickBot="1">
      <c r="A1" s="25" t="s">
        <v>33</v>
      </c>
      <c r="B1" s="25" t="s">
        <v>21</v>
      </c>
      <c r="C1" s="25" t="s">
        <v>0</v>
      </c>
      <c r="D1" s="25" t="s">
        <v>1</v>
      </c>
      <c r="E1" s="26" t="s">
        <v>2</v>
      </c>
      <c r="F1" s="26" t="s">
        <v>134</v>
      </c>
      <c r="G1" s="26" t="s">
        <v>135</v>
      </c>
      <c r="H1" s="25" t="s">
        <v>3</v>
      </c>
      <c r="I1" s="25" t="s">
        <v>24</v>
      </c>
      <c r="J1" s="25" t="s">
        <v>23</v>
      </c>
      <c r="K1" s="25" t="s">
        <v>34</v>
      </c>
      <c r="L1" s="25" t="s">
        <v>4</v>
      </c>
      <c r="M1" s="27" t="s">
        <v>79</v>
      </c>
      <c r="N1" s="28" t="s">
        <v>82</v>
      </c>
      <c r="O1" s="28" t="s">
        <v>83</v>
      </c>
      <c r="P1" s="28" t="s">
        <v>84</v>
      </c>
      <c r="Q1" s="28" t="s">
        <v>88</v>
      </c>
      <c r="R1" s="28" t="s">
        <v>97</v>
      </c>
      <c r="S1" s="28" t="s">
        <v>136</v>
      </c>
      <c r="T1" s="35" t="s">
        <v>132</v>
      </c>
      <c r="U1" s="161" t="s">
        <v>125</v>
      </c>
      <c r="V1" s="162"/>
      <c r="W1" s="35" t="s">
        <v>126</v>
      </c>
      <c r="X1" s="161" t="s">
        <v>127</v>
      </c>
      <c r="Y1" s="163"/>
      <c r="Z1" s="35" t="s">
        <v>128</v>
      </c>
      <c r="AA1" s="35" t="s">
        <v>129</v>
      </c>
      <c r="AB1" s="36" t="s">
        <v>130</v>
      </c>
      <c r="AC1" s="37" t="s">
        <v>131</v>
      </c>
      <c r="AD1" s="35" t="s">
        <v>139</v>
      </c>
      <c r="AE1" s="35" t="s">
        <v>138</v>
      </c>
      <c r="AF1" s="36" t="s">
        <v>137</v>
      </c>
      <c r="AG1" s="36" t="s">
        <v>140</v>
      </c>
      <c r="AH1" s="36" t="s">
        <v>142</v>
      </c>
      <c r="AI1" s="2" t="s">
        <v>972</v>
      </c>
    </row>
    <row r="2" spans="1:35" ht="15.75" customHeight="1">
      <c r="A2" s="141" t="str">
        <f>AC2</f>
        <v>vofc_dom0_quad0_quad2_sar0_slc0</v>
      </c>
      <c r="B2" s="143" t="str">
        <f>DEC2HEX(P2*4)</f>
        <v>0</v>
      </c>
      <c r="C2" s="56" t="s">
        <v>134</v>
      </c>
      <c r="D2" s="129" t="str">
        <f>bitConcat(F3:F6)</f>
        <v>32'b00000000000000000000000000000000</v>
      </c>
      <c r="E2" s="130"/>
      <c r="F2" s="130"/>
      <c r="G2" s="130"/>
      <c r="H2" s="131" t="s">
        <v>135</v>
      </c>
      <c r="I2" s="131"/>
      <c r="J2" s="131" t="str">
        <f>bitConcat(G3:G6)</f>
        <v>32'b00000000000000000000000000000000</v>
      </c>
      <c r="K2" s="131"/>
      <c r="L2" s="132"/>
      <c r="M2" s="119" t="str">
        <f>DEC2HEX(_xlfn.BITLSHIFT(HEX2DEC(Q2),2))</f>
        <v>0</v>
      </c>
      <c r="N2" s="119"/>
      <c r="O2" s="119">
        <v>0</v>
      </c>
      <c r="P2" s="121">
        <v>0</v>
      </c>
      <c r="Q2" s="121" t="str">
        <f>AB2</f>
        <v>0</v>
      </c>
      <c r="R2" s="123" t="str">
        <f>BIN2HEX(LEFT(RIGHT(D2,32),4))&amp;BIN2HEX(LEFT(RIGHT(D2,28),4))&amp;BIN2HEX(LEFT(RIGHT(D2,24),4))&amp;BIN2HEX(LEFT(RIGHT(D2,20),4))&amp;BIN2HEX(LEFT(RIGHT(D2,16),4))&amp;BIN2HEX(LEFT(RIGHT(D2,12),4))&amp;BIN2HEX(LEFT(RIGHT(D2,8),4))&amp;BIN2HEX(LEFT(RIGHT(D2,4),4))</f>
        <v>00000000</v>
      </c>
      <c r="S2" s="123" t="str">
        <f>BIN2HEX(LEFT(RIGHT(J2,32),4))&amp;BIN2HEX(LEFT(RIGHT(J2,28),4))&amp;BIN2HEX(LEFT(RIGHT(J2,24),4))&amp;BIN2HEX(LEFT(RIGHT(J2,20),4))&amp;BIN2HEX(LEFT(RIGHT(J2,16),4))&amp;BIN2HEX(LEFT(RIGHT(J2,12),4))&amp;BIN2HEX(LEFT(RIGHT(J2,8),4))&amp;BIN2HEX(LEFT(RIGHT(J2,4),4))</f>
        <v>00000000</v>
      </c>
      <c r="T2" s="160">
        <v>0</v>
      </c>
      <c r="U2" s="155" t="str">
        <f t="shared" ref="U2" si="0">LEFT(DEC2BIN(O2,2))</f>
        <v>0</v>
      </c>
      <c r="V2" s="145" t="str">
        <f t="shared" ref="V2" si="1">RIGHT(DEC2BIN(O2,2),1)</f>
        <v>0</v>
      </c>
      <c r="W2" s="148">
        <v>0</v>
      </c>
      <c r="X2" s="155">
        <v>0</v>
      </c>
      <c r="Y2" s="145">
        <v>0</v>
      </c>
      <c r="Z2" s="148">
        <v>0</v>
      </c>
      <c r="AA2" s="148">
        <v>0</v>
      </c>
      <c r="AB2" s="148" t="str">
        <f>BIN2HEX(U2&amp;V2&amp;W2&amp;X2&amp;Y2&amp;Z2&amp;AA2)</f>
        <v>0</v>
      </c>
      <c r="AC2" s="151" t="str">
        <f>CONCATENATE("vofc_dom",BIN2DEC(U2&amp;V2),"_quad",BIN2DEC(AA2),"_quad",BIN2DEC(AA2)+2,"_sar",ABS( BIN2DEC(V2)*3-BIN2DEC(Z2)),"_slc",BIN2DEC(X2&amp;Y2)+BIN2DEC(W2)*3)</f>
        <v>vofc_dom0_quad0_quad2_sar0_slc0</v>
      </c>
      <c r="AD2" s="57"/>
      <c r="AE2" s="57"/>
      <c r="AF2" s="57"/>
      <c r="AG2" s="57"/>
      <c r="AH2" s="57"/>
    </row>
    <row r="3" spans="1:35" ht="15" customHeight="1">
      <c r="A3" s="142"/>
      <c r="B3" s="144"/>
      <c r="C3" s="43" t="str">
        <f>CONCATENATE("sar",AD3+AE3*4+AF3*16,"_slc",AG3)</f>
        <v>sar0_slc0</v>
      </c>
      <c r="D3" s="44">
        <v>8</v>
      </c>
      <c r="E3" s="29" t="str">
        <f>IF(D3&gt;1,(31)&amp;":"&amp;(31-D3+1),(31-D3+1)&amp;":"&amp;(31-D3+1))</f>
        <v>31:24</v>
      </c>
      <c r="F3" s="30" t="s">
        <v>133</v>
      </c>
      <c r="G3" s="30" t="s">
        <v>133</v>
      </c>
      <c r="H3" s="45" t="s">
        <v>143</v>
      </c>
      <c r="I3" s="31" t="s">
        <v>68</v>
      </c>
      <c r="J3" s="32" t="s">
        <v>36</v>
      </c>
      <c r="K3" s="33" t="s">
        <v>6</v>
      </c>
      <c r="L3" s="46"/>
      <c r="M3" s="120"/>
      <c r="N3" s="120"/>
      <c r="O3" s="120"/>
      <c r="P3" s="122"/>
      <c r="Q3" s="122"/>
      <c r="R3" s="124"/>
      <c r="S3" s="124"/>
      <c r="T3" s="160"/>
      <c r="U3" s="156"/>
      <c r="V3" s="146"/>
      <c r="W3" s="149"/>
      <c r="X3" s="156"/>
      <c r="Y3" s="146"/>
      <c r="Z3" s="149"/>
      <c r="AA3" s="149"/>
      <c r="AB3" s="149"/>
      <c r="AC3" s="152"/>
      <c r="AD3" s="57">
        <f>BIN2DEC($AA2)*3</f>
        <v>0</v>
      </c>
      <c r="AE3" s="57">
        <f>ABS(BIN2DEC($U2)*3)</f>
        <v>0</v>
      </c>
      <c r="AF3" s="57">
        <f>ABS( BIN2DEC(V2)*3-BIN2DEC(Z2))</f>
        <v>0</v>
      </c>
      <c r="AG3" s="57">
        <f>BIN2DEC(X2&amp;Y2)+BIN2DEC(W2)*3</f>
        <v>0</v>
      </c>
      <c r="AH3" s="57">
        <f>AD3+AE3*4+AF3*16</f>
        <v>0</v>
      </c>
    </row>
    <row r="4" spans="1:35" ht="15" customHeight="1">
      <c r="A4" s="142"/>
      <c r="B4" s="144"/>
      <c r="C4" s="43" t="str">
        <f t="shared" ref="C4:C6" si="2">CONCATENATE("sar",AD4+AE4*4+AF4*16,"_slc",AG4)</f>
        <v>sar4_slc0</v>
      </c>
      <c r="D4" s="44">
        <v>8</v>
      </c>
      <c r="E4" s="30" t="str">
        <f t="shared" ref="E4:E6" si="3">(MID(str_cnvt(E3),SEARCH(":",str_cnvt(E3))+1,2)-1) &amp; ":" &amp; (MID(str_cnvt(E3),SEARCH(":",str_cnvt(E3))+1,2)-D4)</f>
        <v>23:16</v>
      </c>
      <c r="F4" s="30" t="s">
        <v>133</v>
      </c>
      <c r="G4" s="30" t="s">
        <v>133</v>
      </c>
      <c r="H4" s="45" t="s">
        <v>143</v>
      </c>
      <c r="I4" s="31" t="s">
        <v>68</v>
      </c>
      <c r="J4" s="32" t="s">
        <v>36</v>
      </c>
      <c r="K4" s="33" t="s">
        <v>6</v>
      </c>
      <c r="L4" s="46"/>
      <c r="M4" s="120"/>
      <c r="N4" s="120"/>
      <c r="O4" s="120"/>
      <c r="P4" s="122"/>
      <c r="Q4" s="122"/>
      <c r="R4" s="124"/>
      <c r="S4" s="124"/>
      <c r="T4" s="160"/>
      <c r="U4" s="156"/>
      <c r="V4" s="146"/>
      <c r="W4" s="149"/>
      <c r="X4" s="156"/>
      <c r="Y4" s="146"/>
      <c r="Z4" s="149"/>
      <c r="AA4" s="149"/>
      <c r="AB4" s="149"/>
      <c r="AC4" s="152"/>
      <c r="AD4" s="57">
        <f>BIN2DEC($AA2)*3</f>
        <v>0</v>
      </c>
      <c r="AE4" s="57">
        <f>ABS(BIN2DEC($U3)*3-1)</f>
        <v>1</v>
      </c>
      <c r="AF4" s="57">
        <f>ABS( BIN2DEC(V2)*3-BIN2DEC(Z2))</f>
        <v>0</v>
      </c>
      <c r="AG4" s="57">
        <f>BIN2DEC(X2&amp;Y2)+BIN2DEC(W2)*3</f>
        <v>0</v>
      </c>
      <c r="AH4" s="57">
        <f t="shared" ref="AH4:AH6" si="4">AD4+AE4*4+AF4*16</f>
        <v>4</v>
      </c>
    </row>
    <row r="5" spans="1:35" ht="15" customHeight="1">
      <c r="A5" s="142"/>
      <c r="B5" s="144"/>
      <c r="C5" s="43" t="str">
        <f t="shared" si="2"/>
        <v>sar2_slc0</v>
      </c>
      <c r="D5" s="44">
        <v>8</v>
      </c>
      <c r="E5" s="30" t="str">
        <f t="shared" si="3"/>
        <v>15:8</v>
      </c>
      <c r="F5" s="30" t="s">
        <v>133</v>
      </c>
      <c r="G5" s="30" t="s">
        <v>133</v>
      </c>
      <c r="H5" s="45" t="s">
        <v>143</v>
      </c>
      <c r="I5" s="31" t="s">
        <v>68</v>
      </c>
      <c r="J5" s="32" t="s">
        <v>36</v>
      </c>
      <c r="K5" s="33" t="s">
        <v>6</v>
      </c>
      <c r="L5" s="46"/>
      <c r="M5" s="120"/>
      <c r="N5" s="120"/>
      <c r="O5" s="120"/>
      <c r="P5" s="122"/>
      <c r="Q5" s="122"/>
      <c r="R5" s="124"/>
      <c r="S5" s="124"/>
      <c r="T5" s="160"/>
      <c r="U5" s="156"/>
      <c r="V5" s="146"/>
      <c r="W5" s="149"/>
      <c r="X5" s="156"/>
      <c r="Y5" s="146"/>
      <c r="Z5" s="149"/>
      <c r="AA5" s="149"/>
      <c r="AB5" s="149"/>
      <c r="AC5" s="152"/>
      <c r="AD5" s="57">
        <f>ABS(BIN2DEC($AA2)*3-2)</f>
        <v>2</v>
      </c>
      <c r="AE5" s="57">
        <f>ABS(BIN2DEC($U2)*3)</f>
        <v>0</v>
      </c>
      <c r="AF5" s="57">
        <f>ABS( BIN2DEC(V2)*3-BIN2DEC(Z2))</f>
        <v>0</v>
      </c>
      <c r="AG5" s="57">
        <f>BIN2DEC(X2&amp;Y2)+BIN2DEC(W2)*3</f>
        <v>0</v>
      </c>
      <c r="AH5" s="57">
        <f t="shared" si="4"/>
        <v>2</v>
      </c>
    </row>
    <row r="6" spans="1:35" ht="15.75" customHeight="1" thickBot="1">
      <c r="A6" s="142"/>
      <c r="B6" s="144"/>
      <c r="C6" s="43" t="str">
        <f t="shared" si="2"/>
        <v>sar6_slc0</v>
      </c>
      <c r="D6" s="44">
        <v>8</v>
      </c>
      <c r="E6" s="30" t="str">
        <f t="shared" si="3"/>
        <v>7:0</v>
      </c>
      <c r="F6" s="30" t="s">
        <v>133</v>
      </c>
      <c r="G6" s="30" t="s">
        <v>133</v>
      </c>
      <c r="H6" s="45" t="s">
        <v>143</v>
      </c>
      <c r="I6" s="31" t="s">
        <v>68</v>
      </c>
      <c r="J6" s="32" t="s">
        <v>36</v>
      </c>
      <c r="K6" s="33" t="s">
        <v>6</v>
      </c>
      <c r="L6" s="46"/>
      <c r="M6" s="120"/>
      <c r="N6" s="120"/>
      <c r="O6" s="120"/>
      <c r="P6" s="122"/>
      <c r="Q6" s="122"/>
      <c r="R6" s="124"/>
      <c r="S6" s="124"/>
      <c r="T6" s="160"/>
      <c r="U6" s="157"/>
      <c r="V6" s="147"/>
      <c r="W6" s="150"/>
      <c r="X6" s="157"/>
      <c r="Y6" s="147"/>
      <c r="Z6" s="150"/>
      <c r="AA6" s="150"/>
      <c r="AB6" s="150"/>
      <c r="AC6" s="153"/>
      <c r="AD6" s="57">
        <f>ABS(BIN2DEC($AA2)*3-2)</f>
        <v>2</v>
      </c>
      <c r="AE6" s="57">
        <f>ABS(BIN2DEC($U2)*3-1)</f>
        <v>1</v>
      </c>
      <c r="AF6" s="57">
        <f>ABS( BIN2DEC(V2)*3-BIN2DEC(Z2))</f>
        <v>0</v>
      </c>
      <c r="AG6" s="57">
        <f>BIN2DEC(X2&amp;Y2)+BIN2DEC(W2)*3</f>
        <v>0</v>
      </c>
      <c r="AH6" s="57">
        <f t="shared" si="4"/>
        <v>6</v>
      </c>
    </row>
    <row r="7" spans="1:35" ht="15.75" customHeight="1">
      <c r="A7" s="141" t="str">
        <f>AC7</f>
        <v>vofc_dom0_quad1_quad3_sar0_slc0</v>
      </c>
      <c r="B7" s="143" t="str">
        <f>DEC2HEX(P7*4)</f>
        <v>0</v>
      </c>
      <c r="C7" s="56" t="s">
        <v>134</v>
      </c>
      <c r="D7" s="129" t="str">
        <f>bitConcat(F8:F11)</f>
        <v>32'b00000000000000000000000000000000</v>
      </c>
      <c r="E7" s="130"/>
      <c r="F7" s="130"/>
      <c r="G7" s="130"/>
      <c r="H7" s="131" t="s">
        <v>135</v>
      </c>
      <c r="I7" s="131"/>
      <c r="J7" s="131" t="str">
        <f>bitConcat(G8:G11)</f>
        <v>32'b00000000000000000000000000000000</v>
      </c>
      <c r="K7" s="131"/>
      <c r="L7" s="132"/>
      <c r="M7" s="119" t="str">
        <f>DEC2HEX(_xlfn.BITLSHIFT(HEX2DEC(Q7),2))</f>
        <v>4</v>
      </c>
      <c r="N7" s="119"/>
      <c r="O7" s="119">
        <v>0</v>
      </c>
      <c r="P7" s="121">
        <v>0</v>
      </c>
      <c r="Q7" s="121" t="str">
        <f>AB7</f>
        <v>1</v>
      </c>
      <c r="R7" s="123" t="str">
        <f>BIN2HEX(LEFT(RIGHT(D7,32),4))&amp;BIN2HEX(LEFT(RIGHT(D7,28),4))&amp;BIN2HEX(LEFT(RIGHT(D7,24),4))&amp;BIN2HEX(LEFT(RIGHT(D7,20),4))&amp;BIN2HEX(LEFT(RIGHT(D7,16),4))&amp;BIN2HEX(LEFT(RIGHT(D7,12),4))&amp;BIN2HEX(LEFT(RIGHT(D7,8),4))&amp;BIN2HEX(LEFT(RIGHT(D7,4),4))</f>
        <v>00000000</v>
      </c>
      <c r="S7" s="123" t="str">
        <f>BIN2HEX(LEFT(RIGHT(J7,32),4))&amp;BIN2HEX(LEFT(RIGHT(J7,28),4))&amp;BIN2HEX(LEFT(RIGHT(J7,24),4))&amp;BIN2HEX(LEFT(RIGHT(J7,20),4))&amp;BIN2HEX(LEFT(RIGHT(J7,16),4))&amp;BIN2HEX(LEFT(RIGHT(J7,12),4))&amp;BIN2HEX(LEFT(RIGHT(J7,8),4))&amp;BIN2HEX(LEFT(RIGHT(J7,4),4))</f>
        <v>00000000</v>
      </c>
      <c r="T7" s="160">
        <v>1</v>
      </c>
      <c r="U7" s="155" t="str">
        <f t="shared" ref="U7" si="5">LEFT(DEC2BIN(O7,2))</f>
        <v>0</v>
      </c>
      <c r="V7" s="145" t="str">
        <f t="shared" ref="V7" si="6">RIGHT(DEC2BIN(O7,2),1)</f>
        <v>0</v>
      </c>
      <c r="W7" s="148">
        <v>0</v>
      </c>
      <c r="X7" s="155">
        <v>0</v>
      </c>
      <c r="Y7" s="145">
        <v>0</v>
      </c>
      <c r="Z7" s="148">
        <v>0</v>
      </c>
      <c r="AA7" s="148">
        <v>1</v>
      </c>
      <c r="AB7" s="148" t="str">
        <f>BIN2HEX(U7&amp;V7&amp;W7&amp;X7&amp;Y7&amp;Z7&amp;AA7)</f>
        <v>1</v>
      </c>
      <c r="AC7" s="151" t="str">
        <f>CONCATENATE("vofc_dom",BIN2DEC(U7&amp;V7),"_quad",BIN2DEC(AA7),"_quad",BIN2DEC(AA7)+2,"_sar",ABS( BIN2DEC(V7)*3-BIN2DEC(Z7)),"_slc",BIN2DEC(X7&amp;Y7)+BIN2DEC(W7)*3)</f>
        <v>vofc_dom0_quad1_quad3_sar0_slc0</v>
      </c>
      <c r="AD7" s="57"/>
      <c r="AE7" s="57"/>
      <c r="AF7" s="57"/>
      <c r="AG7" s="57"/>
      <c r="AH7" s="57"/>
    </row>
    <row r="8" spans="1:35" ht="15" customHeight="1">
      <c r="A8" s="142"/>
      <c r="B8" s="144"/>
      <c r="C8" s="43" t="str">
        <f>CONCATENATE("sar",AD8+AE8*4+AF8*16,"_slc",AG8)</f>
        <v>sar3_slc0</v>
      </c>
      <c r="D8" s="44">
        <v>8</v>
      </c>
      <c r="E8" s="29" t="str">
        <f>IF(D8&gt;1,(31)&amp;":"&amp;(31-D8+1),(31-D8+1)&amp;":"&amp;(31-D8+1))</f>
        <v>31:24</v>
      </c>
      <c r="F8" s="30" t="s">
        <v>133</v>
      </c>
      <c r="G8" s="30" t="s">
        <v>133</v>
      </c>
      <c r="H8" s="45" t="s">
        <v>143</v>
      </c>
      <c r="I8" s="31" t="s">
        <v>68</v>
      </c>
      <c r="J8" s="32" t="s">
        <v>36</v>
      </c>
      <c r="K8" s="33" t="s">
        <v>6</v>
      </c>
      <c r="L8" s="46"/>
      <c r="M8" s="120"/>
      <c r="N8" s="120"/>
      <c r="O8" s="120"/>
      <c r="P8" s="122"/>
      <c r="Q8" s="122"/>
      <c r="R8" s="124"/>
      <c r="S8" s="124"/>
      <c r="T8" s="160"/>
      <c r="U8" s="156"/>
      <c r="V8" s="146"/>
      <c r="W8" s="149"/>
      <c r="X8" s="156"/>
      <c r="Y8" s="146"/>
      <c r="Z8" s="149"/>
      <c r="AA8" s="149"/>
      <c r="AB8" s="149"/>
      <c r="AC8" s="152"/>
      <c r="AD8" s="57">
        <f>BIN2DEC($AA7)*3</f>
        <v>3</v>
      </c>
      <c r="AE8" s="57">
        <f>ABS(BIN2DEC($U7)*3)</f>
        <v>0</v>
      </c>
      <c r="AF8" s="57">
        <f>ABS( BIN2DEC(V7)*3-BIN2DEC(Z7))</f>
        <v>0</v>
      </c>
      <c r="AG8" s="57">
        <f>BIN2DEC(X7&amp;Y7)+BIN2DEC(W7)*3</f>
        <v>0</v>
      </c>
      <c r="AH8" s="57">
        <f>AD8+AE8*4+AF8*16</f>
        <v>3</v>
      </c>
    </row>
    <row r="9" spans="1:35" ht="15" customHeight="1">
      <c r="A9" s="142"/>
      <c r="B9" s="144"/>
      <c r="C9" s="43" t="str">
        <f t="shared" ref="C9:C11" si="7">CONCATENATE("sar",AD9+AE9*4+AF9*16,"_slc",AG9)</f>
        <v>sar7_slc0</v>
      </c>
      <c r="D9" s="44">
        <v>8</v>
      </c>
      <c r="E9" s="30" t="str">
        <f t="shared" ref="E9:E11" si="8">(MID(str_cnvt(E8),SEARCH(":",str_cnvt(E8))+1,2)-1) &amp; ":" &amp; (MID(str_cnvt(E8),SEARCH(":",str_cnvt(E8))+1,2)-D9)</f>
        <v>23:16</v>
      </c>
      <c r="F9" s="30" t="s">
        <v>133</v>
      </c>
      <c r="G9" s="30" t="s">
        <v>133</v>
      </c>
      <c r="H9" s="45" t="s">
        <v>143</v>
      </c>
      <c r="I9" s="31" t="s">
        <v>68</v>
      </c>
      <c r="J9" s="32" t="s">
        <v>36</v>
      </c>
      <c r="K9" s="33" t="s">
        <v>6</v>
      </c>
      <c r="L9" s="46"/>
      <c r="M9" s="120"/>
      <c r="N9" s="120"/>
      <c r="O9" s="120"/>
      <c r="P9" s="122"/>
      <c r="Q9" s="122"/>
      <c r="R9" s="124"/>
      <c r="S9" s="124"/>
      <c r="T9" s="160"/>
      <c r="U9" s="156"/>
      <c r="V9" s="146"/>
      <c r="W9" s="149"/>
      <c r="X9" s="156"/>
      <c r="Y9" s="146"/>
      <c r="Z9" s="149"/>
      <c r="AA9" s="149"/>
      <c r="AB9" s="149"/>
      <c r="AC9" s="152"/>
      <c r="AD9" s="57">
        <f>BIN2DEC($AA7)*3</f>
        <v>3</v>
      </c>
      <c r="AE9" s="57">
        <f>ABS(BIN2DEC($U8)*3-1)</f>
        <v>1</v>
      </c>
      <c r="AF9" s="57">
        <f>ABS( BIN2DEC(V7)*3-BIN2DEC(Z7))</f>
        <v>0</v>
      </c>
      <c r="AG9" s="57">
        <f>BIN2DEC(X7&amp;Y7)+BIN2DEC(W7)*3</f>
        <v>0</v>
      </c>
      <c r="AH9" s="57">
        <f t="shared" ref="AH9:AH11" si="9">AD9+AE9*4+AF9*16</f>
        <v>7</v>
      </c>
    </row>
    <row r="10" spans="1:35" ht="15" customHeight="1">
      <c r="A10" s="142"/>
      <c r="B10" s="144"/>
      <c r="C10" s="43" t="str">
        <f t="shared" si="7"/>
        <v>sar1_slc0</v>
      </c>
      <c r="D10" s="44">
        <v>8</v>
      </c>
      <c r="E10" s="30" t="str">
        <f t="shared" si="8"/>
        <v>15:8</v>
      </c>
      <c r="F10" s="30" t="s">
        <v>133</v>
      </c>
      <c r="G10" s="30" t="s">
        <v>133</v>
      </c>
      <c r="H10" s="45" t="s">
        <v>143</v>
      </c>
      <c r="I10" s="31" t="s">
        <v>68</v>
      </c>
      <c r="J10" s="32" t="s">
        <v>36</v>
      </c>
      <c r="K10" s="33" t="s">
        <v>6</v>
      </c>
      <c r="L10" s="46"/>
      <c r="M10" s="120"/>
      <c r="N10" s="120"/>
      <c r="O10" s="120"/>
      <c r="P10" s="122"/>
      <c r="Q10" s="122"/>
      <c r="R10" s="124"/>
      <c r="S10" s="124"/>
      <c r="T10" s="160"/>
      <c r="U10" s="156"/>
      <c r="V10" s="146"/>
      <c r="W10" s="149"/>
      <c r="X10" s="156"/>
      <c r="Y10" s="146"/>
      <c r="Z10" s="149"/>
      <c r="AA10" s="149"/>
      <c r="AB10" s="149"/>
      <c r="AC10" s="152"/>
      <c r="AD10" s="57">
        <f>ABS(BIN2DEC($AA7)*3-2)</f>
        <v>1</v>
      </c>
      <c r="AE10" s="57">
        <f>ABS(BIN2DEC($U7)*3)</f>
        <v>0</v>
      </c>
      <c r="AF10" s="57">
        <f>ABS( BIN2DEC(V7)*3-BIN2DEC(Z7))</f>
        <v>0</v>
      </c>
      <c r="AG10" s="57">
        <f>BIN2DEC(X7&amp;Y7)+BIN2DEC(W7)*3</f>
        <v>0</v>
      </c>
      <c r="AH10" s="57">
        <f t="shared" si="9"/>
        <v>1</v>
      </c>
    </row>
    <row r="11" spans="1:35" ht="15.75" customHeight="1" thickBot="1">
      <c r="A11" s="142"/>
      <c r="B11" s="144"/>
      <c r="C11" s="43" t="str">
        <f t="shared" si="7"/>
        <v>sar5_slc0</v>
      </c>
      <c r="D11" s="44">
        <v>8</v>
      </c>
      <c r="E11" s="30" t="str">
        <f t="shared" si="8"/>
        <v>7:0</v>
      </c>
      <c r="F11" s="30" t="s">
        <v>133</v>
      </c>
      <c r="G11" s="30" t="s">
        <v>133</v>
      </c>
      <c r="H11" s="45" t="s">
        <v>143</v>
      </c>
      <c r="I11" s="31" t="s">
        <v>68</v>
      </c>
      <c r="J11" s="32" t="s">
        <v>36</v>
      </c>
      <c r="K11" s="33" t="s">
        <v>6</v>
      </c>
      <c r="L11" s="46"/>
      <c r="M11" s="120"/>
      <c r="N11" s="120"/>
      <c r="O11" s="120"/>
      <c r="P11" s="122"/>
      <c r="Q11" s="122"/>
      <c r="R11" s="124"/>
      <c r="S11" s="124"/>
      <c r="T11" s="160"/>
      <c r="U11" s="157"/>
      <c r="V11" s="147"/>
      <c r="W11" s="150"/>
      <c r="X11" s="157"/>
      <c r="Y11" s="147"/>
      <c r="Z11" s="150"/>
      <c r="AA11" s="150"/>
      <c r="AB11" s="150"/>
      <c r="AC11" s="153"/>
      <c r="AD11" s="57">
        <f>ABS(BIN2DEC($AA7)*3-2)</f>
        <v>1</v>
      </c>
      <c r="AE11" s="57">
        <f>ABS(BIN2DEC($U7)*3-1)</f>
        <v>1</v>
      </c>
      <c r="AF11" s="57">
        <f>ABS( BIN2DEC(V7)*3-BIN2DEC(Z7))</f>
        <v>0</v>
      </c>
      <c r="AG11" s="57">
        <f>BIN2DEC(X7&amp;Y7)+BIN2DEC(W7)*3</f>
        <v>0</v>
      </c>
      <c r="AH11" s="57">
        <f t="shared" si="9"/>
        <v>5</v>
      </c>
    </row>
    <row r="12" spans="1:35" ht="15.75" customHeight="1">
      <c r="A12" s="141" t="str">
        <f>AC12</f>
        <v>vofc_dom0_quad0_quad2_sar1_slc0</v>
      </c>
      <c r="B12" s="143" t="str">
        <f>DEC2HEX(P12*4)</f>
        <v>0</v>
      </c>
      <c r="C12" s="56" t="s">
        <v>134</v>
      </c>
      <c r="D12" s="129" t="str">
        <f>bitConcat(F13:F16)</f>
        <v>32'b00000000000000000000000000000000</v>
      </c>
      <c r="E12" s="130"/>
      <c r="F12" s="130"/>
      <c r="G12" s="130"/>
      <c r="H12" s="131" t="s">
        <v>135</v>
      </c>
      <c r="I12" s="131"/>
      <c r="J12" s="131" t="str">
        <f>bitConcat(G13:G16)</f>
        <v>32'b00000000000000000000000000000000</v>
      </c>
      <c r="K12" s="131"/>
      <c r="L12" s="132"/>
      <c r="M12" s="119" t="str">
        <f>DEC2HEX(_xlfn.BITLSHIFT(HEX2DEC(Q12),2))</f>
        <v>8</v>
      </c>
      <c r="N12" s="119"/>
      <c r="O12" s="119">
        <v>0</v>
      </c>
      <c r="P12" s="121">
        <v>0</v>
      </c>
      <c r="Q12" s="121" t="str">
        <f>AB12</f>
        <v>2</v>
      </c>
      <c r="R12" s="123" t="str">
        <f t="shared" ref="R12" si="10">BIN2HEX(LEFT(RIGHT(D12,32),4))&amp;BIN2HEX(LEFT(RIGHT(D12,28),4))&amp;BIN2HEX(LEFT(RIGHT(D12,24),4))&amp;BIN2HEX(LEFT(RIGHT(D12,20),4))&amp;BIN2HEX(LEFT(RIGHT(D12,16),4))&amp;BIN2HEX(LEFT(RIGHT(D12,12),4))&amp;BIN2HEX(LEFT(RIGHT(D12,8),4))&amp;BIN2HEX(LEFT(RIGHT(D12,4),4))</f>
        <v>00000000</v>
      </c>
      <c r="S12" s="123" t="str">
        <f t="shared" ref="S12" si="11">BIN2HEX(LEFT(RIGHT(J12,32),4))&amp;BIN2HEX(LEFT(RIGHT(J12,28),4))&amp;BIN2HEX(LEFT(RIGHT(J12,24),4))&amp;BIN2HEX(LEFT(RIGHT(J12,20),4))&amp;BIN2HEX(LEFT(RIGHT(J12,16),4))&amp;BIN2HEX(LEFT(RIGHT(J12,12),4))&amp;BIN2HEX(LEFT(RIGHT(J12,8),4))&amp;BIN2HEX(LEFT(RIGHT(J12,4),4))</f>
        <v>00000000</v>
      </c>
      <c r="T12" s="160">
        <v>2</v>
      </c>
      <c r="U12" s="155" t="str">
        <f t="shared" ref="U12" si="12">LEFT(DEC2BIN(O12,2))</f>
        <v>0</v>
      </c>
      <c r="V12" s="145" t="str">
        <f t="shared" ref="V12" si="13">RIGHT(DEC2BIN(O12,2),1)</f>
        <v>0</v>
      </c>
      <c r="W12" s="148">
        <v>0</v>
      </c>
      <c r="X12" s="155">
        <v>0</v>
      </c>
      <c r="Y12" s="145">
        <v>0</v>
      </c>
      <c r="Z12" s="148">
        <v>1</v>
      </c>
      <c r="AA12" s="148">
        <v>0</v>
      </c>
      <c r="AB12" s="148" t="str">
        <f>BIN2HEX(U12&amp;V12&amp;W12&amp;X12&amp;Y12&amp;Z12&amp;AA12)</f>
        <v>2</v>
      </c>
      <c r="AC12" s="151" t="str">
        <f>CONCATENATE("vofc_dom",BIN2DEC(U12&amp;V12),"_quad",BIN2DEC(AA12),"_quad",BIN2DEC(AA12)+2,"_sar",ABS( BIN2DEC(V12)*3-BIN2DEC(Z12)),"_slc",BIN2DEC(X12&amp;Y12)+BIN2DEC(W12)*3)</f>
        <v>vofc_dom0_quad0_quad2_sar1_slc0</v>
      </c>
      <c r="AD12" s="57"/>
      <c r="AE12" s="57"/>
      <c r="AF12" s="57"/>
      <c r="AG12" s="57"/>
      <c r="AH12" s="57"/>
    </row>
    <row r="13" spans="1:35" ht="15" customHeight="1">
      <c r="A13" s="142"/>
      <c r="B13" s="144"/>
      <c r="C13" s="43" t="str">
        <f>CONCATENATE("sar",AD13+AE13*4+AF13*16,"_slc",AG13)</f>
        <v>sar16_slc0</v>
      </c>
      <c r="D13" s="44">
        <v>8</v>
      </c>
      <c r="E13" s="29" t="str">
        <f>IF(D13&gt;1,(31)&amp;":"&amp;(31-D13+1),(31-D13+1)&amp;":"&amp;(31-D13+1))</f>
        <v>31:24</v>
      </c>
      <c r="F13" s="30" t="s">
        <v>133</v>
      </c>
      <c r="G13" s="30" t="s">
        <v>133</v>
      </c>
      <c r="H13" s="45" t="s">
        <v>143</v>
      </c>
      <c r="I13" s="31" t="s">
        <v>68</v>
      </c>
      <c r="J13" s="32" t="s">
        <v>36</v>
      </c>
      <c r="K13" s="33" t="s">
        <v>6</v>
      </c>
      <c r="L13" s="46"/>
      <c r="M13" s="120"/>
      <c r="N13" s="120"/>
      <c r="O13" s="120"/>
      <c r="P13" s="122"/>
      <c r="Q13" s="122"/>
      <c r="R13" s="124"/>
      <c r="S13" s="124"/>
      <c r="T13" s="160"/>
      <c r="U13" s="156"/>
      <c r="V13" s="146"/>
      <c r="W13" s="149"/>
      <c r="X13" s="156"/>
      <c r="Y13" s="146"/>
      <c r="Z13" s="149"/>
      <c r="AA13" s="149"/>
      <c r="AB13" s="149"/>
      <c r="AC13" s="152"/>
      <c r="AD13" s="57">
        <f>BIN2DEC($AA12)*3</f>
        <v>0</v>
      </c>
      <c r="AE13" s="57">
        <f>ABS(BIN2DEC($U12)*3)</f>
        <v>0</v>
      </c>
      <c r="AF13" s="57">
        <f>ABS( BIN2DEC(V12)*3-BIN2DEC(Z12))</f>
        <v>1</v>
      </c>
      <c r="AG13" s="57">
        <f>BIN2DEC(X12&amp;Y12)+BIN2DEC(W12)*3</f>
        <v>0</v>
      </c>
      <c r="AH13" s="57">
        <f>AD13+AE13*4+AF13*16</f>
        <v>16</v>
      </c>
    </row>
    <row r="14" spans="1:35" ht="15" customHeight="1">
      <c r="A14" s="142"/>
      <c r="B14" s="144"/>
      <c r="C14" s="43" t="str">
        <f t="shared" ref="C14:C16" si="14">CONCATENATE("sar",AD14+AE14*4+AF14*16,"_slc",AG14)</f>
        <v>sar20_slc0</v>
      </c>
      <c r="D14" s="44">
        <v>8</v>
      </c>
      <c r="E14" s="30" t="str">
        <f t="shared" ref="E14:E16" si="15">(MID(str_cnvt(E13),SEARCH(":",str_cnvt(E13))+1,2)-1) &amp; ":" &amp; (MID(str_cnvt(E13),SEARCH(":",str_cnvt(E13))+1,2)-D14)</f>
        <v>23:16</v>
      </c>
      <c r="F14" s="30" t="s">
        <v>133</v>
      </c>
      <c r="G14" s="30" t="s">
        <v>133</v>
      </c>
      <c r="H14" s="45" t="s">
        <v>143</v>
      </c>
      <c r="I14" s="31" t="s">
        <v>68</v>
      </c>
      <c r="J14" s="32" t="s">
        <v>36</v>
      </c>
      <c r="K14" s="33" t="s">
        <v>6</v>
      </c>
      <c r="L14" s="46"/>
      <c r="M14" s="120"/>
      <c r="N14" s="120"/>
      <c r="O14" s="120"/>
      <c r="P14" s="122"/>
      <c r="Q14" s="122"/>
      <c r="R14" s="124"/>
      <c r="S14" s="124"/>
      <c r="T14" s="160"/>
      <c r="U14" s="156"/>
      <c r="V14" s="146"/>
      <c r="W14" s="149"/>
      <c r="X14" s="156"/>
      <c r="Y14" s="146"/>
      <c r="Z14" s="149"/>
      <c r="AA14" s="149"/>
      <c r="AB14" s="149"/>
      <c r="AC14" s="152"/>
      <c r="AD14" s="57">
        <f>BIN2DEC($AA12)*3</f>
        <v>0</v>
      </c>
      <c r="AE14" s="57">
        <f>ABS(BIN2DEC($U13)*3-1)</f>
        <v>1</v>
      </c>
      <c r="AF14" s="57">
        <f>ABS( BIN2DEC(V12)*3-BIN2DEC(Z12))</f>
        <v>1</v>
      </c>
      <c r="AG14" s="57">
        <f>BIN2DEC(X12&amp;Y12)+BIN2DEC(W12)*3</f>
        <v>0</v>
      </c>
      <c r="AH14" s="57">
        <f t="shared" ref="AH14:AH16" si="16">AD14+AE14*4+AF14*16</f>
        <v>20</v>
      </c>
    </row>
    <row r="15" spans="1:35" ht="15" customHeight="1">
      <c r="A15" s="142"/>
      <c r="B15" s="144"/>
      <c r="C15" s="43" t="str">
        <f t="shared" si="14"/>
        <v>sar18_slc0</v>
      </c>
      <c r="D15" s="44">
        <v>8</v>
      </c>
      <c r="E15" s="30" t="str">
        <f t="shared" si="15"/>
        <v>15:8</v>
      </c>
      <c r="F15" s="30" t="s">
        <v>133</v>
      </c>
      <c r="G15" s="30" t="s">
        <v>133</v>
      </c>
      <c r="H15" s="45" t="s">
        <v>143</v>
      </c>
      <c r="I15" s="31" t="s">
        <v>68</v>
      </c>
      <c r="J15" s="32" t="s">
        <v>36</v>
      </c>
      <c r="K15" s="33" t="s">
        <v>6</v>
      </c>
      <c r="L15" s="46"/>
      <c r="M15" s="120"/>
      <c r="N15" s="120"/>
      <c r="O15" s="120"/>
      <c r="P15" s="122"/>
      <c r="Q15" s="122"/>
      <c r="R15" s="124"/>
      <c r="S15" s="124"/>
      <c r="T15" s="160"/>
      <c r="U15" s="156"/>
      <c r="V15" s="146"/>
      <c r="W15" s="149"/>
      <c r="X15" s="156"/>
      <c r="Y15" s="146"/>
      <c r="Z15" s="149"/>
      <c r="AA15" s="149"/>
      <c r="AB15" s="149"/>
      <c r="AC15" s="152"/>
      <c r="AD15" s="57">
        <f>ABS(BIN2DEC($AA12)*3-2)</f>
        <v>2</v>
      </c>
      <c r="AE15" s="57">
        <f>ABS(BIN2DEC($U12)*3)</f>
        <v>0</v>
      </c>
      <c r="AF15" s="57">
        <f>ABS( BIN2DEC(V12)*3-BIN2DEC(Z12))</f>
        <v>1</v>
      </c>
      <c r="AG15" s="57">
        <f>BIN2DEC(X12&amp;Y12)+BIN2DEC(W12)*3</f>
        <v>0</v>
      </c>
      <c r="AH15" s="57">
        <f t="shared" si="16"/>
        <v>18</v>
      </c>
    </row>
    <row r="16" spans="1:35" ht="15.75" customHeight="1" thickBot="1">
      <c r="A16" s="142"/>
      <c r="B16" s="144"/>
      <c r="C16" s="43" t="str">
        <f t="shared" si="14"/>
        <v>sar22_slc0</v>
      </c>
      <c r="D16" s="44">
        <v>8</v>
      </c>
      <c r="E16" s="30" t="str">
        <f t="shared" si="15"/>
        <v>7:0</v>
      </c>
      <c r="F16" s="30" t="s">
        <v>133</v>
      </c>
      <c r="G16" s="30" t="s">
        <v>133</v>
      </c>
      <c r="H16" s="45" t="s">
        <v>143</v>
      </c>
      <c r="I16" s="31" t="s">
        <v>68</v>
      </c>
      <c r="J16" s="32" t="s">
        <v>36</v>
      </c>
      <c r="K16" s="33" t="s">
        <v>6</v>
      </c>
      <c r="L16" s="46"/>
      <c r="M16" s="120"/>
      <c r="N16" s="120"/>
      <c r="O16" s="120"/>
      <c r="P16" s="122"/>
      <c r="Q16" s="122"/>
      <c r="R16" s="124"/>
      <c r="S16" s="124"/>
      <c r="T16" s="160"/>
      <c r="U16" s="157"/>
      <c r="V16" s="147"/>
      <c r="W16" s="150"/>
      <c r="X16" s="157"/>
      <c r="Y16" s="147"/>
      <c r="Z16" s="150"/>
      <c r="AA16" s="150"/>
      <c r="AB16" s="150"/>
      <c r="AC16" s="153"/>
      <c r="AD16" s="57">
        <f>ABS(BIN2DEC($AA12)*3-2)</f>
        <v>2</v>
      </c>
      <c r="AE16" s="57">
        <f>ABS(BIN2DEC($U12)*3-1)</f>
        <v>1</v>
      </c>
      <c r="AF16" s="57">
        <f>ABS( BIN2DEC(V12)*3-BIN2DEC(Z12))</f>
        <v>1</v>
      </c>
      <c r="AG16" s="57">
        <f>BIN2DEC(X12&amp;Y12)+BIN2DEC(W12)*3</f>
        <v>0</v>
      </c>
      <c r="AH16" s="57">
        <f t="shared" si="16"/>
        <v>22</v>
      </c>
    </row>
    <row r="17" spans="1:34" ht="15.75" customHeight="1">
      <c r="A17" s="141" t="str">
        <f>AC17</f>
        <v>vofc_dom0_quad1_quad3_sar1_slc0</v>
      </c>
      <c r="B17" s="143" t="str">
        <f>DEC2HEX(P17*4)</f>
        <v>0</v>
      </c>
      <c r="C17" s="56" t="s">
        <v>134</v>
      </c>
      <c r="D17" s="129" t="str">
        <f>bitConcat(F18:F21)</f>
        <v>32'b00000000000000000000000000000000</v>
      </c>
      <c r="E17" s="130"/>
      <c r="F17" s="130"/>
      <c r="G17" s="130"/>
      <c r="H17" s="131" t="s">
        <v>135</v>
      </c>
      <c r="I17" s="131"/>
      <c r="J17" s="131" t="str">
        <f>bitConcat(G18:G21)</f>
        <v>32'b00000000000000000000000000000000</v>
      </c>
      <c r="K17" s="131"/>
      <c r="L17" s="132"/>
      <c r="M17" s="119" t="str">
        <f>DEC2HEX(_xlfn.BITLSHIFT(HEX2DEC(Q17),2))</f>
        <v>C</v>
      </c>
      <c r="N17" s="119"/>
      <c r="O17" s="119">
        <v>0</v>
      </c>
      <c r="P17" s="121">
        <v>0</v>
      </c>
      <c r="Q17" s="121" t="str">
        <f>AB17</f>
        <v>3</v>
      </c>
      <c r="R17" s="123" t="str">
        <f t="shared" ref="R17" si="17">BIN2HEX(LEFT(RIGHT(D17,32),4))&amp;BIN2HEX(LEFT(RIGHT(D17,28),4))&amp;BIN2HEX(LEFT(RIGHT(D17,24),4))&amp;BIN2HEX(LEFT(RIGHT(D17,20),4))&amp;BIN2HEX(LEFT(RIGHT(D17,16),4))&amp;BIN2HEX(LEFT(RIGHT(D17,12),4))&amp;BIN2HEX(LEFT(RIGHT(D17,8),4))&amp;BIN2HEX(LEFT(RIGHT(D17,4),4))</f>
        <v>00000000</v>
      </c>
      <c r="S17" s="123" t="str">
        <f t="shared" ref="S17" si="18">BIN2HEX(LEFT(RIGHT(J17,32),4))&amp;BIN2HEX(LEFT(RIGHT(J17,28),4))&amp;BIN2HEX(LEFT(RIGHT(J17,24),4))&amp;BIN2HEX(LEFT(RIGHT(J17,20),4))&amp;BIN2HEX(LEFT(RIGHT(J17,16),4))&amp;BIN2HEX(LEFT(RIGHT(J17,12),4))&amp;BIN2HEX(LEFT(RIGHT(J17,8),4))&amp;BIN2HEX(LEFT(RIGHT(J17,4),4))</f>
        <v>00000000</v>
      </c>
      <c r="T17" s="160">
        <v>3</v>
      </c>
      <c r="U17" s="155" t="str">
        <f t="shared" ref="U17" si="19">LEFT(DEC2BIN(O17,2))</f>
        <v>0</v>
      </c>
      <c r="V17" s="145" t="str">
        <f t="shared" ref="V17" si="20">RIGHT(DEC2BIN(O17,2),1)</f>
        <v>0</v>
      </c>
      <c r="W17" s="148">
        <v>0</v>
      </c>
      <c r="X17" s="155">
        <v>0</v>
      </c>
      <c r="Y17" s="145">
        <v>0</v>
      </c>
      <c r="Z17" s="148">
        <v>1</v>
      </c>
      <c r="AA17" s="148">
        <v>1</v>
      </c>
      <c r="AB17" s="148" t="str">
        <f>BIN2HEX(U17&amp;V17&amp;W17&amp;X17&amp;Y17&amp;Z17&amp;AA17)</f>
        <v>3</v>
      </c>
      <c r="AC17" s="151" t="str">
        <f>CONCATENATE("vofc_dom",BIN2DEC(U17&amp;V17),"_quad",BIN2DEC(AA17),"_quad",BIN2DEC(AA17)+2,"_sar",ABS( BIN2DEC(V17)*3-BIN2DEC(Z17)),"_slc",BIN2DEC(X17&amp;Y17)+BIN2DEC(W17)*3)</f>
        <v>vofc_dom0_quad1_quad3_sar1_slc0</v>
      </c>
      <c r="AD17" s="57"/>
      <c r="AE17" s="57"/>
      <c r="AF17" s="57"/>
      <c r="AG17" s="57"/>
      <c r="AH17" s="57"/>
    </row>
    <row r="18" spans="1:34" ht="15" customHeight="1">
      <c r="A18" s="142"/>
      <c r="B18" s="144"/>
      <c r="C18" s="43" t="str">
        <f>CONCATENATE("sar",AD18+AE18*4+AF18*16,"_slc",AG18)</f>
        <v>sar19_slc0</v>
      </c>
      <c r="D18" s="44">
        <v>8</v>
      </c>
      <c r="E18" s="29" t="str">
        <f>IF(D18&gt;1,(31)&amp;":"&amp;(31-D18+1),(31-D18+1)&amp;":"&amp;(31-D18+1))</f>
        <v>31:24</v>
      </c>
      <c r="F18" s="30" t="s">
        <v>133</v>
      </c>
      <c r="G18" s="30" t="s">
        <v>133</v>
      </c>
      <c r="H18" s="45" t="s">
        <v>143</v>
      </c>
      <c r="I18" s="31" t="s">
        <v>68</v>
      </c>
      <c r="J18" s="32" t="s">
        <v>36</v>
      </c>
      <c r="K18" s="33" t="s">
        <v>6</v>
      </c>
      <c r="L18" s="46"/>
      <c r="M18" s="120"/>
      <c r="N18" s="120"/>
      <c r="O18" s="120"/>
      <c r="P18" s="122"/>
      <c r="Q18" s="122"/>
      <c r="R18" s="124"/>
      <c r="S18" s="124"/>
      <c r="T18" s="160"/>
      <c r="U18" s="156"/>
      <c r="V18" s="146"/>
      <c r="W18" s="149"/>
      <c r="X18" s="156"/>
      <c r="Y18" s="146"/>
      <c r="Z18" s="149"/>
      <c r="AA18" s="149"/>
      <c r="AB18" s="149"/>
      <c r="AC18" s="152"/>
      <c r="AD18" s="57">
        <f>BIN2DEC($AA17)*3</f>
        <v>3</v>
      </c>
      <c r="AE18" s="57">
        <f>ABS(BIN2DEC($U17)*3)</f>
        <v>0</v>
      </c>
      <c r="AF18" s="57">
        <f>ABS( BIN2DEC(V17)*3-BIN2DEC(Z17))</f>
        <v>1</v>
      </c>
      <c r="AG18" s="57">
        <f>BIN2DEC(X17&amp;Y17)+BIN2DEC(W17)*3</f>
        <v>0</v>
      </c>
      <c r="AH18" s="57">
        <f>AD18+AE18*4+AF18*16</f>
        <v>19</v>
      </c>
    </row>
    <row r="19" spans="1:34" ht="15" customHeight="1">
      <c r="A19" s="142"/>
      <c r="B19" s="144"/>
      <c r="C19" s="43" t="str">
        <f t="shared" ref="C19:C21" si="21">CONCATENATE("sar",AD19+AE19*4+AF19*16,"_slc",AG19)</f>
        <v>sar23_slc0</v>
      </c>
      <c r="D19" s="44">
        <v>8</v>
      </c>
      <c r="E19" s="30" t="str">
        <f t="shared" ref="E19:E21" si="22">(MID(str_cnvt(E18),SEARCH(":",str_cnvt(E18))+1,2)-1) &amp; ":" &amp; (MID(str_cnvt(E18),SEARCH(":",str_cnvt(E18))+1,2)-D19)</f>
        <v>23:16</v>
      </c>
      <c r="F19" s="30" t="s">
        <v>133</v>
      </c>
      <c r="G19" s="30" t="s">
        <v>133</v>
      </c>
      <c r="H19" s="45" t="s">
        <v>143</v>
      </c>
      <c r="I19" s="31" t="s">
        <v>68</v>
      </c>
      <c r="J19" s="32" t="s">
        <v>36</v>
      </c>
      <c r="K19" s="33" t="s">
        <v>6</v>
      </c>
      <c r="L19" s="46"/>
      <c r="M19" s="120"/>
      <c r="N19" s="120"/>
      <c r="O19" s="120"/>
      <c r="P19" s="122"/>
      <c r="Q19" s="122"/>
      <c r="R19" s="124"/>
      <c r="S19" s="124"/>
      <c r="T19" s="160"/>
      <c r="U19" s="156"/>
      <c r="V19" s="146"/>
      <c r="W19" s="149"/>
      <c r="X19" s="156"/>
      <c r="Y19" s="146"/>
      <c r="Z19" s="149"/>
      <c r="AA19" s="149"/>
      <c r="AB19" s="149"/>
      <c r="AC19" s="152"/>
      <c r="AD19" s="57">
        <f>BIN2DEC($AA17)*3</f>
        <v>3</v>
      </c>
      <c r="AE19" s="57">
        <f>ABS(BIN2DEC($U18)*3-1)</f>
        <v>1</v>
      </c>
      <c r="AF19" s="57">
        <f>ABS( BIN2DEC(V17)*3-BIN2DEC(Z17))</f>
        <v>1</v>
      </c>
      <c r="AG19" s="57">
        <f>BIN2DEC(X17&amp;Y17)+BIN2DEC(W17)*3</f>
        <v>0</v>
      </c>
      <c r="AH19" s="57">
        <f t="shared" ref="AH19:AH21" si="23">AD19+AE19*4+AF19*16</f>
        <v>23</v>
      </c>
    </row>
    <row r="20" spans="1:34" ht="15" customHeight="1">
      <c r="A20" s="142"/>
      <c r="B20" s="144"/>
      <c r="C20" s="43" t="str">
        <f t="shared" si="21"/>
        <v>sar17_slc0</v>
      </c>
      <c r="D20" s="44">
        <v>8</v>
      </c>
      <c r="E20" s="30" t="str">
        <f t="shared" si="22"/>
        <v>15:8</v>
      </c>
      <c r="F20" s="30" t="s">
        <v>133</v>
      </c>
      <c r="G20" s="30" t="s">
        <v>133</v>
      </c>
      <c r="H20" s="45" t="s">
        <v>143</v>
      </c>
      <c r="I20" s="31" t="s">
        <v>68</v>
      </c>
      <c r="J20" s="32" t="s">
        <v>36</v>
      </c>
      <c r="K20" s="33" t="s">
        <v>6</v>
      </c>
      <c r="L20" s="46"/>
      <c r="M20" s="120"/>
      <c r="N20" s="120"/>
      <c r="O20" s="120"/>
      <c r="P20" s="122"/>
      <c r="Q20" s="122"/>
      <c r="R20" s="124"/>
      <c r="S20" s="124"/>
      <c r="T20" s="160"/>
      <c r="U20" s="156"/>
      <c r="V20" s="146"/>
      <c r="W20" s="149"/>
      <c r="X20" s="156"/>
      <c r="Y20" s="146"/>
      <c r="Z20" s="149"/>
      <c r="AA20" s="149"/>
      <c r="AB20" s="149"/>
      <c r="AC20" s="152"/>
      <c r="AD20" s="57">
        <f>ABS(BIN2DEC($AA17)*3-2)</f>
        <v>1</v>
      </c>
      <c r="AE20" s="57">
        <f>ABS(BIN2DEC($U17)*3)</f>
        <v>0</v>
      </c>
      <c r="AF20" s="57">
        <f>ABS( BIN2DEC(V17)*3-BIN2DEC(Z17))</f>
        <v>1</v>
      </c>
      <c r="AG20" s="57">
        <f>BIN2DEC(X17&amp;Y17)+BIN2DEC(W17)*3</f>
        <v>0</v>
      </c>
      <c r="AH20" s="57">
        <f t="shared" si="23"/>
        <v>17</v>
      </c>
    </row>
    <row r="21" spans="1:34" ht="15.75" customHeight="1" thickBot="1">
      <c r="A21" s="142"/>
      <c r="B21" s="144"/>
      <c r="C21" s="43" t="str">
        <f t="shared" si="21"/>
        <v>sar21_slc0</v>
      </c>
      <c r="D21" s="44">
        <v>8</v>
      </c>
      <c r="E21" s="30" t="str">
        <f t="shared" si="22"/>
        <v>7:0</v>
      </c>
      <c r="F21" s="30" t="s">
        <v>133</v>
      </c>
      <c r="G21" s="30" t="s">
        <v>133</v>
      </c>
      <c r="H21" s="45" t="s">
        <v>143</v>
      </c>
      <c r="I21" s="31" t="s">
        <v>68</v>
      </c>
      <c r="J21" s="32" t="s">
        <v>36</v>
      </c>
      <c r="K21" s="33" t="s">
        <v>6</v>
      </c>
      <c r="L21" s="46"/>
      <c r="M21" s="120"/>
      <c r="N21" s="120"/>
      <c r="O21" s="120"/>
      <c r="P21" s="122"/>
      <c r="Q21" s="122"/>
      <c r="R21" s="124"/>
      <c r="S21" s="124"/>
      <c r="T21" s="160"/>
      <c r="U21" s="157"/>
      <c r="V21" s="147"/>
      <c r="W21" s="150"/>
      <c r="X21" s="157"/>
      <c r="Y21" s="147"/>
      <c r="Z21" s="150"/>
      <c r="AA21" s="150"/>
      <c r="AB21" s="150"/>
      <c r="AC21" s="153"/>
      <c r="AD21" s="57">
        <f>ABS(BIN2DEC($AA17)*3-2)</f>
        <v>1</v>
      </c>
      <c r="AE21" s="57">
        <f>ABS(BIN2DEC($U17)*3-1)</f>
        <v>1</v>
      </c>
      <c r="AF21" s="57">
        <f>ABS( BIN2DEC(V17)*3-BIN2DEC(Z17))</f>
        <v>1</v>
      </c>
      <c r="AG21" s="57">
        <f>BIN2DEC(X17&amp;Y17)+BIN2DEC(W17)*3</f>
        <v>0</v>
      </c>
      <c r="AH21" s="57">
        <f t="shared" si="23"/>
        <v>21</v>
      </c>
    </row>
    <row r="22" spans="1:34" ht="15.75" customHeight="1">
      <c r="A22" s="141" t="str">
        <f>AC22</f>
        <v>vofc_dom0_quad0_quad2_sar0_slc1</v>
      </c>
      <c r="B22" s="143" t="str">
        <f>DEC2HEX(P22*4)</f>
        <v>0</v>
      </c>
      <c r="C22" s="56" t="s">
        <v>134</v>
      </c>
      <c r="D22" s="129" t="str">
        <f>bitConcat(F23:F26)</f>
        <v>32'b00000000000000000000000000000000</v>
      </c>
      <c r="E22" s="130"/>
      <c r="F22" s="130"/>
      <c r="G22" s="130"/>
      <c r="H22" s="131" t="s">
        <v>135</v>
      </c>
      <c r="I22" s="131"/>
      <c r="J22" s="131" t="str">
        <f>bitConcat(G23:G26)</f>
        <v>32'b00000000000000000000000000000000</v>
      </c>
      <c r="K22" s="131"/>
      <c r="L22" s="132"/>
      <c r="M22" s="119" t="str">
        <f>DEC2HEX(_xlfn.BITLSHIFT(HEX2DEC(Q22),2))</f>
        <v>10</v>
      </c>
      <c r="N22" s="119"/>
      <c r="O22" s="119">
        <v>0</v>
      </c>
      <c r="P22" s="121">
        <v>0</v>
      </c>
      <c r="Q22" s="121" t="str">
        <f>AB22</f>
        <v>4</v>
      </c>
      <c r="R22" s="123" t="str">
        <f t="shared" ref="R22" si="24">BIN2HEX(LEFT(RIGHT(D22,32),4))&amp;BIN2HEX(LEFT(RIGHT(D22,28),4))&amp;BIN2HEX(LEFT(RIGHT(D22,24),4))&amp;BIN2HEX(LEFT(RIGHT(D22,20),4))&amp;BIN2HEX(LEFT(RIGHT(D22,16),4))&amp;BIN2HEX(LEFT(RIGHT(D22,12),4))&amp;BIN2HEX(LEFT(RIGHT(D22,8),4))&amp;BIN2HEX(LEFT(RIGHT(D22,4),4))</f>
        <v>00000000</v>
      </c>
      <c r="S22" s="123" t="str">
        <f t="shared" ref="S22" si="25">BIN2HEX(LEFT(RIGHT(J22,32),4))&amp;BIN2HEX(LEFT(RIGHT(J22,28),4))&amp;BIN2HEX(LEFT(RIGHT(J22,24),4))&amp;BIN2HEX(LEFT(RIGHT(J22,20),4))&amp;BIN2HEX(LEFT(RIGHT(J22,16),4))&amp;BIN2HEX(LEFT(RIGHT(J22,12),4))&amp;BIN2HEX(LEFT(RIGHT(J22,8),4))&amp;BIN2HEX(LEFT(RIGHT(J22,4),4))</f>
        <v>00000000</v>
      </c>
      <c r="T22" s="160">
        <v>4</v>
      </c>
      <c r="U22" s="155" t="str">
        <f t="shared" ref="U22" si="26">LEFT(DEC2BIN(O22,2))</f>
        <v>0</v>
      </c>
      <c r="V22" s="145" t="str">
        <f t="shared" ref="V22" si="27">RIGHT(DEC2BIN(O22,2),1)</f>
        <v>0</v>
      </c>
      <c r="W22" s="148">
        <v>0</v>
      </c>
      <c r="X22" s="155">
        <v>0</v>
      </c>
      <c r="Y22" s="145">
        <v>1</v>
      </c>
      <c r="Z22" s="148">
        <v>0</v>
      </c>
      <c r="AA22" s="148">
        <v>0</v>
      </c>
      <c r="AB22" s="148" t="str">
        <f>BIN2HEX(U22&amp;V22&amp;W22&amp;X22&amp;Y22&amp;Z22&amp;AA22)</f>
        <v>4</v>
      </c>
      <c r="AC22" s="151" t="str">
        <f>CONCATENATE("vofc_dom",BIN2DEC(U22&amp;V22),"_quad",BIN2DEC(AA22),"_quad",BIN2DEC(AA22)+2,"_sar",ABS( BIN2DEC(V22)*3-BIN2DEC(Z22)),"_slc",BIN2DEC(X22&amp;Y22)+BIN2DEC(W22)*3)</f>
        <v>vofc_dom0_quad0_quad2_sar0_slc1</v>
      </c>
      <c r="AD22" s="57"/>
      <c r="AE22" s="57"/>
      <c r="AF22" s="57"/>
      <c r="AG22" s="57"/>
      <c r="AH22" s="57"/>
    </row>
    <row r="23" spans="1:34" ht="15" customHeight="1">
      <c r="A23" s="142"/>
      <c r="B23" s="144"/>
      <c r="C23" s="43" t="str">
        <f>CONCATENATE("sar",AD23+AE23*4+AF23*16,"_slc",AG23)</f>
        <v>sar0_slc1</v>
      </c>
      <c r="D23" s="44">
        <v>8</v>
      </c>
      <c r="E23" s="29" t="str">
        <f>IF(D23&gt;1,(31)&amp;":"&amp;(31-D23+1),(31-D23+1)&amp;":"&amp;(31-D23+1))</f>
        <v>31:24</v>
      </c>
      <c r="F23" s="30" t="s">
        <v>133</v>
      </c>
      <c r="G23" s="30" t="s">
        <v>133</v>
      </c>
      <c r="H23" s="45" t="s">
        <v>143</v>
      </c>
      <c r="I23" s="31" t="s">
        <v>68</v>
      </c>
      <c r="J23" s="32" t="s">
        <v>36</v>
      </c>
      <c r="K23" s="33" t="s">
        <v>6</v>
      </c>
      <c r="L23" s="46"/>
      <c r="M23" s="120"/>
      <c r="N23" s="120"/>
      <c r="O23" s="120"/>
      <c r="P23" s="122"/>
      <c r="Q23" s="122"/>
      <c r="R23" s="124"/>
      <c r="S23" s="124"/>
      <c r="T23" s="160"/>
      <c r="U23" s="156"/>
      <c r="V23" s="146"/>
      <c r="W23" s="149"/>
      <c r="X23" s="156"/>
      <c r="Y23" s="146"/>
      <c r="Z23" s="149"/>
      <c r="AA23" s="149"/>
      <c r="AB23" s="149"/>
      <c r="AC23" s="152"/>
      <c r="AD23" s="57">
        <f>BIN2DEC($AA22)*3</f>
        <v>0</v>
      </c>
      <c r="AE23" s="57">
        <f>ABS(BIN2DEC($U22)*3)</f>
        <v>0</v>
      </c>
      <c r="AF23" s="57">
        <f>ABS( BIN2DEC(V22)*3-BIN2DEC(Z22))</f>
        <v>0</v>
      </c>
      <c r="AG23" s="57">
        <f>BIN2DEC(X22&amp;Y22)+BIN2DEC(W22)*3</f>
        <v>1</v>
      </c>
      <c r="AH23" s="57">
        <f>AD23+AE23*4+AF23*16</f>
        <v>0</v>
      </c>
    </row>
    <row r="24" spans="1:34" ht="15" customHeight="1">
      <c r="A24" s="142"/>
      <c r="B24" s="144"/>
      <c r="C24" s="43" t="str">
        <f t="shared" ref="C24:C26" si="28">CONCATENATE("sar",AD24+AE24*4+AF24*16,"_slc",AG24)</f>
        <v>sar4_slc1</v>
      </c>
      <c r="D24" s="44">
        <v>8</v>
      </c>
      <c r="E24" s="30" t="str">
        <f t="shared" ref="E24:E26" si="29">(MID(str_cnvt(E23),SEARCH(":",str_cnvt(E23))+1,2)-1) &amp; ":" &amp; (MID(str_cnvt(E23),SEARCH(":",str_cnvt(E23))+1,2)-D24)</f>
        <v>23:16</v>
      </c>
      <c r="F24" s="30" t="s">
        <v>133</v>
      </c>
      <c r="G24" s="30" t="s">
        <v>133</v>
      </c>
      <c r="H24" s="45" t="s">
        <v>143</v>
      </c>
      <c r="I24" s="31" t="s">
        <v>68</v>
      </c>
      <c r="J24" s="32" t="s">
        <v>36</v>
      </c>
      <c r="K24" s="33" t="s">
        <v>6</v>
      </c>
      <c r="L24" s="46"/>
      <c r="M24" s="120"/>
      <c r="N24" s="120"/>
      <c r="O24" s="120"/>
      <c r="P24" s="122"/>
      <c r="Q24" s="122"/>
      <c r="R24" s="124"/>
      <c r="S24" s="124"/>
      <c r="T24" s="160"/>
      <c r="U24" s="156"/>
      <c r="V24" s="146"/>
      <c r="W24" s="149"/>
      <c r="X24" s="156"/>
      <c r="Y24" s="146"/>
      <c r="Z24" s="149"/>
      <c r="AA24" s="149"/>
      <c r="AB24" s="149"/>
      <c r="AC24" s="152"/>
      <c r="AD24" s="57">
        <f>BIN2DEC($AA22)*3</f>
        <v>0</v>
      </c>
      <c r="AE24" s="57">
        <f>ABS(BIN2DEC($U23)*3-1)</f>
        <v>1</v>
      </c>
      <c r="AF24" s="57">
        <f>ABS( BIN2DEC(V22)*3-BIN2DEC(Z22))</f>
        <v>0</v>
      </c>
      <c r="AG24" s="57">
        <f>BIN2DEC(X22&amp;Y22)+BIN2DEC(W22)*3</f>
        <v>1</v>
      </c>
      <c r="AH24" s="57">
        <f t="shared" ref="AH24:AH26" si="30">AD24+AE24*4+AF24*16</f>
        <v>4</v>
      </c>
    </row>
    <row r="25" spans="1:34" ht="15" customHeight="1">
      <c r="A25" s="142"/>
      <c r="B25" s="144"/>
      <c r="C25" s="43" t="str">
        <f t="shared" si="28"/>
        <v>sar2_slc1</v>
      </c>
      <c r="D25" s="44">
        <v>8</v>
      </c>
      <c r="E25" s="30" t="str">
        <f t="shared" si="29"/>
        <v>15:8</v>
      </c>
      <c r="F25" s="30" t="s">
        <v>133</v>
      </c>
      <c r="G25" s="30" t="s">
        <v>133</v>
      </c>
      <c r="H25" s="45" t="s">
        <v>143</v>
      </c>
      <c r="I25" s="31" t="s">
        <v>68</v>
      </c>
      <c r="J25" s="32" t="s">
        <v>36</v>
      </c>
      <c r="K25" s="33" t="s">
        <v>6</v>
      </c>
      <c r="L25" s="46"/>
      <c r="M25" s="120"/>
      <c r="N25" s="120"/>
      <c r="O25" s="120"/>
      <c r="P25" s="122"/>
      <c r="Q25" s="122"/>
      <c r="R25" s="124"/>
      <c r="S25" s="124"/>
      <c r="T25" s="160"/>
      <c r="U25" s="156"/>
      <c r="V25" s="146"/>
      <c r="W25" s="149"/>
      <c r="X25" s="156"/>
      <c r="Y25" s="146"/>
      <c r="Z25" s="149"/>
      <c r="AA25" s="149"/>
      <c r="AB25" s="149"/>
      <c r="AC25" s="152"/>
      <c r="AD25" s="57">
        <f>ABS(BIN2DEC($AA22)*3-2)</f>
        <v>2</v>
      </c>
      <c r="AE25" s="57">
        <f>ABS(BIN2DEC($U22)*3)</f>
        <v>0</v>
      </c>
      <c r="AF25" s="57">
        <f>ABS( BIN2DEC(V22)*3-BIN2DEC(Z22))</f>
        <v>0</v>
      </c>
      <c r="AG25" s="57">
        <f>BIN2DEC(X22&amp;Y22)+BIN2DEC(W22)*3</f>
        <v>1</v>
      </c>
      <c r="AH25" s="57">
        <f t="shared" si="30"/>
        <v>2</v>
      </c>
    </row>
    <row r="26" spans="1:34" ht="15.75" customHeight="1" thickBot="1">
      <c r="A26" s="142"/>
      <c r="B26" s="144"/>
      <c r="C26" s="43" t="str">
        <f t="shared" si="28"/>
        <v>sar6_slc1</v>
      </c>
      <c r="D26" s="44">
        <v>8</v>
      </c>
      <c r="E26" s="30" t="str">
        <f t="shared" si="29"/>
        <v>7:0</v>
      </c>
      <c r="F26" s="30" t="s">
        <v>133</v>
      </c>
      <c r="G26" s="30" t="s">
        <v>133</v>
      </c>
      <c r="H26" s="45" t="s">
        <v>143</v>
      </c>
      <c r="I26" s="31" t="s">
        <v>68</v>
      </c>
      <c r="J26" s="32" t="s">
        <v>36</v>
      </c>
      <c r="K26" s="33" t="s">
        <v>6</v>
      </c>
      <c r="L26" s="46"/>
      <c r="M26" s="120"/>
      <c r="N26" s="120"/>
      <c r="O26" s="120"/>
      <c r="P26" s="122"/>
      <c r="Q26" s="122"/>
      <c r="R26" s="124"/>
      <c r="S26" s="124"/>
      <c r="T26" s="160"/>
      <c r="U26" s="157"/>
      <c r="V26" s="147"/>
      <c r="W26" s="150"/>
      <c r="X26" s="157"/>
      <c r="Y26" s="147"/>
      <c r="Z26" s="150"/>
      <c r="AA26" s="150"/>
      <c r="AB26" s="150"/>
      <c r="AC26" s="153"/>
      <c r="AD26" s="57">
        <f>ABS(BIN2DEC($AA22)*3-2)</f>
        <v>2</v>
      </c>
      <c r="AE26" s="57">
        <f>ABS(BIN2DEC($U22)*3-1)</f>
        <v>1</v>
      </c>
      <c r="AF26" s="57">
        <f>ABS( BIN2DEC(V22)*3-BIN2DEC(Z22))</f>
        <v>0</v>
      </c>
      <c r="AG26" s="57">
        <f>BIN2DEC(X22&amp;Y22)+BIN2DEC(W22)*3</f>
        <v>1</v>
      </c>
      <c r="AH26" s="57">
        <f t="shared" si="30"/>
        <v>6</v>
      </c>
    </row>
    <row r="27" spans="1:34" ht="15.75" customHeight="1">
      <c r="A27" s="141" t="str">
        <f>AC27</f>
        <v>vofc_dom0_quad1_quad3_sar0_slc1</v>
      </c>
      <c r="B27" s="143" t="str">
        <f>DEC2HEX(P27*4)</f>
        <v>0</v>
      </c>
      <c r="C27" s="56" t="s">
        <v>134</v>
      </c>
      <c r="D27" s="129" t="str">
        <f>bitConcat(F28:F31)</f>
        <v>32'b00000000000000000000000000000000</v>
      </c>
      <c r="E27" s="130"/>
      <c r="F27" s="130"/>
      <c r="G27" s="130"/>
      <c r="H27" s="131" t="s">
        <v>135</v>
      </c>
      <c r="I27" s="131"/>
      <c r="J27" s="131" t="str">
        <f>bitConcat(G28:G31)</f>
        <v>32'b00000000000000000000000000000000</v>
      </c>
      <c r="K27" s="131"/>
      <c r="L27" s="132"/>
      <c r="M27" s="119" t="str">
        <f>DEC2HEX(_xlfn.BITLSHIFT(HEX2DEC(Q27),2))</f>
        <v>14</v>
      </c>
      <c r="N27" s="119"/>
      <c r="O27" s="119">
        <v>0</v>
      </c>
      <c r="P27" s="121">
        <v>0</v>
      </c>
      <c r="Q27" s="121" t="str">
        <f>AB27</f>
        <v>5</v>
      </c>
      <c r="R27" s="123" t="str">
        <f t="shared" ref="R27" si="31">BIN2HEX(LEFT(RIGHT(D27,32),4))&amp;BIN2HEX(LEFT(RIGHT(D27,28),4))&amp;BIN2HEX(LEFT(RIGHT(D27,24),4))&amp;BIN2HEX(LEFT(RIGHT(D27,20),4))&amp;BIN2HEX(LEFT(RIGHT(D27,16),4))&amp;BIN2HEX(LEFT(RIGHT(D27,12),4))&amp;BIN2HEX(LEFT(RIGHT(D27,8),4))&amp;BIN2HEX(LEFT(RIGHT(D27,4),4))</f>
        <v>00000000</v>
      </c>
      <c r="S27" s="123" t="str">
        <f t="shared" ref="S27" si="32">BIN2HEX(LEFT(RIGHT(J27,32),4))&amp;BIN2HEX(LEFT(RIGHT(J27,28),4))&amp;BIN2HEX(LEFT(RIGHT(J27,24),4))&amp;BIN2HEX(LEFT(RIGHT(J27,20),4))&amp;BIN2HEX(LEFT(RIGHT(J27,16),4))&amp;BIN2HEX(LEFT(RIGHT(J27,12),4))&amp;BIN2HEX(LEFT(RIGHT(J27,8),4))&amp;BIN2HEX(LEFT(RIGHT(J27,4),4))</f>
        <v>00000000</v>
      </c>
      <c r="T27" s="160">
        <v>5</v>
      </c>
      <c r="U27" s="155" t="str">
        <f t="shared" ref="U27" si="33">LEFT(DEC2BIN(O27,2))</f>
        <v>0</v>
      </c>
      <c r="V27" s="145" t="str">
        <f t="shared" ref="V27" si="34">RIGHT(DEC2BIN(O27,2),1)</f>
        <v>0</v>
      </c>
      <c r="W27" s="148">
        <v>0</v>
      </c>
      <c r="X27" s="155">
        <v>0</v>
      </c>
      <c r="Y27" s="145">
        <v>1</v>
      </c>
      <c r="Z27" s="148">
        <v>0</v>
      </c>
      <c r="AA27" s="148">
        <v>1</v>
      </c>
      <c r="AB27" s="148" t="str">
        <f>BIN2HEX(U27&amp;V27&amp;W27&amp;X27&amp;Y27&amp;Z27&amp;AA27)</f>
        <v>5</v>
      </c>
      <c r="AC27" s="151" t="str">
        <f>CONCATENATE("vofc_dom",BIN2DEC(U27&amp;V27),"_quad",BIN2DEC(AA27),"_quad",BIN2DEC(AA27)+2,"_sar",ABS( BIN2DEC(V27)*3-BIN2DEC(Z27)),"_slc",BIN2DEC(X27&amp;Y27)+BIN2DEC(W27)*3)</f>
        <v>vofc_dom0_quad1_quad3_sar0_slc1</v>
      </c>
      <c r="AD27" s="57"/>
      <c r="AE27" s="57"/>
      <c r="AF27" s="57"/>
      <c r="AG27" s="57"/>
      <c r="AH27" s="57"/>
    </row>
    <row r="28" spans="1:34" ht="15" customHeight="1">
      <c r="A28" s="142"/>
      <c r="B28" s="144"/>
      <c r="C28" s="43" t="str">
        <f>CONCATENATE("sar",AD28+AE28*4+AF28*16,"_slc",AG28)</f>
        <v>sar3_slc1</v>
      </c>
      <c r="D28" s="44">
        <v>8</v>
      </c>
      <c r="E28" s="29" t="str">
        <f>IF(D28&gt;1,(31)&amp;":"&amp;(31-D28+1),(31-D28+1)&amp;":"&amp;(31-D28+1))</f>
        <v>31:24</v>
      </c>
      <c r="F28" s="30" t="s">
        <v>133</v>
      </c>
      <c r="G28" s="30" t="s">
        <v>133</v>
      </c>
      <c r="H28" s="45" t="s">
        <v>143</v>
      </c>
      <c r="I28" s="31" t="s">
        <v>68</v>
      </c>
      <c r="J28" s="32" t="s">
        <v>36</v>
      </c>
      <c r="K28" s="33" t="s">
        <v>6</v>
      </c>
      <c r="L28" s="46"/>
      <c r="M28" s="120"/>
      <c r="N28" s="120"/>
      <c r="O28" s="120"/>
      <c r="P28" s="122"/>
      <c r="Q28" s="122"/>
      <c r="R28" s="124"/>
      <c r="S28" s="124"/>
      <c r="T28" s="160"/>
      <c r="U28" s="156"/>
      <c r="V28" s="146"/>
      <c r="W28" s="149"/>
      <c r="X28" s="156"/>
      <c r="Y28" s="146"/>
      <c r="Z28" s="149"/>
      <c r="AA28" s="149"/>
      <c r="AB28" s="149"/>
      <c r="AC28" s="152"/>
      <c r="AD28" s="57">
        <f>BIN2DEC($AA27)*3</f>
        <v>3</v>
      </c>
      <c r="AE28" s="57">
        <f>ABS(BIN2DEC($U27)*3)</f>
        <v>0</v>
      </c>
      <c r="AF28" s="57">
        <f>ABS( BIN2DEC(V27)*3-BIN2DEC(Z27))</f>
        <v>0</v>
      </c>
      <c r="AG28" s="57">
        <f>BIN2DEC(X27&amp;Y27)+BIN2DEC(W27)*3</f>
        <v>1</v>
      </c>
      <c r="AH28" s="57">
        <f>AD28+AE28*4+AF28*16</f>
        <v>3</v>
      </c>
    </row>
    <row r="29" spans="1:34" ht="15" customHeight="1">
      <c r="A29" s="142"/>
      <c r="B29" s="144"/>
      <c r="C29" s="43" t="str">
        <f t="shared" ref="C29:C31" si="35">CONCATENATE("sar",AD29+AE29*4+AF29*16,"_slc",AG29)</f>
        <v>sar7_slc1</v>
      </c>
      <c r="D29" s="44">
        <v>8</v>
      </c>
      <c r="E29" s="30" t="str">
        <f t="shared" ref="E29:E31" si="36">(MID(str_cnvt(E28),SEARCH(":",str_cnvt(E28))+1,2)-1) &amp; ":" &amp; (MID(str_cnvt(E28),SEARCH(":",str_cnvt(E28))+1,2)-D29)</f>
        <v>23:16</v>
      </c>
      <c r="F29" s="30" t="s">
        <v>133</v>
      </c>
      <c r="G29" s="30" t="s">
        <v>133</v>
      </c>
      <c r="H29" s="45" t="s">
        <v>143</v>
      </c>
      <c r="I29" s="31" t="s">
        <v>68</v>
      </c>
      <c r="J29" s="32" t="s">
        <v>36</v>
      </c>
      <c r="K29" s="33" t="s">
        <v>6</v>
      </c>
      <c r="L29" s="46"/>
      <c r="M29" s="120"/>
      <c r="N29" s="120"/>
      <c r="O29" s="120"/>
      <c r="P29" s="122"/>
      <c r="Q29" s="122"/>
      <c r="R29" s="124"/>
      <c r="S29" s="124"/>
      <c r="T29" s="160"/>
      <c r="U29" s="156"/>
      <c r="V29" s="146"/>
      <c r="W29" s="149"/>
      <c r="X29" s="156"/>
      <c r="Y29" s="146"/>
      <c r="Z29" s="149"/>
      <c r="AA29" s="149"/>
      <c r="AB29" s="149"/>
      <c r="AC29" s="152"/>
      <c r="AD29" s="57">
        <f>BIN2DEC($AA27)*3</f>
        <v>3</v>
      </c>
      <c r="AE29" s="57">
        <f>ABS(BIN2DEC($U28)*3-1)</f>
        <v>1</v>
      </c>
      <c r="AF29" s="57">
        <f>ABS( BIN2DEC(V27)*3-BIN2DEC(Z27))</f>
        <v>0</v>
      </c>
      <c r="AG29" s="57">
        <f>BIN2DEC(X27&amp;Y27)+BIN2DEC(W27)*3</f>
        <v>1</v>
      </c>
      <c r="AH29" s="57">
        <f t="shared" ref="AH29:AH31" si="37">AD29+AE29*4+AF29*16</f>
        <v>7</v>
      </c>
    </row>
    <row r="30" spans="1:34" ht="15" customHeight="1">
      <c r="A30" s="142"/>
      <c r="B30" s="144"/>
      <c r="C30" s="43" t="str">
        <f t="shared" si="35"/>
        <v>sar1_slc1</v>
      </c>
      <c r="D30" s="44">
        <v>8</v>
      </c>
      <c r="E30" s="30" t="str">
        <f t="shared" si="36"/>
        <v>15:8</v>
      </c>
      <c r="F30" s="30" t="s">
        <v>133</v>
      </c>
      <c r="G30" s="30" t="s">
        <v>133</v>
      </c>
      <c r="H30" s="45" t="s">
        <v>143</v>
      </c>
      <c r="I30" s="31" t="s">
        <v>68</v>
      </c>
      <c r="J30" s="32" t="s">
        <v>36</v>
      </c>
      <c r="K30" s="33" t="s">
        <v>6</v>
      </c>
      <c r="L30" s="46"/>
      <c r="M30" s="120"/>
      <c r="N30" s="120"/>
      <c r="O30" s="120"/>
      <c r="P30" s="122"/>
      <c r="Q30" s="122"/>
      <c r="R30" s="124"/>
      <c r="S30" s="124"/>
      <c r="T30" s="160"/>
      <c r="U30" s="156"/>
      <c r="V30" s="146"/>
      <c r="W30" s="149"/>
      <c r="X30" s="156"/>
      <c r="Y30" s="146"/>
      <c r="Z30" s="149"/>
      <c r="AA30" s="149"/>
      <c r="AB30" s="149"/>
      <c r="AC30" s="152"/>
      <c r="AD30" s="57">
        <f>ABS(BIN2DEC($AA27)*3-2)</f>
        <v>1</v>
      </c>
      <c r="AE30" s="57">
        <f>ABS(BIN2DEC($U27)*3)</f>
        <v>0</v>
      </c>
      <c r="AF30" s="57">
        <f>ABS( BIN2DEC(V27)*3-BIN2DEC(Z27))</f>
        <v>0</v>
      </c>
      <c r="AG30" s="57">
        <f>BIN2DEC(X27&amp;Y27)+BIN2DEC(W27)*3</f>
        <v>1</v>
      </c>
      <c r="AH30" s="57">
        <f t="shared" si="37"/>
        <v>1</v>
      </c>
    </row>
    <row r="31" spans="1:34" ht="15.75" customHeight="1" thickBot="1">
      <c r="A31" s="142"/>
      <c r="B31" s="144"/>
      <c r="C31" s="43" t="str">
        <f t="shared" si="35"/>
        <v>sar5_slc1</v>
      </c>
      <c r="D31" s="44">
        <v>8</v>
      </c>
      <c r="E31" s="30" t="str">
        <f t="shared" si="36"/>
        <v>7:0</v>
      </c>
      <c r="F31" s="30" t="s">
        <v>133</v>
      </c>
      <c r="G31" s="30" t="s">
        <v>133</v>
      </c>
      <c r="H31" s="45" t="s">
        <v>143</v>
      </c>
      <c r="I31" s="31" t="s">
        <v>68</v>
      </c>
      <c r="J31" s="32" t="s">
        <v>36</v>
      </c>
      <c r="K31" s="33" t="s">
        <v>6</v>
      </c>
      <c r="L31" s="46"/>
      <c r="M31" s="120"/>
      <c r="N31" s="120"/>
      <c r="O31" s="120"/>
      <c r="P31" s="122"/>
      <c r="Q31" s="122"/>
      <c r="R31" s="124"/>
      <c r="S31" s="124"/>
      <c r="T31" s="160"/>
      <c r="U31" s="157"/>
      <c r="V31" s="147"/>
      <c r="W31" s="150"/>
      <c r="X31" s="157"/>
      <c r="Y31" s="147"/>
      <c r="Z31" s="150"/>
      <c r="AA31" s="150"/>
      <c r="AB31" s="150"/>
      <c r="AC31" s="153"/>
      <c r="AD31" s="57">
        <f>ABS(BIN2DEC($AA27)*3-2)</f>
        <v>1</v>
      </c>
      <c r="AE31" s="57">
        <f>ABS(BIN2DEC($U27)*3-1)</f>
        <v>1</v>
      </c>
      <c r="AF31" s="57">
        <f>ABS( BIN2DEC(V27)*3-BIN2DEC(Z27))</f>
        <v>0</v>
      </c>
      <c r="AG31" s="57">
        <f>BIN2DEC(X27&amp;Y27)+BIN2DEC(W27)*3</f>
        <v>1</v>
      </c>
      <c r="AH31" s="57">
        <f t="shared" si="37"/>
        <v>5</v>
      </c>
    </row>
    <row r="32" spans="1:34" ht="15.75" customHeight="1">
      <c r="A32" s="141" t="str">
        <f>AC32</f>
        <v>vofc_dom0_quad0_quad2_sar1_slc1</v>
      </c>
      <c r="B32" s="143" t="str">
        <f>DEC2HEX(P32*4)</f>
        <v>0</v>
      </c>
      <c r="C32" s="56" t="s">
        <v>134</v>
      </c>
      <c r="D32" s="129" t="str">
        <f>bitConcat(F33:F36)</f>
        <v>32'b00000000000000000000000000000000</v>
      </c>
      <c r="E32" s="130"/>
      <c r="F32" s="130"/>
      <c r="G32" s="130"/>
      <c r="H32" s="131" t="s">
        <v>135</v>
      </c>
      <c r="I32" s="131"/>
      <c r="J32" s="131" t="str">
        <f>bitConcat(G33:G36)</f>
        <v>32'b00000000000000000000000000000000</v>
      </c>
      <c r="K32" s="131"/>
      <c r="L32" s="132"/>
      <c r="M32" s="119" t="str">
        <f>DEC2HEX(_xlfn.BITLSHIFT(HEX2DEC(Q32),2))</f>
        <v>18</v>
      </c>
      <c r="N32" s="119"/>
      <c r="O32" s="119">
        <v>0</v>
      </c>
      <c r="P32" s="121">
        <v>0</v>
      </c>
      <c r="Q32" s="121" t="str">
        <f>AB32</f>
        <v>6</v>
      </c>
      <c r="R32" s="123" t="str">
        <f t="shared" ref="R32" si="38">BIN2HEX(LEFT(RIGHT(D32,32),4))&amp;BIN2HEX(LEFT(RIGHT(D32,28),4))&amp;BIN2HEX(LEFT(RIGHT(D32,24),4))&amp;BIN2HEX(LEFT(RIGHT(D32,20),4))&amp;BIN2HEX(LEFT(RIGHT(D32,16),4))&amp;BIN2HEX(LEFT(RIGHT(D32,12),4))&amp;BIN2HEX(LEFT(RIGHT(D32,8),4))&amp;BIN2HEX(LEFT(RIGHT(D32,4),4))</f>
        <v>00000000</v>
      </c>
      <c r="S32" s="123" t="str">
        <f t="shared" ref="S32" si="39">BIN2HEX(LEFT(RIGHT(J32,32),4))&amp;BIN2HEX(LEFT(RIGHT(J32,28),4))&amp;BIN2HEX(LEFT(RIGHT(J32,24),4))&amp;BIN2HEX(LEFT(RIGHT(J32,20),4))&amp;BIN2HEX(LEFT(RIGHT(J32,16),4))&amp;BIN2HEX(LEFT(RIGHT(J32,12),4))&amp;BIN2HEX(LEFT(RIGHT(J32,8),4))&amp;BIN2HEX(LEFT(RIGHT(J32,4),4))</f>
        <v>00000000</v>
      </c>
      <c r="T32" s="160">
        <v>6</v>
      </c>
      <c r="U32" s="155" t="str">
        <f t="shared" ref="U32" si="40">LEFT(DEC2BIN(O32,2))</f>
        <v>0</v>
      </c>
      <c r="V32" s="145" t="str">
        <f t="shared" ref="V32" si="41">RIGHT(DEC2BIN(O32,2),1)</f>
        <v>0</v>
      </c>
      <c r="W32" s="148">
        <v>0</v>
      </c>
      <c r="X32" s="155">
        <v>0</v>
      </c>
      <c r="Y32" s="145">
        <v>1</v>
      </c>
      <c r="Z32" s="148">
        <v>1</v>
      </c>
      <c r="AA32" s="148">
        <v>0</v>
      </c>
      <c r="AB32" s="148" t="str">
        <f>BIN2HEX(U32&amp;V32&amp;W32&amp;X32&amp;Y32&amp;Z32&amp;AA32)</f>
        <v>6</v>
      </c>
      <c r="AC32" s="151" t="str">
        <f>CONCATENATE("vofc_dom",BIN2DEC(U32&amp;V32),"_quad",BIN2DEC(AA32),"_quad",BIN2DEC(AA32)+2,"_sar",ABS( BIN2DEC(V32)*3-BIN2DEC(Z32)),"_slc",BIN2DEC(X32&amp;Y32)+BIN2DEC(W32)*3)</f>
        <v>vofc_dom0_quad0_quad2_sar1_slc1</v>
      </c>
      <c r="AD32" s="57"/>
      <c r="AE32" s="57"/>
      <c r="AF32" s="57"/>
      <c r="AG32" s="57"/>
      <c r="AH32" s="57"/>
    </row>
    <row r="33" spans="1:34" ht="15" customHeight="1">
      <c r="A33" s="142"/>
      <c r="B33" s="144"/>
      <c r="C33" s="43" t="str">
        <f>CONCATENATE("sar",AD33+AE33*4+AF33*16,"_slc",AG33)</f>
        <v>sar16_slc1</v>
      </c>
      <c r="D33" s="44">
        <v>8</v>
      </c>
      <c r="E33" s="29" t="str">
        <f>IF(D33&gt;1,(31)&amp;":"&amp;(31-D33+1),(31-D33+1)&amp;":"&amp;(31-D33+1))</f>
        <v>31:24</v>
      </c>
      <c r="F33" s="30" t="s">
        <v>133</v>
      </c>
      <c r="G33" s="30" t="s">
        <v>133</v>
      </c>
      <c r="H33" s="45" t="s">
        <v>143</v>
      </c>
      <c r="I33" s="31" t="s">
        <v>68</v>
      </c>
      <c r="J33" s="32" t="s">
        <v>36</v>
      </c>
      <c r="K33" s="33" t="s">
        <v>6</v>
      </c>
      <c r="L33" s="46"/>
      <c r="M33" s="120"/>
      <c r="N33" s="120"/>
      <c r="O33" s="120"/>
      <c r="P33" s="122"/>
      <c r="Q33" s="122"/>
      <c r="R33" s="124"/>
      <c r="S33" s="124"/>
      <c r="T33" s="160"/>
      <c r="U33" s="156"/>
      <c r="V33" s="146"/>
      <c r="W33" s="149"/>
      <c r="X33" s="156"/>
      <c r="Y33" s="146"/>
      <c r="Z33" s="149"/>
      <c r="AA33" s="149"/>
      <c r="AB33" s="149"/>
      <c r="AC33" s="152"/>
      <c r="AD33" s="57">
        <f>BIN2DEC($AA32)*3</f>
        <v>0</v>
      </c>
      <c r="AE33" s="57">
        <f>ABS(BIN2DEC($U32)*3)</f>
        <v>0</v>
      </c>
      <c r="AF33" s="57">
        <f>ABS( BIN2DEC(V32)*3-BIN2DEC(Z32))</f>
        <v>1</v>
      </c>
      <c r="AG33" s="57">
        <f>BIN2DEC(X32&amp;Y32)+BIN2DEC(W32)*3</f>
        <v>1</v>
      </c>
      <c r="AH33" s="57">
        <f>AD33+AE33*4+AF33*16</f>
        <v>16</v>
      </c>
    </row>
    <row r="34" spans="1:34" ht="15" customHeight="1">
      <c r="A34" s="142"/>
      <c r="B34" s="144"/>
      <c r="C34" s="43" t="str">
        <f t="shared" ref="C34:C36" si="42">CONCATENATE("sar",AD34+AE34*4+AF34*16,"_slc",AG34)</f>
        <v>sar20_slc1</v>
      </c>
      <c r="D34" s="44">
        <v>8</v>
      </c>
      <c r="E34" s="30" t="str">
        <f t="shared" ref="E34:E36" si="43">(MID(str_cnvt(E33),SEARCH(":",str_cnvt(E33))+1,2)-1) &amp; ":" &amp; (MID(str_cnvt(E33),SEARCH(":",str_cnvt(E33))+1,2)-D34)</f>
        <v>23:16</v>
      </c>
      <c r="F34" s="30" t="s">
        <v>133</v>
      </c>
      <c r="G34" s="30" t="s">
        <v>133</v>
      </c>
      <c r="H34" s="45" t="s">
        <v>143</v>
      </c>
      <c r="I34" s="31" t="s">
        <v>68</v>
      </c>
      <c r="J34" s="32" t="s">
        <v>36</v>
      </c>
      <c r="K34" s="33" t="s">
        <v>6</v>
      </c>
      <c r="L34" s="46"/>
      <c r="M34" s="120"/>
      <c r="N34" s="120"/>
      <c r="O34" s="120"/>
      <c r="P34" s="122"/>
      <c r="Q34" s="122"/>
      <c r="R34" s="124"/>
      <c r="S34" s="124"/>
      <c r="T34" s="160"/>
      <c r="U34" s="156"/>
      <c r="V34" s="146"/>
      <c r="W34" s="149"/>
      <c r="X34" s="156"/>
      <c r="Y34" s="146"/>
      <c r="Z34" s="149"/>
      <c r="AA34" s="149"/>
      <c r="AB34" s="149"/>
      <c r="AC34" s="152"/>
      <c r="AD34" s="57">
        <f>BIN2DEC($AA32)*3</f>
        <v>0</v>
      </c>
      <c r="AE34" s="57">
        <f>ABS(BIN2DEC($U33)*3-1)</f>
        <v>1</v>
      </c>
      <c r="AF34" s="57">
        <f>ABS( BIN2DEC(V32)*3-BIN2DEC(Z32))</f>
        <v>1</v>
      </c>
      <c r="AG34" s="57">
        <f>BIN2DEC(X32&amp;Y32)+BIN2DEC(W32)*3</f>
        <v>1</v>
      </c>
      <c r="AH34" s="57">
        <f t="shared" ref="AH34:AH36" si="44">AD34+AE34*4+AF34*16</f>
        <v>20</v>
      </c>
    </row>
    <row r="35" spans="1:34" ht="15" customHeight="1">
      <c r="A35" s="142"/>
      <c r="B35" s="144"/>
      <c r="C35" s="43" t="str">
        <f t="shared" si="42"/>
        <v>sar18_slc1</v>
      </c>
      <c r="D35" s="44">
        <v>8</v>
      </c>
      <c r="E35" s="30" t="str">
        <f t="shared" si="43"/>
        <v>15:8</v>
      </c>
      <c r="F35" s="30" t="s">
        <v>133</v>
      </c>
      <c r="G35" s="30" t="s">
        <v>133</v>
      </c>
      <c r="H35" s="45" t="s">
        <v>143</v>
      </c>
      <c r="I35" s="31" t="s">
        <v>68</v>
      </c>
      <c r="J35" s="32" t="s">
        <v>36</v>
      </c>
      <c r="K35" s="33" t="s">
        <v>6</v>
      </c>
      <c r="L35" s="46"/>
      <c r="M35" s="120"/>
      <c r="N35" s="120"/>
      <c r="O35" s="120"/>
      <c r="P35" s="122"/>
      <c r="Q35" s="122"/>
      <c r="R35" s="124"/>
      <c r="S35" s="124"/>
      <c r="T35" s="160"/>
      <c r="U35" s="156"/>
      <c r="V35" s="146"/>
      <c r="W35" s="149"/>
      <c r="X35" s="156"/>
      <c r="Y35" s="146"/>
      <c r="Z35" s="149"/>
      <c r="AA35" s="149"/>
      <c r="AB35" s="149"/>
      <c r="AC35" s="152"/>
      <c r="AD35" s="57">
        <f>ABS(BIN2DEC($AA32)*3-2)</f>
        <v>2</v>
      </c>
      <c r="AE35" s="57">
        <f>ABS(BIN2DEC($U32)*3)</f>
        <v>0</v>
      </c>
      <c r="AF35" s="57">
        <f>ABS( BIN2DEC(V32)*3-BIN2DEC(Z32))</f>
        <v>1</v>
      </c>
      <c r="AG35" s="57">
        <f>BIN2DEC(X32&amp;Y32)+BIN2DEC(W32)*3</f>
        <v>1</v>
      </c>
      <c r="AH35" s="57">
        <f t="shared" si="44"/>
        <v>18</v>
      </c>
    </row>
    <row r="36" spans="1:34" ht="15.75" customHeight="1" thickBot="1">
      <c r="A36" s="142"/>
      <c r="B36" s="144"/>
      <c r="C36" s="43" t="str">
        <f t="shared" si="42"/>
        <v>sar22_slc1</v>
      </c>
      <c r="D36" s="44">
        <v>8</v>
      </c>
      <c r="E36" s="30" t="str">
        <f t="shared" si="43"/>
        <v>7:0</v>
      </c>
      <c r="F36" s="30" t="s">
        <v>133</v>
      </c>
      <c r="G36" s="30" t="s">
        <v>133</v>
      </c>
      <c r="H36" s="45" t="s">
        <v>143</v>
      </c>
      <c r="I36" s="31" t="s">
        <v>68</v>
      </c>
      <c r="J36" s="32" t="s">
        <v>36</v>
      </c>
      <c r="K36" s="33" t="s">
        <v>6</v>
      </c>
      <c r="L36" s="46"/>
      <c r="M36" s="120"/>
      <c r="N36" s="120"/>
      <c r="O36" s="120"/>
      <c r="P36" s="122"/>
      <c r="Q36" s="122"/>
      <c r="R36" s="124"/>
      <c r="S36" s="124"/>
      <c r="T36" s="160"/>
      <c r="U36" s="157"/>
      <c r="V36" s="147"/>
      <c r="W36" s="150"/>
      <c r="X36" s="157"/>
      <c r="Y36" s="147"/>
      <c r="Z36" s="150"/>
      <c r="AA36" s="150"/>
      <c r="AB36" s="150"/>
      <c r="AC36" s="153"/>
      <c r="AD36" s="57">
        <f>ABS(BIN2DEC($AA32)*3-2)</f>
        <v>2</v>
      </c>
      <c r="AE36" s="57">
        <f>ABS(BIN2DEC($U32)*3-1)</f>
        <v>1</v>
      </c>
      <c r="AF36" s="57">
        <f>ABS( BIN2DEC(V32)*3-BIN2DEC(Z32))</f>
        <v>1</v>
      </c>
      <c r="AG36" s="57">
        <f>BIN2DEC(X32&amp;Y32)+BIN2DEC(W32)*3</f>
        <v>1</v>
      </c>
      <c r="AH36" s="57">
        <f t="shared" si="44"/>
        <v>22</v>
      </c>
    </row>
    <row r="37" spans="1:34" ht="15.75" customHeight="1">
      <c r="A37" s="141" t="str">
        <f>AC37</f>
        <v>vofc_dom0_quad1_quad3_sar1_slc1</v>
      </c>
      <c r="B37" s="143" t="str">
        <f>DEC2HEX(P37*4)</f>
        <v>0</v>
      </c>
      <c r="C37" s="56" t="s">
        <v>134</v>
      </c>
      <c r="D37" s="129" t="str">
        <f>bitConcat(F38:F41)</f>
        <v>32'b00000000000000000000000000000000</v>
      </c>
      <c r="E37" s="130"/>
      <c r="F37" s="130"/>
      <c r="G37" s="130"/>
      <c r="H37" s="131" t="s">
        <v>135</v>
      </c>
      <c r="I37" s="131"/>
      <c r="J37" s="131" t="str">
        <f>bitConcat(G38:G41)</f>
        <v>32'b00000000000000000000000000000000</v>
      </c>
      <c r="K37" s="131"/>
      <c r="L37" s="132"/>
      <c r="M37" s="119" t="str">
        <f>DEC2HEX(_xlfn.BITLSHIFT(HEX2DEC(Q37),2))</f>
        <v>1C</v>
      </c>
      <c r="N37" s="119"/>
      <c r="O37" s="119">
        <v>0</v>
      </c>
      <c r="P37" s="121">
        <v>0</v>
      </c>
      <c r="Q37" s="121" t="str">
        <f>AB37</f>
        <v>7</v>
      </c>
      <c r="R37" s="123" t="str">
        <f t="shared" ref="R37" si="45">BIN2HEX(LEFT(RIGHT(D37,32),4))&amp;BIN2HEX(LEFT(RIGHT(D37,28),4))&amp;BIN2HEX(LEFT(RIGHT(D37,24),4))&amp;BIN2HEX(LEFT(RIGHT(D37,20),4))&amp;BIN2HEX(LEFT(RIGHT(D37,16),4))&amp;BIN2HEX(LEFT(RIGHT(D37,12),4))&amp;BIN2HEX(LEFT(RIGHT(D37,8),4))&amp;BIN2HEX(LEFT(RIGHT(D37,4),4))</f>
        <v>00000000</v>
      </c>
      <c r="S37" s="123" t="str">
        <f t="shared" ref="S37" si="46">BIN2HEX(LEFT(RIGHT(J37,32),4))&amp;BIN2HEX(LEFT(RIGHT(J37,28),4))&amp;BIN2HEX(LEFT(RIGHT(J37,24),4))&amp;BIN2HEX(LEFT(RIGHT(J37,20),4))&amp;BIN2HEX(LEFT(RIGHT(J37,16),4))&amp;BIN2HEX(LEFT(RIGHT(J37,12),4))&amp;BIN2HEX(LEFT(RIGHT(J37,8),4))&amp;BIN2HEX(LEFT(RIGHT(J37,4),4))</f>
        <v>00000000</v>
      </c>
      <c r="T37" s="160">
        <v>7</v>
      </c>
      <c r="U37" s="155" t="str">
        <f t="shared" ref="U37" si="47">LEFT(DEC2BIN(O37,2))</f>
        <v>0</v>
      </c>
      <c r="V37" s="145" t="str">
        <f t="shared" ref="V37" si="48">RIGHT(DEC2BIN(O37,2),1)</f>
        <v>0</v>
      </c>
      <c r="W37" s="148">
        <v>0</v>
      </c>
      <c r="X37" s="155">
        <v>0</v>
      </c>
      <c r="Y37" s="145">
        <v>1</v>
      </c>
      <c r="Z37" s="148">
        <v>1</v>
      </c>
      <c r="AA37" s="148">
        <v>1</v>
      </c>
      <c r="AB37" s="148" t="str">
        <f>BIN2HEX(U37&amp;V37&amp;W37&amp;X37&amp;Y37&amp;Z37&amp;AA37)</f>
        <v>7</v>
      </c>
      <c r="AC37" s="151" t="str">
        <f>CONCATENATE("vofc_dom",BIN2DEC(U37&amp;V37),"_quad",BIN2DEC(AA37),"_quad",BIN2DEC(AA37)+2,"_sar",ABS( BIN2DEC(V37)*3-BIN2DEC(Z37)),"_slc",BIN2DEC(X37&amp;Y37)+BIN2DEC(W37)*3)</f>
        <v>vofc_dom0_quad1_quad3_sar1_slc1</v>
      </c>
      <c r="AD37" s="57"/>
      <c r="AE37" s="57"/>
      <c r="AF37" s="57"/>
      <c r="AG37" s="57"/>
      <c r="AH37" s="57"/>
    </row>
    <row r="38" spans="1:34" ht="15" customHeight="1">
      <c r="A38" s="142"/>
      <c r="B38" s="144"/>
      <c r="C38" s="43" t="str">
        <f>CONCATENATE("sar",AD38+AE38*4+AF38*16,"_slc",AG38)</f>
        <v>sar19_slc1</v>
      </c>
      <c r="D38" s="44">
        <v>8</v>
      </c>
      <c r="E38" s="29" t="str">
        <f>IF(D38&gt;1,(31)&amp;":"&amp;(31-D38+1),(31-D38+1)&amp;":"&amp;(31-D38+1))</f>
        <v>31:24</v>
      </c>
      <c r="F38" s="30" t="s">
        <v>133</v>
      </c>
      <c r="G38" s="30" t="s">
        <v>133</v>
      </c>
      <c r="H38" s="45" t="s">
        <v>143</v>
      </c>
      <c r="I38" s="31" t="s">
        <v>68</v>
      </c>
      <c r="J38" s="32" t="s">
        <v>36</v>
      </c>
      <c r="K38" s="33" t="s">
        <v>6</v>
      </c>
      <c r="L38" s="46"/>
      <c r="M38" s="120"/>
      <c r="N38" s="120"/>
      <c r="O38" s="120"/>
      <c r="P38" s="122"/>
      <c r="Q38" s="122"/>
      <c r="R38" s="124"/>
      <c r="S38" s="124"/>
      <c r="T38" s="160"/>
      <c r="U38" s="156"/>
      <c r="V38" s="146"/>
      <c r="W38" s="149"/>
      <c r="X38" s="156"/>
      <c r="Y38" s="146"/>
      <c r="Z38" s="149"/>
      <c r="AA38" s="149"/>
      <c r="AB38" s="149"/>
      <c r="AC38" s="152"/>
      <c r="AD38" s="57">
        <f>BIN2DEC($AA37)*3</f>
        <v>3</v>
      </c>
      <c r="AE38" s="57">
        <f>ABS(BIN2DEC($U37)*3)</f>
        <v>0</v>
      </c>
      <c r="AF38" s="57">
        <f>ABS( BIN2DEC(V37)*3-BIN2DEC(Z37))</f>
        <v>1</v>
      </c>
      <c r="AG38" s="57">
        <f>BIN2DEC(X37&amp;Y37)+BIN2DEC(W37)*3</f>
        <v>1</v>
      </c>
      <c r="AH38" s="57">
        <f>AD38+AE38*4+AF38*16</f>
        <v>19</v>
      </c>
    </row>
    <row r="39" spans="1:34" ht="15" customHeight="1">
      <c r="A39" s="142"/>
      <c r="B39" s="144"/>
      <c r="C39" s="43" t="str">
        <f t="shared" ref="C39:C41" si="49">CONCATENATE("sar",AD39+AE39*4+AF39*16,"_slc",AG39)</f>
        <v>sar23_slc1</v>
      </c>
      <c r="D39" s="44">
        <v>8</v>
      </c>
      <c r="E39" s="30" t="str">
        <f t="shared" ref="E39:E41" si="50">(MID(str_cnvt(E38),SEARCH(":",str_cnvt(E38))+1,2)-1) &amp; ":" &amp; (MID(str_cnvt(E38),SEARCH(":",str_cnvt(E38))+1,2)-D39)</f>
        <v>23:16</v>
      </c>
      <c r="F39" s="30" t="s">
        <v>133</v>
      </c>
      <c r="G39" s="30" t="s">
        <v>133</v>
      </c>
      <c r="H39" s="45" t="s">
        <v>143</v>
      </c>
      <c r="I39" s="31" t="s">
        <v>68</v>
      </c>
      <c r="J39" s="32" t="s">
        <v>36</v>
      </c>
      <c r="K39" s="33" t="s">
        <v>6</v>
      </c>
      <c r="L39" s="46"/>
      <c r="M39" s="120"/>
      <c r="N39" s="120"/>
      <c r="O39" s="120"/>
      <c r="P39" s="122"/>
      <c r="Q39" s="122"/>
      <c r="R39" s="124"/>
      <c r="S39" s="124"/>
      <c r="T39" s="160"/>
      <c r="U39" s="156"/>
      <c r="V39" s="146"/>
      <c r="W39" s="149"/>
      <c r="X39" s="156"/>
      <c r="Y39" s="146"/>
      <c r="Z39" s="149"/>
      <c r="AA39" s="149"/>
      <c r="AB39" s="149"/>
      <c r="AC39" s="152"/>
      <c r="AD39" s="57">
        <f>BIN2DEC($AA37)*3</f>
        <v>3</v>
      </c>
      <c r="AE39" s="57">
        <f>ABS(BIN2DEC($U38)*3-1)</f>
        <v>1</v>
      </c>
      <c r="AF39" s="57">
        <f>ABS( BIN2DEC(V37)*3-BIN2DEC(Z37))</f>
        <v>1</v>
      </c>
      <c r="AG39" s="57">
        <f>BIN2DEC(X37&amp;Y37)+BIN2DEC(W37)*3</f>
        <v>1</v>
      </c>
      <c r="AH39" s="57">
        <f t="shared" ref="AH39:AH41" si="51">AD39+AE39*4+AF39*16</f>
        <v>23</v>
      </c>
    </row>
    <row r="40" spans="1:34" ht="15" customHeight="1">
      <c r="A40" s="142"/>
      <c r="B40" s="144"/>
      <c r="C40" s="43" t="str">
        <f t="shared" si="49"/>
        <v>sar17_slc1</v>
      </c>
      <c r="D40" s="44">
        <v>8</v>
      </c>
      <c r="E40" s="30" t="str">
        <f t="shared" si="50"/>
        <v>15:8</v>
      </c>
      <c r="F40" s="30" t="s">
        <v>133</v>
      </c>
      <c r="G40" s="30" t="s">
        <v>133</v>
      </c>
      <c r="H40" s="45" t="s">
        <v>143</v>
      </c>
      <c r="I40" s="31" t="s">
        <v>68</v>
      </c>
      <c r="J40" s="32" t="s">
        <v>36</v>
      </c>
      <c r="K40" s="33" t="s">
        <v>6</v>
      </c>
      <c r="L40" s="46"/>
      <c r="M40" s="120"/>
      <c r="N40" s="120"/>
      <c r="O40" s="120"/>
      <c r="P40" s="122"/>
      <c r="Q40" s="122"/>
      <c r="R40" s="124"/>
      <c r="S40" s="124"/>
      <c r="T40" s="160"/>
      <c r="U40" s="156"/>
      <c r="V40" s="146"/>
      <c r="W40" s="149"/>
      <c r="X40" s="156"/>
      <c r="Y40" s="146"/>
      <c r="Z40" s="149"/>
      <c r="AA40" s="149"/>
      <c r="AB40" s="149"/>
      <c r="AC40" s="152"/>
      <c r="AD40" s="57">
        <f>ABS(BIN2DEC($AA37)*3-2)</f>
        <v>1</v>
      </c>
      <c r="AE40" s="57">
        <f>ABS(BIN2DEC($U37)*3)</f>
        <v>0</v>
      </c>
      <c r="AF40" s="57">
        <f>ABS( BIN2DEC(V37)*3-BIN2DEC(Z37))</f>
        <v>1</v>
      </c>
      <c r="AG40" s="57">
        <f>BIN2DEC(X37&amp;Y37)+BIN2DEC(W37)*3</f>
        <v>1</v>
      </c>
      <c r="AH40" s="57">
        <f t="shared" si="51"/>
        <v>17</v>
      </c>
    </row>
    <row r="41" spans="1:34" ht="15.75" customHeight="1" thickBot="1">
      <c r="A41" s="142"/>
      <c r="B41" s="144"/>
      <c r="C41" s="43" t="str">
        <f t="shared" si="49"/>
        <v>sar21_slc1</v>
      </c>
      <c r="D41" s="44">
        <v>8</v>
      </c>
      <c r="E41" s="30" t="str">
        <f t="shared" si="50"/>
        <v>7:0</v>
      </c>
      <c r="F41" s="30" t="s">
        <v>133</v>
      </c>
      <c r="G41" s="30" t="s">
        <v>133</v>
      </c>
      <c r="H41" s="45" t="s">
        <v>143</v>
      </c>
      <c r="I41" s="31" t="s">
        <v>68</v>
      </c>
      <c r="J41" s="32" t="s">
        <v>36</v>
      </c>
      <c r="K41" s="33" t="s">
        <v>6</v>
      </c>
      <c r="L41" s="46"/>
      <c r="M41" s="120"/>
      <c r="N41" s="120"/>
      <c r="O41" s="120"/>
      <c r="P41" s="122"/>
      <c r="Q41" s="122"/>
      <c r="R41" s="124"/>
      <c r="S41" s="124"/>
      <c r="T41" s="160"/>
      <c r="U41" s="157"/>
      <c r="V41" s="147"/>
      <c r="W41" s="150"/>
      <c r="X41" s="157"/>
      <c r="Y41" s="147"/>
      <c r="Z41" s="150"/>
      <c r="AA41" s="150"/>
      <c r="AB41" s="150"/>
      <c r="AC41" s="153"/>
      <c r="AD41" s="57">
        <f>ABS(BIN2DEC($AA37)*3-2)</f>
        <v>1</v>
      </c>
      <c r="AE41" s="57">
        <f>ABS(BIN2DEC($U37)*3-1)</f>
        <v>1</v>
      </c>
      <c r="AF41" s="57">
        <f>ABS( BIN2DEC(V37)*3-BIN2DEC(Z37))</f>
        <v>1</v>
      </c>
      <c r="AG41" s="57">
        <f>BIN2DEC(X37&amp;Y37)+BIN2DEC(W37)*3</f>
        <v>1</v>
      </c>
      <c r="AH41" s="57">
        <f t="shared" si="51"/>
        <v>21</v>
      </c>
    </row>
    <row r="42" spans="1:34" ht="15.75" customHeight="1">
      <c r="A42" s="141" t="str">
        <f>AC42</f>
        <v>vofc_dom0_quad0_quad2_sar0_slc2</v>
      </c>
      <c r="B42" s="143" t="str">
        <f>DEC2HEX(P42*4)</f>
        <v>0</v>
      </c>
      <c r="C42" s="56" t="s">
        <v>134</v>
      </c>
      <c r="D42" s="129" t="str">
        <f>bitConcat(F43:F46)</f>
        <v>32'b00000000000000000000000000000000</v>
      </c>
      <c r="E42" s="130"/>
      <c r="F42" s="130"/>
      <c r="G42" s="130"/>
      <c r="H42" s="131" t="s">
        <v>135</v>
      </c>
      <c r="I42" s="131"/>
      <c r="J42" s="131" t="str">
        <f>bitConcat(G43:G46)</f>
        <v>32'b00000000000000000000000000000000</v>
      </c>
      <c r="K42" s="131"/>
      <c r="L42" s="132"/>
      <c r="M42" s="119" t="str">
        <f>DEC2HEX(_xlfn.BITLSHIFT(HEX2DEC(Q42),2))</f>
        <v>20</v>
      </c>
      <c r="N42" s="119"/>
      <c r="O42" s="119">
        <v>0</v>
      </c>
      <c r="P42" s="121">
        <v>0</v>
      </c>
      <c r="Q42" s="121" t="str">
        <f>AB42</f>
        <v>8</v>
      </c>
      <c r="R42" s="123" t="str">
        <f t="shared" ref="R42" si="52">BIN2HEX(LEFT(RIGHT(D42,32),4))&amp;BIN2HEX(LEFT(RIGHT(D42,28),4))&amp;BIN2HEX(LEFT(RIGHT(D42,24),4))&amp;BIN2HEX(LEFT(RIGHT(D42,20),4))&amp;BIN2HEX(LEFT(RIGHT(D42,16),4))&amp;BIN2HEX(LEFT(RIGHT(D42,12),4))&amp;BIN2HEX(LEFT(RIGHT(D42,8),4))&amp;BIN2HEX(LEFT(RIGHT(D42,4),4))</f>
        <v>00000000</v>
      </c>
      <c r="S42" s="123" t="str">
        <f t="shared" ref="S42" si="53">BIN2HEX(LEFT(RIGHT(J42,32),4))&amp;BIN2HEX(LEFT(RIGHT(J42,28),4))&amp;BIN2HEX(LEFT(RIGHT(J42,24),4))&amp;BIN2HEX(LEFT(RIGHT(J42,20),4))&amp;BIN2HEX(LEFT(RIGHT(J42,16),4))&amp;BIN2HEX(LEFT(RIGHT(J42,12),4))&amp;BIN2HEX(LEFT(RIGHT(J42,8),4))&amp;BIN2HEX(LEFT(RIGHT(J42,4),4))</f>
        <v>00000000</v>
      </c>
      <c r="T42" s="160">
        <v>8</v>
      </c>
      <c r="U42" s="155" t="str">
        <f t="shared" ref="U42" si="54">LEFT(DEC2BIN(O42,2))</f>
        <v>0</v>
      </c>
      <c r="V42" s="145" t="str">
        <f t="shared" ref="V42" si="55">RIGHT(DEC2BIN(O42,2),1)</f>
        <v>0</v>
      </c>
      <c r="W42" s="148">
        <v>0</v>
      </c>
      <c r="X42" s="155">
        <v>1</v>
      </c>
      <c r="Y42" s="145">
        <v>0</v>
      </c>
      <c r="Z42" s="148">
        <v>0</v>
      </c>
      <c r="AA42" s="148">
        <v>0</v>
      </c>
      <c r="AB42" s="148" t="str">
        <f>BIN2HEX(U42&amp;V42&amp;W42&amp;X42&amp;Y42&amp;Z42&amp;AA42)</f>
        <v>8</v>
      </c>
      <c r="AC42" s="151" t="str">
        <f>CONCATENATE("vofc_dom",BIN2DEC(U42&amp;V42),"_quad",BIN2DEC(AA42),"_quad",BIN2DEC(AA42)+2,"_sar",ABS( BIN2DEC(V42)*3-BIN2DEC(Z42)),"_slc",BIN2DEC(X42&amp;Y42)+BIN2DEC(W42)*3)</f>
        <v>vofc_dom0_quad0_quad2_sar0_slc2</v>
      </c>
      <c r="AD42" s="57"/>
      <c r="AE42" s="57"/>
      <c r="AF42" s="57"/>
      <c r="AG42" s="57"/>
      <c r="AH42" s="57"/>
    </row>
    <row r="43" spans="1:34" ht="15" customHeight="1">
      <c r="A43" s="142"/>
      <c r="B43" s="144"/>
      <c r="C43" s="43" t="str">
        <f>CONCATENATE("sar",AD43+AE43*4+AF43*16,"_slc",AG43)</f>
        <v>sar0_slc2</v>
      </c>
      <c r="D43" s="44">
        <v>8</v>
      </c>
      <c r="E43" s="29" t="str">
        <f>IF(D43&gt;1,(31)&amp;":"&amp;(31-D43+1),(31-D43+1)&amp;":"&amp;(31-D43+1))</f>
        <v>31:24</v>
      </c>
      <c r="F43" s="30" t="s">
        <v>133</v>
      </c>
      <c r="G43" s="30" t="s">
        <v>133</v>
      </c>
      <c r="H43" s="45" t="s">
        <v>143</v>
      </c>
      <c r="I43" s="31" t="s">
        <v>68</v>
      </c>
      <c r="J43" s="32" t="s">
        <v>36</v>
      </c>
      <c r="K43" s="33" t="s">
        <v>6</v>
      </c>
      <c r="L43" s="46"/>
      <c r="M43" s="120"/>
      <c r="N43" s="120"/>
      <c r="O43" s="120"/>
      <c r="P43" s="122"/>
      <c r="Q43" s="122"/>
      <c r="R43" s="124"/>
      <c r="S43" s="124"/>
      <c r="T43" s="160"/>
      <c r="U43" s="156"/>
      <c r="V43" s="146"/>
      <c r="W43" s="149"/>
      <c r="X43" s="156"/>
      <c r="Y43" s="146"/>
      <c r="Z43" s="149"/>
      <c r="AA43" s="149"/>
      <c r="AB43" s="149"/>
      <c r="AC43" s="152"/>
      <c r="AD43" s="57">
        <f>BIN2DEC($AA42)*3</f>
        <v>0</v>
      </c>
      <c r="AE43" s="57">
        <f>ABS(BIN2DEC($U42)*3)</f>
        <v>0</v>
      </c>
      <c r="AF43" s="57">
        <f>ABS( BIN2DEC(V42)*3-BIN2DEC(Z42))</f>
        <v>0</v>
      </c>
      <c r="AG43" s="57">
        <f>BIN2DEC(X42&amp;Y42)+BIN2DEC(W42)*3</f>
        <v>2</v>
      </c>
      <c r="AH43" s="57">
        <f>AD43+AE43*4+AF43*16</f>
        <v>0</v>
      </c>
    </row>
    <row r="44" spans="1:34" ht="15" customHeight="1">
      <c r="A44" s="142"/>
      <c r="B44" s="144"/>
      <c r="C44" s="43" t="str">
        <f t="shared" ref="C44:C46" si="56">CONCATENATE("sar",AD44+AE44*4+AF44*16,"_slc",AG44)</f>
        <v>sar4_slc2</v>
      </c>
      <c r="D44" s="44">
        <v>8</v>
      </c>
      <c r="E44" s="30" t="str">
        <f t="shared" ref="E44:E46" si="57">(MID(str_cnvt(E43),SEARCH(":",str_cnvt(E43))+1,2)-1) &amp; ":" &amp; (MID(str_cnvt(E43),SEARCH(":",str_cnvt(E43))+1,2)-D44)</f>
        <v>23:16</v>
      </c>
      <c r="F44" s="30" t="s">
        <v>133</v>
      </c>
      <c r="G44" s="30" t="s">
        <v>133</v>
      </c>
      <c r="H44" s="45" t="s">
        <v>143</v>
      </c>
      <c r="I44" s="31" t="s">
        <v>68</v>
      </c>
      <c r="J44" s="32" t="s">
        <v>36</v>
      </c>
      <c r="K44" s="33" t="s">
        <v>6</v>
      </c>
      <c r="L44" s="46"/>
      <c r="M44" s="120"/>
      <c r="N44" s="120"/>
      <c r="O44" s="120"/>
      <c r="P44" s="122"/>
      <c r="Q44" s="122"/>
      <c r="R44" s="124"/>
      <c r="S44" s="124"/>
      <c r="T44" s="160"/>
      <c r="U44" s="156"/>
      <c r="V44" s="146"/>
      <c r="W44" s="149"/>
      <c r="X44" s="156"/>
      <c r="Y44" s="146"/>
      <c r="Z44" s="149"/>
      <c r="AA44" s="149"/>
      <c r="AB44" s="149"/>
      <c r="AC44" s="152"/>
      <c r="AD44" s="57">
        <f>BIN2DEC($AA42)*3</f>
        <v>0</v>
      </c>
      <c r="AE44" s="57">
        <f>ABS(BIN2DEC($U43)*3-1)</f>
        <v>1</v>
      </c>
      <c r="AF44" s="57">
        <f>ABS( BIN2DEC(V42)*3-BIN2DEC(Z42))</f>
        <v>0</v>
      </c>
      <c r="AG44" s="57">
        <f>BIN2DEC(X42&amp;Y42)+BIN2DEC(W42)*3</f>
        <v>2</v>
      </c>
      <c r="AH44" s="57">
        <f t="shared" ref="AH44:AH46" si="58">AD44+AE44*4+AF44*16</f>
        <v>4</v>
      </c>
    </row>
    <row r="45" spans="1:34" ht="15" customHeight="1">
      <c r="A45" s="142"/>
      <c r="B45" s="144"/>
      <c r="C45" s="43" t="str">
        <f t="shared" si="56"/>
        <v>sar2_slc2</v>
      </c>
      <c r="D45" s="44">
        <v>8</v>
      </c>
      <c r="E45" s="30" t="str">
        <f t="shared" si="57"/>
        <v>15:8</v>
      </c>
      <c r="F45" s="30" t="s">
        <v>133</v>
      </c>
      <c r="G45" s="30" t="s">
        <v>133</v>
      </c>
      <c r="H45" s="45" t="s">
        <v>143</v>
      </c>
      <c r="I45" s="31" t="s">
        <v>68</v>
      </c>
      <c r="J45" s="32" t="s">
        <v>36</v>
      </c>
      <c r="K45" s="33" t="s">
        <v>6</v>
      </c>
      <c r="L45" s="46"/>
      <c r="M45" s="120"/>
      <c r="N45" s="120"/>
      <c r="O45" s="120"/>
      <c r="P45" s="122"/>
      <c r="Q45" s="122"/>
      <c r="R45" s="124"/>
      <c r="S45" s="124"/>
      <c r="T45" s="160"/>
      <c r="U45" s="156"/>
      <c r="V45" s="146"/>
      <c r="W45" s="149"/>
      <c r="X45" s="156"/>
      <c r="Y45" s="146"/>
      <c r="Z45" s="149"/>
      <c r="AA45" s="149"/>
      <c r="AB45" s="149"/>
      <c r="AC45" s="152"/>
      <c r="AD45" s="57">
        <f>ABS(BIN2DEC($AA42)*3-2)</f>
        <v>2</v>
      </c>
      <c r="AE45" s="57">
        <f>ABS(BIN2DEC($U42)*3)</f>
        <v>0</v>
      </c>
      <c r="AF45" s="57">
        <f>ABS( BIN2DEC(V42)*3-BIN2DEC(Z42))</f>
        <v>0</v>
      </c>
      <c r="AG45" s="57">
        <f>BIN2DEC(X42&amp;Y42)+BIN2DEC(W42)*3</f>
        <v>2</v>
      </c>
      <c r="AH45" s="57">
        <f t="shared" si="58"/>
        <v>2</v>
      </c>
    </row>
    <row r="46" spans="1:34" ht="15.75" customHeight="1" thickBot="1">
      <c r="A46" s="142"/>
      <c r="B46" s="144"/>
      <c r="C46" s="43" t="str">
        <f t="shared" si="56"/>
        <v>sar6_slc2</v>
      </c>
      <c r="D46" s="44">
        <v>8</v>
      </c>
      <c r="E46" s="30" t="str">
        <f t="shared" si="57"/>
        <v>7:0</v>
      </c>
      <c r="F46" s="30" t="s">
        <v>133</v>
      </c>
      <c r="G46" s="30" t="s">
        <v>133</v>
      </c>
      <c r="H46" s="45" t="s">
        <v>143</v>
      </c>
      <c r="I46" s="31" t="s">
        <v>68</v>
      </c>
      <c r="J46" s="32" t="s">
        <v>36</v>
      </c>
      <c r="K46" s="33" t="s">
        <v>6</v>
      </c>
      <c r="L46" s="46"/>
      <c r="M46" s="120"/>
      <c r="N46" s="120"/>
      <c r="O46" s="120"/>
      <c r="P46" s="122"/>
      <c r="Q46" s="122"/>
      <c r="R46" s="124"/>
      <c r="S46" s="124"/>
      <c r="T46" s="160"/>
      <c r="U46" s="157"/>
      <c r="V46" s="147"/>
      <c r="W46" s="150"/>
      <c r="X46" s="157"/>
      <c r="Y46" s="147"/>
      <c r="Z46" s="150"/>
      <c r="AA46" s="150"/>
      <c r="AB46" s="150"/>
      <c r="AC46" s="153"/>
      <c r="AD46" s="57">
        <f>ABS(BIN2DEC($AA42)*3-2)</f>
        <v>2</v>
      </c>
      <c r="AE46" s="57">
        <f>ABS(BIN2DEC($U42)*3-1)</f>
        <v>1</v>
      </c>
      <c r="AF46" s="57">
        <f>ABS( BIN2DEC(V42)*3-BIN2DEC(Z42))</f>
        <v>0</v>
      </c>
      <c r="AG46" s="57">
        <f>BIN2DEC(X42&amp;Y42)+BIN2DEC(W42)*3</f>
        <v>2</v>
      </c>
      <c r="AH46" s="57">
        <f t="shared" si="58"/>
        <v>6</v>
      </c>
    </row>
    <row r="47" spans="1:34" ht="15.75" customHeight="1">
      <c r="A47" s="141" t="str">
        <f>AC47</f>
        <v>vofc_dom0_quad1_quad3_sar0_slc2</v>
      </c>
      <c r="B47" s="143" t="str">
        <f>DEC2HEX(P47*4)</f>
        <v>0</v>
      </c>
      <c r="C47" s="56" t="s">
        <v>134</v>
      </c>
      <c r="D47" s="129" t="str">
        <f>bitConcat(F48:F51)</f>
        <v>32'b00000000000000000000000000000000</v>
      </c>
      <c r="E47" s="130"/>
      <c r="F47" s="130"/>
      <c r="G47" s="130"/>
      <c r="H47" s="131" t="s">
        <v>135</v>
      </c>
      <c r="I47" s="131"/>
      <c r="J47" s="131" t="str">
        <f>bitConcat(G48:G51)</f>
        <v>32'b00000000000000000000000000000000</v>
      </c>
      <c r="K47" s="131"/>
      <c r="L47" s="132"/>
      <c r="M47" s="119" t="str">
        <f>DEC2HEX(_xlfn.BITLSHIFT(HEX2DEC(Q47),2))</f>
        <v>24</v>
      </c>
      <c r="N47" s="119"/>
      <c r="O47" s="119">
        <v>0</v>
      </c>
      <c r="P47" s="121">
        <v>0</v>
      </c>
      <c r="Q47" s="121" t="str">
        <f>AB47</f>
        <v>9</v>
      </c>
      <c r="R47" s="123" t="str">
        <f t="shared" ref="R47" si="59">BIN2HEX(LEFT(RIGHT(D47,32),4))&amp;BIN2HEX(LEFT(RIGHT(D47,28),4))&amp;BIN2HEX(LEFT(RIGHT(D47,24),4))&amp;BIN2HEX(LEFT(RIGHT(D47,20),4))&amp;BIN2HEX(LEFT(RIGHT(D47,16),4))&amp;BIN2HEX(LEFT(RIGHT(D47,12),4))&amp;BIN2HEX(LEFT(RIGHT(D47,8),4))&amp;BIN2HEX(LEFT(RIGHT(D47,4),4))</f>
        <v>00000000</v>
      </c>
      <c r="S47" s="123" t="str">
        <f t="shared" ref="S47" si="60">BIN2HEX(LEFT(RIGHT(J47,32),4))&amp;BIN2HEX(LEFT(RIGHT(J47,28),4))&amp;BIN2HEX(LEFT(RIGHT(J47,24),4))&amp;BIN2HEX(LEFT(RIGHT(J47,20),4))&amp;BIN2HEX(LEFT(RIGHT(J47,16),4))&amp;BIN2HEX(LEFT(RIGHT(J47,12),4))&amp;BIN2HEX(LEFT(RIGHT(J47,8),4))&amp;BIN2HEX(LEFT(RIGHT(J47,4),4))</f>
        <v>00000000</v>
      </c>
      <c r="T47" s="160">
        <v>9</v>
      </c>
      <c r="U47" s="155" t="str">
        <f t="shared" ref="U47" si="61">LEFT(DEC2BIN(O47,2))</f>
        <v>0</v>
      </c>
      <c r="V47" s="145" t="str">
        <f t="shared" ref="V47" si="62">RIGHT(DEC2BIN(O47,2),1)</f>
        <v>0</v>
      </c>
      <c r="W47" s="148">
        <v>0</v>
      </c>
      <c r="X47" s="155">
        <v>1</v>
      </c>
      <c r="Y47" s="145">
        <v>0</v>
      </c>
      <c r="Z47" s="148">
        <v>0</v>
      </c>
      <c r="AA47" s="148">
        <v>1</v>
      </c>
      <c r="AB47" s="148" t="str">
        <f>BIN2HEX(U47&amp;V47&amp;W47&amp;X47&amp;Y47&amp;Z47&amp;AA47)</f>
        <v>9</v>
      </c>
      <c r="AC47" s="151" t="str">
        <f>CONCATENATE("vofc_dom",BIN2DEC(U47&amp;V47),"_quad",BIN2DEC(AA47),"_quad",BIN2DEC(AA47)+2,"_sar",ABS( BIN2DEC(V47)*3-BIN2DEC(Z47)),"_slc",BIN2DEC(X47&amp;Y47)+BIN2DEC(W47)*3)</f>
        <v>vofc_dom0_quad1_quad3_sar0_slc2</v>
      </c>
      <c r="AD47" s="57"/>
      <c r="AE47" s="57"/>
      <c r="AF47" s="57"/>
      <c r="AG47" s="57"/>
      <c r="AH47" s="57"/>
    </row>
    <row r="48" spans="1:34" ht="15" customHeight="1">
      <c r="A48" s="142"/>
      <c r="B48" s="144"/>
      <c r="C48" s="43" t="str">
        <f>CONCATENATE("sar",AD48+AE48*4+AF48*16,"_slc",AG48)</f>
        <v>sar3_slc2</v>
      </c>
      <c r="D48" s="44">
        <v>8</v>
      </c>
      <c r="E48" s="29" t="str">
        <f>IF(D48&gt;1,(31)&amp;":"&amp;(31-D48+1),(31-D48+1)&amp;":"&amp;(31-D48+1))</f>
        <v>31:24</v>
      </c>
      <c r="F48" s="30" t="s">
        <v>133</v>
      </c>
      <c r="G48" s="30" t="s">
        <v>133</v>
      </c>
      <c r="H48" s="45" t="s">
        <v>143</v>
      </c>
      <c r="I48" s="31" t="s">
        <v>68</v>
      </c>
      <c r="J48" s="32" t="s">
        <v>36</v>
      </c>
      <c r="K48" s="33" t="s">
        <v>6</v>
      </c>
      <c r="L48" s="46"/>
      <c r="M48" s="120"/>
      <c r="N48" s="120"/>
      <c r="O48" s="120"/>
      <c r="P48" s="122"/>
      <c r="Q48" s="122"/>
      <c r="R48" s="124"/>
      <c r="S48" s="124"/>
      <c r="T48" s="160"/>
      <c r="U48" s="156"/>
      <c r="V48" s="146"/>
      <c r="W48" s="149"/>
      <c r="X48" s="156"/>
      <c r="Y48" s="146"/>
      <c r="Z48" s="149"/>
      <c r="AA48" s="149"/>
      <c r="AB48" s="149"/>
      <c r="AC48" s="152"/>
      <c r="AD48" s="57">
        <f>BIN2DEC($AA47)*3</f>
        <v>3</v>
      </c>
      <c r="AE48" s="57">
        <f>ABS(BIN2DEC($U47)*3)</f>
        <v>0</v>
      </c>
      <c r="AF48" s="57">
        <f>ABS( BIN2DEC(V47)*3-BIN2DEC(Z47))</f>
        <v>0</v>
      </c>
      <c r="AG48" s="57">
        <f>BIN2DEC(X47&amp;Y47)+BIN2DEC(W47)*3</f>
        <v>2</v>
      </c>
      <c r="AH48" s="57">
        <f>AD48+AE48*4+AF48*16</f>
        <v>3</v>
      </c>
    </row>
    <row r="49" spans="1:34" ht="15" customHeight="1">
      <c r="A49" s="142"/>
      <c r="B49" s="144"/>
      <c r="C49" s="43" t="str">
        <f t="shared" ref="C49:C51" si="63">CONCATENATE("sar",AD49+AE49*4+AF49*16,"_slc",AG49)</f>
        <v>sar7_slc2</v>
      </c>
      <c r="D49" s="44">
        <v>8</v>
      </c>
      <c r="E49" s="30" t="str">
        <f t="shared" ref="E49:E51" si="64">(MID(str_cnvt(E48),SEARCH(":",str_cnvt(E48))+1,2)-1) &amp; ":" &amp; (MID(str_cnvt(E48),SEARCH(":",str_cnvt(E48))+1,2)-D49)</f>
        <v>23:16</v>
      </c>
      <c r="F49" s="30" t="s">
        <v>133</v>
      </c>
      <c r="G49" s="30" t="s">
        <v>133</v>
      </c>
      <c r="H49" s="45" t="s">
        <v>143</v>
      </c>
      <c r="I49" s="31" t="s">
        <v>68</v>
      </c>
      <c r="J49" s="32" t="s">
        <v>36</v>
      </c>
      <c r="K49" s="33" t="s">
        <v>6</v>
      </c>
      <c r="L49" s="46"/>
      <c r="M49" s="120"/>
      <c r="N49" s="120"/>
      <c r="O49" s="120"/>
      <c r="P49" s="122"/>
      <c r="Q49" s="122"/>
      <c r="R49" s="124"/>
      <c r="S49" s="124"/>
      <c r="T49" s="160"/>
      <c r="U49" s="156"/>
      <c r="V49" s="146"/>
      <c r="W49" s="149"/>
      <c r="X49" s="156"/>
      <c r="Y49" s="146"/>
      <c r="Z49" s="149"/>
      <c r="AA49" s="149"/>
      <c r="AB49" s="149"/>
      <c r="AC49" s="152"/>
      <c r="AD49" s="57">
        <f>BIN2DEC($AA47)*3</f>
        <v>3</v>
      </c>
      <c r="AE49" s="57">
        <f>ABS(BIN2DEC($U48)*3-1)</f>
        <v>1</v>
      </c>
      <c r="AF49" s="57">
        <f>ABS( BIN2DEC(V47)*3-BIN2DEC(Z47))</f>
        <v>0</v>
      </c>
      <c r="AG49" s="57">
        <f>BIN2DEC(X47&amp;Y47)+BIN2DEC(W47)*3</f>
        <v>2</v>
      </c>
      <c r="AH49" s="57">
        <f t="shared" ref="AH49:AH51" si="65">AD49+AE49*4+AF49*16</f>
        <v>7</v>
      </c>
    </row>
    <row r="50" spans="1:34" ht="15" customHeight="1">
      <c r="A50" s="142"/>
      <c r="B50" s="144"/>
      <c r="C50" s="43" t="str">
        <f t="shared" si="63"/>
        <v>sar1_slc2</v>
      </c>
      <c r="D50" s="44">
        <v>8</v>
      </c>
      <c r="E50" s="30" t="str">
        <f t="shared" si="64"/>
        <v>15:8</v>
      </c>
      <c r="F50" s="30" t="s">
        <v>133</v>
      </c>
      <c r="G50" s="30" t="s">
        <v>133</v>
      </c>
      <c r="H50" s="45" t="s">
        <v>143</v>
      </c>
      <c r="I50" s="31" t="s">
        <v>68</v>
      </c>
      <c r="J50" s="32" t="s">
        <v>36</v>
      </c>
      <c r="K50" s="33" t="s">
        <v>6</v>
      </c>
      <c r="L50" s="46"/>
      <c r="M50" s="120"/>
      <c r="N50" s="120"/>
      <c r="O50" s="120"/>
      <c r="P50" s="122"/>
      <c r="Q50" s="122"/>
      <c r="R50" s="124"/>
      <c r="S50" s="124"/>
      <c r="T50" s="160"/>
      <c r="U50" s="156"/>
      <c r="V50" s="146"/>
      <c r="W50" s="149"/>
      <c r="X50" s="156"/>
      <c r="Y50" s="146"/>
      <c r="Z50" s="149"/>
      <c r="AA50" s="149"/>
      <c r="AB50" s="149"/>
      <c r="AC50" s="152"/>
      <c r="AD50" s="57">
        <f>ABS(BIN2DEC($AA47)*3-2)</f>
        <v>1</v>
      </c>
      <c r="AE50" s="57">
        <f>ABS(BIN2DEC($U47)*3)</f>
        <v>0</v>
      </c>
      <c r="AF50" s="57">
        <f>ABS( BIN2DEC(V47)*3-BIN2DEC(Z47))</f>
        <v>0</v>
      </c>
      <c r="AG50" s="57">
        <f>BIN2DEC(X47&amp;Y47)+BIN2DEC(W47)*3</f>
        <v>2</v>
      </c>
      <c r="AH50" s="57">
        <f t="shared" si="65"/>
        <v>1</v>
      </c>
    </row>
    <row r="51" spans="1:34" ht="15.75" customHeight="1" thickBot="1">
      <c r="A51" s="142"/>
      <c r="B51" s="144"/>
      <c r="C51" s="43" t="str">
        <f t="shared" si="63"/>
        <v>sar5_slc2</v>
      </c>
      <c r="D51" s="44">
        <v>8</v>
      </c>
      <c r="E51" s="30" t="str">
        <f t="shared" si="64"/>
        <v>7:0</v>
      </c>
      <c r="F51" s="30" t="s">
        <v>133</v>
      </c>
      <c r="G51" s="30" t="s">
        <v>133</v>
      </c>
      <c r="H51" s="45" t="s">
        <v>143</v>
      </c>
      <c r="I51" s="31" t="s">
        <v>68</v>
      </c>
      <c r="J51" s="32" t="s">
        <v>36</v>
      </c>
      <c r="K51" s="33" t="s">
        <v>6</v>
      </c>
      <c r="L51" s="46"/>
      <c r="M51" s="120"/>
      <c r="N51" s="120"/>
      <c r="O51" s="120"/>
      <c r="P51" s="122"/>
      <c r="Q51" s="122"/>
      <c r="R51" s="124"/>
      <c r="S51" s="124"/>
      <c r="T51" s="160"/>
      <c r="U51" s="157"/>
      <c r="V51" s="147"/>
      <c r="W51" s="150"/>
      <c r="X51" s="157"/>
      <c r="Y51" s="147"/>
      <c r="Z51" s="150"/>
      <c r="AA51" s="150"/>
      <c r="AB51" s="150"/>
      <c r="AC51" s="153"/>
      <c r="AD51" s="57">
        <f>ABS(BIN2DEC($AA47)*3-2)</f>
        <v>1</v>
      </c>
      <c r="AE51" s="57">
        <f>ABS(BIN2DEC($U47)*3-1)</f>
        <v>1</v>
      </c>
      <c r="AF51" s="57">
        <f>ABS( BIN2DEC(V47)*3-BIN2DEC(Z47))</f>
        <v>0</v>
      </c>
      <c r="AG51" s="57">
        <f>BIN2DEC(X47&amp;Y47)+BIN2DEC(W47)*3</f>
        <v>2</v>
      </c>
      <c r="AH51" s="57">
        <f t="shared" si="65"/>
        <v>5</v>
      </c>
    </row>
    <row r="52" spans="1:34" ht="15.75" customHeight="1">
      <c r="A52" s="141" t="str">
        <f>AC52</f>
        <v>vofc_dom0_quad0_quad2_sar1_slc2</v>
      </c>
      <c r="B52" s="143" t="str">
        <f>DEC2HEX(P52*4)</f>
        <v>0</v>
      </c>
      <c r="C52" s="56" t="s">
        <v>134</v>
      </c>
      <c r="D52" s="129" t="str">
        <f>bitConcat(F53:F56)</f>
        <v>32'b00000000000000000000000000000000</v>
      </c>
      <c r="E52" s="130"/>
      <c r="F52" s="130"/>
      <c r="G52" s="130"/>
      <c r="H52" s="131" t="s">
        <v>135</v>
      </c>
      <c r="I52" s="131"/>
      <c r="J52" s="131" t="str">
        <f>bitConcat(G53:G56)</f>
        <v>32'b00000000000000000000000000000000</v>
      </c>
      <c r="K52" s="131"/>
      <c r="L52" s="132"/>
      <c r="M52" s="119" t="str">
        <f>DEC2HEX(_xlfn.BITLSHIFT(HEX2DEC(Q52),2))</f>
        <v>28</v>
      </c>
      <c r="N52" s="119"/>
      <c r="O52" s="119">
        <v>0</v>
      </c>
      <c r="P52" s="121">
        <v>0</v>
      </c>
      <c r="Q52" s="121" t="str">
        <f>AB52</f>
        <v>A</v>
      </c>
      <c r="R52" s="123" t="str">
        <f t="shared" ref="R52" si="66">BIN2HEX(LEFT(RIGHT(D52,32),4))&amp;BIN2HEX(LEFT(RIGHT(D52,28),4))&amp;BIN2HEX(LEFT(RIGHT(D52,24),4))&amp;BIN2HEX(LEFT(RIGHT(D52,20),4))&amp;BIN2HEX(LEFT(RIGHT(D52,16),4))&amp;BIN2HEX(LEFT(RIGHT(D52,12),4))&amp;BIN2HEX(LEFT(RIGHT(D52,8),4))&amp;BIN2HEX(LEFT(RIGHT(D52,4),4))</f>
        <v>00000000</v>
      </c>
      <c r="S52" s="123" t="str">
        <f t="shared" ref="S52" si="67">BIN2HEX(LEFT(RIGHT(J52,32),4))&amp;BIN2HEX(LEFT(RIGHT(J52,28),4))&amp;BIN2HEX(LEFT(RIGHT(J52,24),4))&amp;BIN2HEX(LEFT(RIGHT(J52,20),4))&amp;BIN2HEX(LEFT(RIGHT(J52,16),4))&amp;BIN2HEX(LEFT(RIGHT(J52,12),4))&amp;BIN2HEX(LEFT(RIGHT(J52,8),4))&amp;BIN2HEX(LEFT(RIGHT(J52,4),4))</f>
        <v>00000000</v>
      </c>
      <c r="T52" s="160">
        <v>10</v>
      </c>
      <c r="U52" s="155" t="str">
        <f t="shared" ref="U52" si="68">LEFT(DEC2BIN(O52,2))</f>
        <v>0</v>
      </c>
      <c r="V52" s="145" t="str">
        <f t="shared" ref="V52" si="69">RIGHT(DEC2BIN(O52,2),1)</f>
        <v>0</v>
      </c>
      <c r="W52" s="148">
        <v>0</v>
      </c>
      <c r="X52" s="155">
        <v>1</v>
      </c>
      <c r="Y52" s="145">
        <v>0</v>
      </c>
      <c r="Z52" s="148">
        <v>1</v>
      </c>
      <c r="AA52" s="148">
        <v>0</v>
      </c>
      <c r="AB52" s="148" t="str">
        <f>BIN2HEX(U52&amp;V52&amp;W52&amp;X52&amp;Y52&amp;Z52&amp;AA52)</f>
        <v>A</v>
      </c>
      <c r="AC52" s="151" t="str">
        <f>CONCATENATE("vofc_dom",BIN2DEC(U52&amp;V52),"_quad",BIN2DEC(AA52),"_quad",BIN2DEC(AA52)+2,"_sar",ABS( BIN2DEC(V52)*3-BIN2DEC(Z52)),"_slc",BIN2DEC(X52&amp;Y52)+BIN2DEC(W52)*3)</f>
        <v>vofc_dom0_quad0_quad2_sar1_slc2</v>
      </c>
      <c r="AD52" s="57"/>
      <c r="AE52" s="57"/>
      <c r="AF52" s="57"/>
      <c r="AG52" s="57"/>
      <c r="AH52" s="57"/>
    </row>
    <row r="53" spans="1:34" ht="15" customHeight="1">
      <c r="A53" s="142"/>
      <c r="B53" s="144"/>
      <c r="C53" s="43" t="str">
        <f>CONCATENATE("sar",AD53+AE53*4+AF53*16,"_slc",AG53)</f>
        <v>sar16_slc2</v>
      </c>
      <c r="D53" s="44">
        <v>8</v>
      </c>
      <c r="E53" s="29" t="str">
        <f>IF(D53&gt;1,(31)&amp;":"&amp;(31-D53+1),(31-D53+1)&amp;":"&amp;(31-D53+1))</f>
        <v>31:24</v>
      </c>
      <c r="F53" s="30" t="s">
        <v>133</v>
      </c>
      <c r="G53" s="30" t="s">
        <v>133</v>
      </c>
      <c r="H53" s="45" t="s">
        <v>143</v>
      </c>
      <c r="I53" s="31" t="s">
        <v>68</v>
      </c>
      <c r="J53" s="32" t="s">
        <v>36</v>
      </c>
      <c r="K53" s="33" t="s">
        <v>6</v>
      </c>
      <c r="L53" s="46"/>
      <c r="M53" s="120"/>
      <c r="N53" s="120"/>
      <c r="O53" s="120"/>
      <c r="P53" s="122"/>
      <c r="Q53" s="122"/>
      <c r="R53" s="124"/>
      <c r="S53" s="124"/>
      <c r="T53" s="160"/>
      <c r="U53" s="156"/>
      <c r="V53" s="146"/>
      <c r="W53" s="149"/>
      <c r="X53" s="156"/>
      <c r="Y53" s="146"/>
      <c r="Z53" s="149"/>
      <c r="AA53" s="149"/>
      <c r="AB53" s="149"/>
      <c r="AC53" s="152"/>
      <c r="AD53" s="57">
        <f>BIN2DEC($AA52)*3</f>
        <v>0</v>
      </c>
      <c r="AE53" s="57">
        <f>ABS(BIN2DEC($U52)*3)</f>
        <v>0</v>
      </c>
      <c r="AF53" s="57">
        <f>ABS( BIN2DEC(V52)*3-BIN2DEC(Z52))</f>
        <v>1</v>
      </c>
      <c r="AG53" s="57">
        <f>BIN2DEC(X52&amp;Y52)+BIN2DEC(W52)*3</f>
        <v>2</v>
      </c>
      <c r="AH53" s="57">
        <f>AD53+AE53*4+AF53*16</f>
        <v>16</v>
      </c>
    </row>
    <row r="54" spans="1:34" ht="15" customHeight="1">
      <c r="A54" s="142"/>
      <c r="B54" s="144"/>
      <c r="C54" s="43" t="str">
        <f t="shared" ref="C54:C56" si="70">CONCATENATE("sar",AD54+AE54*4+AF54*16,"_slc",AG54)</f>
        <v>sar20_slc2</v>
      </c>
      <c r="D54" s="44">
        <v>8</v>
      </c>
      <c r="E54" s="30" t="str">
        <f t="shared" ref="E54:E56" si="71">(MID(str_cnvt(E53),SEARCH(":",str_cnvt(E53))+1,2)-1) &amp; ":" &amp; (MID(str_cnvt(E53),SEARCH(":",str_cnvt(E53))+1,2)-D54)</f>
        <v>23:16</v>
      </c>
      <c r="F54" s="30" t="s">
        <v>133</v>
      </c>
      <c r="G54" s="30" t="s">
        <v>133</v>
      </c>
      <c r="H54" s="45" t="s">
        <v>143</v>
      </c>
      <c r="I54" s="31" t="s">
        <v>68</v>
      </c>
      <c r="J54" s="32" t="s">
        <v>36</v>
      </c>
      <c r="K54" s="33" t="s">
        <v>6</v>
      </c>
      <c r="L54" s="46"/>
      <c r="M54" s="120"/>
      <c r="N54" s="120"/>
      <c r="O54" s="120"/>
      <c r="P54" s="122"/>
      <c r="Q54" s="122"/>
      <c r="R54" s="124"/>
      <c r="S54" s="124"/>
      <c r="T54" s="160"/>
      <c r="U54" s="156"/>
      <c r="V54" s="146"/>
      <c r="W54" s="149"/>
      <c r="X54" s="156"/>
      <c r="Y54" s="146"/>
      <c r="Z54" s="149"/>
      <c r="AA54" s="149"/>
      <c r="AB54" s="149"/>
      <c r="AC54" s="152"/>
      <c r="AD54" s="57">
        <f>BIN2DEC($AA52)*3</f>
        <v>0</v>
      </c>
      <c r="AE54" s="57">
        <f>ABS(BIN2DEC($U53)*3-1)</f>
        <v>1</v>
      </c>
      <c r="AF54" s="57">
        <f>ABS( BIN2DEC(V52)*3-BIN2DEC(Z52))</f>
        <v>1</v>
      </c>
      <c r="AG54" s="57">
        <f>BIN2DEC(X52&amp;Y52)+BIN2DEC(W52)*3</f>
        <v>2</v>
      </c>
      <c r="AH54" s="57">
        <f t="shared" ref="AH54:AH56" si="72">AD54+AE54*4+AF54*16</f>
        <v>20</v>
      </c>
    </row>
    <row r="55" spans="1:34" ht="15" customHeight="1">
      <c r="A55" s="142"/>
      <c r="B55" s="144"/>
      <c r="C55" s="43" t="str">
        <f t="shared" si="70"/>
        <v>sar18_slc2</v>
      </c>
      <c r="D55" s="44">
        <v>8</v>
      </c>
      <c r="E55" s="30" t="str">
        <f t="shared" si="71"/>
        <v>15:8</v>
      </c>
      <c r="F55" s="30" t="s">
        <v>133</v>
      </c>
      <c r="G55" s="30" t="s">
        <v>133</v>
      </c>
      <c r="H55" s="45" t="s">
        <v>143</v>
      </c>
      <c r="I55" s="31" t="s">
        <v>68</v>
      </c>
      <c r="J55" s="32" t="s">
        <v>36</v>
      </c>
      <c r="K55" s="33" t="s">
        <v>6</v>
      </c>
      <c r="L55" s="46"/>
      <c r="M55" s="120"/>
      <c r="N55" s="120"/>
      <c r="O55" s="120"/>
      <c r="P55" s="122"/>
      <c r="Q55" s="122"/>
      <c r="R55" s="124"/>
      <c r="S55" s="124"/>
      <c r="T55" s="160"/>
      <c r="U55" s="156"/>
      <c r="V55" s="146"/>
      <c r="W55" s="149"/>
      <c r="X55" s="156"/>
      <c r="Y55" s="146"/>
      <c r="Z55" s="149"/>
      <c r="AA55" s="149"/>
      <c r="AB55" s="149"/>
      <c r="AC55" s="152"/>
      <c r="AD55" s="57">
        <f>ABS(BIN2DEC($AA52)*3-2)</f>
        <v>2</v>
      </c>
      <c r="AE55" s="57">
        <f>ABS(BIN2DEC($U52)*3)</f>
        <v>0</v>
      </c>
      <c r="AF55" s="57">
        <f>ABS( BIN2DEC(V52)*3-BIN2DEC(Z52))</f>
        <v>1</v>
      </c>
      <c r="AG55" s="57">
        <f>BIN2DEC(X52&amp;Y52)+BIN2DEC(W52)*3</f>
        <v>2</v>
      </c>
      <c r="AH55" s="57">
        <f t="shared" si="72"/>
        <v>18</v>
      </c>
    </row>
    <row r="56" spans="1:34" ht="15.75" customHeight="1" thickBot="1">
      <c r="A56" s="142"/>
      <c r="B56" s="144"/>
      <c r="C56" s="43" t="str">
        <f t="shared" si="70"/>
        <v>sar22_slc2</v>
      </c>
      <c r="D56" s="44">
        <v>8</v>
      </c>
      <c r="E56" s="30" t="str">
        <f t="shared" si="71"/>
        <v>7:0</v>
      </c>
      <c r="F56" s="30" t="s">
        <v>133</v>
      </c>
      <c r="G56" s="30" t="s">
        <v>133</v>
      </c>
      <c r="H56" s="45" t="s">
        <v>143</v>
      </c>
      <c r="I56" s="31" t="s">
        <v>68</v>
      </c>
      <c r="J56" s="32" t="s">
        <v>36</v>
      </c>
      <c r="K56" s="33" t="s">
        <v>6</v>
      </c>
      <c r="L56" s="46"/>
      <c r="M56" s="120"/>
      <c r="N56" s="120"/>
      <c r="O56" s="120"/>
      <c r="P56" s="122"/>
      <c r="Q56" s="122"/>
      <c r="R56" s="124"/>
      <c r="S56" s="124"/>
      <c r="T56" s="160"/>
      <c r="U56" s="157"/>
      <c r="V56" s="147"/>
      <c r="W56" s="150"/>
      <c r="X56" s="157"/>
      <c r="Y56" s="147"/>
      <c r="Z56" s="150"/>
      <c r="AA56" s="150"/>
      <c r="AB56" s="150"/>
      <c r="AC56" s="153"/>
      <c r="AD56" s="57">
        <f>ABS(BIN2DEC($AA52)*3-2)</f>
        <v>2</v>
      </c>
      <c r="AE56" s="57">
        <f>ABS(BIN2DEC($U52)*3-1)</f>
        <v>1</v>
      </c>
      <c r="AF56" s="57">
        <f>ABS( BIN2DEC(V52)*3-BIN2DEC(Z52))</f>
        <v>1</v>
      </c>
      <c r="AG56" s="57">
        <f>BIN2DEC(X52&amp;Y52)+BIN2DEC(W52)*3</f>
        <v>2</v>
      </c>
      <c r="AH56" s="57">
        <f t="shared" si="72"/>
        <v>22</v>
      </c>
    </row>
    <row r="57" spans="1:34" ht="15.75" customHeight="1">
      <c r="A57" s="141" t="str">
        <f>AC57</f>
        <v>vofc_dom0_quad1_quad3_sar1_slc2</v>
      </c>
      <c r="B57" s="143" t="str">
        <f>DEC2HEX(P57*4)</f>
        <v>0</v>
      </c>
      <c r="C57" s="56" t="s">
        <v>134</v>
      </c>
      <c r="D57" s="129" t="str">
        <f>bitConcat(F58:F61)</f>
        <v>32'b00000000000000000000000000000000</v>
      </c>
      <c r="E57" s="130"/>
      <c r="F57" s="130"/>
      <c r="G57" s="130"/>
      <c r="H57" s="131" t="s">
        <v>135</v>
      </c>
      <c r="I57" s="131"/>
      <c r="J57" s="131" t="str">
        <f>bitConcat(G58:G61)</f>
        <v>32'b00000000000000000000000000000000</v>
      </c>
      <c r="K57" s="131"/>
      <c r="L57" s="132"/>
      <c r="M57" s="119" t="str">
        <f>DEC2HEX(_xlfn.BITLSHIFT(HEX2DEC(Q57),2))</f>
        <v>2C</v>
      </c>
      <c r="N57" s="119"/>
      <c r="O57" s="119">
        <v>0</v>
      </c>
      <c r="P57" s="121">
        <v>0</v>
      </c>
      <c r="Q57" s="121" t="str">
        <f>AB57</f>
        <v>B</v>
      </c>
      <c r="R57" s="123" t="str">
        <f t="shared" ref="R57" si="73">BIN2HEX(LEFT(RIGHT(D57,32),4))&amp;BIN2HEX(LEFT(RIGHT(D57,28),4))&amp;BIN2HEX(LEFT(RIGHT(D57,24),4))&amp;BIN2HEX(LEFT(RIGHT(D57,20),4))&amp;BIN2HEX(LEFT(RIGHT(D57,16),4))&amp;BIN2HEX(LEFT(RIGHT(D57,12),4))&amp;BIN2HEX(LEFT(RIGHT(D57,8),4))&amp;BIN2HEX(LEFT(RIGHT(D57,4),4))</f>
        <v>00000000</v>
      </c>
      <c r="S57" s="123" t="str">
        <f t="shared" ref="S57" si="74">BIN2HEX(LEFT(RIGHT(J57,32),4))&amp;BIN2HEX(LEFT(RIGHT(J57,28),4))&amp;BIN2HEX(LEFT(RIGHT(J57,24),4))&amp;BIN2HEX(LEFT(RIGHT(J57,20),4))&amp;BIN2HEX(LEFT(RIGHT(J57,16),4))&amp;BIN2HEX(LEFT(RIGHT(J57,12),4))&amp;BIN2HEX(LEFT(RIGHT(J57,8),4))&amp;BIN2HEX(LEFT(RIGHT(J57,4),4))</f>
        <v>00000000</v>
      </c>
      <c r="T57" s="160">
        <v>11</v>
      </c>
      <c r="U57" s="155" t="str">
        <f t="shared" ref="U57" si="75">LEFT(DEC2BIN(O57,2))</f>
        <v>0</v>
      </c>
      <c r="V57" s="145" t="str">
        <f t="shared" ref="V57" si="76">RIGHT(DEC2BIN(O57,2),1)</f>
        <v>0</v>
      </c>
      <c r="W57" s="148">
        <v>0</v>
      </c>
      <c r="X57" s="155">
        <v>1</v>
      </c>
      <c r="Y57" s="145">
        <v>0</v>
      </c>
      <c r="Z57" s="148">
        <v>1</v>
      </c>
      <c r="AA57" s="148">
        <v>1</v>
      </c>
      <c r="AB57" s="148" t="str">
        <f>BIN2HEX(U57&amp;V57&amp;W57&amp;X57&amp;Y57&amp;Z57&amp;AA57)</f>
        <v>B</v>
      </c>
      <c r="AC57" s="151" t="str">
        <f>CONCATENATE("vofc_dom",BIN2DEC(U57&amp;V57),"_quad",BIN2DEC(AA57),"_quad",BIN2DEC(AA57)+2,"_sar",ABS( BIN2DEC(V57)*3-BIN2DEC(Z57)),"_slc",BIN2DEC(X57&amp;Y57)+BIN2DEC(W57)*3)</f>
        <v>vofc_dom0_quad1_quad3_sar1_slc2</v>
      </c>
      <c r="AD57" s="57"/>
      <c r="AE57" s="57"/>
      <c r="AF57" s="57"/>
      <c r="AG57" s="57"/>
      <c r="AH57" s="57"/>
    </row>
    <row r="58" spans="1:34" ht="15" customHeight="1">
      <c r="A58" s="142"/>
      <c r="B58" s="144"/>
      <c r="C58" s="43" t="str">
        <f>CONCATENATE("sar",AD58+AE58*4+AF58*16,"_slc",AG58)</f>
        <v>sar19_slc2</v>
      </c>
      <c r="D58" s="44">
        <v>8</v>
      </c>
      <c r="E58" s="29" t="str">
        <f>IF(D58&gt;1,(31)&amp;":"&amp;(31-D58+1),(31-D58+1)&amp;":"&amp;(31-D58+1))</f>
        <v>31:24</v>
      </c>
      <c r="F58" s="30" t="s">
        <v>133</v>
      </c>
      <c r="G58" s="30" t="s">
        <v>133</v>
      </c>
      <c r="H58" s="45" t="s">
        <v>143</v>
      </c>
      <c r="I58" s="31" t="s">
        <v>68</v>
      </c>
      <c r="J58" s="32" t="s">
        <v>36</v>
      </c>
      <c r="K58" s="33" t="s">
        <v>6</v>
      </c>
      <c r="L58" s="46"/>
      <c r="M58" s="120"/>
      <c r="N58" s="120"/>
      <c r="O58" s="120"/>
      <c r="P58" s="122"/>
      <c r="Q58" s="122"/>
      <c r="R58" s="124"/>
      <c r="S58" s="124"/>
      <c r="T58" s="160"/>
      <c r="U58" s="156"/>
      <c r="V58" s="146"/>
      <c r="W58" s="149"/>
      <c r="X58" s="156"/>
      <c r="Y58" s="146"/>
      <c r="Z58" s="149"/>
      <c r="AA58" s="149"/>
      <c r="AB58" s="149"/>
      <c r="AC58" s="152"/>
      <c r="AD58" s="57">
        <f>BIN2DEC($AA57)*3</f>
        <v>3</v>
      </c>
      <c r="AE58" s="57">
        <f>ABS(BIN2DEC($U57)*3)</f>
        <v>0</v>
      </c>
      <c r="AF58" s="57">
        <f>ABS( BIN2DEC(V57)*3-BIN2DEC(Z57))</f>
        <v>1</v>
      </c>
      <c r="AG58" s="57">
        <f>BIN2DEC(X57&amp;Y57)+BIN2DEC(W57)*3</f>
        <v>2</v>
      </c>
      <c r="AH58" s="57">
        <f>AD58+AE58*4+AF58*16</f>
        <v>19</v>
      </c>
    </row>
    <row r="59" spans="1:34" ht="15" customHeight="1">
      <c r="A59" s="142"/>
      <c r="B59" s="144"/>
      <c r="C59" s="43" t="str">
        <f t="shared" ref="C59:C61" si="77">CONCATENATE("sar",AD59+AE59*4+AF59*16,"_slc",AG59)</f>
        <v>sar23_slc2</v>
      </c>
      <c r="D59" s="44">
        <v>8</v>
      </c>
      <c r="E59" s="30" t="str">
        <f t="shared" ref="E59:E61" si="78">(MID(str_cnvt(E58),SEARCH(":",str_cnvt(E58))+1,2)-1) &amp; ":" &amp; (MID(str_cnvt(E58),SEARCH(":",str_cnvt(E58))+1,2)-D59)</f>
        <v>23:16</v>
      </c>
      <c r="F59" s="30" t="s">
        <v>133</v>
      </c>
      <c r="G59" s="30" t="s">
        <v>133</v>
      </c>
      <c r="H59" s="45" t="s">
        <v>143</v>
      </c>
      <c r="I59" s="31" t="s">
        <v>68</v>
      </c>
      <c r="J59" s="32" t="s">
        <v>36</v>
      </c>
      <c r="K59" s="33" t="s">
        <v>6</v>
      </c>
      <c r="L59" s="46"/>
      <c r="M59" s="120"/>
      <c r="N59" s="120"/>
      <c r="O59" s="120"/>
      <c r="P59" s="122"/>
      <c r="Q59" s="122"/>
      <c r="R59" s="124"/>
      <c r="S59" s="124"/>
      <c r="T59" s="160"/>
      <c r="U59" s="156"/>
      <c r="V59" s="146"/>
      <c r="W59" s="149"/>
      <c r="X59" s="156"/>
      <c r="Y59" s="146"/>
      <c r="Z59" s="149"/>
      <c r="AA59" s="149"/>
      <c r="AB59" s="149"/>
      <c r="AC59" s="152"/>
      <c r="AD59" s="57">
        <f>BIN2DEC($AA57)*3</f>
        <v>3</v>
      </c>
      <c r="AE59" s="57">
        <f>ABS(BIN2DEC($U58)*3-1)</f>
        <v>1</v>
      </c>
      <c r="AF59" s="57">
        <f>ABS( BIN2DEC(V57)*3-BIN2DEC(Z57))</f>
        <v>1</v>
      </c>
      <c r="AG59" s="57">
        <f>BIN2DEC(X57&amp;Y57)+BIN2DEC(W57)*3</f>
        <v>2</v>
      </c>
      <c r="AH59" s="57">
        <f t="shared" ref="AH59:AH61" si="79">AD59+AE59*4+AF59*16</f>
        <v>23</v>
      </c>
    </row>
    <row r="60" spans="1:34" ht="15" customHeight="1">
      <c r="A60" s="142"/>
      <c r="B60" s="144"/>
      <c r="C60" s="43" t="str">
        <f t="shared" si="77"/>
        <v>sar17_slc2</v>
      </c>
      <c r="D60" s="44">
        <v>8</v>
      </c>
      <c r="E60" s="30" t="str">
        <f t="shared" si="78"/>
        <v>15:8</v>
      </c>
      <c r="F60" s="30" t="s">
        <v>133</v>
      </c>
      <c r="G60" s="30" t="s">
        <v>133</v>
      </c>
      <c r="H60" s="45" t="s">
        <v>143</v>
      </c>
      <c r="I60" s="31" t="s">
        <v>68</v>
      </c>
      <c r="J60" s="32" t="s">
        <v>36</v>
      </c>
      <c r="K60" s="33" t="s">
        <v>6</v>
      </c>
      <c r="L60" s="46"/>
      <c r="M60" s="120"/>
      <c r="N60" s="120"/>
      <c r="O60" s="120"/>
      <c r="P60" s="122"/>
      <c r="Q60" s="122"/>
      <c r="R60" s="124"/>
      <c r="S60" s="124"/>
      <c r="T60" s="160"/>
      <c r="U60" s="156"/>
      <c r="V60" s="146"/>
      <c r="W60" s="149"/>
      <c r="X60" s="156"/>
      <c r="Y60" s="146"/>
      <c r="Z60" s="149"/>
      <c r="AA60" s="149"/>
      <c r="AB60" s="149"/>
      <c r="AC60" s="152"/>
      <c r="AD60" s="57">
        <f>ABS(BIN2DEC($AA57)*3-2)</f>
        <v>1</v>
      </c>
      <c r="AE60" s="57">
        <f>ABS(BIN2DEC($U57)*3)</f>
        <v>0</v>
      </c>
      <c r="AF60" s="57">
        <f>ABS( BIN2DEC(V57)*3-BIN2DEC(Z57))</f>
        <v>1</v>
      </c>
      <c r="AG60" s="57">
        <f>BIN2DEC(X57&amp;Y57)+BIN2DEC(W57)*3</f>
        <v>2</v>
      </c>
      <c r="AH60" s="57">
        <f t="shared" si="79"/>
        <v>17</v>
      </c>
    </row>
    <row r="61" spans="1:34" ht="15.75" customHeight="1" thickBot="1">
      <c r="A61" s="142"/>
      <c r="B61" s="144"/>
      <c r="C61" s="43" t="str">
        <f t="shared" si="77"/>
        <v>sar21_slc2</v>
      </c>
      <c r="D61" s="44">
        <v>8</v>
      </c>
      <c r="E61" s="30" t="str">
        <f t="shared" si="78"/>
        <v>7:0</v>
      </c>
      <c r="F61" s="30" t="s">
        <v>133</v>
      </c>
      <c r="G61" s="30" t="s">
        <v>133</v>
      </c>
      <c r="H61" s="45" t="s">
        <v>143</v>
      </c>
      <c r="I61" s="31" t="s">
        <v>68</v>
      </c>
      <c r="J61" s="32" t="s">
        <v>36</v>
      </c>
      <c r="K61" s="33" t="s">
        <v>6</v>
      </c>
      <c r="L61" s="46"/>
      <c r="M61" s="120"/>
      <c r="N61" s="120"/>
      <c r="O61" s="120"/>
      <c r="P61" s="122"/>
      <c r="Q61" s="122"/>
      <c r="R61" s="124"/>
      <c r="S61" s="124"/>
      <c r="T61" s="160"/>
      <c r="U61" s="157"/>
      <c r="V61" s="147"/>
      <c r="W61" s="150"/>
      <c r="X61" s="157"/>
      <c r="Y61" s="147"/>
      <c r="Z61" s="150"/>
      <c r="AA61" s="150"/>
      <c r="AB61" s="150"/>
      <c r="AC61" s="153"/>
      <c r="AD61" s="57">
        <f>ABS(BIN2DEC($AA57)*3-2)</f>
        <v>1</v>
      </c>
      <c r="AE61" s="57">
        <f>ABS(BIN2DEC($U57)*3-1)</f>
        <v>1</v>
      </c>
      <c r="AF61" s="57">
        <f>ABS( BIN2DEC(V57)*3-BIN2DEC(Z57))</f>
        <v>1</v>
      </c>
      <c r="AG61" s="57">
        <f>BIN2DEC(X57&amp;Y57)+BIN2DEC(W57)*3</f>
        <v>2</v>
      </c>
      <c r="AH61" s="57">
        <f t="shared" si="79"/>
        <v>21</v>
      </c>
    </row>
    <row r="62" spans="1:34" ht="15.75" customHeight="1">
      <c r="A62" s="141" t="str">
        <f>AC62</f>
        <v>vofc_dom0_quad0_quad2_sar0_slc3</v>
      </c>
      <c r="B62" s="143" t="str">
        <f>DEC2HEX(P62*4)</f>
        <v>0</v>
      </c>
      <c r="C62" s="56" t="s">
        <v>134</v>
      </c>
      <c r="D62" s="129" t="str">
        <f>bitConcat(F63:F66)</f>
        <v>32'b00000000000000000000000000000000</v>
      </c>
      <c r="E62" s="130"/>
      <c r="F62" s="130"/>
      <c r="G62" s="130"/>
      <c r="H62" s="131" t="s">
        <v>135</v>
      </c>
      <c r="I62" s="131"/>
      <c r="J62" s="131" t="str">
        <f>bitConcat(G63:G66)</f>
        <v>32'b00000000000000000000000000000000</v>
      </c>
      <c r="K62" s="131"/>
      <c r="L62" s="132"/>
      <c r="M62" s="119" t="str">
        <f>DEC2HEX(_xlfn.BITLSHIFT(HEX2DEC(Q62),2))</f>
        <v>40</v>
      </c>
      <c r="N62" s="119"/>
      <c r="O62" s="119">
        <v>0</v>
      </c>
      <c r="P62" s="121">
        <v>0</v>
      </c>
      <c r="Q62" s="121" t="str">
        <f>AB62</f>
        <v>10</v>
      </c>
      <c r="R62" s="123" t="str">
        <f t="shared" ref="R62" si="80">BIN2HEX(LEFT(RIGHT(D62,32),4))&amp;BIN2HEX(LEFT(RIGHT(D62,28),4))&amp;BIN2HEX(LEFT(RIGHT(D62,24),4))&amp;BIN2HEX(LEFT(RIGHT(D62,20),4))&amp;BIN2HEX(LEFT(RIGHT(D62,16),4))&amp;BIN2HEX(LEFT(RIGHT(D62,12),4))&amp;BIN2HEX(LEFT(RIGHT(D62,8),4))&amp;BIN2HEX(LEFT(RIGHT(D62,4),4))</f>
        <v>00000000</v>
      </c>
      <c r="S62" s="123" t="str">
        <f t="shared" ref="S62" si="81">BIN2HEX(LEFT(RIGHT(J62,32),4))&amp;BIN2HEX(LEFT(RIGHT(J62,28),4))&amp;BIN2HEX(LEFT(RIGHT(J62,24),4))&amp;BIN2HEX(LEFT(RIGHT(J62,20),4))&amp;BIN2HEX(LEFT(RIGHT(J62,16),4))&amp;BIN2HEX(LEFT(RIGHT(J62,12),4))&amp;BIN2HEX(LEFT(RIGHT(J62,8),4))&amp;BIN2HEX(LEFT(RIGHT(J62,4),4))</f>
        <v>00000000</v>
      </c>
      <c r="T62" s="160">
        <v>12</v>
      </c>
      <c r="U62" s="155" t="str">
        <f t="shared" ref="U62" si="82">LEFT(DEC2BIN(O62,2))</f>
        <v>0</v>
      </c>
      <c r="V62" s="145" t="str">
        <f t="shared" ref="V62" si="83">RIGHT(DEC2BIN(O62,2),1)</f>
        <v>0</v>
      </c>
      <c r="W62" s="148">
        <v>1</v>
      </c>
      <c r="X62" s="155">
        <v>0</v>
      </c>
      <c r="Y62" s="145">
        <v>0</v>
      </c>
      <c r="Z62" s="148">
        <v>0</v>
      </c>
      <c r="AA62" s="148">
        <v>0</v>
      </c>
      <c r="AB62" s="148" t="str">
        <f>BIN2HEX(U62&amp;V62&amp;W62&amp;X62&amp;Y62&amp;Z62&amp;AA62)</f>
        <v>10</v>
      </c>
      <c r="AC62" s="151" t="str">
        <f>CONCATENATE("vofc_dom",BIN2DEC(U62&amp;V62),"_quad",BIN2DEC(AA62),"_quad",BIN2DEC(AA62)+2,"_sar",ABS( BIN2DEC(V62)*3-BIN2DEC(Z62)),"_slc",BIN2DEC(X62&amp;Y62)+BIN2DEC(W62)*3)</f>
        <v>vofc_dom0_quad0_quad2_sar0_slc3</v>
      </c>
      <c r="AD62" s="57"/>
      <c r="AE62" s="57"/>
      <c r="AF62" s="57"/>
      <c r="AG62" s="57"/>
      <c r="AH62" s="57"/>
    </row>
    <row r="63" spans="1:34" ht="15" customHeight="1">
      <c r="A63" s="142"/>
      <c r="B63" s="144"/>
      <c r="C63" s="43" t="str">
        <f>CONCATENATE("sar",AD63+AE63*4+AF63*16,"_slc",AG63)</f>
        <v>sar0_slc3</v>
      </c>
      <c r="D63" s="44">
        <v>8</v>
      </c>
      <c r="E63" s="29" t="str">
        <f>IF(D63&gt;1,(31)&amp;":"&amp;(31-D63+1),(31-D63+1)&amp;":"&amp;(31-D63+1))</f>
        <v>31:24</v>
      </c>
      <c r="F63" s="30" t="s">
        <v>133</v>
      </c>
      <c r="G63" s="30" t="s">
        <v>133</v>
      </c>
      <c r="H63" s="45" t="s">
        <v>143</v>
      </c>
      <c r="I63" s="31" t="s">
        <v>68</v>
      </c>
      <c r="J63" s="32" t="s">
        <v>36</v>
      </c>
      <c r="K63" s="33" t="s">
        <v>6</v>
      </c>
      <c r="L63" s="46"/>
      <c r="M63" s="120"/>
      <c r="N63" s="120"/>
      <c r="O63" s="120"/>
      <c r="P63" s="122"/>
      <c r="Q63" s="122"/>
      <c r="R63" s="124"/>
      <c r="S63" s="124"/>
      <c r="T63" s="160"/>
      <c r="U63" s="156"/>
      <c r="V63" s="146"/>
      <c r="W63" s="149"/>
      <c r="X63" s="156"/>
      <c r="Y63" s="146"/>
      <c r="Z63" s="149"/>
      <c r="AA63" s="149"/>
      <c r="AB63" s="149"/>
      <c r="AC63" s="152"/>
      <c r="AD63" s="57">
        <f>BIN2DEC($AA62)*3</f>
        <v>0</v>
      </c>
      <c r="AE63" s="57">
        <f>ABS(BIN2DEC($U62)*3)</f>
        <v>0</v>
      </c>
      <c r="AF63" s="57">
        <f>ABS( BIN2DEC(V62)*3-BIN2DEC(Z62))</f>
        <v>0</v>
      </c>
      <c r="AG63" s="57">
        <f>BIN2DEC(X62&amp;Y62)+BIN2DEC(W62)*3</f>
        <v>3</v>
      </c>
      <c r="AH63" s="57">
        <f>AD63+AE63*4+AF63*16</f>
        <v>0</v>
      </c>
    </row>
    <row r="64" spans="1:34" ht="15" customHeight="1">
      <c r="A64" s="142"/>
      <c r="B64" s="144"/>
      <c r="C64" s="43" t="str">
        <f t="shared" ref="C64:C66" si="84">CONCATENATE("sar",AD64+AE64*4+AF64*16,"_slc",AG64)</f>
        <v>sar4_slc3</v>
      </c>
      <c r="D64" s="44">
        <v>8</v>
      </c>
      <c r="E64" s="30" t="str">
        <f t="shared" ref="E64:E66" si="85">(MID(str_cnvt(E63),SEARCH(":",str_cnvt(E63))+1,2)-1) &amp; ":" &amp; (MID(str_cnvt(E63),SEARCH(":",str_cnvt(E63))+1,2)-D64)</f>
        <v>23:16</v>
      </c>
      <c r="F64" s="30" t="s">
        <v>133</v>
      </c>
      <c r="G64" s="30" t="s">
        <v>133</v>
      </c>
      <c r="H64" s="45" t="s">
        <v>143</v>
      </c>
      <c r="I64" s="31" t="s">
        <v>68</v>
      </c>
      <c r="J64" s="32" t="s">
        <v>36</v>
      </c>
      <c r="K64" s="33" t="s">
        <v>6</v>
      </c>
      <c r="L64" s="46"/>
      <c r="M64" s="120"/>
      <c r="N64" s="120"/>
      <c r="O64" s="120"/>
      <c r="P64" s="122"/>
      <c r="Q64" s="122"/>
      <c r="R64" s="124"/>
      <c r="S64" s="124"/>
      <c r="T64" s="160"/>
      <c r="U64" s="156"/>
      <c r="V64" s="146"/>
      <c r="W64" s="149"/>
      <c r="X64" s="156"/>
      <c r="Y64" s="146"/>
      <c r="Z64" s="149"/>
      <c r="AA64" s="149"/>
      <c r="AB64" s="149"/>
      <c r="AC64" s="152"/>
      <c r="AD64" s="57">
        <f>BIN2DEC($AA62)*3</f>
        <v>0</v>
      </c>
      <c r="AE64" s="57">
        <f>ABS(BIN2DEC($U63)*3-1)</f>
        <v>1</v>
      </c>
      <c r="AF64" s="57">
        <f>ABS( BIN2DEC(V62)*3-BIN2DEC(Z62))</f>
        <v>0</v>
      </c>
      <c r="AG64" s="57">
        <f>BIN2DEC(X62&amp;Y62)+BIN2DEC(W62)*3</f>
        <v>3</v>
      </c>
      <c r="AH64" s="57">
        <f t="shared" ref="AH64:AH66" si="86">AD64+AE64*4+AF64*16</f>
        <v>4</v>
      </c>
    </row>
    <row r="65" spans="1:34" ht="15" customHeight="1">
      <c r="A65" s="142"/>
      <c r="B65" s="144"/>
      <c r="C65" s="43" t="str">
        <f t="shared" si="84"/>
        <v>sar2_slc3</v>
      </c>
      <c r="D65" s="44">
        <v>8</v>
      </c>
      <c r="E65" s="30" t="str">
        <f t="shared" si="85"/>
        <v>15:8</v>
      </c>
      <c r="F65" s="30" t="s">
        <v>133</v>
      </c>
      <c r="G65" s="30" t="s">
        <v>133</v>
      </c>
      <c r="H65" s="45" t="s">
        <v>143</v>
      </c>
      <c r="I65" s="31" t="s">
        <v>68</v>
      </c>
      <c r="J65" s="32" t="s">
        <v>36</v>
      </c>
      <c r="K65" s="33" t="s">
        <v>6</v>
      </c>
      <c r="L65" s="46"/>
      <c r="M65" s="120"/>
      <c r="N65" s="120"/>
      <c r="O65" s="120"/>
      <c r="P65" s="122"/>
      <c r="Q65" s="122"/>
      <c r="R65" s="124"/>
      <c r="S65" s="124"/>
      <c r="T65" s="160"/>
      <c r="U65" s="156"/>
      <c r="V65" s="146"/>
      <c r="W65" s="149"/>
      <c r="X65" s="156"/>
      <c r="Y65" s="146"/>
      <c r="Z65" s="149"/>
      <c r="AA65" s="149"/>
      <c r="AB65" s="149"/>
      <c r="AC65" s="152"/>
      <c r="AD65" s="57">
        <f>ABS(BIN2DEC($AA62)*3-2)</f>
        <v>2</v>
      </c>
      <c r="AE65" s="57">
        <f>ABS(BIN2DEC($U62)*3)</f>
        <v>0</v>
      </c>
      <c r="AF65" s="57">
        <f>ABS( BIN2DEC(V62)*3-BIN2DEC(Z62))</f>
        <v>0</v>
      </c>
      <c r="AG65" s="57">
        <f>BIN2DEC(X62&amp;Y62)+BIN2DEC(W62)*3</f>
        <v>3</v>
      </c>
      <c r="AH65" s="57">
        <f t="shared" si="86"/>
        <v>2</v>
      </c>
    </row>
    <row r="66" spans="1:34" ht="15.75" customHeight="1" thickBot="1">
      <c r="A66" s="142"/>
      <c r="B66" s="144"/>
      <c r="C66" s="43" t="str">
        <f t="shared" si="84"/>
        <v>sar6_slc3</v>
      </c>
      <c r="D66" s="44">
        <v>8</v>
      </c>
      <c r="E66" s="30" t="str">
        <f t="shared" si="85"/>
        <v>7:0</v>
      </c>
      <c r="F66" s="30" t="s">
        <v>133</v>
      </c>
      <c r="G66" s="30" t="s">
        <v>133</v>
      </c>
      <c r="H66" s="45" t="s">
        <v>143</v>
      </c>
      <c r="I66" s="31" t="s">
        <v>68</v>
      </c>
      <c r="J66" s="32" t="s">
        <v>36</v>
      </c>
      <c r="K66" s="33" t="s">
        <v>6</v>
      </c>
      <c r="L66" s="46"/>
      <c r="M66" s="120"/>
      <c r="N66" s="120"/>
      <c r="O66" s="120"/>
      <c r="P66" s="122"/>
      <c r="Q66" s="122"/>
      <c r="R66" s="124"/>
      <c r="S66" s="124"/>
      <c r="T66" s="160"/>
      <c r="U66" s="157"/>
      <c r="V66" s="147"/>
      <c r="W66" s="150"/>
      <c r="X66" s="157"/>
      <c r="Y66" s="147"/>
      <c r="Z66" s="150"/>
      <c r="AA66" s="150"/>
      <c r="AB66" s="150"/>
      <c r="AC66" s="153"/>
      <c r="AD66" s="57">
        <f>ABS(BIN2DEC($AA62)*3-2)</f>
        <v>2</v>
      </c>
      <c r="AE66" s="57">
        <f>ABS(BIN2DEC($U62)*3-1)</f>
        <v>1</v>
      </c>
      <c r="AF66" s="57">
        <f>ABS( BIN2DEC(V62)*3-BIN2DEC(Z62))</f>
        <v>0</v>
      </c>
      <c r="AG66" s="57">
        <f>BIN2DEC(X62&amp;Y62)+BIN2DEC(W62)*3</f>
        <v>3</v>
      </c>
      <c r="AH66" s="57">
        <f t="shared" si="86"/>
        <v>6</v>
      </c>
    </row>
    <row r="67" spans="1:34" ht="15.75" customHeight="1">
      <c r="A67" s="141" t="str">
        <f>AC67</f>
        <v>vofc_dom0_quad1_quad3_sar0_slc3</v>
      </c>
      <c r="B67" s="143" t="str">
        <f>DEC2HEX(P67*4)</f>
        <v>0</v>
      </c>
      <c r="C67" s="56" t="s">
        <v>134</v>
      </c>
      <c r="D67" s="129" t="str">
        <f>bitConcat(F68:F71)</f>
        <v>32'b00000000000000000000000000000000</v>
      </c>
      <c r="E67" s="130"/>
      <c r="F67" s="130"/>
      <c r="G67" s="130"/>
      <c r="H67" s="131" t="s">
        <v>135</v>
      </c>
      <c r="I67" s="131"/>
      <c r="J67" s="131" t="str">
        <f>bitConcat(G68:G71)</f>
        <v>32'b00000000000000000000000000000000</v>
      </c>
      <c r="K67" s="131"/>
      <c r="L67" s="132"/>
      <c r="M67" s="119" t="str">
        <f>DEC2HEX(_xlfn.BITLSHIFT(HEX2DEC(Q67),2))</f>
        <v>44</v>
      </c>
      <c r="N67" s="119"/>
      <c r="O67" s="119">
        <v>0</v>
      </c>
      <c r="P67" s="121">
        <v>0</v>
      </c>
      <c r="Q67" s="121" t="str">
        <f>AB67</f>
        <v>11</v>
      </c>
      <c r="R67" s="123" t="str">
        <f t="shared" ref="R67" si="87">BIN2HEX(LEFT(RIGHT(D67,32),4))&amp;BIN2HEX(LEFT(RIGHT(D67,28),4))&amp;BIN2HEX(LEFT(RIGHT(D67,24),4))&amp;BIN2HEX(LEFT(RIGHT(D67,20),4))&amp;BIN2HEX(LEFT(RIGHT(D67,16),4))&amp;BIN2HEX(LEFT(RIGHT(D67,12),4))&amp;BIN2HEX(LEFT(RIGHT(D67,8),4))&amp;BIN2HEX(LEFT(RIGHT(D67,4),4))</f>
        <v>00000000</v>
      </c>
      <c r="S67" s="123" t="str">
        <f t="shared" ref="S67" si="88">BIN2HEX(LEFT(RIGHT(J67,32),4))&amp;BIN2HEX(LEFT(RIGHT(J67,28),4))&amp;BIN2HEX(LEFT(RIGHT(J67,24),4))&amp;BIN2HEX(LEFT(RIGHT(J67,20),4))&amp;BIN2HEX(LEFT(RIGHT(J67,16),4))&amp;BIN2HEX(LEFT(RIGHT(J67,12),4))&amp;BIN2HEX(LEFT(RIGHT(J67,8),4))&amp;BIN2HEX(LEFT(RIGHT(J67,4),4))</f>
        <v>00000000</v>
      </c>
      <c r="T67" s="160">
        <v>13</v>
      </c>
      <c r="U67" s="155" t="str">
        <f t="shared" ref="U67" si="89">LEFT(DEC2BIN(O67,2))</f>
        <v>0</v>
      </c>
      <c r="V67" s="145" t="str">
        <f t="shared" ref="V67" si="90">RIGHT(DEC2BIN(O67,2),1)</f>
        <v>0</v>
      </c>
      <c r="W67" s="148">
        <v>1</v>
      </c>
      <c r="X67" s="155">
        <v>0</v>
      </c>
      <c r="Y67" s="145">
        <v>0</v>
      </c>
      <c r="Z67" s="148">
        <v>0</v>
      </c>
      <c r="AA67" s="148">
        <v>1</v>
      </c>
      <c r="AB67" s="148" t="str">
        <f>BIN2HEX(U67&amp;V67&amp;W67&amp;X67&amp;Y67&amp;Z67&amp;AA67)</f>
        <v>11</v>
      </c>
      <c r="AC67" s="151" t="str">
        <f>CONCATENATE("vofc_dom",BIN2DEC(U67&amp;V67),"_quad",BIN2DEC(AA67),"_quad",BIN2DEC(AA67)+2,"_sar",ABS( BIN2DEC(V67)*3-BIN2DEC(Z67)),"_slc",BIN2DEC(X67&amp;Y67)+BIN2DEC(W67)*3)</f>
        <v>vofc_dom0_quad1_quad3_sar0_slc3</v>
      </c>
      <c r="AD67" s="57"/>
      <c r="AE67" s="57"/>
      <c r="AF67" s="57"/>
      <c r="AG67" s="57"/>
      <c r="AH67" s="57"/>
    </row>
    <row r="68" spans="1:34" ht="15" customHeight="1">
      <c r="A68" s="142"/>
      <c r="B68" s="144"/>
      <c r="C68" s="43" t="str">
        <f>CONCATENATE("sar",AD68+AE68*4+AF68*16,"_slc",AG68)</f>
        <v>sar3_slc3</v>
      </c>
      <c r="D68" s="44">
        <v>8</v>
      </c>
      <c r="E68" s="29" t="str">
        <f>IF(D68&gt;1,(31)&amp;":"&amp;(31-D68+1),(31-D68+1)&amp;":"&amp;(31-D68+1))</f>
        <v>31:24</v>
      </c>
      <c r="F68" s="30" t="s">
        <v>133</v>
      </c>
      <c r="G68" s="30" t="s">
        <v>133</v>
      </c>
      <c r="H68" s="45" t="s">
        <v>143</v>
      </c>
      <c r="I68" s="31" t="s">
        <v>68</v>
      </c>
      <c r="J68" s="32" t="s">
        <v>36</v>
      </c>
      <c r="K68" s="33" t="s">
        <v>6</v>
      </c>
      <c r="L68" s="46"/>
      <c r="M68" s="120"/>
      <c r="N68" s="120"/>
      <c r="O68" s="120"/>
      <c r="P68" s="122"/>
      <c r="Q68" s="122"/>
      <c r="R68" s="124"/>
      <c r="S68" s="124"/>
      <c r="T68" s="160"/>
      <c r="U68" s="156"/>
      <c r="V68" s="146"/>
      <c r="W68" s="149"/>
      <c r="X68" s="156"/>
      <c r="Y68" s="146"/>
      <c r="Z68" s="149"/>
      <c r="AA68" s="149"/>
      <c r="AB68" s="149"/>
      <c r="AC68" s="152"/>
      <c r="AD68" s="57">
        <f>BIN2DEC($AA67)*3</f>
        <v>3</v>
      </c>
      <c r="AE68" s="57">
        <f>ABS(BIN2DEC($U67)*3)</f>
        <v>0</v>
      </c>
      <c r="AF68" s="57">
        <f>ABS( BIN2DEC(V67)*3-BIN2DEC(Z67))</f>
        <v>0</v>
      </c>
      <c r="AG68" s="57">
        <f>BIN2DEC(X67&amp;Y67)+BIN2DEC(W67)*3</f>
        <v>3</v>
      </c>
      <c r="AH68" s="57">
        <f>AD68+AE68*4+AF68*16</f>
        <v>3</v>
      </c>
    </row>
    <row r="69" spans="1:34" ht="15" customHeight="1">
      <c r="A69" s="142"/>
      <c r="B69" s="144"/>
      <c r="C69" s="43" t="str">
        <f t="shared" ref="C69:C71" si="91">CONCATENATE("sar",AD69+AE69*4+AF69*16,"_slc",AG69)</f>
        <v>sar7_slc3</v>
      </c>
      <c r="D69" s="44">
        <v>8</v>
      </c>
      <c r="E69" s="30" t="str">
        <f t="shared" ref="E69:E71" si="92">(MID(str_cnvt(E68),SEARCH(":",str_cnvt(E68))+1,2)-1) &amp; ":" &amp; (MID(str_cnvt(E68),SEARCH(":",str_cnvt(E68))+1,2)-D69)</f>
        <v>23:16</v>
      </c>
      <c r="F69" s="30" t="s">
        <v>133</v>
      </c>
      <c r="G69" s="30" t="s">
        <v>133</v>
      </c>
      <c r="H69" s="45" t="s">
        <v>143</v>
      </c>
      <c r="I69" s="31" t="s">
        <v>68</v>
      </c>
      <c r="J69" s="32" t="s">
        <v>36</v>
      </c>
      <c r="K69" s="33" t="s">
        <v>6</v>
      </c>
      <c r="L69" s="46"/>
      <c r="M69" s="120"/>
      <c r="N69" s="120"/>
      <c r="O69" s="120"/>
      <c r="P69" s="122"/>
      <c r="Q69" s="122"/>
      <c r="R69" s="124"/>
      <c r="S69" s="124"/>
      <c r="T69" s="160"/>
      <c r="U69" s="156"/>
      <c r="V69" s="146"/>
      <c r="W69" s="149"/>
      <c r="X69" s="156"/>
      <c r="Y69" s="146"/>
      <c r="Z69" s="149"/>
      <c r="AA69" s="149"/>
      <c r="AB69" s="149"/>
      <c r="AC69" s="152"/>
      <c r="AD69" s="57">
        <f>BIN2DEC($AA67)*3</f>
        <v>3</v>
      </c>
      <c r="AE69" s="57">
        <f>ABS(BIN2DEC($U68)*3-1)</f>
        <v>1</v>
      </c>
      <c r="AF69" s="57">
        <f>ABS( BIN2DEC(V67)*3-BIN2DEC(Z67))</f>
        <v>0</v>
      </c>
      <c r="AG69" s="57">
        <f>BIN2DEC(X67&amp;Y67)+BIN2DEC(W67)*3</f>
        <v>3</v>
      </c>
      <c r="AH69" s="57">
        <f t="shared" ref="AH69:AH71" si="93">AD69+AE69*4+AF69*16</f>
        <v>7</v>
      </c>
    </row>
    <row r="70" spans="1:34" ht="15" customHeight="1">
      <c r="A70" s="142"/>
      <c r="B70" s="144"/>
      <c r="C70" s="43" t="str">
        <f t="shared" si="91"/>
        <v>sar1_slc3</v>
      </c>
      <c r="D70" s="44">
        <v>8</v>
      </c>
      <c r="E70" s="30" t="str">
        <f t="shared" si="92"/>
        <v>15:8</v>
      </c>
      <c r="F70" s="30" t="s">
        <v>133</v>
      </c>
      <c r="G70" s="30" t="s">
        <v>133</v>
      </c>
      <c r="H70" s="45" t="s">
        <v>143</v>
      </c>
      <c r="I70" s="31" t="s">
        <v>68</v>
      </c>
      <c r="J70" s="32" t="s">
        <v>36</v>
      </c>
      <c r="K70" s="33" t="s">
        <v>6</v>
      </c>
      <c r="L70" s="46"/>
      <c r="M70" s="120"/>
      <c r="N70" s="120"/>
      <c r="O70" s="120"/>
      <c r="P70" s="122"/>
      <c r="Q70" s="122"/>
      <c r="R70" s="124"/>
      <c r="S70" s="124"/>
      <c r="T70" s="160"/>
      <c r="U70" s="156"/>
      <c r="V70" s="146"/>
      <c r="W70" s="149"/>
      <c r="X70" s="156"/>
      <c r="Y70" s="146"/>
      <c r="Z70" s="149"/>
      <c r="AA70" s="149"/>
      <c r="AB70" s="149"/>
      <c r="AC70" s="152"/>
      <c r="AD70" s="57">
        <f>ABS(BIN2DEC($AA67)*3-2)</f>
        <v>1</v>
      </c>
      <c r="AE70" s="57">
        <f>ABS(BIN2DEC($U67)*3)</f>
        <v>0</v>
      </c>
      <c r="AF70" s="57">
        <f>ABS( BIN2DEC(V67)*3-BIN2DEC(Z67))</f>
        <v>0</v>
      </c>
      <c r="AG70" s="57">
        <f>BIN2DEC(X67&amp;Y67)+BIN2DEC(W67)*3</f>
        <v>3</v>
      </c>
      <c r="AH70" s="57">
        <f t="shared" si="93"/>
        <v>1</v>
      </c>
    </row>
    <row r="71" spans="1:34" ht="15.75" customHeight="1" thickBot="1">
      <c r="A71" s="142"/>
      <c r="B71" s="144"/>
      <c r="C71" s="43" t="str">
        <f t="shared" si="91"/>
        <v>sar5_slc3</v>
      </c>
      <c r="D71" s="44">
        <v>8</v>
      </c>
      <c r="E71" s="30" t="str">
        <f t="shared" si="92"/>
        <v>7:0</v>
      </c>
      <c r="F71" s="30" t="s">
        <v>133</v>
      </c>
      <c r="G71" s="30" t="s">
        <v>133</v>
      </c>
      <c r="H71" s="45" t="s">
        <v>143</v>
      </c>
      <c r="I71" s="31" t="s">
        <v>68</v>
      </c>
      <c r="J71" s="32" t="s">
        <v>36</v>
      </c>
      <c r="K71" s="33" t="s">
        <v>6</v>
      </c>
      <c r="L71" s="46"/>
      <c r="M71" s="120"/>
      <c r="N71" s="120"/>
      <c r="O71" s="120"/>
      <c r="P71" s="122"/>
      <c r="Q71" s="122"/>
      <c r="R71" s="124"/>
      <c r="S71" s="124"/>
      <c r="T71" s="160"/>
      <c r="U71" s="157"/>
      <c r="V71" s="147"/>
      <c r="W71" s="150"/>
      <c r="X71" s="157"/>
      <c r="Y71" s="147"/>
      <c r="Z71" s="150"/>
      <c r="AA71" s="150"/>
      <c r="AB71" s="150"/>
      <c r="AC71" s="153"/>
      <c r="AD71" s="57">
        <f>ABS(BIN2DEC($AA67)*3-2)</f>
        <v>1</v>
      </c>
      <c r="AE71" s="57">
        <f>ABS(BIN2DEC($U67)*3-1)</f>
        <v>1</v>
      </c>
      <c r="AF71" s="57">
        <f>ABS( BIN2DEC(V67)*3-BIN2DEC(Z67))</f>
        <v>0</v>
      </c>
      <c r="AG71" s="57">
        <f>BIN2DEC(X67&amp;Y67)+BIN2DEC(W67)*3</f>
        <v>3</v>
      </c>
      <c r="AH71" s="57">
        <f t="shared" si="93"/>
        <v>5</v>
      </c>
    </row>
    <row r="72" spans="1:34" ht="15.75" customHeight="1">
      <c r="A72" s="141" t="str">
        <f>AC72</f>
        <v>vofc_dom0_quad0_quad2_sar1_slc3</v>
      </c>
      <c r="B72" s="143" t="str">
        <f>DEC2HEX(P72*4)</f>
        <v>0</v>
      </c>
      <c r="C72" s="56" t="s">
        <v>134</v>
      </c>
      <c r="D72" s="129" t="str">
        <f>bitConcat(F73:F76)</f>
        <v>32'b00000000000000000000000000000000</v>
      </c>
      <c r="E72" s="130"/>
      <c r="F72" s="130"/>
      <c r="G72" s="130"/>
      <c r="H72" s="131" t="s">
        <v>135</v>
      </c>
      <c r="I72" s="131"/>
      <c r="J72" s="131" t="str">
        <f>bitConcat(G73:G76)</f>
        <v>32'b00000000000000000000000000000000</v>
      </c>
      <c r="K72" s="131"/>
      <c r="L72" s="132"/>
      <c r="M72" s="119" t="str">
        <f>DEC2HEX(_xlfn.BITLSHIFT(HEX2DEC(Q72),2))</f>
        <v>48</v>
      </c>
      <c r="N72" s="119"/>
      <c r="O72" s="119">
        <v>0</v>
      </c>
      <c r="P72" s="121">
        <v>0</v>
      </c>
      <c r="Q72" s="121" t="str">
        <f>AB72</f>
        <v>12</v>
      </c>
      <c r="R72" s="123" t="str">
        <f t="shared" ref="R72" si="94">BIN2HEX(LEFT(RIGHT(D72,32),4))&amp;BIN2HEX(LEFT(RIGHT(D72,28),4))&amp;BIN2HEX(LEFT(RIGHT(D72,24),4))&amp;BIN2HEX(LEFT(RIGHT(D72,20),4))&amp;BIN2HEX(LEFT(RIGHT(D72,16),4))&amp;BIN2HEX(LEFT(RIGHT(D72,12),4))&amp;BIN2HEX(LEFT(RIGHT(D72,8),4))&amp;BIN2HEX(LEFT(RIGHT(D72,4),4))</f>
        <v>00000000</v>
      </c>
      <c r="S72" s="123" t="str">
        <f t="shared" ref="S72" si="95">BIN2HEX(LEFT(RIGHT(J72,32),4))&amp;BIN2HEX(LEFT(RIGHT(J72,28),4))&amp;BIN2HEX(LEFT(RIGHT(J72,24),4))&amp;BIN2HEX(LEFT(RIGHT(J72,20),4))&amp;BIN2HEX(LEFT(RIGHT(J72,16),4))&amp;BIN2HEX(LEFT(RIGHT(J72,12),4))&amp;BIN2HEX(LEFT(RIGHT(J72,8),4))&amp;BIN2HEX(LEFT(RIGHT(J72,4),4))</f>
        <v>00000000</v>
      </c>
      <c r="T72" s="160">
        <v>14</v>
      </c>
      <c r="U72" s="155" t="str">
        <f t="shared" ref="U72" si="96">LEFT(DEC2BIN(O72,2))</f>
        <v>0</v>
      </c>
      <c r="V72" s="145" t="str">
        <f t="shared" ref="V72" si="97">RIGHT(DEC2BIN(O72,2),1)</f>
        <v>0</v>
      </c>
      <c r="W72" s="148">
        <v>1</v>
      </c>
      <c r="X72" s="155">
        <v>0</v>
      </c>
      <c r="Y72" s="145">
        <v>0</v>
      </c>
      <c r="Z72" s="148">
        <v>1</v>
      </c>
      <c r="AA72" s="148">
        <v>0</v>
      </c>
      <c r="AB72" s="148" t="str">
        <f>BIN2HEX(U72&amp;V72&amp;W72&amp;X72&amp;Y72&amp;Z72&amp;AA72)</f>
        <v>12</v>
      </c>
      <c r="AC72" s="151" t="str">
        <f>CONCATENATE("vofc_dom",BIN2DEC(U72&amp;V72),"_quad",BIN2DEC(AA72),"_quad",BIN2DEC(AA72)+2,"_sar",ABS( BIN2DEC(V72)*3-BIN2DEC(Z72)),"_slc",BIN2DEC(X72&amp;Y72)+BIN2DEC(W72)*3)</f>
        <v>vofc_dom0_quad0_quad2_sar1_slc3</v>
      </c>
      <c r="AD72" s="57"/>
      <c r="AE72" s="57"/>
      <c r="AF72" s="57"/>
      <c r="AG72" s="57"/>
      <c r="AH72" s="57"/>
    </row>
    <row r="73" spans="1:34" ht="15" customHeight="1">
      <c r="A73" s="142"/>
      <c r="B73" s="144"/>
      <c r="C73" s="43" t="str">
        <f>CONCATENATE("sar",AD73+AE73*4+AF73*16,"_slc",AG73)</f>
        <v>sar16_slc3</v>
      </c>
      <c r="D73" s="44">
        <v>8</v>
      </c>
      <c r="E73" s="29" t="str">
        <f>IF(D73&gt;1,(31)&amp;":"&amp;(31-D73+1),(31-D73+1)&amp;":"&amp;(31-D73+1))</f>
        <v>31:24</v>
      </c>
      <c r="F73" s="30" t="s">
        <v>133</v>
      </c>
      <c r="G73" s="30" t="s">
        <v>133</v>
      </c>
      <c r="H73" s="45" t="s">
        <v>143</v>
      </c>
      <c r="I73" s="31" t="s">
        <v>68</v>
      </c>
      <c r="J73" s="32" t="s">
        <v>36</v>
      </c>
      <c r="K73" s="33" t="s">
        <v>6</v>
      </c>
      <c r="L73" s="46"/>
      <c r="M73" s="120"/>
      <c r="N73" s="120"/>
      <c r="O73" s="120"/>
      <c r="P73" s="122"/>
      <c r="Q73" s="122"/>
      <c r="R73" s="124"/>
      <c r="S73" s="124"/>
      <c r="T73" s="160"/>
      <c r="U73" s="156"/>
      <c r="V73" s="146"/>
      <c r="W73" s="149"/>
      <c r="X73" s="156"/>
      <c r="Y73" s="146"/>
      <c r="Z73" s="149"/>
      <c r="AA73" s="149"/>
      <c r="AB73" s="149"/>
      <c r="AC73" s="152"/>
      <c r="AD73" s="57">
        <f>BIN2DEC($AA72)*3</f>
        <v>0</v>
      </c>
      <c r="AE73" s="57">
        <f>ABS(BIN2DEC($U72)*3)</f>
        <v>0</v>
      </c>
      <c r="AF73" s="57">
        <f>ABS( BIN2DEC(V72)*3-BIN2DEC(Z72))</f>
        <v>1</v>
      </c>
      <c r="AG73" s="57">
        <f>BIN2DEC(X72&amp;Y72)+BIN2DEC(W72)*3</f>
        <v>3</v>
      </c>
      <c r="AH73" s="57">
        <f>AD73+AE73*4+AF73*16</f>
        <v>16</v>
      </c>
    </row>
    <row r="74" spans="1:34" ht="15" customHeight="1">
      <c r="A74" s="142"/>
      <c r="B74" s="144"/>
      <c r="C74" s="43" t="str">
        <f t="shared" ref="C74:C76" si="98">CONCATENATE("sar",AD74+AE74*4+AF74*16,"_slc",AG74)</f>
        <v>sar20_slc3</v>
      </c>
      <c r="D74" s="44">
        <v>8</v>
      </c>
      <c r="E74" s="30" t="str">
        <f t="shared" ref="E74:E76" si="99">(MID(str_cnvt(E73),SEARCH(":",str_cnvt(E73))+1,2)-1) &amp; ":" &amp; (MID(str_cnvt(E73),SEARCH(":",str_cnvt(E73))+1,2)-D74)</f>
        <v>23:16</v>
      </c>
      <c r="F74" s="30" t="s">
        <v>133</v>
      </c>
      <c r="G74" s="30" t="s">
        <v>133</v>
      </c>
      <c r="H74" s="45" t="s">
        <v>143</v>
      </c>
      <c r="I74" s="31" t="s">
        <v>68</v>
      </c>
      <c r="J74" s="32" t="s">
        <v>36</v>
      </c>
      <c r="K74" s="33" t="s">
        <v>6</v>
      </c>
      <c r="L74" s="46"/>
      <c r="M74" s="120"/>
      <c r="N74" s="120"/>
      <c r="O74" s="120"/>
      <c r="P74" s="122"/>
      <c r="Q74" s="122"/>
      <c r="R74" s="124"/>
      <c r="S74" s="124"/>
      <c r="T74" s="160"/>
      <c r="U74" s="156"/>
      <c r="V74" s="146"/>
      <c r="W74" s="149"/>
      <c r="X74" s="156"/>
      <c r="Y74" s="146"/>
      <c r="Z74" s="149"/>
      <c r="AA74" s="149"/>
      <c r="AB74" s="149"/>
      <c r="AC74" s="152"/>
      <c r="AD74" s="57">
        <f>BIN2DEC($AA72)*3</f>
        <v>0</v>
      </c>
      <c r="AE74" s="57">
        <f>ABS(BIN2DEC($U73)*3-1)</f>
        <v>1</v>
      </c>
      <c r="AF74" s="57">
        <f>ABS( BIN2DEC(V72)*3-BIN2DEC(Z72))</f>
        <v>1</v>
      </c>
      <c r="AG74" s="57">
        <f>BIN2DEC(X72&amp;Y72)+BIN2DEC(W72)*3</f>
        <v>3</v>
      </c>
      <c r="AH74" s="57">
        <f t="shared" ref="AH74:AH76" si="100">AD74+AE74*4+AF74*16</f>
        <v>20</v>
      </c>
    </row>
    <row r="75" spans="1:34" ht="15" customHeight="1">
      <c r="A75" s="142"/>
      <c r="B75" s="144"/>
      <c r="C75" s="43" t="str">
        <f t="shared" si="98"/>
        <v>sar18_slc3</v>
      </c>
      <c r="D75" s="44">
        <v>8</v>
      </c>
      <c r="E75" s="30" t="str">
        <f t="shared" si="99"/>
        <v>15:8</v>
      </c>
      <c r="F75" s="30" t="s">
        <v>133</v>
      </c>
      <c r="G75" s="30" t="s">
        <v>133</v>
      </c>
      <c r="H75" s="45" t="s">
        <v>143</v>
      </c>
      <c r="I75" s="31" t="s">
        <v>68</v>
      </c>
      <c r="J75" s="32" t="s">
        <v>36</v>
      </c>
      <c r="K75" s="33" t="s">
        <v>6</v>
      </c>
      <c r="L75" s="46"/>
      <c r="M75" s="120"/>
      <c r="N75" s="120"/>
      <c r="O75" s="120"/>
      <c r="P75" s="122"/>
      <c r="Q75" s="122"/>
      <c r="R75" s="124"/>
      <c r="S75" s="124"/>
      <c r="T75" s="160"/>
      <c r="U75" s="156"/>
      <c r="V75" s="146"/>
      <c r="W75" s="149"/>
      <c r="X75" s="156"/>
      <c r="Y75" s="146"/>
      <c r="Z75" s="149"/>
      <c r="AA75" s="149"/>
      <c r="AB75" s="149"/>
      <c r="AC75" s="152"/>
      <c r="AD75" s="57">
        <f>ABS(BIN2DEC($AA72)*3-2)</f>
        <v>2</v>
      </c>
      <c r="AE75" s="57">
        <f>ABS(BIN2DEC($U72)*3)</f>
        <v>0</v>
      </c>
      <c r="AF75" s="57">
        <f>ABS( BIN2DEC(V72)*3-BIN2DEC(Z72))</f>
        <v>1</v>
      </c>
      <c r="AG75" s="57">
        <f>BIN2DEC(X72&amp;Y72)+BIN2DEC(W72)*3</f>
        <v>3</v>
      </c>
      <c r="AH75" s="57">
        <f t="shared" si="100"/>
        <v>18</v>
      </c>
    </row>
    <row r="76" spans="1:34" ht="15.75" customHeight="1" thickBot="1">
      <c r="A76" s="142"/>
      <c r="B76" s="144"/>
      <c r="C76" s="43" t="str">
        <f t="shared" si="98"/>
        <v>sar22_slc3</v>
      </c>
      <c r="D76" s="44">
        <v>8</v>
      </c>
      <c r="E76" s="30" t="str">
        <f t="shared" si="99"/>
        <v>7:0</v>
      </c>
      <c r="F76" s="30" t="s">
        <v>133</v>
      </c>
      <c r="G76" s="30" t="s">
        <v>133</v>
      </c>
      <c r="H76" s="45" t="s">
        <v>143</v>
      </c>
      <c r="I76" s="31" t="s">
        <v>68</v>
      </c>
      <c r="J76" s="32" t="s">
        <v>36</v>
      </c>
      <c r="K76" s="33" t="s">
        <v>6</v>
      </c>
      <c r="L76" s="46"/>
      <c r="M76" s="120"/>
      <c r="N76" s="120"/>
      <c r="O76" s="120"/>
      <c r="P76" s="122"/>
      <c r="Q76" s="122"/>
      <c r="R76" s="124"/>
      <c r="S76" s="124"/>
      <c r="T76" s="160"/>
      <c r="U76" s="157"/>
      <c r="V76" s="147"/>
      <c r="W76" s="150"/>
      <c r="X76" s="157"/>
      <c r="Y76" s="147"/>
      <c r="Z76" s="150"/>
      <c r="AA76" s="150"/>
      <c r="AB76" s="150"/>
      <c r="AC76" s="153"/>
      <c r="AD76" s="57">
        <f>ABS(BIN2DEC($AA72)*3-2)</f>
        <v>2</v>
      </c>
      <c r="AE76" s="57">
        <f>ABS(BIN2DEC($U72)*3-1)</f>
        <v>1</v>
      </c>
      <c r="AF76" s="57">
        <f>ABS( BIN2DEC(V72)*3-BIN2DEC(Z72))</f>
        <v>1</v>
      </c>
      <c r="AG76" s="57">
        <f>BIN2DEC(X72&amp;Y72)+BIN2DEC(W72)*3</f>
        <v>3</v>
      </c>
      <c r="AH76" s="57">
        <f t="shared" si="100"/>
        <v>22</v>
      </c>
    </row>
    <row r="77" spans="1:34" ht="15.75" customHeight="1">
      <c r="A77" s="141" t="str">
        <f>AC77</f>
        <v>vofc_dom0_quad1_quad3_sar1_slc3</v>
      </c>
      <c r="B77" s="143" t="str">
        <f>DEC2HEX(P77*4)</f>
        <v>0</v>
      </c>
      <c r="C77" s="56" t="s">
        <v>134</v>
      </c>
      <c r="D77" s="129" t="str">
        <f>bitConcat(F78:F81)</f>
        <v>32'b00000000000000000000000000000000</v>
      </c>
      <c r="E77" s="130"/>
      <c r="F77" s="130"/>
      <c r="G77" s="130"/>
      <c r="H77" s="131" t="s">
        <v>135</v>
      </c>
      <c r="I77" s="131"/>
      <c r="J77" s="131" t="str">
        <f>bitConcat(G78:G81)</f>
        <v>32'b00000000000000000000000000000000</v>
      </c>
      <c r="K77" s="131"/>
      <c r="L77" s="132"/>
      <c r="M77" s="119" t="str">
        <f>DEC2HEX(_xlfn.BITLSHIFT(HEX2DEC(Q77),2))</f>
        <v>4C</v>
      </c>
      <c r="N77" s="119"/>
      <c r="O77" s="119">
        <v>0</v>
      </c>
      <c r="P77" s="121">
        <v>0</v>
      </c>
      <c r="Q77" s="121" t="str">
        <f>AB77</f>
        <v>13</v>
      </c>
      <c r="R77" s="123" t="str">
        <f t="shared" ref="R77" si="101">BIN2HEX(LEFT(RIGHT(D77,32),4))&amp;BIN2HEX(LEFT(RIGHT(D77,28),4))&amp;BIN2HEX(LEFT(RIGHT(D77,24),4))&amp;BIN2HEX(LEFT(RIGHT(D77,20),4))&amp;BIN2HEX(LEFT(RIGHT(D77,16),4))&amp;BIN2HEX(LEFT(RIGHT(D77,12),4))&amp;BIN2HEX(LEFT(RIGHT(D77,8),4))&amp;BIN2HEX(LEFT(RIGHT(D77,4),4))</f>
        <v>00000000</v>
      </c>
      <c r="S77" s="123" t="str">
        <f t="shared" ref="S77" si="102">BIN2HEX(LEFT(RIGHT(J77,32),4))&amp;BIN2HEX(LEFT(RIGHT(J77,28),4))&amp;BIN2HEX(LEFT(RIGHT(J77,24),4))&amp;BIN2HEX(LEFT(RIGHT(J77,20),4))&amp;BIN2HEX(LEFT(RIGHT(J77,16),4))&amp;BIN2HEX(LEFT(RIGHT(J77,12),4))&amp;BIN2HEX(LEFT(RIGHT(J77,8),4))&amp;BIN2HEX(LEFT(RIGHT(J77,4),4))</f>
        <v>00000000</v>
      </c>
      <c r="T77" s="160">
        <v>15</v>
      </c>
      <c r="U77" s="155" t="str">
        <f t="shared" ref="U77" si="103">LEFT(DEC2BIN(O77,2))</f>
        <v>0</v>
      </c>
      <c r="V77" s="145" t="str">
        <f t="shared" ref="V77" si="104">RIGHT(DEC2BIN(O77,2),1)</f>
        <v>0</v>
      </c>
      <c r="W77" s="148">
        <v>1</v>
      </c>
      <c r="X77" s="155">
        <v>0</v>
      </c>
      <c r="Y77" s="145">
        <v>0</v>
      </c>
      <c r="Z77" s="148">
        <v>1</v>
      </c>
      <c r="AA77" s="148">
        <v>1</v>
      </c>
      <c r="AB77" s="148" t="str">
        <f>BIN2HEX(U77&amp;V77&amp;W77&amp;X77&amp;Y77&amp;Z77&amp;AA77)</f>
        <v>13</v>
      </c>
      <c r="AC77" s="151" t="str">
        <f>CONCATENATE("vofc_dom",BIN2DEC(U77&amp;V77),"_quad",BIN2DEC(AA77),"_quad",BIN2DEC(AA77)+2,"_sar",ABS( BIN2DEC(V77)*3-BIN2DEC(Z77)),"_slc",BIN2DEC(X77&amp;Y77)+BIN2DEC(W77)*3)</f>
        <v>vofc_dom0_quad1_quad3_sar1_slc3</v>
      </c>
      <c r="AD77" s="57"/>
      <c r="AE77" s="57"/>
      <c r="AF77" s="57"/>
      <c r="AG77" s="57"/>
      <c r="AH77" s="57"/>
    </row>
    <row r="78" spans="1:34" ht="15" customHeight="1">
      <c r="A78" s="142"/>
      <c r="B78" s="144"/>
      <c r="C78" s="43" t="str">
        <f>CONCATENATE("sar",AD78+AE78*4+AF78*16,"_slc",AG78)</f>
        <v>sar19_slc3</v>
      </c>
      <c r="D78" s="44">
        <v>8</v>
      </c>
      <c r="E78" s="29" t="str">
        <f>IF(D78&gt;1,(31)&amp;":"&amp;(31-D78+1),(31-D78+1)&amp;":"&amp;(31-D78+1))</f>
        <v>31:24</v>
      </c>
      <c r="F78" s="30" t="s">
        <v>133</v>
      </c>
      <c r="G78" s="30" t="s">
        <v>133</v>
      </c>
      <c r="H78" s="45" t="s">
        <v>143</v>
      </c>
      <c r="I78" s="31" t="s">
        <v>68</v>
      </c>
      <c r="J78" s="32" t="s">
        <v>36</v>
      </c>
      <c r="K78" s="33" t="s">
        <v>6</v>
      </c>
      <c r="L78" s="46"/>
      <c r="M78" s="120"/>
      <c r="N78" s="120"/>
      <c r="O78" s="120"/>
      <c r="P78" s="122"/>
      <c r="Q78" s="122"/>
      <c r="R78" s="124"/>
      <c r="S78" s="124"/>
      <c r="T78" s="160"/>
      <c r="U78" s="156"/>
      <c r="V78" s="146"/>
      <c r="W78" s="149"/>
      <c r="X78" s="156"/>
      <c r="Y78" s="146"/>
      <c r="Z78" s="149"/>
      <c r="AA78" s="149"/>
      <c r="AB78" s="149"/>
      <c r="AC78" s="152"/>
      <c r="AD78" s="57">
        <f>BIN2DEC($AA77)*3</f>
        <v>3</v>
      </c>
      <c r="AE78" s="57">
        <f>ABS(BIN2DEC($U77)*3)</f>
        <v>0</v>
      </c>
      <c r="AF78" s="57">
        <f>ABS( BIN2DEC(V77)*3-BIN2DEC(Z77))</f>
        <v>1</v>
      </c>
      <c r="AG78" s="57">
        <f>BIN2DEC(X77&amp;Y77)+BIN2DEC(W77)*3</f>
        <v>3</v>
      </c>
      <c r="AH78" s="57">
        <f>AD78+AE78*4+AF78*16</f>
        <v>19</v>
      </c>
    </row>
    <row r="79" spans="1:34" ht="15" customHeight="1">
      <c r="A79" s="142"/>
      <c r="B79" s="144"/>
      <c r="C79" s="43" t="str">
        <f t="shared" ref="C79:C81" si="105">CONCATENATE("sar",AD79+AE79*4+AF79*16,"_slc",AG79)</f>
        <v>sar23_slc3</v>
      </c>
      <c r="D79" s="44">
        <v>8</v>
      </c>
      <c r="E79" s="30" t="str">
        <f t="shared" ref="E79:E81" si="106">(MID(str_cnvt(E78),SEARCH(":",str_cnvt(E78))+1,2)-1) &amp; ":" &amp; (MID(str_cnvt(E78),SEARCH(":",str_cnvt(E78))+1,2)-D79)</f>
        <v>23:16</v>
      </c>
      <c r="F79" s="30" t="s">
        <v>133</v>
      </c>
      <c r="G79" s="30" t="s">
        <v>133</v>
      </c>
      <c r="H79" s="45" t="s">
        <v>143</v>
      </c>
      <c r="I79" s="31" t="s">
        <v>68</v>
      </c>
      <c r="J79" s="32" t="s">
        <v>36</v>
      </c>
      <c r="K79" s="33" t="s">
        <v>6</v>
      </c>
      <c r="L79" s="46"/>
      <c r="M79" s="120"/>
      <c r="N79" s="120"/>
      <c r="O79" s="120"/>
      <c r="P79" s="122"/>
      <c r="Q79" s="122"/>
      <c r="R79" s="124"/>
      <c r="S79" s="124"/>
      <c r="T79" s="160"/>
      <c r="U79" s="156"/>
      <c r="V79" s="146"/>
      <c r="W79" s="149"/>
      <c r="X79" s="156"/>
      <c r="Y79" s="146"/>
      <c r="Z79" s="149"/>
      <c r="AA79" s="149"/>
      <c r="AB79" s="149"/>
      <c r="AC79" s="152"/>
      <c r="AD79" s="57">
        <f>BIN2DEC($AA77)*3</f>
        <v>3</v>
      </c>
      <c r="AE79" s="57">
        <f>ABS(BIN2DEC($U78)*3-1)</f>
        <v>1</v>
      </c>
      <c r="AF79" s="57">
        <f>ABS( BIN2DEC(V77)*3-BIN2DEC(Z77))</f>
        <v>1</v>
      </c>
      <c r="AG79" s="57">
        <f>BIN2DEC(X77&amp;Y77)+BIN2DEC(W77)*3</f>
        <v>3</v>
      </c>
      <c r="AH79" s="57">
        <f t="shared" ref="AH79:AH81" si="107">AD79+AE79*4+AF79*16</f>
        <v>23</v>
      </c>
    </row>
    <row r="80" spans="1:34" ht="15" customHeight="1">
      <c r="A80" s="142"/>
      <c r="B80" s="144"/>
      <c r="C80" s="43" t="str">
        <f t="shared" si="105"/>
        <v>sar17_slc3</v>
      </c>
      <c r="D80" s="44">
        <v>8</v>
      </c>
      <c r="E80" s="30" t="str">
        <f t="shared" si="106"/>
        <v>15:8</v>
      </c>
      <c r="F80" s="30" t="s">
        <v>133</v>
      </c>
      <c r="G80" s="30" t="s">
        <v>133</v>
      </c>
      <c r="H80" s="45" t="s">
        <v>143</v>
      </c>
      <c r="I80" s="31" t="s">
        <v>68</v>
      </c>
      <c r="J80" s="32" t="s">
        <v>36</v>
      </c>
      <c r="K80" s="33" t="s">
        <v>6</v>
      </c>
      <c r="L80" s="46"/>
      <c r="M80" s="120"/>
      <c r="N80" s="120"/>
      <c r="O80" s="120"/>
      <c r="P80" s="122"/>
      <c r="Q80" s="122"/>
      <c r="R80" s="124"/>
      <c r="S80" s="124"/>
      <c r="T80" s="160"/>
      <c r="U80" s="156"/>
      <c r="V80" s="146"/>
      <c r="W80" s="149"/>
      <c r="X80" s="156"/>
      <c r="Y80" s="146"/>
      <c r="Z80" s="149"/>
      <c r="AA80" s="149"/>
      <c r="AB80" s="149"/>
      <c r="AC80" s="152"/>
      <c r="AD80" s="57">
        <f>ABS(BIN2DEC($AA77)*3-2)</f>
        <v>1</v>
      </c>
      <c r="AE80" s="57">
        <f>ABS(BIN2DEC($U77)*3)</f>
        <v>0</v>
      </c>
      <c r="AF80" s="57">
        <f>ABS( BIN2DEC(V77)*3-BIN2DEC(Z77))</f>
        <v>1</v>
      </c>
      <c r="AG80" s="57">
        <f>BIN2DEC(X77&amp;Y77)+BIN2DEC(W77)*3</f>
        <v>3</v>
      </c>
      <c r="AH80" s="57">
        <f t="shared" si="107"/>
        <v>17</v>
      </c>
    </row>
    <row r="81" spans="1:34" ht="15.75" customHeight="1" thickBot="1">
      <c r="A81" s="142"/>
      <c r="B81" s="144"/>
      <c r="C81" s="43" t="str">
        <f t="shared" si="105"/>
        <v>sar21_slc3</v>
      </c>
      <c r="D81" s="44">
        <v>8</v>
      </c>
      <c r="E81" s="30" t="str">
        <f t="shared" si="106"/>
        <v>7:0</v>
      </c>
      <c r="F81" s="30" t="s">
        <v>133</v>
      </c>
      <c r="G81" s="30" t="s">
        <v>133</v>
      </c>
      <c r="H81" s="45" t="s">
        <v>143</v>
      </c>
      <c r="I81" s="31" t="s">
        <v>68</v>
      </c>
      <c r="J81" s="32" t="s">
        <v>36</v>
      </c>
      <c r="K81" s="33" t="s">
        <v>6</v>
      </c>
      <c r="L81" s="46"/>
      <c r="M81" s="120"/>
      <c r="N81" s="120"/>
      <c r="O81" s="120"/>
      <c r="P81" s="122"/>
      <c r="Q81" s="122"/>
      <c r="R81" s="124"/>
      <c r="S81" s="124"/>
      <c r="T81" s="160"/>
      <c r="U81" s="157"/>
      <c r="V81" s="147"/>
      <c r="W81" s="150"/>
      <c r="X81" s="157"/>
      <c r="Y81" s="147"/>
      <c r="Z81" s="150"/>
      <c r="AA81" s="150"/>
      <c r="AB81" s="150"/>
      <c r="AC81" s="153"/>
      <c r="AD81" s="57">
        <f>ABS(BIN2DEC($AA77)*3-2)</f>
        <v>1</v>
      </c>
      <c r="AE81" s="57">
        <f>ABS(BIN2DEC($U77)*3-1)</f>
        <v>1</v>
      </c>
      <c r="AF81" s="57">
        <f>ABS( BIN2DEC(V77)*3-BIN2DEC(Z77))</f>
        <v>1</v>
      </c>
      <c r="AG81" s="57">
        <f>BIN2DEC(X77&amp;Y77)+BIN2DEC(W77)*3</f>
        <v>3</v>
      </c>
      <c r="AH81" s="57">
        <f t="shared" si="107"/>
        <v>21</v>
      </c>
    </row>
    <row r="82" spans="1:34" ht="15.75" customHeight="1">
      <c r="A82" s="141" t="str">
        <f>AC82</f>
        <v>vofc_dom0_quad0_quad2_sar0_slc4</v>
      </c>
      <c r="B82" s="143" t="str">
        <f>DEC2HEX(P82*4)</f>
        <v>0</v>
      </c>
      <c r="C82" s="56" t="s">
        <v>134</v>
      </c>
      <c r="D82" s="129" t="str">
        <f>bitConcat(F83:F86)</f>
        <v>32'b00000000000000000000000000000000</v>
      </c>
      <c r="E82" s="130"/>
      <c r="F82" s="130"/>
      <c r="G82" s="130"/>
      <c r="H82" s="131" t="s">
        <v>135</v>
      </c>
      <c r="I82" s="131"/>
      <c r="J82" s="131" t="str">
        <f>bitConcat(G83:G86)</f>
        <v>32'b00000000000000000000000000000000</v>
      </c>
      <c r="K82" s="131"/>
      <c r="L82" s="132"/>
      <c r="M82" s="119" t="str">
        <f>DEC2HEX(_xlfn.BITLSHIFT(HEX2DEC(Q82),2))</f>
        <v>50</v>
      </c>
      <c r="N82" s="119"/>
      <c r="O82" s="119">
        <v>0</v>
      </c>
      <c r="P82" s="121">
        <v>0</v>
      </c>
      <c r="Q82" s="121" t="str">
        <f>AB82</f>
        <v>14</v>
      </c>
      <c r="R82" s="123" t="str">
        <f t="shared" ref="R82" si="108">BIN2HEX(LEFT(RIGHT(D82,32),4))&amp;BIN2HEX(LEFT(RIGHT(D82,28),4))&amp;BIN2HEX(LEFT(RIGHT(D82,24),4))&amp;BIN2HEX(LEFT(RIGHT(D82,20),4))&amp;BIN2HEX(LEFT(RIGHT(D82,16),4))&amp;BIN2HEX(LEFT(RIGHT(D82,12),4))&amp;BIN2HEX(LEFT(RIGHT(D82,8),4))&amp;BIN2HEX(LEFT(RIGHT(D82,4),4))</f>
        <v>00000000</v>
      </c>
      <c r="S82" s="123" t="str">
        <f t="shared" ref="S82" si="109">BIN2HEX(LEFT(RIGHT(J82,32),4))&amp;BIN2HEX(LEFT(RIGHT(J82,28),4))&amp;BIN2HEX(LEFT(RIGHT(J82,24),4))&amp;BIN2HEX(LEFT(RIGHT(J82,20),4))&amp;BIN2HEX(LEFT(RIGHT(J82,16),4))&amp;BIN2HEX(LEFT(RIGHT(J82,12),4))&amp;BIN2HEX(LEFT(RIGHT(J82,8),4))&amp;BIN2HEX(LEFT(RIGHT(J82,4),4))</f>
        <v>00000000</v>
      </c>
      <c r="T82" s="160">
        <v>16</v>
      </c>
      <c r="U82" s="155" t="str">
        <f t="shared" ref="U82" si="110">LEFT(DEC2BIN(O82,2))</f>
        <v>0</v>
      </c>
      <c r="V82" s="145" t="str">
        <f t="shared" ref="V82" si="111">RIGHT(DEC2BIN(O82,2),1)</f>
        <v>0</v>
      </c>
      <c r="W82" s="148">
        <v>1</v>
      </c>
      <c r="X82" s="155">
        <v>0</v>
      </c>
      <c r="Y82" s="145">
        <v>1</v>
      </c>
      <c r="Z82" s="148">
        <v>0</v>
      </c>
      <c r="AA82" s="148">
        <v>0</v>
      </c>
      <c r="AB82" s="148" t="str">
        <f>BIN2HEX(U82&amp;V82&amp;W82&amp;X82&amp;Y82&amp;Z82&amp;AA82)</f>
        <v>14</v>
      </c>
      <c r="AC82" s="151" t="str">
        <f>CONCATENATE("vofc_dom",BIN2DEC(U82&amp;V82),"_quad",BIN2DEC(AA82),"_quad",BIN2DEC(AA82)+2,"_sar",ABS( BIN2DEC(V82)*3-BIN2DEC(Z82)),"_slc",BIN2DEC(X82&amp;Y82)+BIN2DEC(W82)*3)</f>
        <v>vofc_dom0_quad0_quad2_sar0_slc4</v>
      </c>
      <c r="AD82" s="57"/>
      <c r="AE82" s="57"/>
      <c r="AF82" s="57"/>
      <c r="AG82" s="57"/>
      <c r="AH82" s="57"/>
    </row>
    <row r="83" spans="1:34" ht="15" customHeight="1">
      <c r="A83" s="142"/>
      <c r="B83" s="144"/>
      <c r="C83" s="43" t="str">
        <f>CONCATENATE("sar",AD83+AE83*4+AF83*16,"_slc",AG83)</f>
        <v>sar0_slc4</v>
      </c>
      <c r="D83" s="44">
        <v>8</v>
      </c>
      <c r="E83" s="29" t="str">
        <f>IF(D83&gt;1,(31)&amp;":"&amp;(31-D83+1),(31-D83+1)&amp;":"&amp;(31-D83+1))</f>
        <v>31:24</v>
      </c>
      <c r="F83" s="30" t="s">
        <v>133</v>
      </c>
      <c r="G83" s="30" t="s">
        <v>133</v>
      </c>
      <c r="H83" s="45" t="s">
        <v>143</v>
      </c>
      <c r="I83" s="31" t="s">
        <v>68</v>
      </c>
      <c r="J83" s="32" t="s">
        <v>36</v>
      </c>
      <c r="K83" s="33" t="s">
        <v>6</v>
      </c>
      <c r="L83" s="46"/>
      <c r="M83" s="120"/>
      <c r="N83" s="120"/>
      <c r="O83" s="120"/>
      <c r="P83" s="122"/>
      <c r="Q83" s="122"/>
      <c r="R83" s="124"/>
      <c r="S83" s="124"/>
      <c r="T83" s="160"/>
      <c r="U83" s="156"/>
      <c r="V83" s="146"/>
      <c r="W83" s="149"/>
      <c r="X83" s="156"/>
      <c r="Y83" s="146"/>
      <c r="Z83" s="149"/>
      <c r="AA83" s="149"/>
      <c r="AB83" s="149"/>
      <c r="AC83" s="152"/>
      <c r="AD83" s="57">
        <f>BIN2DEC($AA82)*3</f>
        <v>0</v>
      </c>
      <c r="AE83" s="57">
        <f>ABS(BIN2DEC($U82)*3)</f>
        <v>0</v>
      </c>
      <c r="AF83" s="57">
        <f>ABS( BIN2DEC(V82)*3-BIN2DEC(Z82))</f>
        <v>0</v>
      </c>
      <c r="AG83" s="57">
        <f>BIN2DEC(X82&amp;Y82)+BIN2DEC(W82)*3</f>
        <v>4</v>
      </c>
      <c r="AH83" s="57">
        <f>AD83+AE83*4+AF83*16</f>
        <v>0</v>
      </c>
    </row>
    <row r="84" spans="1:34" ht="15" customHeight="1">
      <c r="A84" s="142"/>
      <c r="B84" s="144"/>
      <c r="C84" s="43" t="str">
        <f t="shared" ref="C84:C86" si="112">CONCATENATE("sar",AD84+AE84*4+AF84*16,"_slc",AG84)</f>
        <v>sar4_slc4</v>
      </c>
      <c r="D84" s="44">
        <v>8</v>
      </c>
      <c r="E84" s="30" t="str">
        <f t="shared" ref="E84:E86" si="113">(MID(str_cnvt(E83),SEARCH(":",str_cnvt(E83))+1,2)-1) &amp; ":" &amp; (MID(str_cnvt(E83),SEARCH(":",str_cnvt(E83))+1,2)-D84)</f>
        <v>23:16</v>
      </c>
      <c r="F84" s="30" t="s">
        <v>133</v>
      </c>
      <c r="G84" s="30" t="s">
        <v>133</v>
      </c>
      <c r="H84" s="45" t="s">
        <v>143</v>
      </c>
      <c r="I84" s="31" t="s">
        <v>68</v>
      </c>
      <c r="J84" s="32" t="s">
        <v>36</v>
      </c>
      <c r="K84" s="33" t="s">
        <v>6</v>
      </c>
      <c r="L84" s="46"/>
      <c r="M84" s="120"/>
      <c r="N84" s="120"/>
      <c r="O84" s="120"/>
      <c r="P84" s="122"/>
      <c r="Q84" s="122"/>
      <c r="R84" s="124"/>
      <c r="S84" s="124"/>
      <c r="T84" s="160"/>
      <c r="U84" s="156"/>
      <c r="V84" s="146"/>
      <c r="W84" s="149"/>
      <c r="X84" s="156"/>
      <c r="Y84" s="146"/>
      <c r="Z84" s="149"/>
      <c r="AA84" s="149"/>
      <c r="AB84" s="149"/>
      <c r="AC84" s="152"/>
      <c r="AD84" s="57">
        <f>BIN2DEC($AA82)*3</f>
        <v>0</v>
      </c>
      <c r="AE84" s="57">
        <f>ABS(BIN2DEC($U83)*3-1)</f>
        <v>1</v>
      </c>
      <c r="AF84" s="57">
        <f>ABS( BIN2DEC(V82)*3-BIN2DEC(Z82))</f>
        <v>0</v>
      </c>
      <c r="AG84" s="57">
        <f>BIN2DEC(X82&amp;Y82)+BIN2DEC(W82)*3</f>
        <v>4</v>
      </c>
      <c r="AH84" s="57">
        <f t="shared" ref="AH84:AH86" si="114">AD84+AE84*4+AF84*16</f>
        <v>4</v>
      </c>
    </row>
    <row r="85" spans="1:34" ht="15" customHeight="1">
      <c r="A85" s="142"/>
      <c r="B85" s="144"/>
      <c r="C85" s="43" t="str">
        <f t="shared" si="112"/>
        <v>sar2_slc4</v>
      </c>
      <c r="D85" s="44">
        <v>8</v>
      </c>
      <c r="E85" s="30" t="str">
        <f t="shared" si="113"/>
        <v>15:8</v>
      </c>
      <c r="F85" s="30" t="s">
        <v>133</v>
      </c>
      <c r="G85" s="30" t="s">
        <v>133</v>
      </c>
      <c r="H85" s="45" t="s">
        <v>143</v>
      </c>
      <c r="I85" s="31" t="s">
        <v>68</v>
      </c>
      <c r="J85" s="32" t="s">
        <v>36</v>
      </c>
      <c r="K85" s="33" t="s">
        <v>6</v>
      </c>
      <c r="L85" s="46"/>
      <c r="M85" s="120"/>
      <c r="N85" s="120"/>
      <c r="O85" s="120"/>
      <c r="P85" s="122"/>
      <c r="Q85" s="122"/>
      <c r="R85" s="124"/>
      <c r="S85" s="124"/>
      <c r="T85" s="160"/>
      <c r="U85" s="156"/>
      <c r="V85" s="146"/>
      <c r="W85" s="149"/>
      <c r="X85" s="156"/>
      <c r="Y85" s="146"/>
      <c r="Z85" s="149"/>
      <c r="AA85" s="149"/>
      <c r="AB85" s="149"/>
      <c r="AC85" s="152"/>
      <c r="AD85" s="57">
        <f>ABS(BIN2DEC($AA82)*3-2)</f>
        <v>2</v>
      </c>
      <c r="AE85" s="57">
        <f>ABS(BIN2DEC($U82)*3)</f>
        <v>0</v>
      </c>
      <c r="AF85" s="57">
        <f>ABS( BIN2DEC(V82)*3-BIN2DEC(Z82))</f>
        <v>0</v>
      </c>
      <c r="AG85" s="57">
        <f>BIN2DEC(X82&amp;Y82)+BIN2DEC(W82)*3</f>
        <v>4</v>
      </c>
      <c r="AH85" s="57">
        <f t="shared" si="114"/>
        <v>2</v>
      </c>
    </row>
    <row r="86" spans="1:34" ht="15.75" customHeight="1" thickBot="1">
      <c r="A86" s="142"/>
      <c r="B86" s="144"/>
      <c r="C86" s="43" t="str">
        <f t="shared" si="112"/>
        <v>sar6_slc4</v>
      </c>
      <c r="D86" s="44">
        <v>8</v>
      </c>
      <c r="E86" s="30" t="str">
        <f t="shared" si="113"/>
        <v>7:0</v>
      </c>
      <c r="F86" s="30" t="s">
        <v>133</v>
      </c>
      <c r="G86" s="30" t="s">
        <v>133</v>
      </c>
      <c r="H86" s="45" t="s">
        <v>143</v>
      </c>
      <c r="I86" s="31" t="s">
        <v>68</v>
      </c>
      <c r="J86" s="32" t="s">
        <v>36</v>
      </c>
      <c r="K86" s="33" t="s">
        <v>6</v>
      </c>
      <c r="L86" s="46"/>
      <c r="M86" s="120"/>
      <c r="N86" s="120"/>
      <c r="O86" s="120"/>
      <c r="P86" s="122"/>
      <c r="Q86" s="122"/>
      <c r="R86" s="124"/>
      <c r="S86" s="124"/>
      <c r="T86" s="160"/>
      <c r="U86" s="157"/>
      <c r="V86" s="147"/>
      <c r="W86" s="150"/>
      <c r="X86" s="157"/>
      <c r="Y86" s="147"/>
      <c r="Z86" s="150"/>
      <c r="AA86" s="150"/>
      <c r="AB86" s="150"/>
      <c r="AC86" s="153"/>
      <c r="AD86" s="57">
        <f>ABS(BIN2DEC($AA82)*3-2)</f>
        <v>2</v>
      </c>
      <c r="AE86" s="57">
        <f>ABS(BIN2DEC($U82)*3-1)</f>
        <v>1</v>
      </c>
      <c r="AF86" s="57">
        <f>ABS( BIN2DEC(V82)*3-BIN2DEC(Z82))</f>
        <v>0</v>
      </c>
      <c r="AG86" s="57">
        <f>BIN2DEC(X82&amp;Y82)+BIN2DEC(W82)*3</f>
        <v>4</v>
      </c>
      <c r="AH86" s="57">
        <f t="shared" si="114"/>
        <v>6</v>
      </c>
    </row>
    <row r="87" spans="1:34" ht="15.75" customHeight="1">
      <c r="A87" s="141" t="str">
        <f>AC87</f>
        <v>vofc_dom0_quad1_quad3_sar0_slc4</v>
      </c>
      <c r="B87" s="143" t="str">
        <f>DEC2HEX(P87*4)</f>
        <v>0</v>
      </c>
      <c r="C87" s="56" t="s">
        <v>134</v>
      </c>
      <c r="D87" s="129" t="str">
        <f>bitConcat(F88:F91)</f>
        <v>32'b00000000000000000000000000000000</v>
      </c>
      <c r="E87" s="130"/>
      <c r="F87" s="130"/>
      <c r="G87" s="130"/>
      <c r="H87" s="131" t="s">
        <v>135</v>
      </c>
      <c r="I87" s="131"/>
      <c r="J87" s="131" t="str">
        <f>bitConcat(G88:G91)</f>
        <v>32'b00000000000000000000000000000000</v>
      </c>
      <c r="K87" s="131"/>
      <c r="L87" s="132"/>
      <c r="M87" s="119" t="str">
        <f>DEC2HEX(_xlfn.BITLSHIFT(HEX2DEC(Q87),2))</f>
        <v>54</v>
      </c>
      <c r="N87" s="119"/>
      <c r="O87" s="119">
        <v>0</v>
      </c>
      <c r="P87" s="121">
        <v>0</v>
      </c>
      <c r="Q87" s="121" t="str">
        <f>AB87</f>
        <v>15</v>
      </c>
      <c r="R87" s="123" t="str">
        <f t="shared" ref="R87" si="115">BIN2HEX(LEFT(RIGHT(D87,32),4))&amp;BIN2HEX(LEFT(RIGHT(D87,28),4))&amp;BIN2HEX(LEFT(RIGHT(D87,24),4))&amp;BIN2HEX(LEFT(RIGHT(D87,20),4))&amp;BIN2HEX(LEFT(RIGHT(D87,16),4))&amp;BIN2HEX(LEFT(RIGHT(D87,12),4))&amp;BIN2HEX(LEFT(RIGHT(D87,8),4))&amp;BIN2HEX(LEFT(RIGHT(D87,4),4))</f>
        <v>00000000</v>
      </c>
      <c r="S87" s="123" t="str">
        <f t="shared" ref="S87" si="116">BIN2HEX(LEFT(RIGHT(J87,32),4))&amp;BIN2HEX(LEFT(RIGHT(J87,28),4))&amp;BIN2HEX(LEFT(RIGHT(J87,24),4))&amp;BIN2HEX(LEFT(RIGHT(J87,20),4))&amp;BIN2HEX(LEFT(RIGHT(J87,16),4))&amp;BIN2HEX(LEFT(RIGHT(J87,12),4))&amp;BIN2HEX(LEFT(RIGHT(J87,8),4))&amp;BIN2HEX(LEFT(RIGHT(J87,4),4))</f>
        <v>00000000</v>
      </c>
      <c r="T87" s="160">
        <v>17</v>
      </c>
      <c r="U87" s="155" t="str">
        <f t="shared" ref="U87" si="117">LEFT(DEC2BIN(O87,2))</f>
        <v>0</v>
      </c>
      <c r="V87" s="145" t="str">
        <f t="shared" ref="V87" si="118">RIGHT(DEC2BIN(O87,2),1)</f>
        <v>0</v>
      </c>
      <c r="W87" s="148">
        <v>1</v>
      </c>
      <c r="X87" s="155">
        <v>0</v>
      </c>
      <c r="Y87" s="145">
        <v>1</v>
      </c>
      <c r="Z87" s="148">
        <v>0</v>
      </c>
      <c r="AA87" s="148">
        <v>1</v>
      </c>
      <c r="AB87" s="148" t="str">
        <f>BIN2HEX(U87&amp;V87&amp;W87&amp;X87&amp;Y87&amp;Z87&amp;AA87)</f>
        <v>15</v>
      </c>
      <c r="AC87" s="151" t="str">
        <f>CONCATENATE("vofc_dom",BIN2DEC(U87&amp;V87),"_quad",BIN2DEC(AA87),"_quad",BIN2DEC(AA87)+2,"_sar",ABS( BIN2DEC(V87)*3-BIN2DEC(Z87)),"_slc",BIN2DEC(X87&amp;Y87)+BIN2DEC(W87)*3)</f>
        <v>vofc_dom0_quad1_quad3_sar0_slc4</v>
      </c>
      <c r="AD87" s="57"/>
      <c r="AE87" s="57"/>
      <c r="AF87" s="57"/>
      <c r="AG87" s="57"/>
      <c r="AH87" s="57"/>
    </row>
    <row r="88" spans="1:34" ht="15" customHeight="1">
      <c r="A88" s="142"/>
      <c r="B88" s="144"/>
      <c r="C88" s="43" t="str">
        <f>CONCATENATE("sar",AD88+AE88*4+AF88*16,"_slc",AG88)</f>
        <v>sar3_slc4</v>
      </c>
      <c r="D88" s="44">
        <v>8</v>
      </c>
      <c r="E88" s="29" t="str">
        <f>IF(D88&gt;1,(31)&amp;":"&amp;(31-D88+1),(31-D88+1)&amp;":"&amp;(31-D88+1))</f>
        <v>31:24</v>
      </c>
      <c r="F88" s="30" t="s">
        <v>133</v>
      </c>
      <c r="G88" s="30" t="s">
        <v>133</v>
      </c>
      <c r="H88" s="45" t="s">
        <v>143</v>
      </c>
      <c r="I88" s="31" t="s">
        <v>68</v>
      </c>
      <c r="J88" s="32" t="s">
        <v>36</v>
      </c>
      <c r="K88" s="33" t="s">
        <v>6</v>
      </c>
      <c r="L88" s="46"/>
      <c r="M88" s="120"/>
      <c r="N88" s="120"/>
      <c r="O88" s="120"/>
      <c r="P88" s="122"/>
      <c r="Q88" s="122"/>
      <c r="R88" s="124"/>
      <c r="S88" s="124"/>
      <c r="T88" s="160"/>
      <c r="U88" s="156"/>
      <c r="V88" s="146"/>
      <c r="W88" s="149"/>
      <c r="X88" s="156"/>
      <c r="Y88" s="146"/>
      <c r="Z88" s="149"/>
      <c r="AA88" s="149"/>
      <c r="AB88" s="149"/>
      <c r="AC88" s="152"/>
      <c r="AD88" s="57">
        <f>BIN2DEC($AA87)*3</f>
        <v>3</v>
      </c>
      <c r="AE88" s="57">
        <f>ABS(BIN2DEC($U87)*3)</f>
        <v>0</v>
      </c>
      <c r="AF88" s="57">
        <f>ABS( BIN2DEC(V87)*3-BIN2DEC(Z87))</f>
        <v>0</v>
      </c>
      <c r="AG88" s="57">
        <f>BIN2DEC(X87&amp;Y87)+BIN2DEC(W87)*3</f>
        <v>4</v>
      </c>
      <c r="AH88" s="57">
        <f>AD88+AE88*4+AF88*16</f>
        <v>3</v>
      </c>
    </row>
    <row r="89" spans="1:34" ht="15" customHeight="1">
      <c r="A89" s="142"/>
      <c r="B89" s="144"/>
      <c r="C89" s="43" t="str">
        <f t="shared" ref="C89:C91" si="119">CONCATENATE("sar",AD89+AE89*4+AF89*16,"_slc",AG89)</f>
        <v>sar7_slc4</v>
      </c>
      <c r="D89" s="44">
        <v>8</v>
      </c>
      <c r="E89" s="30" t="str">
        <f t="shared" ref="E89:E91" si="120">(MID(str_cnvt(E88),SEARCH(":",str_cnvt(E88))+1,2)-1) &amp; ":" &amp; (MID(str_cnvt(E88),SEARCH(":",str_cnvt(E88))+1,2)-D89)</f>
        <v>23:16</v>
      </c>
      <c r="F89" s="30" t="s">
        <v>133</v>
      </c>
      <c r="G89" s="30" t="s">
        <v>133</v>
      </c>
      <c r="H89" s="45" t="s">
        <v>143</v>
      </c>
      <c r="I89" s="31" t="s">
        <v>68</v>
      </c>
      <c r="J89" s="32" t="s">
        <v>36</v>
      </c>
      <c r="K89" s="33" t="s">
        <v>6</v>
      </c>
      <c r="L89" s="46"/>
      <c r="M89" s="120"/>
      <c r="N89" s="120"/>
      <c r="O89" s="120"/>
      <c r="P89" s="122"/>
      <c r="Q89" s="122"/>
      <c r="R89" s="124"/>
      <c r="S89" s="124"/>
      <c r="T89" s="160"/>
      <c r="U89" s="156"/>
      <c r="V89" s="146"/>
      <c r="W89" s="149"/>
      <c r="X89" s="156"/>
      <c r="Y89" s="146"/>
      <c r="Z89" s="149"/>
      <c r="AA89" s="149"/>
      <c r="AB89" s="149"/>
      <c r="AC89" s="152"/>
      <c r="AD89" s="57">
        <f>BIN2DEC($AA87)*3</f>
        <v>3</v>
      </c>
      <c r="AE89" s="57">
        <f>ABS(BIN2DEC($U88)*3-1)</f>
        <v>1</v>
      </c>
      <c r="AF89" s="57">
        <f>ABS( BIN2DEC(V87)*3-BIN2DEC(Z87))</f>
        <v>0</v>
      </c>
      <c r="AG89" s="57">
        <f>BIN2DEC(X87&amp;Y87)+BIN2DEC(W87)*3</f>
        <v>4</v>
      </c>
      <c r="AH89" s="57">
        <f t="shared" ref="AH89:AH91" si="121">AD89+AE89*4+AF89*16</f>
        <v>7</v>
      </c>
    </row>
    <row r="90" spans="1:34" ht="15" customHeight="1">
      <c r="A90" s="142"/>
      <c r="B90" s="144"/>
      <c r="C90" s="43" t="str">
        <f t="shared" si="119"/>
        <v>sar1_slc4</v>
      </c>
      <c r="D90" s="44">
        <v>8</v>
      </c>
      <c r="E90" s="30" t="str">
        <f t="shared" si="120"/>
        <v>15:8</v>
      </c>
      <c r="F90" s="30" t="s">
        <v>133</v>
      </c>
      <c r="G90" s="30" t="s">
        <v>133</v>
      </c>
      <c r="H90" s="45" t="s">
        <v>143</v>
      </c>
      <c r="I90" s="31" t="s">
        <v>68</v>
      </c>
      <c r="J90" s="32" t="s">
        <v>36</v>
      </c>
      <c r="K90" s="33" t="s">
        <v>6</v>
      </c>
      <c r="L90" s="46"/>
      <c r="M90" s="120"/>
      <c r="N90" s="120"/>
      <c r="O90" s="120"/>
      <c r="P90" s="122"/>
      <c r="Q90" s="122"/>
      <c r="R90" s="124"/>
      <c r="S90" s="124"/>
      <c r="T90" s="160"/>
      <c r="U90" s="156"/>
      <c r="V90" s="146"/>
      <c r="W90" s="149"/>
      <c r="X90" s="156"/>
      <c r="Y90" s="146"/>
      <c r="Z90" s="149"/>
      <c r="AA90" s="149"/>
      <c r="AB90" s="149"/>
      <c r="AC90" s="152"/>
      <c r="AD90" s="57">
        <f>ABS(BIN2DEC($AA87)*3-2)</f>
        <v>1</v>
      </c>
      <c r="AE90" s="57">
        <f>ABS(BIN2DEC($U87)*3)</f>
        <v>0</v>
      </c>
      <c r="AF90" s="57">
        <f>ABS( BIN2DEC(V87)*3-BIN2DEC(Z87))</f>
        <v>0</v>
      </c>
      <c r="AG90" s="57">
        <f>BIN2DEC(X87&amp;Y87)+BIN2DEC(W87)*3</f>
        <v>4</v>
      </c>
      <c r="AH90" s="57">
        <f t="shared" si="121"/>
        <v>1</v>
      </c>
    </row>
    <row r="91" spans="1:34" ht="15.75" customHeight="1" thickBot="1">
      <c r="A91" s="142"/>
      <c r="B91" s="144"/>
      <c r="C91" s="43" t="str">
        <f t="shared" si="119"/>
        <v>sar5_slc4</v>
      </c>
      <c r="D91" s="44">
        <v>8</v>
      </c>
      <c r="E91" s="30" t="str">
        <f t="shared" si="120"/>
        <v>7:0</v>
      </c>
      <c r="F91" s="30" t="s">
        <v>133</v>
      </c>
      <c r="G91" s="30" t="s">
        <v>133</v>
      </c>
      <c r="H91" s="45" t="s">
        <v>143</v>
      </c>
      <c r="I91" s="31" t="s">
        <v>68</v>
      </c>
      <c r="J91" s="32" t="s">
        <v>36</v>
      </c>
      <c r="K91" s="33" t="s">
        <v>6</v>
      </c>
      <c r="L91" s="46"/>
      <c r="M91" s="120"/>
      <c r="N91" s="120"/>
      <c r="O91" s="120"/>
      <c r="P91" s="122"/>
      <c r="Q91" s="122"/>
      <c r="R91" s="124"/>
      <c r="S91" s="124"/>
      <c r="T91" s="160"/>
      <c r="U91" s="157"/>
      <c r="V91" s="147"/>
      <c r="W91" s="150"/>
      <c r="X91" s="157"/>
      <c r="Y91" s="147"/>
      <c r="Z91" s="150"/>
      <c r="AA91" s="150"/>
      <c r="AB91" s="150"/>
      <c r="AC91" s="153"/>
      <c r="AD91" s="57">
        <f>ABS(BIN2DEC($AA87)*3-2)</f>
        <v>1</v>
      </c>
      <c r="AE91" s="57">
        <f>ABS(BIN2DEC($U87)*3-1)</f>
        <v>1</v>
      </c>
      <c r="AF91" s="57">
        <f>ABS( BIN2DEC(V87)*3-BIN2DEC(Z87))</f>
        <v>0</v>
      </c>
      <c r="AG91" s="57">
        <f>BIN2DEC(X87&amp;Y87)+BIN2DEC(W87)*3</f>
        <v>4</v>
      </c>
      <c r="AH91" s="57">
        <f t="shared" si="121"/>
        <v>5</v>
      </c>
    </row>
    <row r="92" spans="1:34" ht="15.75" customHeight="1">
      <c r="A92" s="141" t="str">
        <f>AC92</f>
        <v>vofc_dom0_quad0_quad2_sar1_slc4</v>
      </c>
      <c r="B92" s="143" t="str">
        <f>DEC2HEX(P92*4)</f>
        <v>0</v>
      </c>
      <c r="C92" s="56" t="s">
        <v>134</v>
      </c>
      <c r="D92" s="129" t="str">
        <f>bitConcat(F93:F96)</f>
        <v>32'b00000000000000000000000000000000</v>
      </c>
      <c r="E92" s="130"/>
      <c r="F92" s="130"/>
      <c r="G92" s="130"/>
      <c r="H92" s="131" t="s">
        <v>135</v>
      </c>
      <c r="I92" s="131"/>
      <c r="J92" s="131" t="str">
        <f>bitConcat(G93:G96)</f>
        <v>32'b00000000000000000000000000000000</v>
      </c>
      <c r="K92" s="131"/>
      <c r="L92" s="132"/>
      <c r="M92" s="119" t="str">
        <f>DEC2HEX(_xlfn.BITLSHIFT(HEX2DEC(Q92),2))</f>
        <v>58</v>
      </c>
      <c r="N92" s="119"/>
      <c r="O92" s="119">
        <v>0</v>
      </c>
      <c r="P92" s="121">
        <v>0</v>
      </c>
      <c r="Q92" s="121" t="str">
        <f>AB92</f>
        <v>16</v>
      </c>
      <c r="R92" s="123" t="str">
        <f t="shared" ref="R92" si="122">BIN2HEX(LEFT(RIGHT(D92,32),4))&amp;BIN2HEX(LEFT(RIGHT(D92,28),4))&amp;BIN2HEX(LEFT(RIGHT(D92,24),4))&amp;BIN2HEX(LEFT(RIGHT(D92,20),4))&amp;BIN2HEX(LEFT(RIGHT(D92,16),4))&amp;BIN2HEX(LEFT(RIGHT(D92,12),4))&amp;BIN2HEX(LEFT(RIGHT(D92,8),4))&amp;BIN2HEX(LEFT(RIGHT(D92,4),4))</f>
        <v>00000000</v>
      </c>
      <c r="S92" s="123" t="str">
        <f t="shared" ref="S92" si="123">BIN2HEX(LEFT(RIGHT(J92,32),4))&amp;BIN2HEX(LEFT(RIGHT(J92,28),4))&amp;BIN2HEX(LEFT(RIGHT(J92,24),4))&amp;BIN2HEX(LEFT(RIGHT(J92,20),4))&amp;BIN2HEX(LEFT(RIGHT(J92,16),4))&amp;BIN2HEX(LEFT(RIGHT(J92,12),4))&amp;BIN2HEX(LEFT(RIGHT(J92,8),4))&amp;BIN2HEX(LEFT(RIGHT(J92,4),4))</f>
        <v>00000000</v>
      </c>
      <c r="T92" s="160">
        <v>18</v>
      </c>
      <c r="U92" s="155" t="str">
        <f t="shared" ref="U92" si="124">LEFT(DEC2BIN(O92,2))</f>
        <v>0</v>
      </c>
      <c r="V92" s="145" t="str">
        <f t="shared" ref="V92" si="125">RIGHT(DEC2BIN(O92,2),1)</f>
        <v>0</v>
      </c>
      <c r="W92" s="148">
        <v>1</v>
      </c>
      <c r="X92" s="155">
        <v>0</v>
      </c>
      <c r="Y92" s="145">
        <v>1</v>
      </c>
      <c r="Z92" s="148">
        <v>1</v>
      </c>
      <c r="AA92" s="148">
        <v>0</v>
      </c>
      <c r="AB92" s="148" t="str">
        <f>BIN2HEX(U92&amp;V92&amp;W92&amp;X92&amp;Y92&amp;Z92&amp;AA92)</f>
        <v>16</v>
      </c>
      <c r="AC92" s="151" t="str">
        <f>CONCATENATE("vofc_dom",BIN2DEC(U92&amp;V92),"_quad",BIN2DEC(AA92),"_quad",BIN2DEC(AA92)+2,"_sar",ABS( BIN2DEC(V92)*3-BIN2DEC(Z92)),"_slc",BIN2DEC(X92&amp;Y92)+BIN2DEC(W92)*3)</f>
        <v>vofc_dom0_quad0_quad2_sar1_slc4</v>
      </c>
      <c r="AD92" s="57"/>
      <c r="AE92" s="57"/>
      <c r="AF92" s="57"/>
      <c r="AG92" s="57"/>
      <c r="AH92" s="57"/>
    </row>
    <row r="93" spans="1:34" ht="15" customHeight="1">
      <c r="A93" s="142"/>
      <c r="B93" s="144"/>
      <c r="C93" s="43" t="str">
        <f>CONCATENATE("sar",AD93+AE93*4+AF93*16,"_slc",AG93)</f>
        <v>sar16_slc4</v>
      </c>
      <c r="D93" s="44">
        <v>8</v>
      </c>
      <c r="E93" s="29" t="str">
        <f>IF(D93&gt;1,(31)&amp;":"&amp;(31-D93+1),(31-D93+1)&amp;":"&amp;(31-D93+1))</f>
        <v>31:24</v>
      </c>
      <c r="F93" s="30" t="s">
        <v>133</v>
      </c>
      <c r="G93" s="30" t="s">
        <v>133</v>
      </c>
      <c r="H93" s="45" t="s">
        <v>143</v>
      </c>
      <c r="I93" s="31" t="s">
        <v>68</v>
      </c>
      <c r="J93" s="32" t="s">
        <v>36</v>
      </c>
      <c r="K93" s="33" t="s">
        <v>6</v>
      </c>
      <c r="L93" s="46"/>
      <c r="M93" s="120"/>
      <c r="N93" s="120"/>
      <c r="O93" s="120"/>
      <c r="P93" s="122"/>
      <c r="Q93" s="122"/>
      <c r="R93" s="124"/>
      <c r="S93" s="124"/>
      <c r="T93" s="160"/>
      <c r="U93" s="156"/>
      <c r="V93" s="146"/>
      <c r="W93" s="149"/>
      <c r="X93" s="156"/>
      <c r="Y93" s="146"/>
      <c r="Z93" s="149"/>
      <c r="AA93" s="149"/>
      <c r="AB93" s="149"/>
      <c r="AC93" s="152"/>
      <c r="AD93" s="57">
        <f>BIN2DEC($AA92)*3</f>
        <v>0</v>
      </c>
      <c r="AE93" s="57">
        <f>ABS(BIN2DEC($U92)*3)</f>
        <v>0</v>
      </c>
      <c r="AF93" s="57">
        <f>ABS( BIN2DEC(V92)*3-BIN2DEC(Z92))</f>
        <v>1</v>
      </c>
      <c r="AG93" s="57">
        <f>BIN2DEC(X92&amp;Y92)+BIN2DEC(W92)*3</f>
        <v>4</v>
      </c>
      <c r="AH93" s="57">
        <f>AD93+AE93*4+AF93*16</f>
        <v>16</v>
      </c>
    </row>
    <row r="94" spans="1:34" ht="15" customHeight="1">
      <c r="A94" s="142"/>
      <c r="B94" s="144"/>
      <c r="C94" s="43" t="str">
        <f t="shared" ref="C94:C96" si="126">CONCATENATE("sar",AD94+AE94*4+AF94*16,"_slc",AG94)</f>
        <v>sar20_slc4</v>
      </c>
      <c r="D94" s="44">
        <v>8</v>
      </c>
      <c r="E94" s="30" t="str">
        <f t="shared" ref="E94:E96" si="127">(MID(str_cnvt(E93),SEARCH(":",str_cnvt(E93))+1,2)-1) &amp; ":" &amp; (MID(str_cnvt(E93),SEARCH(":",str_cnvt(E93))+1,2)-D94)</f>
        <v>23:16</v>
      </c>
      <c r="F94" s="30" t="s">
        <v>133</v>
      </c>
      <c r="G94" s="30" t="s">
        <v>133</v>
      </c>
      <c r="H94" s="45" t="s">
        <v>143</v>
      </c>
      <c r="I94" s="31" t="s">
        <v>68</v>
      </c>
      <c r="J94" s="32" t="s">
        <v>36</v>
      </c>
      <c r="K94" s="33" t="s">
        <v>6</v>
      </c>
      <c r="L94" s="46"/>
      <c r="M94" s="120"/>
      <c r="N94" s="120"/>
      <c r="O94" s="120"/>
      <c r="P94" s="122"/>
      <c r="Q94" s="122"/>
      <c r="R94" s="124"/>
      <c r="S94" s="124"/>
      <c r="T94" s="160"/>
      <c r="U94" s="156"/>
      <c r="V94" s="146"/>
      <c r="W94" s="149"/>
      <c r="X94" s="156"/>
      <c r="Y94" s="146"/>
      <c r="Z94" s="149"/>
      <c r="AA94" s="149"/>
      <c r="AB94" s="149"/>
      <c r="AC94" s="152"/>
      <c r="AD94" s="57">
        <f>BIN2DEC($AA92)*3</f>
        <v>0</v>
      </c>
      <c r="AE94" s="57">
        <f>ABS(BIN2DEC($U93)*3-1)</f>
        <v>1</v>
      </c>
      <c r="AF94" s="57">
        <f>ABS( BIN2DEC(V92)*3-BIN2DEC(Z92))</f>
        <v>1</v>
      </c>
      <c r="AG94" s="57">
        <f>BIN2DEC(X92&amp;Y92)+BIN2DEC(W92)*3</f>
        <v>4</v>
      </c>
      <c r="AH94" s="57">
        <f t="shared" ref="AH94:AH96" si="128">AD94+AE94*4+AF94*16</f>
        <v>20</v>
      </c>
    </row>
    <row r="95" spans="1:34" ht="15" customHeight="1">
      <c r="A95" s="142"/>
      <c r="B95" s="144"/>
      <c r="C95" s="43" t="str">
        <f t="shared" si="126"/>
        <v>sar18_slc4</v>
      </c>
      <c r="D95" s="44">
        <v>8</v>
      </c>
      <c r="E95" s="30" t="str">
        <f t="shared" si="127"/>
        <v>15:8</v>
      </c>
      <c r="F95" s="30" t="s">
        <v>133</v>
      </c>
      <c r="G95" s="30" t="s">
        <v>133</v>
      </c>
      <c r="H95" s="45" t="s">
        <v>143</v>
      </c>
      <c r="I95" s="31" t="s">
        <v>68</v>
      </c>
      <c r="J95" s="32" t="s">
        <v>36</v>
      </c>
      <c r="K95" s="33" t="s">
        <v>6</v>
      </c>
      <c r="L95" s="46"/>
      <c r="M95" s="120"/>
      <c r="N95" s="120"/>
      <c r="O95" s="120"/>
      <c r="P95" s="122"/>
      <c r="Q95" s="122"/>
      <c r="R95" s="124"/>
      <c r="S95" s="124"/>
      <c r="T95" s="160"/>
      <c r="U95" s="156"/>
      <c r="V95" s="146"/>
      <c r="W95" s="149"/>
      <c r="X95" s="156"/>
      <c r="Y95" s="146"/>
      <c r="Z95" s="149"/>
      <c r="AA95" s="149"/>
      <c r="AB95" s="149"/>
      <c r="AC95" s="152"/>
      <c r="AD95" s="57">
        <f>ABS(BIN2DEC($AA92)*3-2)</f>
        <v>2</v>
      </c>
      <c r="AE95" s="57">
        <f>ABS(BIN2DEC($U92)*3)</f>
        <v>0</v>
      </c>
      <c r="AF95" s="57">
        <f>ABS( BIN2DEC(V92)*3-BIN2DEC(Z92))</f>
        <v>1</v>
      </c>
      <c r="AG95" s="57">
        <f>BIN2DEC(X92&amp;Y92)+BIN2DEC(W92)*3</f>
        <v>4</v>
      </c>
      <c r="AH95" s="57">
        <f t="shared" si="128"/>
        <v>18</v>
      </c>
    </row>
    <row r="96" spans="1:34" ht="15.75" customHeight="1" thickBot="1">
      <c r="A96" s="142"/>
      <c r="B96" s="144"/>
      <c r="C96" s="43" t="str">
        <f t="shared" si="126"/>
        <v>sar22_slc4</v>
      </c>
      <c r="D96" s="44">
        <v>8</v>
      </c>
      <c r="E96" s="30" t="str">
        <f t="shared" si="127"/>
        <v>7:0</v>
      </c>
      <c r="F96" s="30" t="s">
        <v>133</v>
      </c>
      <c r="G96" s="30" t="s">
        <v>133</v>
      </c>
      <c r="H96" s="45" t="s">
        <v>143</v>
      </c>
      <c r="I96" s="31" t="s">
        <v>68</v>
      </c>
      <c r="J96" s="32" t="s">
        <v>36</v>
      </c>
      <c r="K96" s="33" t="s">
        <v>6</v>
      </c>
      <c r="L96" s="46"/>
      <c r="M96" s="120"/>
      <c r="N96" s="120"/>
      <c r="O96" s="120"/>
      <c r="P96" s="122"/>
      <c r="Q96" s="122"/>
      <c r="R96" s="124"/>
      <c r="S96" s="124"/>
      <c r="T96" s="160"/>
      <c r="U96" s="157"/>
      <c r="V96" s="147"/>
      <c r="W96" s="150"/>
      <c r="X96" s="157"/>
      <c r="Y96" s="147"/>
      <c r="Z96" s="150"/>
      <c r="AA96" s="150"/>
      <c r="AB96" s="150"/>
      <c r="AC96" s="153"/>
      <c r="AD96" s="57">
        <f>ABS(BIN2DEC($AA92)*3-2)</f>
        <v>2</v>
      </c>
      <c r="AE96" s="57">
        <f>ABS(BIN2DEC($U92)*3-1)</f>
        <v>1</v>
      </c>
      <c r="AF96" s="57">
        <f>ABS( BIN2DEC(V92)*3-BIN2DEC(Z92))</f>
        <v>1</v>
      </c>
      <c r="AG96" s="57">
        <f>BIN2DEC(X92&amp;Y92)+BIN2DEC(W92)*3</f>
        <v>4</v>
      </c>
      <c r="AH96" s="57">
        <f t="shared" si="128"/>
        <v>22</v>
      </c>
    </row>
    <row r="97" spans="1:34" ht="15.75" customHeight="1">
      <c r="A97" s="141" t="str">
        <f>AC97</f>
        <v>vofc_dom0_quad1_quad3_sar1_slc4</v>
      </c>
      <c r="B97" s="143" t="str">
        <f>DEC2HEX(P97*4)</f>
        <v>0</v>
      </c>
      <c r="C97" s="56" t="s">
        <v>134</v>
      </c>
      <c r="D97" s="129" t="str">
        <f>bitConcat(F98:F101)</f>
        <v>32'b00000000000000000000000000000000</v>
      </c>
      <c r="E97" s="130"/>
      <c r="F97" s="130"/>
      <c r="G97" s="130"/>
      <c r="H97" s="131" t="s">
        <v>135</v>
      </c>
      <c r="I97" s="131"/>
      <c r="J97" s="131" t="str">
        <f>bitConcat(G98:G101)</f>
        <v>32'b00000000000000000000000000000000</v>
      </c>
      <c r="K97" s="131"/>
      <c r="L97" s="132"/>
      <c r="M97" s="119" t="str">
        <f>DEC2HEX(_xlfn.BITLSHIFT(HEX2DEC(Q97),2))</f>
        <v>5C</v>
      </c>
      <c r="N97" s="119"/>
      <c r="O97" s="119">
        <v>0</v>
      </c>
      <c r="P97" s="121">
        <v>0</v>
      </c>
      <c r="Q97" s="121" t="str">
        <f>AB97</f>
        <v>17</v>
      </c>
      <c r="R97" s="123" t="str">
        <f t="shared" ref="R97" si="129">BIN2HEX(LEFT(RIGHT(D97,32),4))&amp;BIN2HEX(LEFT(RIGHT(D97,28),4))&amp;BIN2HEX(LEFT(RIGHT(D97,24),4))&amp;BIN2HEX(LEFT(RIGHT(D97,20),4))&amp;BIN2HEX(LEFT(RIGHT(D97,16),4))&amp;BIN2HEX(LEFT(RIGHT(D97,12),4))&amp;BIN2HEX(LEFT(RIGHT(D97,8),4))&amp;BIN2HEX(LEFT(RIGHT(D97,4),4))</f>
        <v>00000000</v>
      </c>
      <c r="S97" s="123" t="str">
        <f t="shared" ref="S97" si="130">BIN2HEX(LEFT(RIGHT(J97,32),4))&amp;BIN2HEX(LEFT(RIGHT(J97,28),4))&amp;BIN2HEX(LEFT(RIGHT(J97,24),4))&amp;BIN2HEX(LEFT(RIGHT(J97,20),4))&amp;BIN2HEX(LEFT(RIGHT(J97,16),4))&amp;BIN2HEX(LEFT(RIGHT(J97,12),4))&amp;BIN2HEX(LEFT(RIGHT(J97,8),4))&amp;BIN2HEX(LEFT(RIGHT(J97,4),4))</f>
        <v>00000000</v>
      </c>
      <c r="T97" s="160">
        <v>19</v>
      </c>
      <c r="U97" s="155" t="str">
        <f t="shared" ref="U97" si="131">LEFT(DEC2BIN(O97,2))</f>
        <v>0</v>
      </c>
      <c r="V97" s="145" t="str">
        <f t="shared" ref="V97" si="132">RIGHT(DEC2BIN(O97,2),1)</f>
        <v>0</v>
      </c>
      <c r="W97" s="148">
        <v>1</v>
      </c>
      <c r="X97" s="155">
        <v>0</v>
      </c>
      <c r="Y97" s="145">
        <v>1</v>
      </c>
      <c r="Z97" s="148">
        <v>1</v>
      </c>
      <c r="AA97" s="148">
        <v>1</v>
      </c>
      <c r="AB97" s="148" t="str">
        <f>BIN2HEX(U97&amp;V97&amp;W97&amp;X97&amp;Y97&amp;Z97&amp;AA97)</f>
        <v>17</v>
      </c>
      <c r="AC97" s="151" t="str">
        <f>CONCATENATE("vofc_dom",BIN2DEC(U97&amp;V97),"_quad",BIN2DEC(AA97),"_quad",BIN2DEC(AA97)+2,"_sar",ABS( BIN2DEC(V97)*3-BIN2DEC(Z97)),"_slc",BIN2DEC(X97&amp;Y97)+BIN2DEC(W97)*3)</f>
        <v>vofc_dom0_quad1_quad3_sar1_slc4</v>
      </c>
      <c r="AD97" s="57"/>
      <c r="AE97" s="57"/>
      <c r="AF97" s="57"/>
      <c r="AG97" s="57"/>
      <c r="AH97" s="57"/>
    </row>
    <row r="98" spans="1:34" ht="15" customHeight="1">
      <c r="A98" s="142"/>
      <c r="B98" s="144"/>
      <c r="C98" s="43" t="str">
        <f>CONCATENATE("sar",AD98+AE98*4+AF98*16,"_slc",AG98)</f>
        <v>sar19_slc4</v>
      </c>
      <c r="D98" s="44">
        <v>8</v>
      </c>
      <c r="E98" s="29" t="str">
        <f>IF(D98&gt;1,(31)&amp;":"&amp;(31-D98+1),(31-D98+1)&amp;":"&amp;(31-D98+1))</f>
        <v>31:24</v>
      </c>
      <c r="F98" s="30" t="s">
        <v>133</v>
      </c>
      <c r="G98" s="30" t="s">
        <v>133</v>
      </c>
      <c r="H98" s="45" t="s">
        <v>143</v>
      </c>
      <c r="I98" s="31" t="s">
        <v>68</v>
      </c>
      <c r="J98" s="32" t="s">
        <v>36</v>
      </c>
      <c r="K98" s="33" t="s">
        <v>6</v>
      </c>
      <c r="L98" s="46"/>
      <c r="M98" s="120"/>
      <c r="N98" s="120"/>
      <c r="O98" s="120"/>
      <c r="P98" s="122"/>
      <c r="Q98" s="122"/>
      <c r="R98" s="124"/>
      <c r="S98" s="124"/>
      <c r="T98" s="160"/>
      <c r="U98" s="156"/>
      <c r="V98" s="146"/>
      <c r="W98" s="149"/>
      <c r="X98" s="156"/>
      <c r="Y98" s="146"/>
      <c r="Z98" s="149"/>
      <c r="AA98" s="149"/>
      <c r="AB98" s="149"/>
      <c r="AC98" s="152"/>
      <c r="AD98" s="57">
        <f>BIN2DEC($AA97)*3</f>
        <v>3</v>
      </c>
      <c r="AE98" s="57">
        <f>ABS(BIN2DEC($U97)*3)</f>
        <v>0</v>
      </c>
      <c r="AF98" s="57">
        <f>ABS( BIN2DEC(V97)*3-BIN2DEC(Z97))</f>
        <v>1</v>
      </c>
      <c r="AG98" s="57">
        <f>BIN2DEC(X97&amp;Y97)+BIN2DEC(W97)*3</f>
        <v>4</v>
      </c>
      <c r="AH98" s="57">
        <f>AD98+AE98*4+AF98*16</f>
        <v>19</v>
      </c>
    </row>
    <row r="99" spans="1:34" ht="15" customHeight="1">
      <c r="A99" s="142"/>
      <c r="B99" s="144"/>
      <c r="C99" s="43" t="str">
        <f t="shared" ref="C99:C101" si="133">CONCATENATE("sar",AD99+AE99*4+AF99*16,"_slc",AG99)</f>
        <v>sar23_slc4</v>
      </c>
      <c r="D99" s="44">
        <v>8</v>
      </c>
      <c r="E99" s="30" t="str">
        <f t="shared" ref="E99:E101" si="134">(MID(str_cnvt(E98),SEARCH(":",str_cnvt(E98))+1,2)-1) &amp; ":" &amp; (MID(str_cnvt(E98),SEARCH(":",str_cnvt(E98))+1,2)-D99)</f>
        <v>23:16</v>
      </c>
      <c r="F99" s="30" t="s">
        <v>133</v>
      </c>
      <c r="G99" s="30" t="s">
        <v>133</v>
      </c>
      <c r="H99" s="45" t="s">
        <v>143</v>
      </c>
      <c r="I99" s="31" t="s">
        <v>68</v>
      </c>
      <c r="J99" s="32" t="s">
        <v>36</v>
      </c>
      <c r="K99" s="33" t="s">
        <v>6</v>
      </c>
      <c r="L99" s="46"/>
      <c r="M99" s="120"/>
      <c r="N99" s="120"/>
      <c r="O99" s="120"/>
      <c r="P99" s="122"/>
      <c r="Q99" s="122"/>
      <c r="R99" s="124"/>
      <c r="S99" s="124"/>
      <c r="T99" s="160"/>
      <c r="U99" s="156"/>
      <c r="V99" s="146"/>
      <c r="W99" s="149"/>
      <c r="X99" s="156"/>
      <c r="Y99" s="146"/>
      <c r="Z99" s="149"/>
      <c r="AA99" s="149"/>
      <c r="AB99" s="149"/>
      <c r="AC99" s="152"/>
      <c r="AD99" s="57">
        <f>BIN2DEC($AA97)*3</f>
        <v>3</v>
      </c>
      <c r="AE99" s="57">
        <f>ABS(BIN2DEC($U98)*3-1)</f>
        <v>1</v>
      </c>
      <c r="AF99" s="57">
        <f>ABS( BIN2DEC(V97)*3-BIN2DEC(Z97))</f>
        <v>1</v>
      </c>
      <c r="AG99" s="57">
        <f>BIN2DEC(X97&amp;Y97)+BIN2DEC(W97)*3</f>
        <v>4</v>
      </c>
      <c r="AH99" s="57">
        <f t="shared" ref="AH99:AH101" si="135">AD99+AE99*4+AF99*16</f>
        <v>23</v>
      </c>
    </row>
    <row r="100" spans="1:34" ht="15" customHeight="1">
      <c r="A100" s="142"/>
      <c r="B100" s="144"/>
      <c r="C100" s="43" t="str">
        <f t="shared" si="133"/>
        <v>sar17_slc4</v>
      </c>
      <c r="D100" s="44">
        <v>8</v>
      </c>
      <c r="E100" s="30" t="str">
        <f t="shared" si="134"/>
        <v>15:8</v>
      </c>
      <c r="F100" s="30" t="s">
        <v>133</v>
      </c>
      <c r="G100" s="30" t="s">
        <v>133</v>
      </c>
      <c r="H100" s="45" t="s">
        <v>143</v>
      </c>
      <c r="I100" s="31" t="s">
        <v>68</v>
      </c>
      <c r="J100" s="32" t="s">
        <v>36</v>
      </c>
      <c r="K100" s="33" t="s">
        <v>6</v>
      </c>
      <c r="L100" s="46"/>
      <c r="M100" s="120"/>
      <c r="N100" s="120"/>
      <c r="O100" s="120"/>
      <c r="P100" s="122"/>
      <c r="Q100" s="122"/>
      <c r="R100" s="124"/>
      <c r="S100" s="124"/>
      <c r="T100" s="160"/>
      <c r="U100" s="156"/>
      <c r="V100" s="146"/>
      <c r="W100" s="149"/>
      <c r="X100" s="156"/>
      <c r="Y100" s="146"/>
      <c r="Z100" s="149"/>
      <c r="AA100" s="149"/>
      <c r="AB100" s="149"/>
      <c r="AC100" s="152"/>
      <c r="AD100" s="57">
        <f>ABS(BIN2DEC($AA97)*3-2)</f>
        <v>1</v>
      </c>
      <c r="AE100" s="57">
        <f>ABS(BIN2DEC($U97)*3)</f>
        <v>0</v>
      </c>
      <c r="AF100" s="57">
        <f>ABS( BIN2DEC(V97)*3-BIN2DEC(Z97))</f>
        <v>1</v>
      </c>
      <c r="AG100" s="57">
        <f>BIN2DEC(X97&amp;Y97)+BIN2DEC(W97)*3</f>
        <v>4</v>
      </c>
      <c r="AH100" s="57">
        <f t="shared" si="135"/>
        <v>17</v>
      </c>
    </row>
    <row r="101" spans="1:34" ht="15.75" customHeight="1" thickBot="1">
      <c r="A101" s="142"/>
      <c r="B101" s="144"/>
      <c r="C101" s="43" t="str">
        <f t="shared" si="133"/>
        <v>sar21_slc4</v>
      </c>
      <c r="D101" s="44">
        <v>8</v>
      </c>
      <c r="E101" s="30" t="str">
        <f t="shared" si="134"/>
        <v>7:0</v>
      </c>
      <c r="F101" s="30" t="s">
        <v>133</v>
      </c>
      <c r="G101" s="30" t="s">
        <v>133</v>
      </c>
      <c r="H101" s="45" t="s">
        <v>143</v>
      </c>
      <c r="I101" s="31" t="s">
        <v>68</v>
      </c>
      <c r="J101" s="32" t="s">
        <v>36</v>
      </c>
      <c r="K101" s="33" t="s">
        <v>6</v>
      </c>
      <c r="L101" s="46"/>
      <c r="M101" s="120"/>
      <c r="N101" s="120"/>
      <c r="O101" s="120"/>
      <c r="P101" s="122"/>
      <c r="Q101" s="122"/>
      <c r="R101" s="124"/>
      <c r="S101" s="124"/>
      <c r="T101" s="160"/>
      <c r="U101" s="157"/>
      <c r="V101" s="147"/>
      <c r="W101" s="150"/>
      <c r="X101" s="157"/>
      <c r="Y101" s="147"/>
      <c r="Z101" s="150"/>
      <c r="AA101" s="150"/>
      <c r="AB101" s="150"/>
      <c r="AC101" s="153"/>
      <c r="AD101" s="57">
        <f>ABS(BIN2DEC($AA97)*3-2)</f>
        <v>1</v>
      </c>
      <c r="AE101" s="57">
        <f>ABS(BIN2DEC($U97)*3-1)</f>
        <v>1</v>
      </c>
      <c r="AF101" s="57">
        <f>ABS( BIN2DEC(V97)*3-BIN2DEC(Z97))</f>
        <v>1</v>
      </c>
      <c r="AG101" s="57">
        <f>BIN2DEC(X97&amp;Y97)+BIN2DEC(W97)*3</f>
        <v>4</v>
      </c>
      <c r="AH101" s="57">
        <f t="shared" si="135"/>
        <v>21</v>
      </c>
    </row>
    <row r="102" spans="1:34" ht="15.75" customHeight="1">
      <c r="A102" s="141" t="str">
        <f>AC102</f>
        <v>vofc_dom0_quad0_quad2_sar0_slc5</v>
      </c>
      <c r="B102" s="143" t="str">
        <f>DEC2HEX(P102*4)</f>
        <v>0</v>
      </c>
      <c r="C102" s="56" t="s">
        <v>134</v>
      </c>
      <c r="D102" s="129" t="str">
        <f>bitConcat(F103:F106)</f>
        <v>32'b00000000000000000000000000000000</v>
      </c>
      <c r="E102" s="130"/>
      <c r="F102" s="130"/>
      <c r="G102" s="130"/>
      <c r="H102" s="131" t="s">
        <v>135</v>
      </c>
      <c r="I102" s="131"/>
      <c r="J102" s="131" t="str">
        <f>bitConcat(G103:G106)</f>
        <v>32'b00000000000000000000000000000000</v>
      </c>
      <c r="K102" s="131"/>
      <c r="L102" s="132"/>
      <c r="M102" s="119" t="str">
        <f>DEC2HEX(_xlfn.BITLSHIFT(HEX2DEC(Q102),2))</f>
        <v>60</v>
      </c>
      <c r="N102" s="119"/>
      <c r="O102" s="119">
        <v>0</v>
      </c>
      <c r="P102" s="121">
        <v>0</v>
      </c>
      <c r="Q102" s="121" t="str">
        <f>AB102</f>
        <v>18</v>
      </c>
      <c r="R102" s="123" t="str">
        <f t="shared" ref="R102" si="136">BIN2HEX(LEFT(RIGHT(D102,32),4))&amp;BIN2HEX(LEFT(RIGHT(D102,28),4))&amp;BIN2HEX(LEFT(RIGHT(D102,24),4))&amp;BIN2HEX(LEFT(RIGHT(D102,20),4))&amp;BIN2HEX(LEFT(RIGHT(D102,16),4))&amp;BIN2HEX(LEFT(RIGHT(D102,12),4))&amp;BIN2HEX(LEFT(RIGHT(D102,8),4))&amp;BIN2HEX(LEFT(RIGHT(D102,4),4))</f>
        <v>00000000</v>
      </c>
      <c r="S102" s="123" t="str">
        <f t="shared" ref="S102" si="137">BIN2HEX(LEFT(RIGHT(J102,32),4))&amp;BIN2HEX(LEFT(RIGHT(J102,28),4))&amp;BIN2HEX(LEFT(RIGHT(J102,24),4))&amp;BIN2HEX(LEFT(RIGHT(J102,20),4))&amp;BIN2HEX(LEFT(RIGHT(J102,16),4))&amp;BIN2HEX(LEFT(RIGHT(J102,12),4))&amp;BIN2HEX(LEFT(RIGHT(J102,8),4))&amp;BIN2HEX(LEFT(RIGHT(J102,4),4))</f>
        <v>00000000</v>
      </c>
      <c r="T102" s="160">
        <v>20</v>
      </c>
      <c r="U102" s="155" t="str">
        <f t="shared" ref="U102" si="138">LEFT(DEC2BIN(O102,2))</f>
        <v>0</v>
      </c>
      <c r="V102" s="145" t="str">
        <f t="shared" ref="V102" si="139">RIGHT(DEC2BIN(O102,2),1)</f>
        <v>0</v>
      </c>
      <c r="W102" s="148">
        <v>1</v>
      </c>
      <c r="X102" s="155">
        <v>1</v>
      </c>
      <c r="Y102" s="145">
        <v>0</v>
      </c>
      <c r="Z102" s="148">
        <v>0</v>
      </c>
      <c r="AA102" s="148">
        <v>0</v>
      </c>
      <c r="AB102" s="148" t="str">
        <f>BIN2HEX(U102&amp;V102&amp;W102&amp;X102&amp;Y102&amp;Z102&amp;AA102)</f>
        <v>18</v>
      </c>
      <c r="AC102" s="151" t="str">
        <f>CONCATENATE("vofc_dom",BIN2DEC(U102&amp;V102),"_quad",BIN2DEC(AA102),"_quad",BIN2DEC(AA102)+2,"_sar",ABS( BIN2DEC(V102)*3-BIN2DEC(Z102)),"_slc",BIN2DEC(X102&amp;Y102)+BIN2DEC(W102)*3)</f>
        <v>vofc_dom0_quad0_quad2_sar0_slc5</v>
      </c>
      <c r="AD102" s="57"/>
      <c r="AE102" s="57"/>
      <c r="AF102" s="57"/>
      <c r="AG102" s="57"/>
      <c r="AH102" s="57"/>
    </row>
    <row r="103" spans="1:34" ht="15" customHeight="1">
      <c r="A103" s="142"/>
      <c r="B103" s="144"/>
      <c r="C103" s="43" t="str">
        <f>CONCATENATE("sar",AD103+AE103*4+AF103*16,"_slc",AG103)</f>
        <v>sar0_slc5</v>
      </c>
      <c r="D103" s="44">
        <v>8</v>
      </c>
      <c r="E103" s="29" t="str">
        <f>IF(D103&gt;1,(31)&amp;":"&amp;(31-D103+1),(31-D103+1)&amp;":"&amp;(31-D103+1))</f>
        <v>31:24</v>
      </c>
      <c r="F103" s="30" t="s">
        <v>133</v>
      </c>
      <c r="G103" s="30" t="s">
        <v>133</v>
      </c>
      <c r="H103" s="45" t="s">
        <v>143</v>
      </c>
      <c r="I103" s="31" t="s">
        <v>68</v>
      </c>
      <c r="J103" s="32" t="s">
        <v>36</v>
      </c>
      <c r="K103" s="33" t="s">
        <v>6</v>
      </c>
      <c r="L103" s="46"/>
      <c r="M103" s="120"/>
      <c r="N103" s="120"/>
      <c r="O103" s="120"/>
      <c r="P103" s="122"/>
      <c r="Q103" s="122"/>
      <c r="R103" s="124"/>
      <c r="S103" s="124"/>
      <c r="T103" s="160"/>
      <c r="U103" s="156"/>
      <c r="V103" s="146"/>
      <c r="W103" s="149"/>
      <c r="X103" s="156"/>
      <c r="Y103" s="146"/>
      <c r="Z103" s="149"/>
      <c r="AA103" s="149"/>
      <c r="AB103" s="149"/>
      <c r="AC103" s="152"/>
      <c r="AD103" s="57">
        <f>BIN2DEC($AA102)*3</f>
        <v>0</v>
      </c>
      <c r="AE103" s="57">
        <f>ABS(BIN2DEC($U102)*3)</f>
        <v>0</v>
      </c>
      <c r="AF103" s="57">
        <f>ABS( BIN2DEC(V102)*3-BIN2DEC(Z102))</f>
        <v>0</v>
      </c>
      <c r="AG103" s="57">
        <f>BIN2DEC(X102&amp;Y102)+BIN2DEC(W102)*3</f>
        <v>5</v>
      </c>
      <c r="AH103" s="57">
        <f>AD103+AE103*4+AF103*16</f>
        <v>0</v>
      </c>
    </row>
    <row r="104" spans="1:34" ht="15" customHeight="1">
      <c r="A104" s="142"/>
      <c r="B104" s="144"/>
      <c r="C104" s="43" t="str">
        <f t="shared" ref="C104:C106" si="140">CONCATENATE("sar",AD104+AE104*4+AF104*16,"_slc",AG104)</f>
        <v>sar4_slc5</v>
      </c>
      <c r="D104" s="44">
        <v>8</v>
      </c>
      <c r="E104" s="30" t="str">
        <f t="shared" ref="E104:E106" si="141">(MID(str_cnvt(E103),SEARCH(":",str_cnvt(E103))+1,2)-1) &amp; ":" &amp; (MID(str_cnvt(E103),SEARCH(":",str_cnvt(E103))+1,2)-D104)</f>
        <v>23:16</v>
      </c>
      <c r="F104" s="30" t="s">
        <v>133</v>
      </c>
      <c r="G104" s="30" t="s">
        <v>133</v>
      </c>
      <c r="H104" s="45" t="s">
        <v>143</v>
      </c>
      <c r="I104" s="31" t="s">
        <v>68</v>
      </c>
      <c r="J104" s="32" t="s">
        <v>36</v>
      </c>
      <c r="K104" s="33" t="s">
        <v>6</v>
      </c>
      <c r="L104" s="46"/>
      <c r="M104" s="120"/>
      <c r="N104" s="120"/>
      <c r="O104" s="120"/>
      <c r="P104" s="122"/>
      <c r="Q104" s="122"/>
      <c r="R104" s="124"/>
      <c r="S104" s="124"/>
      <c r="T104" s="160"/>
      <c r="U104" s="156"/>
      <c r="V104" s="146"/>
      <c r="W104" s="149"/>
      <c r="X104" s="156"/>
      <c r="Y104" s="146"/>
      <c r="Z104" s="149"/>
      <c r="AA104" s="149"/>
      <c r="AB104" s="149"/>
      <c r="AC104" s="152"/>
      <c r="AD104" s="57">
        <f>BIN2DEC($AA102)*3</f>
        <v>0</v>
      </c>
      <c r="AE104" s="57">
        <f>ABS(BIN2DEC($U103)*3-1)</f>
        <v>1</v>
      </c>
      <c r="AF104" s="57">
        <f>ABS( BIN2DEC(V102)*3-BIN2DEC(Z102))</f>
        <v>0</v>
      </c>
      <c r="AG104" s="57">
        <f>BIN2DEC(X102&amp;Y102)+BIN2DEC(W102)*3</f>
        <v>5</v>
      </c>
      <c r="AH104" s="57">
        <f t="shared" ref="AH104:AH106" si="142">AD104+AE104*4+AF104*16</f>
        <v>4</v>
      </c>
    </row>
    <row r="105" spans="1:34" ht="15" customHeight="1">
      <c r="A105" s="142"/>
      <c r="B105" s="144"/>
      <c r="C105" s="43" t="str">
        <f t="shared" si="140"/>
        <v>sar2_slc5</v>
      </c>
      <c r="D105" s="44">
        <v>8</v>
      </c>
      <c r="E105" s="30" t="str">
        <f t="shared" si="141"/>
        <v>15:8</v>
      </c>
      <c r="F105" s="30" t="s">
        <v>133</v>
      </c>
      <c r="G105" s="30" t="s">
        <v>133</v>
      </c>
      <c r="H105" s="45" t="s">
        <v>143</v>
      </c>
      <c r="I105" s="31" t="s">
        <v>68</v>
      </c>
      <c r="J105" s="32" t="s">
        <v>36</v>
      </c>
      <c r="K105" s="33" t="s">
        <v>6</v>
      </c>
      <c r="L105" s="46"/>
      <c r="M105" s="120"/>
      <c r="N105" s="120"/>
      <c r="O105" s="120"/>
      <c r="P105" s="122"/>
      <c r="Q105" s="122"/>
      <c r="R105" s="124"/>
      <c r="S105" s="124"/>
      <c r="T105" s="160"/>
      <c r="U105" s="156"/>
      <c r="V105" s="146"/>
      <c r="W105" s="149"/>
      <c r="X105" s="156"/>
      <c r="Y105" s="146"/>
      <c r="Z105" s="149"/>
      <c r="AA105" s="149"/>
      <c r="AB105" s="149"/>
      <c r="AC105" s="152"/>
      <c r="AD105" s="57">
        <f>ABS(BIN2DEC($AA102)*3-2)</f>
        <v>2</v>
      </c>
      <c r="AE105" s="57">
        <f>ABS(BIN2DEC($U102)*3)</f>
        <v>0</v>
      </c>
      <c r="AF105" s="57">
        <f>ABS( BIN2DEC(V102)*3-BIN2DEC(Z102))</f>
        <v>0</v>
      </c>
      <c r="AG105" s="57">
        <f>BIN2DEC(X102&amp;Y102)+BIN2DEC(W102)*3</f>
        <v>5</v>
      </c>
      <c r="AH105" s="57">
        <f t="shared" si="142"/>
        <v>2</v>
      </c>
    </row>
    <row r="106" spans="1:34" ht="15.75" customHeight="1" thickBot="1">
      <c r="A106" s="142"/>
      <c r="B106" s="144"/>
      <c r="C106" s="43" t="str">
        <f t="shared" si="140"/>
        <v>sar6_slc5</v>
      </c>
      <c r="D106" s="44">
        <v>8</v>
      </c>
      <c r="E106" s="30" t="str">
        <f t="shared" si="141"/>
        <v>7:0</v>
      </c>
      <c r="F106" s="30" t="s">
        <v>133</v>
      </c>
      <c r="G106" s="30" t="s">
        <v>133</v>
      </c>
      <c r="H106" s="45" t="s">
        <v>143</v>
      </c>
      <c r="I106" s="31" t="s">
        <v>68</v>
      </c>
      <c r="J106" s="32" t="s">
        <v>36</v>
      </c>
      <c r="K106" s="33" t="s">
        <v>6</v>
      </c>
      <c r="L106" s="46"/>
      <c r="M106" s="120"/>
      <c r="N106" s="120"/>
      <c r="O106" s="120"/>
      <c r="P106" s="122"/>
      <c r="Q106" s="122"/>
      <c r="R106" s="124"/>
      <c r="S106" s="124"/>
      <c r="T106" s="160"/>
      <c r="U106" s="157"/>
      <c r="V106" s="147"/>
      <c r="W106" s="150"/>
      <c r="X106" s="157"/>
      <c r="Y106" s="147"/>
      <c r="Z106" s="150"/>
      <c r="AA106" s="150"/>
      <c r="AB106" s="150"/>
      <c r="AC106" s="153"/>
      <c r="AD106" s="57">
        <f>ABS(BIN2DEC($AA102)*3-2)</f>
        <v>2</v>
      </c>
      <c r="AE106" s="57">
        <f>ABS(BIN2DEC($U102)*3-1)</f>
        <v>1</v>
      </c>
      <c r="AF106" s="57">
        <f>ABS( BIN2DEC(V102)*3-BIN2DEC(Z102))</f>
        <v>0</v>
      </c>
      <c r="AG106" s="57">
        <f>BIN2DEC(X102&amp;Y102)+BIN2DEC(W102)*3</f>
        <v>5</v>
      </c>
      <c r="AH106" s="57">
        <f t="shared" si="142"/>
        <v>6</v>
      </c>
    </row>
    <row r="107" spans="1:34" ht="15.75" customHeight="1">
      <c r="A107" s="141" t="str">
        <f>AC107</f>
        <v>vofc_dom0_quad1_quad3_sar0_slc5</v>
      </c>
      <c r="B107" s="143" t="str">
        <f>DEC2HEX(P107*4)</f>
        <v>0</v>
      </c>
      <c r="C107" s="56" t="s">
        <v>134</v>
      </c>
      <c r="D107" s="129" t="str">
        <f>bitConcat(F108:F111)</f>
        <v>32'b00000000000000000000000000000000</v>
      </c>
      <c r="E107" s="130"/>
      <c r="F107" s="130"/>
      <c r="G107" s="130"/>
      <c r="H107" s="131" t="s">
        <v>135</v>
      </c>
      <c r="I107" s="131"/>
      <c r="J107" s="131" t="str">
        <f>bitConcat(G108:G111)</f>
        <v>32'b00000000000000000000000000000000</v>
      </c>
      <c r="K107" s="131"/>
      <c r="L107" s="132"/>
      <c r="M107" s="119" t="str">
        <f>DEC2HEX(_xlfn.BITLSHIFT(HEX2DEC(Q107),2))</f>
        <v>64</v>
      </c>
      <c r="N107" s="119"/>
      <c r="O107" s="119">
        <v>0</v>
      </c>
      <c r="P107" s="121">
        <v>0</v>
      </c>
      <c r="Q107" s="121" t="str">
        <f>AB107</f>
        <v>19</v>
      </c>
      <c r="R107" s="123" t="str">
        <f t="shared" ref="R107" si="143">BIN2HEX(LEFT(RIGHT(D107,32),4))&amp;BIN2HEX(LEFT(RIGHT(D107,28),4))&amp;BIN2HEX(LEFT(RIGHT(D107,24),4))&amp;BIN2HEX(LEFT(RIGHT(D107,20),4))&amp;BIN2HEX(LEFT(RIGHT(D107,16),4))&amp;BIN2HEX(LEFT(RIGHT(D107,12),4))&amp;BIN2HEX(LEFT(RIGHT(D107,8),4))&amp;BIN2HEX(LEFT(RIGHT(D107,4),4))</f>
        <v>00000000</v>
      </c>
      <c r="S107" s="123" t="str">
        <f t="shared" ref="S107" si="144">BIN2HEX(LEFT(RIGHT(J107,32),4))&amp;BIN2HEX(LEFT(RIGHT(J107,28),4))&amp;BIN2HEX(LEFT(RIGHT(J107,24),4))&amp;BIN2HEX(LEFT(RIGHT(J107,20),4))&amp;BIN2HEX(LEFT(RIGHT(J107,16),4))&amp;BIN2HEX(LEFT(RIGHT(J107,12),4))&amp;BIN2HEX(LEFT(RIGHT(J107,8),4))&amp;BIN2HEX(LEFT(RIGHT(J107,4),4))</f>
        <v>00000000</v>
      </c>
      <c r="T107" s="160">
        <v>21</v>
      </c>
      <c r="U107" s="155" t="str">
        <f t="shared" ref="U107" si="145">LEFT(DEC2BIN(O107,2))</f>
        <v>0</v>
      </c>
      <c r="V107" s="145" t="str">
        <f t="shared" ref="V107" si="146">RIGHT(DEC2BIN(O107,2),1)</f>
        <v>0</v>
      </c>
      <c r="W107" s="148">
        <v>1</v>
      </c>
      <c r="X107" s="155">
        <v>1</v>
      </c>
      <c r="Y107" s="145">
        <v>0</v>
      </c>
      <c r="Z107" s="148">
        <v>0</v>
      </c>
      <c r="AA107" s="148">
        <v>1</v>
      </c>
      <c r="AB107" s="148" t="str">
        <f>BIN2HEX(U107&amp;V107&amp;W107&amp;X107&amp;Y107&amp;Z107&amp;AA107)</f>
        <v>19</v>
      </c>
      <c r="AC107" s="151" t="str">
        <f>CONCATENATE("vofc_dom",BIN2DEC(U107&amp;V107),"_quad",BIN2DEC(AA107),"_quad",BIN2DEC(AA107)+2,"_sar",ABS( BIN2DEC(V107)*3-BIN2DEC(Z107)),"_slc",BIN2DEC(X107&amp;Y107)+BIN2DEC(W107)*3)</f>
        <v>vofc_dom0_quad1_quad3_sar0_slc5</v>
      </c>
      <c r="AD107" s="57"/>
      <c r="AE107" s="57"/>
      <c r="AF107" s="57"/>
      <c r="AG107" s="57"/>
      <c r="AH107" s="57"/>
    </row>
    <row r="108" spans="1:34" ht="15" customHeight="1">
      <c r="A108" s="142"/>
      <c r="B108" s="144"/>
      <c r="C108" s="43" t="str">
        <f>CONCATENATE("sar",AD108+AE108*4+AF108*16,"_slc",AG108)</f>
        <v>sar3_slc5</v>
      </c>
      <c r="D108" s="44">
        <v>8</v>
      </c>
      <c r="E108" s="29" t="str">
        <f>IF(D108&gt;1,(31)&amp;":"&amp;(31-D108+1),(31-D108+1)&amp;":"&amp;(31-D108+1))</f>
        <v>31:24</v>
      </c>
      <c r="F108" s="30" t="s">
        <v>133</v>
      </c>
      <c r="G108" s="30" t="s">
        <v>133</v>
      </c>
      <c r="H108" s="45" t="s">
        <v>143</v>
      </c>
      <c r="I108" s="31" t="s">
        <v>68</v>
      </c>
      <c r="J108" s="32" t="s">
        <v>36</v>
      </c>
      <c r="K108" s="33" t="s">
        <v>6</v>
      </c>
      <c r="L108" s="46"/>
      <c r="M108" s="120"/>
      <c r="N108" s="120"/>
      <c r="O108" s="120"/>
      <c r="P108" s="122"/>
      <c r="Q108" s="122"/>
      <c r="R108" s="124"/>
      <c r="S108" s="124"/>
      <c r="T108" s="160"/>
      <c r="U108" s="156"/>
      <c r="V108" s="146"/>
      <c r="W108" s="149"/>
      <c r="X108" s="156"/>
      <c r="Y108" s="146"/>
      <c r="Z108" s="149"/>
      <c r="AA108" s="149"/>
      <c r="AB108" s="149"/>
      <c r="AC108" s="152"/>
      <c r="AD108" s="57">
        <f>BIN2DEC($AA107)*3</f>
        <v>3</v>
      </c>
      <c r="AE108" s="57">
        <f>ABS(BIN2DEC($U107)*3)</f>
        <v>0</v>
      </c>
      <c r="AF108" s="57">
        <f>ABS( BIN2DEC(V107)*3-BIN2DEC(Z107))</f>
        <v>0</v>
      </c>
      <c r="AG108" s="57">
        <f>BIN2DEC(X107&amp;Y107)+BIN2DEC(W107)*3</f>
        <v>5</v>
      </c>
      <c r="AH108" s="57">
        <f>AD108+AE108*4+AF108*16</f>
        <v>3</v>
      </c>
    </row>
    <row r="109" spans="1:34" ht="15" customHeight="1">
      <c r="A109" s="142"/>
      <c r="B109" s="144"/>
      <c r="C109" s="43" t="str">
        <f t="shared" ref="C109:C111" si="147">CONCATENATE("sar",AD109+AE109*4+AF109*16,"_slc",AG109)</f>
        <v>sar7_slc5</v>
      </c>
      <c r="D109" s="44">
        <v>8</v>
      </c>
      <c r="E109" s="30" t="str">
        <f t="shared" ref="E109:E111" si="148">(MID(str_cnvt(E108),SEARCH(":",str_cnvt(E108))+1,2)-1) &amp; ":" &amp; (MID(str_cnvt(E108),SEARCH(":",str_cnvt(E108))+1,2)-D109)</f>
        <v>23:16</v>
      </c>
      <c r="F109" s="30" t="s">
        <v>133</v>
      </c>
      <c r="G109" s="30" t="s">
        <v>133</v>
      </c>
      <c r="H109" s="45" t="s">
        <v>143</v>
      </c>
      <c r="I109" s="31" t="s">
        <v>68</v>
      </c>
      <c r="J109" s="32" t="s">
        <v>36</v>
      </c>
      <c r="K109" s="33" t="s">
        <v>6</v>
      </c>
      <c r="L109" s="46"/>
      <c r="M109" s="120"/>
      <c r="N109" s="120"/>
      <c r="O109" s="120"/>
      <c r="P109" s="122"/>
      <c r="Q109" s="122"/>
      <c r="R109" s="124"/>
      <c r="S109" s="124"/>
      <c r="T109" s="160"/>
      <c r="U109" s="156"/>
      <c r="V109" s="146"/>
      <c r="W109" s="149"/>
      <c r="X109" s="156"/>
      <c r="Y109" s="146"/>
      <c r="Z109" s="149"/>
      <c r="AA109" s="149"/>
      <c r="AB109" s="149"/>
      <c r="AC109" s="152"/>
      <c r="AD109" s="57">
        <f>BIN2DEC($AA107)*3</f>
        <v>3</v>
      </c>
      <c r="AE109" s="57">
        <f>ABS(BIN2DEC($U108)*3-1)</f>
        <v>1</v>
      </c>
      <c r="AF109" s="57">
        <f>ABS( BIN2DEC(V107)*3-BIN2DEC(Z107))</f>
        <v>0</v>
      </c>
      <c r="AG109" s="57">
        <f>BIN2DEC(X107&amp;Y107)+BIN2DEC(W107)*3</f>
        <v>5</v>
      </c>
      <c r="AH109" s="57">
        <f t="shared" ref="AH109:AH111" si="149">AD109+AE109*4+AF109*16</f>
        <v>7</v>
      </c>
    </row>
    <row r="110" spans="1:34" ht="15" customHeight="1">
      <c r="A110" s="142"/>
      <c r="B110" s="144"/>
      <c r="C110" s="43" t="str">
        <f t="shared" si="147"/>
        <v>sar1_slc5</v>
      </c>
      <c r="D110" s="44">
        <v>8</v>
      </c>
      <c r="E110" s="30" t="str">
        <f t="shared" si="148"/>
        <v>15:8</v>
      </c>
      <c r="F110" s="30" t="s">
        <v>133</v>
      </c>
      <c r="G110" s="30" t="s">
        <v>133</v>
      </c>
      <c r="H110" s="45" t="s">
        <v>143</v>
      </c>
      <c r="I110" s="31" t="s">
        <v>68</v>
      </c>
      <c r="J110" s="32" t="s">
        <v>36</v>
      </c>
      <c r="K110" s="33" t="s">
        <v>6</v>
      </c>
      <c r="L110" s="46"/>
      <c r="M110" s="120"/>
      <c r="N110" s="120"/>
      <c r="O110" s="120"/>
      <c r="P110" s="122"/>
      <c r="Q110" s="122"/>
      <c r="R110" s="124"/>
      <c r="S110" s="124"/>
      <c r="T110" s="160"/>
      <c r="U110" s="156"/>
      <c r="V110" s="146"/>
      <c r="W110" s="149"/>
      <c r="X110" s="156"/>
      <c r="Y110" s="146"/>
      <c r="Z110" s="149"/>
      <c r="AA110" s="149"/>
      <c r="AB110" s="149"/>
      <c r="AC110" s="152"/>
      <c r="AD110" s="57">
        <f>ABS(BIN2DEC($AA107)*3-2)</f>
        <v>1</v>
      </c>
      <c r="AE110" s="57">
        <f>ABS(BIN2DEC($U107)*3)</f>
        <v>0</v>
      </c>
      <c r="AF110" s="57">
        <f>ABS( BIN2DEC(V107)*3-BIN2DEC(Z107))</f>
        <v>0</v>
      </c>
      <c r="AG110" s="57">
        <f>BIN2DEC(X107&amp;Y107)+BIN2DEC(W107)*3</f>
        <v>5</v>
      </c>
      <c r="AH110" s="57">
        <f t="shared" si="149"/>
        <v>1</v>
      </c>
    </row>
    <row r="111" spans="1:34" ht="15.75" customHeight="1" thickBot="1">
      <c r="A111" s="142"/>
      <c r="B111" s="144"/>
      <c r="C111" s="43" t="str">
        <f t="shared" si="147"/>
        <v>sar5_slc5</v>
      </c>
      <c r="D111" s="44">
        <v>8</v>
      </c>
      <c r="E111" s="30" t="str">
        <f t="shared" si="148"/>
        <v>7:0</v>
      </c>
      <c r="F111" s="30" t="s">
        <v>133</v>
      </c>
      <c r="G111" s="30" t="s">
        <v>133</v>
      </c>
      <c r="H111" s="45" t="s">
        <v>143</v>
      </c>
      <c r="I111" s="31" t="s">
        <v>68</v>
      </c>
      <c r="J111" s="32" t="s">
        <v>36</v>
      </c>
      <c r="K111" s="33" t="s">
        <v>6</v>
      </c>
      <c r="L111" s="46"/>
      <c r="M111" s="120"/>
      <c r="N111" s="120"/>
      <c r="O111" s="120"/>
      <c r="P111" s="122"/>
      <c r="Q111" s="122"/>
      <c r="R111" s="124"/>
      <c r="S111" s="124"/>
      <c r="T111" s="160"/>
      <c r="U111" s="157"/>
      <c r="V111" s="147"/>
      <c r="W111" s="150"/>
      <c r="X111" s="157"/>
      <c r="Y111" s="147"/>
      <c r="Z111" s="150"/>
      <c r="AA111" s="150"/>
      <c r="AB111" s="150"/>
      <c r="AC111" s="153"/>
      <c r="AD111" s="57">
        <f>ABS(BIN2DEC($AA107)*3-2)</f>
        <v>1</v>
      </c>
      <c r="AE111" s="57">
        <f>ABS(BIN2DEC($U107)*3-1)</f>
        <v>1</v>
      </c>
      <c r="AF111" s="57">
        <f>ABS( BIN2DEC(V107)*3-BIN2DEC(Z107))</f>
        <v>0</v>
      </c>
      <c r="AG111" s="57">
        <f>BIN2DEC(X107&amp;Y107)+BIN2DEC(W107)*3</f>
        <v>5</v>
      </c>
      <c r="AH111" s="57">
        <f t="shared" si="149"/>
        <v>5</v>
      </c>
    </row>
    <row r="112" spans="1:34" ht="15.75" customHeight="1">
      <c r="A112" s="141" t="str">
        <f>AC112</f>
        <v>vofc_dom0_quad0_quad2_sar1_slc5</v>
      </c>
      <c r="B112" s="143" t="str">
        <f>DEC2HEX(P112*4)</f>
        <v>0</v>
      </c>
      <c r="C112" s="56" t="s">
        <v>134</v>
      </c>
      <c r="D112" s="129" t="str">
        <f>bitConcat(F113:F116)</f>
        <v>32'b00000000000000000000000000000000</v>
      </c>
      <c r="E112" s="130"/>
      <c r="F112" s="130"/>
      <c r="G112" s="130"/>
      <c r="H112" s="131" t="s">
        <v>135</v>
      </c>
      <c r="I112" s="131"/>
      <c r="J112" s="131" t="str">
        <f>bitConcat(G113:G116)</f>
        <v>32'b00000000000000000000000000000000</v>
      </c>
      <c r="K112" s="131"/>
      <c r="L112" s="132"/>
      <c r="M112" s="119" t="str">
        <f>DEC2HEX(_xlfn.BITLSHIFT(HEX2DEC(Q112),2))</f>
        <v>68</v>
      </c>
      <c r="N112" s="119"/>
      <c r="O112" s="119">
        <v>0</v>
      </c>
      <c r="P112" s="121">
        <v>0</v>
      </c>
      <c r="Q112" s="121" t="str">
        <f>AB112</f>
        <v>1A</v>
      </c>
      <c r="R112" s="123" t="str">
        <f t="shared" ref="R112" si="150">BIN2HEX(LEFT(RIGHT(D112,32),4))&amp;BIN2HEX(LEFT(RIGHT(D112,28),4))&amp;BIN2HEX(LEFT(RIGHT(D112,24),4))&amp;BIN2HEX(LEFT(RIGHT(D112,20),4))&amp;BIN2HEX(LEFT(RIGHT(D112,16),4))&amp;BIN2HEX(LEFT(RIGHT(D112,12),4))&amp;BIN2HEX(LEFT(RIGHT(D112,8),4))&amp;BIN2HEX(LEFT(RIGHT(D112,4),4))</f>
        <v>00000000</v>
      </c>
      <c r="S112" s="123" t="str">
        <f t="shared" ref="S112" si="151">BIN2HEX(LEFT(RIGHT(J112,32),4))&amp;BIN2HEX(LEFT(RIGHT(J112,28),4))&amp;BIN2HEX(LEFT(RIGHT(J112,24),4))&amp;BIN2HEX(LEFT(RIGHT(J112,20),4))&amp;BIN2HEX(LEFT(RIGHT(J112,16),4))&amp;BIN2HEX(LEFT(RIGHT(J112,12),4))&amp;BIN2HEX(LEFT(RIGHT(J112,8),4))&amp;BIN2HEX(LEFT(RIGHT(J112,4),4))</f>
        <v>00000000</v>
      </c>
      <c r="T112" s="160">
        <v>22</v>
      </c>
      <c r="U112" s="155" t="str">
        <f t="shared" ref="U112" si="152">LEFT(DEC2BIN(O112,2))</f>
        <v>0</v>
      </c>
      <c r="V112" s="145" t="str">
        <f t="shared" ref="V112" si="153">RIGHT(DEC2BIN(O112,2),1)</f>
        <v>0</v>
      </c>
      <c r="W112" s="148">
        <v>1</v>
      </c>
      <c r="X112" s="155">
        <v>1</v>
      </c>
      <c r="Y112" s="145">
        <v>0</v>
      </c>
      <c r="Z112" s="148">
        <v>1</v>
      </c>
      <c r="AA112" s="148">
        <v>0</v>
      </c>
      <c r="AB112" s="148" t="str">
        <f>BIN2HEX(U112&amp;V112&amp;W112&amp;X112&amp;Y112&amp;Z112&amp;AA112)</f>
        <v>1A</v>
      </c>
      <c r="AC112" s="151" t="str">
        <f>CONCATENATE("vofc_dom",BIN2DEC(U112&amp;V112),"_quad",BIN2DEC(AA112),"_quad",BIN2DEC(AA112)+2,"_sar",ABS( BIN2DEC(V112)*3-BIN2DEC(Z112)),"_slc",BIN2DEC(X112&amp;Y112)+BIN2DEC(W112)*3)</f>
        <v>vofc_dom0_quad0_quad2_sar1_slc5</v>
      </c>
      <c r="AD112" s="57"/>
      <c r="AE112" s="57"/>
      <c r="AF112" s="57"/>
      <c r="AG112" s="57"/>
      <c r="AH112" s="57"/>
    </row>
    <row r="113" spans="1:34" ht="15" customHeight="1">
      <c r="A113" s="142"/>
      <c r="B113" s="144"/>
      <c r="C113" s="43" t="str">
        <f>CONCATENATE("sar",AD113+AE113*4+AF113*16,"_slc",AG113)</f>
        <v>sar16_slc5</v>
      </c>
      <c r="D113" s="44">
        <v>8</v>
      </c>
      <c r="E113" s="29" t="str">
        <f>IF(D113&gt;1,(31)&amp;":"&amp;(31-D113+1),(31-D113+1)&amp;":"&amp;(31-D113+1))</f>
        <v>31:24</v>
      </c>
      <c r="F113" s="30" t="s">
        <v>133</v>
      </c>
      <c r="G113" s="30" t="s">
        <v>133</v>
      </c>
      <c r="H113" s="45" t="s">
        <v>143</v>
      </c>
      <c r="I113" s="31" t="s">
        <v>68</v>
      </c>
      <c r="J113" s="32" t="s">
        <v>36</v>
      </c>
      <c r="K113" s="33" t="s">
        <v>6</v>
      </c>
      <c r="L113" s="46"/>
      <c r="M113" s="120"/>
      <c r="N113" s="120"/>
      <c r="O113" s="120"/>
      <c r="P113" s="122"/>
      <c r="Q113" s="122"/>
      <c r="R113" s="124"/>
      <c r="S113" s="124"/>
      <c r="T113" s="160"/>
      <c r="U113" s="156"/>
      <c r="V113" s="146"/>
      <c r="W113" s="149"/>
      <c r="X113" s="156"/>
      <c r="Y113" s="146"/>
      <c r="Z113" s="149"/>
      <c r="AA113" s="149"/>
      <c r="AB113" s="149"/>
      <c r="AC113" s="152"/>
      <c r="AD113" s="57">
        <f>BIN2DEC($AA112)*3</f>
        <v>0</v>
      </c>
      <c r="AE113" s="57">
        <f>ABS(BIN2DEC($U112)*3)</f>
        <v>0</v>
      </c>
      <c r="AF113" s="57">
        <f>ABS( BIN2DEC(V112)*3-BIN2DEC(Z112))</f>
        <v>1</v>
      </c>
      <c r="AG113" s="57">
        <f>BIN2DEC(X112&amp;Y112)+BIN2DEC(W112)*3</f>
        <v>5</v>
      </c>
      <c r="AH113" s="57">
        <f>AD113+AE113*4+AF113*16</f>
        <v>16</v>
      </c>
    </row>
    <row r="114" spans="1:34" ht="15" customHeight="1">
      <c r="A114" s="142"/>
      <c r="B114" s="144"/>
      <c r="C114" s="43" t="str">
        <f t="shared" ref="C114:C116" si="154">CONCATENATE("sar",AD114+AE114*4+AF114*16,"_slc",AG114)</f>
        <v>sar20_slc5</v>
      </c>
      <c r="D114" s="44">
        <v>8</v>
      </c>
      <c r="E114" s="30" t="str">
        <f t="shared" ref="E114:E116" si="155">(MID(str_cnvt(E113),SEARCH(":",str_cnvt(E113))+1,2)-1) &amp; ":" &amp; (MID(str_cnvt(E113),SEARCH(":",str_cnvt(E113))+1,2)-D114)</f>
        <v>23:16</v>
      </c>
      <c r="F114" s="30" t="s">
        <v>133</v>
      </c>
      <c r="G114" s="30" t="s">
        <v>133</v>
      </c>
      <c r="H114" s="45" t="s">
        <v>143</v>
      </c>
      <c r="I114" s="31" t="s">
        <v>68</v>
      </c>
      <c r="J114" s="32" t="s">
        <v>36</v>
      </c>
      <c r="K114" s="33" t="s">
        <v>6</v>
      </c>
      <c r="L114" s="46"/>
      <c r="M114" s="120"/>
      <c r="N114" s="120"/>
      <c r="O114" s="120"/>
      <c r="P114" s="122"/>
      <c r="Q114" s="122"/>
      <c r="R114" s="124"/>
      <c r="S114" s="124"/>
      <c r="T114" s="160"/>
      <c r="U114" s="156"/>
      <c r="V114" s="146"/>
      <c r="W114" s="149"/>
      <c r="X114" s="156"/>
      <c r="Y114" s="146"/>
      <c r="Z114" s="149"/>
      <c r="AA114" s="149"/>
      <c r="AB114" s="149"/>
      <c r="AC114" s="152"/>
      <c r="AD114" s="57">
        <f>BIN2DEC($AA112)*3</f>
        <v>0</v>
      </c>
      <c r="AE114" s="57">
        <f>ABS(BIN2DEC($U113)*3-1)</f>
        <v>1</v>
      </c>
      <c r="AF114" s="57">
        <f>ABS( BIN2DEC(V112)*3-BIN2DEC(Z112))</f>
        <v>1</v>
      </c>
      <c r="AG114" s="57">
        <f>BIN2DEC(X112&amp;Y112)+BIN2DEC(W112)*3</f>
        <v>5</v>
      </c>
      <c r="AH114" s="57">
        <f t="shared" ref="AH114:AH116" si="156">AD114+AE114*4+AF114*16</f>
        <v>20</v>
      </c>
    </row>
    <row r="115" spans="1:34" ht="15" customHeight="1">
      <c r="A115" s="142"/>
      <c r="B115" s="144"/>
      <c r="C115" s="43" t="str">
        <f t="shared" si="154"/>
        <v>sar18_slc5</v>
      </c>
      <c r="D115" s="44">
        <v>8</v>
      </c>
      <c r="E115" s="30" t="str">
        <f t="shared" si="155"/>
        <v>15:8</v>
      </c>
      <c r="F115" s="30" t="s">
        <v>133</v>
      </c>
      <c r="G115" s="30" t="s">
        <v>133</v>
      </c>
      <c r="H115" s="45" t="s">
        <v>143</v>
      </c>
      <c r="I115" s="31" t="s">
        <v>68</v>
      </c>
      <c r="J115" s="32" t="s">
        <v>36</v>
      </c>
      <c r="K115" s="33" t="s">
        <v>6</v>
      </c>
      <c r="L115" s="46"/>
      <c r="M115" s="120"/>
      <c r="N115" s="120"/>
      <c r="O115" s="120"/>
      <c r="P115" s="122"/>
      <c r="Q115" s="122"/>
      <c r="R115" s="124"/>
      <c r="S115" s="124"/>
      <c r="T115" s="160"/>
      <c r="U115" s="156"/>
      <c r="V115" s="146"/>
      <c r="W115" s="149"/>
      <c r="X115" s="156"/>
      <c r="Y115" s="146"/>
      <c r="Z115" s="149"/>
      <c r="AA115" s="149"/>
      <c r="AB115" s="149"/>
      <c r="AC115" s="152"/>
      <c r="AD115" s="57">
        <f>ABS(BIN2DEC($AA112)*3-2)</f>
        <v>2</v>
      </c>
      <c r="AE115" s="57">
        <f>ABS(BIN2DEC($U112)*3)</f>
        <v>0</v>
      </c>
      <c r="AF115" s="57">
        <f>ABS( BIN2DEC(V112)*3-BIN2DEC(Z112))</f>
        <v>1</v>
      </c>
      <c r="AG115" s="57">
        <f>BIN2DEC(X112&amp;Y112)+BIN2DEC(W112)*3</f>
        <v>5</v>
      </c>
      <c r="AH115" s="57">
        <f t="shared" si="156"/>
        <v>18</v>
      </c>
    </row>
    <row r="116" spans="1:34" ht="15.75" customHeight="1" thickBot="1">
      <c r="A116" s="142"/>
      <c r="B116" s="144"/>
      <c r="C116" s="43" t="str">
        <f t="shared" si="154"/>
        <v>sar22_slc5</v>
      </c>
      <c r="D116" s="44">
        <v>8</v>
      </c>
      <c r="E116" s="30" t="str">
        <f t="shared" si="155"/>
        <v>7:0</v>
      </c>
      <c r="F116" s="30" t="s">
        <v>133</v>
      </c>
      <c r="G116" s="30" t="s">
        <v>133</v>
      </c>
      <c r="H116" s="45" t="s">
        <v>143</v>
      </c>
      <c r="I116" s="31" t="s">
        <v>68</v>
      </c>
      <c r="J116" s="32" t="s">
        <v>36</v>
      </c>
      <c r="K116" s="33" t="s">
        <v>6</v>
      </c>
      <c r="L116" s="46"/>
      <c r="M116" s="120"/>
      <c r="N116" s="120"/>
      <c r="O116" s="120"/>
      <c r="P116" s="122"/>
      <c r="Q116" s="122"/>
      <c r="R116" s="124"/>
      <c r="S116" s="124"/>
      <c r="T116" s="160"/>
      <c r="U116" s="157"/>
      <c r="V116" s="147"/>
      <c r="W116" s="150"/>
      <c r="X116" s="157"/>
      <c r="Y116" s="147"/>
      <c r="Z116" s="150"/>
      <c r="AA116" s="150"/>
      <c r="AB116" s="150"/>
      <c r="AC116" s="153"/>
      <c r="AD116" s="57">
        <f>ABS(BIN2DEC($AA112)*3-2)</f>
        <v>2</v>
      </c>
      <c r="AE116" s="57">
        <f>ABS(BIN2DEC($U112)*3-1)</f>
        <v>1</v>
      </c>
      <c r="AF116" s="57">
        <f>ABS( BIN2DEC(V112)*3-BIN2DEC(Z112))</f>
        <v>1</v>
      </c>
      <c r="AG116" s="57">
        <f>BIN2DEC(X112&amp;Y112)+BIN2DEC(W112)*3</f>
        <v>5</v>
      </c>
      <c r="AH116" s="57">
        <f t="shared" si="156"/>
        <v>22</v>
      </c>
    </row>
    <row r="117" spans="1:34" ht="15.75" customHeight="1">
      <c r="A117" s="141" t="str">
        <f>AC117</f>
        <v>vofc_dom0_quad1_quad3_sar1_slc5</v>
      </c>
      <c r="B117" s="143" t="str">
        <f>DEC2HEX(P117*4)</f>
        <v>0</v>
      </c>
      <c r="C117" s="56" t="s">
        <v>134</v>
      </c>
      <c r="D117" s="129" t="str">
        <f>bitConcat(F118:F121)</f>
        <v>32'b00000000000000000000000000000000</v>
      </c>
      <c r="E117" s="130"/>
      <c r="F117" s="130"/>
      <c r="G117" s="130"/>
      <c r="H117" s="131" t="s">
        <v>135</v>
      </c>
      <c r="I117" s="131"/>
      <c r="J117" s="131" t="str">
        <f>bitConcat(G118:G121)</f>
        <v>32'b00000000000000000000000000000000</v>
      </c>
      <c r="K117" s="131"/>
      <c r="L117" s="132"/>
      <c r="M117" s="119" t="str">
        <f>DEC2HEX(_xlfn.BITLSHIFT(HEX2DEC(Q117),2))</f>
        <v>6C</v>
      </c>
      <c r="N117" s="119"/>
      <c r="O117" s="119">
        <v>0</v>
      </c>
      <c r="P117" s="121">
        <v>0</v>
      </c>
      <c r="Q117" s="121" t="str">
        <f>AB117</f>
        <v>1B</v>
      </c>
      <c r="R117" s="123" t="str">
        <f t="shared" ref="R117" si="157">BIN2HEX(LEFT(RIGHT(D117,32),4))&amp;BIN2HEX(LEFT(RIGHT(D117,28),4))&amp;BIN2HEX(LEFT(RIGHT(D117,24),4))&amp;BIN2HEX(LEFT(RIGHT(D117,20),4))&amp;BIN2HEX(LEFT(RIGHT(D117,16),4))&amp;BIN2HEX(LEFT(RIGHT(D117,12),4))&amp;BIN2HEX(LEFT(RIGHT(D117,8),4))&amp;BIN2HEX(LEFT(RIGHT(D117,4),4))</f>
        <v>00000000</v>
      </c>
      <c r="S117" s="123" t="str">
        <f t="shared" ref="S117" si="158">BIN2HEX(LEFT(RIGHT(J117,32),4))&amp;BIN2HEX(LEFT(RIGHT(J117,28),4))&amp;BIN2HEX(LEFT(RIGHT(J117,24),4))&amp;BIN2HEX(LEFT(RIGHT(J117,20),4))&amp;BIN2HEX(LEFT(RIGHT(J117,16),4))&amp;BIN2HEX(LEFT(RIGHT(J117,12),4))&amp;BIN2HEX(LEFT(RIGHT(J117,8),4))&amp;BIN2HEX(LEFT(RIGHT(J117,4),4))</f>
        <v>00000000</v>
      </c>
      <c r="T117" s="160">
        <v>23</v>
      </c>
      <c r="U117" s="155" t="str">
        <f t="shared" ref="U117" si="159">LEFT(DEC2BIN(O117,2))</f>
        <v>0</v>
      </c>
      <c r="V117" s="145" t="str">
        <f t="shared" ref="V117" si="160">RIGHT(DEC2BIN(O117,2),1)</f>
        <v>0</v>
      </c>
      <c r="W117" s="148">
        <v>1</v>
      </c>
      <c r="X117" s="155">
        <v>1</v>
      </c>
      <c r="Y117" s="145">
        <v>0</v>
      </c>
      <c r="Z117" s="148">
        <v>1</v>
      </c>
      <c r="AA117" s="148">
        <v>1</v>
      </c>
      <c r="AB117" s="148" t="str">
        <f>BIN2HEX(U117&amp;V117&amp;W117&amp;X117&amp;Y117&amp;Z117&amp;AA117)</f>
        <v>1B</v>
      </c>
      <c r="AC117" s="151" t="str">
        <f>CONCATENATE("vofc_dom",BIN2DEC(U117&amp;V117),"_quad",BIN2DEC(AA117),"_quad",BIN2DEC(AA117)+2,"_sar",ABS( BIN2DEC(V117)*3-BIN2DEC(Z117)),"_slc",BIN2DEC(X117&amp;Y117)+BIN2DEC(W117)*3)</f>
        <v>vofc_dom0_quad1_quad3_sar1_slc5</v>
      </c>
      <c r="AD117" s="57"/>
      <c r="AE117" s="57"/>
      <c r="AF117" s="57"/>
      <c r="AG117" s="57"/>
      <c r="AH117" s="57"/>
    </row>
    <row r="118" spans="1:34" ht="15" customHeight="1">
      <c r="A118" s="142"/>
      <c r="B118" s="144"/>
      <c r="C118" s="43" t="str">
        <f>CONCATENATE("sar",AD118+AE118*4+AF118*16,"_slc",AG118)</f>
        <v>sar19_slc5</v>
      </c>
      <c r="D118" s="44">
        <v>8</v>
      </c>
      <c r="E118" s="29" t="str">
        <f>IF(D118&gt;1,(31)&amp;":"&amp;(31-D118+1),(31-D118+1)&amp;":"&amp;(31-D118+1))</f>
        <v>31:24</v>
      </c>
      <c r="F118" s="30" t="s">
        <v>133</v>
      </c>
      <c r="G118" s="30" t="s">
        <v>133</v>
      </c>
      <c r="H118" s="45" t="s">
        <v>143</v>
      </c>
      <c r="I118" s="31" t="s">
        <v>68</v>
      </c>
      <c r="J118" s="32" t="s">
        <v>36</v>
      </c>
      <c r="K118" s="33" t="s">
        <v>6</v>
      </c>
      <c r="L118" s="46"/>
      <c r="M118" s="120"/>
      <c r="N118" s="120"/>
      <c r="O118" s="120"/>
      <c r="P118" s="122"/>
      <c r="Q118" s="122"/>
      <c r="R118" s="124"/>
      <c r="S118" s="124"/>
      <c r="T118" s="160"/>
      <c r="U118" s="156"/>
      <c r="V118" s="146"/>
      <c r="W118" s="149"/>
      <c r="X118" s="156"/>
      <c r="Y118" s="146"/>
      <c r="Z118" s="149"/>
      <c r="AA118" s="149"/>
      <c r="AB118" s="149"/>
      <c r="AC118" s="152"/>
      <c r="AD118" s="57">
        <f>BIN2DEC($AA117)*3</f>
        <v>3</v>
      </c>
      <c r="AE118" s="57">
        <f>ABS(BIN2DEC($U117)*3)</f>
        <v>0</v>
      </c>
      <c r="AF118" s="57">
        <f>ABS( BIN2DEC(V117)*3-BIN2DEC(Z117))</f>
        <v>1</v>
      </c>
      <c r="AG118" s="57">
        <f>BIN2DEC(X117&amp;Y117)+BIN2DEC(W117)*3</f>
        <v>5</v>
      </c>
      <c r="AH118" s="57">
        <f>AD118+AE118*4+AF118*16</f>
        <v>19</v>
      </c>
    </row>
    <row r="119" spans="1:34" ht="15" customHeight="1">
      <c r="A119" s="142"/>
      <c r="B119" s="144"/>
      <c r="C119" s="43" t="str">
        <f t="shared" ref="C119:C121" si="161">CONCATENATE("sar",AD119+AE119*4+AF119*16,"_slc",AG119)</f>
        <v>sar23_slc5</v>
      </c>
      <c r="D119" s="44">
        <v>8</v>
      </c>
      <c r="E119" s="30" t="str">
        <f t="shared" ref="E119:E121" si="162">(MID(str_cnvt(E118),SEARCH(":",str_cnvt(E118))+1,2)-1) &amp; ":" &amp; (MID(str_cnvt(E118),SEARCH(":",str_cnvt(E118))+1,2)-D119)</f>
        <v>23:16</v>
      </c>
      <c r="F119" s="30" t="s">
        <v>133</v>
      </c>
      <c r="G119" s="30" t="s">
        <v>133</v>
      </c>
      <c r="H119" s="45" t="s">
        <v>143</v>
      </c>
      <c r="I119" s="31" t="s">
        <v>68</v>
      </c>
      <c r="J119" s="32" t="s">
        <v>36</v>
      </c>
      <c r="K119" s="33" t="s">
        <v>6</v>
      </c>
      <c r="L119" s="46"/>
      <c r="M119" s="120"/>
      <c r="N119" s="120"/>
      <c r="O119" s="120"/>
      <c r="P119" s="122"/>
      <c r="Q119" s="122"/>
      <c r="R119" s="124"/>
      <c r="S119" s="124"/>
      <c r="T119" s="160"/>
      <c r="U119" s="156"/>
      <c r="V119" s="146"/>
      <c r="W119" s="149"/>
      <c r="X119" s="156"/>
      <c r="Y119" s="146"/>
      <c r="Z119" s="149"/>
      <c r="AA119" s="149"/>
      <c r="AB119" s="149"/>
      <c r="AC119" s="152"/>
      <c r="AD119" s="57">
        <f>BIN2DEC($AA117)*3</f>
        <v>3</v>
      </c>
      <c r="AE119" s="57">
        <f>ABS(BIN2DEC($U118)*3-1)</f>
        <v>1</v>
      </c>
      <c r="AF119" s="57">
        <f>ABS( BIN2DEC(V117)*3-BIN2DEC(Z117))</f>
        <v>1</v>
      </c>
      <c r="AG119" s="57">
        <f>BIN2DEC(X117&amp;Y117)+BIN2DEC(W117)*3</f>
        <v>5</v>
      </c>
      <c r="AH119" s="57">
        <f t="shared" ref="AH119:AH121" si="163">AD119+AE119*4+AF119*16</f>
        <v>23</v>
      </c>
    </row>
    <row r="120" spans="1:34" ht="15" customHeight="1">
      <c r="A120" s="142"/>
      <c r="B120" s="144"/>
      <c r="C120" s="43" t="str">
        <f t="shared" si="161"/>
        <v>sar17_slc5</v>
      </c>
      <c r="D120" s="44">
        <v>8</v>
      </c>
      <c r="E120" s="30" t="str">
        <f t="shared" si="162"/>
        <v>15:8</v>
      </c>
      <c r="F120" s="30" t="s">
        <v>133</v>
      </c>
      <c r="G120" s="30" t="s">
        <v>133</v>
      </c>
      <c r="H120" s="45" t="s">
        <v>143</v>
      </c>
      <c r="I120" s="31" t="s">
        <v>68</v>
      </c>
      <c r="J120" s="32" t="s">
        <v>36</v>
      </c>
      <c r="K120" s="33" t="s">
        <v>6</v>
      </c>
      <c r="L120" s="46"/>
      <c r="M120" s="120"/>
      <c r="N120" s="120"/>
      <c r="O120" s="120"/>
      <c r="P120" s="122"/>
      <c r="Q120" s="122"/>
      <c r="R120" s="124"/>
      <c r="S120" s="124"/>
      <c r="T120" s="160"/>
      <c r="U120" s="156"/>
      <c r="V120" s="146"/>
      <c r="W120" s="149"/>
      <c r="X120" s="156"/>
      <c r="Y120" s="146"/>
      <c r="Z120" s="149"/>
      <c r="AA120" s="149"/>
      <c r="AB120" s="149"/>
      <c r="AC120" s="152"/>
      <c r="AD120" s="57">
        <f>ABS(BIN2DEC($AA117)*3-2)</f>
        <v>1</v>
      </c>
      <c r="AE120" s="57">
        <f>ABS(BIN2DEC($U117)*3)</f>
        <v>0</v>
      </c>
      <c r="AF120" s="57">
        <f>ABS( BIN2DEC(V117)*3-BIN2DEC(Z117))</f>
        <v>1</v>
      </c>
      <c r="AG120" s="57">
        <f>BIN2DEC(X117&amp;Y117)+BIN2DEC(W117)*3</f>
        <v>5</v>
      </c>
      <c r="AH120" s="57">
        <f t="shared" si="163"/>
        <v>17</v>
      </c>
    </row>
    <row r="121" spans="1:34" ht="15.75" customHeight="1" thickBot="1">
      <c r="A121" s="142"/>
      <c r="B121" s="144"/>
      <c r="C121" s="43" t="str">
        <f t="shared" si="161"/>
        <v>sar21_slc5</v>
      </c>
      <c r="D121" s="44">
        <v>8</v>
      </c>
      <c r="E121" s="30" t="str">
        <f t="shared" si="162"/>
        <v>7:0</v>
      </c>
      <c r="F121" s="30" t="s">
        <v>133</v>
      </c>
      <c r="G121" s="30" t="s">
        <v>133</v>
      </c>
      <c r="H121" s="45" t="s">
        <v>143</v>
      </c>
      <c r="I121" s="31" t="s">
        <v>68</v>
      </c>
      <c r="J121" s="32" t="s">
        <v>36</v>
      </c>
      <c r="K121" s="33" t="s">
        <v>6</v>
      </c>
      <c r="L121" s="46"/>
      <c r="M121" s="120"/>
      <c r="N121" s="120"/>
      <c r="O121" s="120"/>
      <c r="P121" s="122"/>
      <c r="Q121" s="122"/>
      <c r="R121" s="124"/>
      <c r="S121" s="124"/>
      <c r="T121" s="160"/>
      <c r="U121" s="157"/>
      <c r="V121" s="147"/>
      <c r="W121" s="150"/>
      <c r="X121" s="157"/>
      <c r="Y121" s="147"/>
      <c r="Z121" s="150"/>
      <c r="AA121" s="150"/>
      <c r="AB121" s="150"/>
      <c r="AC121" s="153"/>
      <c r="AD121" s="57">
        <f>ABS(BIN2DEC($AA117)*3-2)</f>
        <v>1</v>
      </c>
      <c r="AE121" s="57">
        <f>ABS(BIN2DEC($U117)*3-1)</f>
        <v>1</v>
      </c>
      <c r="AF121" s="57">
        <f>ABS( BIN2DEC(V117)*3-BIN2DEC(Z117))</f>
        <v>1</v>
      </c>
      <c r="AG121" s="57">
        <f>BIN2DEC(X117&amp;Y117)+BIN2DEC(W117)*3</f>
        <v>5</v>
      </c>
      <c r="AH121" s="57">
        <f t="shared" si="163"/>
        <v>21</v>
      </c>
    </row>
    <row r="122" spans="1:34" ht="15.75" customHeight="1">
      <c r="A122" s="137" t="str">
        <f>AC122</f>
        <v>vofc_dom1_quad0_quad2_sar3_slc0</v>
      </c>
      <c r="B122" s="139" t="str">
        <f>DEC2HEX(P122*4)</f>
        <v>0</v>
      </c>
      <c r="C122" s="56" t="s">
        <v>134</v>
      </c>
      <c r="D122" s="129" t="str">
        <f>bitConcat(F123:F126)</f>
        <v>32'b00000000000000000000000000000000</v>
      </c>
      <c r="E122" s="130"/>
      <c r="F122" s="130"/>
      <c r="G122" s="130"/>
      <c r="H122" s="131" t="s">
        <v>135</v>
      </c>
      <c r="I122" s="131"/>
      <c r="J122" s="131" t="str">
        <f>bitConcat(G123:G126)</f>
        <v>32'b00000000000000000000000000000000</v>
      </c>
      <c r="K122" s="131"/>
      <c r="L122" s="132"/>
      <c r="M122" s="119" t="str">
        <f>DEC2HEX(_xlfn.BITLSHIFT(HEX2DEC(Q122),2))</f>
        <v>80</v>
      </c>
      <c r="N122" s="119"/>
      <c r="O122" s="119">
        <v>1</v>
      </c>
      <c r="P122" s="121">
        <v>0</v>
      </c>
      <c r="Q122" s="121" t="str">
        <f>AB122</f>
        <v>20</v>
      </c>
      <c r="R122" s="123" t="str">
        <f t="shared" ref="R122" si="164">BIN2HEX(LEFT(RIGHT(D122,32),4))&amp;BIN2HEX(LEFT(RIGHT(D122,28),4))&amp;BIN2HEX(LEFT(RIGHT(D122,24),4))&amp;BIN2HEX(LEFT(RIGHT(D122,20),4))&amp;BIN2HEX(LEFT(RIGHT(D122,16),4))&amp;BIN2HEX(LEFT(RIGHT(D122,12),4))&amp;BIN2HEX(LEFT(RIGHT(D122,8),4))&amp;BIN2HEX(LEFT(RIGHT(D122,4),4))</f>
        <v>00000000</v>
      </c>
      <c r="S122" s="123" t="str">
        <f t="shared" ref="S122" si="165">BIN2HEX(LEFT(RIGHT(J122,32),4))&amp;BIN2HEX(LEFT(RIGHT(J122,28),4))&amp;BIN2HEX(LEFT(RIGHT(J122,24),4))&amp;BIN2HEX(LEFT(RIGHT(J122,20),4))&amp;BIN2HEX(LEFT(RIGHT(J122,16),4))&amp;BIN2HEX(LEFT(RIGHT(J122,12),4))&amp;BIN2HEX(LEFT(RIGHT(J122,8),4))&amp;BIN2HEX(LEFT(RIGHT(J122,4),4))</f>
        <v>00000000</v>
      </c>
      <c r="T122" s="159">
        <v>0</v>
      </c>
      <c r="U122" s="155" t="str">
        <f t="shared" ref="U122" si="166">LEFT(DEC2BIN(O122,2))</f>
        <v>0</v>
      </c>
      <c r="V122" s="145" t="str">
        <f t="shared" ref="V122" si="167">RIGHT(DEC2BIN(O122,2),1)</f>
        <v>1</v>
      </c>
      <c r="W122" s="148">
        <v>0</v>
      </c>
      <c r="X122" s="155">
        <v>0</v>
      </c>
      <c r="Y122" s="145">
        <v>0</v>
      </c>
      <c r="Z122" s="148">
        <v>0</v>
      </c>
      <c r="AA122" s="148">
        <v>0</v>
      </c>
      <c r="AB122" s="148" t="str">
        <f>BIN2HEX(U122&amp;V122&amp;W122&amp;X122&amp;Y122&amp;Z122&amp;AA122)</f>
        <v>20</v>
      </c>
      <c r="AC122" s="151" t="str">
        <f>CONCATENATE("vofc_dom",BIN2DEC(U122&amp;V122),"_quad",BIN2DEC(AA122),"_quad",BIN2DEC(AA122)+2,"_sar",ABS( BIN2DEC(V122)*3-BIN2DEC(Z122)),"_slc",BIN2DEC(X122&amp;Y122)+BIN2DEC(W122)*3)</f>
        <v>vofc_dom1_quad0_quad2_sar3_slc0</v>
      </c>
      <c r="AD122" s="57"/>
      <c r="AE122" s="57"/>
      <c r="AF122" s="57"/>
      <c r="AG122" s="57"/>
      <c r="AH122" s="57"/>
    </row>
    <row r="123" spans="1:34" ht="15" customHeight="1">
      <c r="A123" s="138"/>
      <c r="B123" s="140"/>
      <c r="C123" s="43" t="str">
        <f>CONCATENATE("sar",AD123+AE123*4+AF123*16,"_slc",AG123)</f>
        <v>sar48_slc0</v>
      </c>
      <c r="D123" s="44">
        <v>8</v>
      </c>
      <c r="E123" s="29" t="str">
        <f>IF(D123&gt;1,(31)&amp;":"&amp;(31-D123+1),(31-D123+1)&amp;":"&amp;(31-D123+1))</f>
        <v>31:24</v>
      </c>
      <c r="F123" s="30" t="s">
        <v>133</v>
      </c>
      <c r="G123" s="30" t="s">
        <v>133</v>
      </c>
      <c r="H123" s="45" t="s">
        <v>143</v>
      </c>
      <c r="I123" s="31" t="s">
        <v>68</v>
      </c>
      <c r="J123" s="32" t="s">
        <v>36</v>
      </c>
      <c r="K123" s="33" t="s">
        <v>6</v>
      </c>
      <c r="L123" s="46"/>
      <c r="M123" s="120"/>
      <c r="N123" s="120"/>
      <c r="O123" s="120"/>
      <c r="P123" s="122"/>
      <c r="Q123" s="122"/>
      <c r="R123" s="124"/>
      <c r="S123" s="124"/>
      <c r="T123" s="159"/>
      <c r="U123" s="156"/>
      <c r="V123" s="146"/>
      <c r="W123" s="149"/>
      <c r="X123" s="156"/>
      <c r="Y123" s="146"/>
      <c r="Z123" s="149"/>
      <c r="AA123" s="149"/>
      <c r="AB123" s="149"/>
      <c r="AC123" s="152"/>
      <c r="AD123" s="57">
        <f>BIN2DEC($AA122)*3</f>
        <v>0</v>
      </c>
      <c r="AE123" s="57">
        <f>ABS(BIN2DEC($U122)*3)</f>
        <v>0</v>
      </c>
      <c r="AF123" s="57">
        <f>ABS( BIN2DEC(V122)*3-BIN2DEC(Z122))</f>
        <v>3</v>
      </c>
      <c r="AG123" s="57">
        <f>BIN2DEC(X122&amp;Y122)+BIN2DEC(W122)*3</f>
        <v>0</v>
      </c>
      <c r="AH123" s="57">
        <f>AD123+AE123*4+AF123*16</f>
        <v>48</v>
      </c>
    </row>
    <row r="124" spans="1:34" ht="15" customHeight="1">
      <c r="A124" s="138"/>
      <c r="B124" s="140"/>
      <c r="C124" s="43" t="str">
        <f t="shared" ref="C124:C126" si="168">CONCATENATE("sar",AD124+AE124*4+AF124*16,"_slc",AG124)</f>
        <v>sar52_slc0</v>
      </c>
      <c r="D124" s="44">
        <v>8</v>
      </c>
      <c r="E124" s="30" t="str">
        <f t="shared" ref="E124:E126" si="169">(MID(str_cnvt(E123),SEARCH(":",str_cnvt(E123))+1,2)-1) &amp; ":" &amp; (MID(str_cnvt(E123),SEARCH(":",str_cnvt(E123))+1,2)-D124)</f>
        <v>23:16</v>
      </c>
      <c r="F124" s="30" t="s">
        <v>133</v>
      </c>
      <c r="G124" s="30" t="s">
        <v>133</v>
      </c>
      <c r="H124" s="45" t="s">
        <v>143</v>
      </c>
      <c r="I124" s="31" t="s">
        <v>68</v>
      </c>
      <c r="J124" s="32" t="s">
        <v>36</v>
      </c>
      <c r="K124" s="33" t="s">
        <v>6</v>
      </c>
      <c r="L124" s="46"/>
      <c r="M124" s="120"/>
      <c r="N124" s="120"/>
      <c r="O124" s="120"/>
      <c r="P124" s="122"/>
      <c r="Q124" s="122"/>
      <c r="R124" s="124"/>
      <c r="S124" s="124"/>
      <c r="T124" s="159"/>
      <c r="U124" s="156"/>
      <c r="V124" s="146"/>
      <c r="W124" s="149"/>
      <c r="X124" s="156"/>
      <c r="Y124" s="146"/>
      <c r="Z124" s="149"/>
      <c r="AA124" s="149"/>
      <c r="AB124" s="149"/>
      <c r="AC124" s="152"/>
      <c r="AD124" s="57">
        <f>BIN2DEC($AA122)*3</f>
        <v>0</v>
      </c>
      <c r="AE124" s="57">
        <f>ABS(BIN2DEC($U123)*3-1)</f>
        <v>1</v>
      </c>
      <c r="AF124" s="57">
        <f>ABS( BIN2DEC(V122)*3-BIN2DEC(Z122))</f>
        <v>3</v>
      </c>
      <c r="AG124" s="57">
        <f>BIN2DEC(X122&amp;Y122)+BIN2DEC(W122)*3</f>
        <v>0</v>
      </c>
      <c r="AH124" s="57">
        <f t="shared" ref="AH124:AH126" si="170">AD124+AE124*4+AF124*16</f>
        <v>52</v>
      </c>
    </row>
    <row r="125" spans="1:34" ht="15" customHeight="1">
      <c r="A125" s="138"/>
      <c r="B125" s="140"/>
      <c r="C125" s="43" t="str">
        <f t="shared" si="168"/>
        <v>sar50_slc0</v>
      </c>
      <c r="D125" s="44">
        <v>8</v>
      </c>
      <c r="E125" s="30" t="str">
        <f t="shared" si="169"/>
        <v>15:8</v>
      </c>
      <c r="F125" s="30" t="s">
        <v>133</v>
      </c>
      <c r="G125" s="30" t="s">
        <v>133</v>
      </c>
      <c r="H125" s="45" t="s">
        <v>143</v>
      </c>
      <c r="I125" s="31" t="s">
        <v>68</v>
      </c>
      <c r="J125" s="32" t="s">
        <v>36</v>
      </c>
      <c r="K125" s="33" t="s">
        <v>6</v>
      </c>
      <c r="L125" s="46"/>
      <c r="M125" s="120"/>
      <c r="N125" s="120"/>
      <c r="O125" s="120"/>
      <c r="P125" s="122"/>
      <c r="Q125" s="122"/>
      <c r="R125" s="124"/>
      <c r="S125" s="124"/>
      <c r="T125" s="159"/>
      <c r="U125" s="156"/>
      <c r="V125" s="146"/>
      <c r="W125" s="149"/>
      <c r="X125" s="156"/>
      <c r="Y125" s="146"/>
      <c r="Z125" s="149"/>
      <c r="AA125" s="149"/>
      <c r="AB125" s="149"/>
      <c r="AC125" s="152"/>
      <c r="AD125" s="57">
        <f>ABS(BIN2DEC($AA122)*3-2)</f>
        <v>2</v>
      </c>
      <c r="AE125" s="57">
        <f>ABS(BIN2DEC($U122)*3)</f>
        <v>0</v>
      </c>
      <c r="AF125" s="57">
        <f>ABS( BIN2DEC(V122)*3-BIN2DEC(Z122))</f>
        <v>3</v>
      </c>
      <c r="AG125" s="57">
        <f>BIN2DEC(X122&amp;Y122)+BIN2DEC(W122)*3</f>
        <v>0</v>
      </c>
      <c r="AH125" s="57">
        <f t="shared" si="170"/>
        <v>50</v>
      </c>
    </row>
    <row r="126" spans="1:34" ht="15.75" customHeight="1" thickBot="1">
      <c r="A126" s="138"/>
      <c r="B126" s="140"/>
      <c r="C126" s="43" t="str">
        <f t="shared" si="168"/>
        <v>sar54_slc0</v>
      </c>
      <c r="D126" s="44">
        <v>8</v>
      </c>
      <c r="E126" s="30" t="str">
        <f t="shared" si="169"/>
        <v>7:0</v>
      </c>
      <c r="F126" s="30" t="s">
        <v>133</v>
      </c>
      <c r="G126" s="30" t="s">
        <v>133</v>
      </c>
      <c r="H126" s="45" t="s">
        <v>143</v>
      </c>
      <c r="I126" s="31" t="s">
        <v>68</v>
      </c>
      <c r="J126" s="32" t="s">
        <v>36</v>
      </c>
      <c r="K126" s="33" t="s">
        <v>6</v>
      </c>
      <c r="L126" s="46"/>
      <c r="M126" s="120"/>
      <c r="N126" s="120"/>
      <c r="O126" s="120"/>
      <c r="P126" s="122"/>
      <c r="Q126" s="122"/>
      <c r="R126" s="124"/>
      <c r="S126" s="124"/>
      <c r="T126" s="159"/>
      <c r="U126" s="157"/>
      <c r="V126" s="147"/>
      <c r="W126" s="150"/>
      <c r="X126" s="157"/>
      <c r="Y126" s="147"/>
      <c r="Z126" s="150"/>
      <c r="AA126" s="150"/>
      <c r="AB126" s="150"/>
      <c r="AC126" s="153"/>
      <c r="AD126" s="57">
        <f>ABS(BIN2DEC($AA122)*3-2)</f>
        <v>2</v>
      </c>
      <c r="AE126" s="57">
        <f>ABS(BIN2DEC($U122)*3-1)</f>
        <v>1</v>
      </c>
      <c r="AF126" s="57">
        <f>ABS( BIN2DEC(V122)*3-BIN2DEC(Z122))</f>
        <v>3</v>
      </c>
      <c r="AG126" s="57">
        <f>BIN2DEC(X122&amp;Y122)+BIN2DEC(W122)*3</f>
        <v>0</v>
      </c>
      <c r="AH126" s="57">
        <f t="shared" si="170"/>
        <v>54</v>
      </c>
    </row>
    <row r="127" spans="1:34" ht="15.75" customHeight="1">
      <c r="A127" s="137" t="str">
        <f>AC127</f>
        <v>vofc_dom1_quad1_quad3_sar3_slc0</v>
      </c>
      <c r="B127" s="139" t="str">
        <f>DEC2HEX(P127*4)</f>
        <v>0</v>
      </c>
      <c r="C127" s="56" t="s">
        <v>134</v>
      </c>
      <c r="D127" s="129" t="str">
        <f>bitConcat(F128:F131)</f>
        <v>32'b00000000000000000000000000000000</v>
      </c>
      <c r="E127" s="130"/>
      <c r="F127" s="130"/>
      <c r="G127" s="130"/>
      <c r="H127" s="131" t="s">
        <v>135</v>
      </c>
      <c r="I127" s="131"/>
      <c r="J127" s="131" t="str">
        <f>bitConcat(G128:G131)</f>
        <v>32'b00000000000000000000000000000000</v>
      </c>
      <c r="K127" s="131"/>
      <c r="L127" s="132"/>
      <c r="M127" s="119" t="str">
        <f>DEC2HEX(_xlfn.BITLSHIFT(HEX2DEC(Q127),2))</f>
        <v>84</v>
      </c>
      <c r="N127" s="119"/>
      <c r="O127" s="119">
        <v>1</v>
      </c>
      <c r="P127" s="121">
        <v>0</v>
      </c>
      <c r="Q127" s="121" t="str">
        <f>AB127</f>
        <v>21</v>
      </c>
      <c r="R127" s="123" t="str">
        <f t="shared" ref="R127" si="171">BIN2HEX(LEFT(RIGHT(D127,32),4))&amp;BIN2HEX(LEFT(RIGHT(D127,28),4))&amp;BIN2HEX(LEFT(RIGHT(D127,24),4))&amp;BIN2HEX(LEFT(RIGHT(D127,20),4))&amp;BIN2HEX(LEFT(RIGHT(D127,16),4))&amp;BIN2HEX(LEFT(RIGHT(D127,12),4))&amp;BIN2HEX(LEFT(RIGHT(D127,8),4))&amp;BIN2HEX(LEFT(RIGHT(D127,4),4))</f>
        <v>00000000</v>
      </c>
      <c r="S127" s="123" t="str">
        <f t="shared" ref="S127" si="172">BIN2HEX(LEFT(RIGHT(J127,32),4))&amp;BIN2HEX(LEFT(RIGHT(J127,28),4))&amp;BIN2HEX(LEFT(RIGHT(J127,24),4))&amp;BIN2HEX(LEFT(RIGHT(J127,20),4))&amp;BIN2HEX(LEFT(RIGHT(J127,16),4))&amp;BIN2HEX(LEFT(RIGHT(J127,12),4))&amp;BIN2HEX(LEFT(RIGHT(J127,8),4))&amp;BIN2HEX(LEFT(RIGHT(J127,4),4))</f>
        <v>00000000</v>
      </c>
      <c r="T127" s="159">
        <v>1</v>
      </c>
      <c r="U127" s="155" t="str">
        <f t="shared" ref="U127" si="173">LEFT(DEC2BIN(O127,2))</f>
        <v>0</v>
      </c>
      <c r="V127" s="145" t="str">
        <f t="shared" ref="V127" si="174">RIGHT(DEC2BIN(O127,2),1)</f>
        <v>1</v>
      </c>
      <c r="W127" s="148">
        <v>0</v>
      </c>
      <c r="X127" s="155">
        <v>0</v>
      </c>
      <c r="Y127" s="145">
        <v>0</v>
      </c>
      <c r="Z127" s="148">
        <v>0</v>
      </c>
      <c r="AA127" s="148">
        <v>1</v>
      </c>
      <c r="AB127" s="148" t="str">
        <f t="shared" ref="AB127" si="175">BIN2HEX(U127&amp;V127&amp;W127&amp;X127&amp;Y127&amp;Z127&amp;AA127)</f>
        <v>21</v>
      </c>
      <c r="AC127" s="151" t="str">
        <f>CONCATENATE("vofc_dom",BIN2DEC(U127&amp;V127),"_quad",BIN2DEC(AA127),"_quad",BIN2DEC(AA127)+2,"_sar",ABS( BIN2DEC(V127)*3-BIN2DEC(Z127)),"_slc",BIN2DEC(X127&amp;Y127)+BIN2DEC(W127)*3)</f>
        <v>vofc_dom1_quad1_quad3_sar3_slc0</v>
      </c>
      <c r="AD127" s="57"/>
      <c r="AE127" s="57"/>
      <c r="AF127" s="57"/>
      <c r="AG127" s="57"/>
      <c r="AH127" s="57"/>
    </row>
    <row r="128" spans="1:34" ht="15" customHeight="1">
      <c r="A128" s="138"/>
      <c r="B128" s="140"/>
      <c r="C128" s="43" t="str">
        <f>CONCATENATE("sar",AD128+AE128*4+AF128*16,"_slc",AG128)</f>
        <v>sar51_slc0</v>
      </c>
      <c r="D128" s="44">
        <v>8</v>
      </c>
      <c r="E128" s="29" t="str">
        <f>IF(D128&gt;1,(31)&amp;":"&amp;(31-D128+1),(31-D128+1)&amp;":"&amp;(31-D128+1))</f>
        <v>31:24</v>
      </c>
      <c r="F128" s="30" t="s">
        <v>133</v>
      </c>
      <c r="G128" s="30" t="s">
        <v>133</v>
      </c>
      <c r="H128" s="45" t="s">
        <v>143</v>
      </c>
      <c r="I128" s="31" t="s">
        <v>68</v>
      </c>
      <c r="J128" s="32" t="s">
        <v>36</v>
      </c>
      <c r="K128" s="33" t="s">
        <v>6</v>
      </c>
      <c r="L128" s="46"/>
      <c r="M128" s="120"/>
      <c r="N128" s="120"/>
      <c r="O128" s="120"/>
      <c r="P128" s="122"/>
      <c r="Q128" s="122"/>
      <c r="R128" s="124"/>
      <c r="S128" s="124"/>
      <c r="T128" s="159"/>
      <c r="U128" s="156"/>
      <c r="V128" s="146"/>
      <c r="W128" s="149"/>
      <c r="X128" s="156"/>
      <c r="Y128" s="146"/>
      <c r="Z128" s="149"/>
      <c r="AA128" s="149"/>
      <c r="AB128" s="149"/>
      <c r="AC128" s="152"/>
      <c r="AD128" s="57">
        <f>BIN2DEC($AA127)*3</f>
        <v>3</v>
      </c>
      <c r="AE128" s="57">
        <f>ABS(BIN2DEC($U127)*3)</f>
        <v>0</v>
      </c>
      <c r="AF128" s="57">
        <f>ABS( BIN2DEC(V127)*3-BIN2DEC(Z127))</f>
        <v>3</v>
      </c>
      <c r="AG128" s="57">
        <f>BIN2DEC(X127&amp;Y127)+BIN2DEC(W127)*3</f>
        <v>0</v>
      </c>
      <c r="AH128" s="57">
        <f>AD128+AE128*4+AF128*16</f>
        <v>51</v>
      </c>
    </row>
    <row r="129" spans="1:34" ht="15" customHeight="1">
      <c r="A129" s="138"/>
      <c r="B129" s="140"/>
      <c r="C129" s="43" t="str">
        <f t="shared" ref="C129:C131" si="176">CONCATENATE("sar",AD129+AE129*4+AF129*16,"_slc",AG129)</f>
        <v>sar55_slc0</v>
      </c>
      <c r="D129" s="44">
        <v>8</v>
      </c>
      <c r="E129" s="30" t="str">
        <f t="shared" ref="E129:E131" si="177">(MID(str_cnvt(E128),SEARCH(":",str_cnvt(E128))+1,2)-1) &amp; ":" &amp; (MID(str_cnvt(E128),SEARCH(":",str_cnvt(E128))+1,2)-D129)</f>
        <v>23:16</v>
      </c>
      <c r="F129" s="30" t="s">
        <v>133</v>
      </c>
      <c r="G129" s="30" t="s">
        <v>133</v>
      </c>
      <c r="H129" s="45" t="s">
        <v>143</v>
      </c>
      <c r="I129" s="31" t="s">
        <v>68</v>
      </c>
      <c r="J129" s="32" t="s">
        <v>36</v>
      </c>
      <c r="K129" s="33" t="s">
        <v>6</v>
      </c>
      <c r="L129" s="46"/>
      <c r="M129" s="120"/>
      <c r="N129" s="120"/>
      <c r="O129" s="120"/>
      <c r="P129" s="122"/>
      <c r="Q129" s="122"/>
      <c r="R129" s="124"/>
      <c r="S129" s="124"/>
      <c r="T129" s="159"/>
      <c r="U129" s="156"/>
      <c r="V129" s="146"/>
      <c r="W129" s="149"/>
      <c r="X129" s="156"/>
      <c r="Y129" s="146"/>
      <c r="Z129" s="149"/>
      <c r="AA129" s="149"/>
      <c r="AB129" s="149"/>
      <c r="AC129" s="152"/>
      <c r="AD129" s="57">
        <f>BIN2DEC($AA127)*3</f>
        <v>3</v>
      </c>
      <c r="AE129" s="57">
        <f>ABS(BIN2DEC($U128)*3-1)</f>
        <v>1</v>
      </c>
      <c r="AF129" s="57">
        <f>ABS( BIN2DEC(V127)*3-BIN2DEC(Z127))</f>
        <v>3</v>
      </c>
      <c r="AG129" s="57">
        <f>BIN2DEC(X127&amp;Y127)+BIN2DEC(W127)*3</f>
        <v>0</v>
      </c>
      <c r="AH129" s="57">
        <f t="shared" ref="AH129:AH131" si="178">AD129+AE129*4+AF129*16</f>
        <v>55</v>
      </c>
    </row>
    <row r="130" spans="1:34" ht="15" customHeight="1">
      <c r="A130" s="138"/>
      <c r="B130" s="140"/>
      <c r="C130" s="43" t="str">
        <f t="shared" si="176"/>
        <v>sar49_slc0</v>
      </c>
      <c r="D130" s="44">
        <v>8</v>
      </c>
      <c r="E130" s="30" t="str">
        <f t="shared" si="177"/>
        <v>15:8</v>
      </c>
      <c r="F130" s="30" t="s">
        <v>133</v>
      </c>
      <c r="G130" s="30" t="s">
        <v>133</v>
      </c>
      <c r="H130" s="45" t="s">
        <v>143</v>
      </c>
      <c r="I130" s="31" t="s">
        <v>68</v>
      </c>
      <c r="J130" s="32" t="s">
        <v>36</v>
      </c>
      <c r="K130" s="33" t="s">
        <v>6</v>
      </c>
      <c r="L130" s="46"/>
      <c r="M130" s="120"/>
      <c r="N130" s="120"/>
      <c r="O130" s="120"/>
      <c r="P130" s="122"/>
      <c r="Q130" s="122"/>
      <c r="R130" s="124"/>
      <c r="S130" s="124"/>
      <c r="T130" s="159"/>
      <c r="U130" s="156"/>
      <c r="V130" s="146"/>
      <c r="W130" s="149"/>
      <c r="X130" s="156"/>
      <c r="Y130" s="146"/>
      <c r="Z130" s="149"/>
      <c r="AA130" s="149"/>
      <c r="AB130" s="149"/>
      <c r="AC130" s="152"/>
      <c r="AD130" s="57">
        <f>ABS(BIN2DEC($AA127)*3-2)</f>
        <v>1</v>
      </c>
      <c r="AE130" s="57">
        <f>ABS(BIN2DEC($U127)*3)</f>
        <v>0</v>
      </c>
      <c r="AF130" s="57">
        <f>ABS( BIN2DEC(V127)*3-BIN2DEC(Z127))</f>
        <v>3</v>
      </c>
      <c r="AG130" s="57">
        <f>BIN2DEC(X127&amp;Y127)+BIN2DEC(W127)*3</f>
        <v>0</v>
      </c>
      <c r="AH130" s="57">
        <f t="shared" si="178"/>
        <v>49</v>
      </c>
    </row>
    <row r="131" spans="1:34" ht="15.75" customHeight="1" thickBot="1">
      <c r="A131" s="138"/>
      <c r="B131" s="140"/>
      <c r="C131" s="43" t="str">
        <f t="shared" si="176"/>
        <v>sar53_slc0</v>
      </c>
      <c r="D131" s="44">
        <v>8</v>
      </c>
      <c r="E131" s="30" t="str">
        <f t="shared" si="177"/>
        <v>7:0</v>
      </c>
      <c r="F131" s="30" t="s">
        <v>133</v>
      </c>
      <c r="G131" s="30" t="s">
        <v>133</v>
      </c>
      <c r="H131" s="45" t="s">
        <v>143</v>
      </c>
      <c r="I131" s="31" t="s">
        <v>68</v>
      </c>
      <c r="J131" s="32" t="s">
        <v>36</v>
      </c>
      <c r="K131" s="33" t="s">
        <v>6</v>
      </c>
      <c r="L131" s="46"/>
      <c r="M131" s="120"/>
      <c r="N131" s="120"/>
      <c r="O131" s="120"/>
      <c r="P131" s="122"/>
      <c r="Q131" s="122"/>
      <c r="R131" s="124"/>
      <c r="S131" s="124"/>
      <c r="T131" s="159"/>
      <c r="U131" s="157"/>
      <c r="V131" s="147"/>
      <c r="W131" s="150"/>
      <c r="X131" s="157"/>
      <c r="Y131" s="147"/>
      <c r="Z131" s="150"/>
      <c r="AA131" s="150"/>
      <c r="AB131" s="150"/>
      <c r="AC131" s="153"/>
      <c r="AD131" s="57">
        <f>ABS(BIN2DEC($AA127)*3-2)</f>
        <v>1</v>
      </c>
      <c r="AE131" s="57">
        <f>ABS(BIN2DEC($U127)*3-1)</f>
        <v>1</v>
      </c>
      <c r="AF131" s="57">
        <f>ABS( BIN2DEC(V127)*3-BIN2DEC(Z127))</f>
        <v>3</v>
      </c>
      <c r="AG131" s="57">
        <f>BIN2DEC(X127&amp;Y127)+BIN2DEC(W127)*3</f>
        <v>0</v>
      </c>
      <c r="AH131" s="57">
        <f t="shared" si="178"/>
        <v>53</v>
      </c>
    </row>
    <row r="132" spans="1:34" ht="15.75" customHeight="1">
      <c r="A132" s="137" t="str">
        <f>AC132</f>
        <v>vofc_dom1_quad0_quad2_sar2_slc0</v>
      </c>
      <c r="B132" s="139" t="str">
        <f>DEC2HEX(P132*4)</f>
        <v>0</v>
      </c>
      <c r="C132" s="56" t="s">
        <v>134</v>
      </c>
      <c r="D132" s="129" t="str">
        <f>bitConcat(F133:F136)</f>
        <v>32'b00000000000000000000000000000000</v>
      </c>
      <c r="E132" s="130"/>
      <c r="F132" s="130"/>
      <c r="G132" s="130"/>
      <c r="H132" s="131" t="s">
        <v>135</v>
      </c>
      <c r="I132" s="131"/>
      <c r="J132" s="131" t="str">
        <f>bitConcat(G133:G136)</f>
        <v>32'b00000000000000000000000000000000</v>
      </c>
      <c r="K132" s="131"/>
      <c r="L132" s="132"/>
      <c r="M132" s="119" t="str">
        <f>DEC2HEX(_xlfn.BITLSHIFT(HEX2DEC(Q132),2))</f>
        <v>88</v>
      </c>
      <c r="N132" s="119"/>
      <c r="O132" s="119">
        <v>1</v>
      </c>
      <c r="P132" s="121">
        <v>0</v>
      </c>
      <c r="Q132" s="121" t="str">
        <f>AB132</f>
        <v>22</v>
      </c>
      <c r="R132" s="123" t="str">
        <f t="shared" ref="R132" si="179">BIN2HEX(LEFT(RIGHT(D132,32),4))&amp;BIN2HEX(LEFT(RIGHT(D132,28),4))&amp;BIN2HEX(LEFT(RIGHT(D132,24),4))&amp;BIN2HEX(LEFT(RIGHT(D132,20),4))&amp;BIN2HEX(LEFT(RIGHT(D132,16),4))&amp;BIN2HEX(LEFT(RIGHT(D132,12),4))&amp;BIN2HEX(LEFT(RIGHT(D132,8),4))&amp;BIN2HEX(LEFT(RIGHT(D132,4),4))</f>
        <v>00000000</v>
      </c>
      <c r="S132" s="123" t="str">
        <f t="shared" ref="S132" si="180">BIN2HEX(LEFT(RIGHT(J132,32),4))&amp;BIN2HEX(LEFT(RIGHT(J132,28),4))&amp;BIN2HEX(LEFT(RIGHT(J132,24),4))&amp;BIN2HEX(LEFT(RIGHT(J132,20),4))&amp;BIN2HEX(LEFT(RIGHT(J132,16),4))&amp;BIN2HEX(LEFT(RIGHT(J132,12),4))&amp;BIN2HEX(LEFT(RIGHT(J132,8),4))&amp;BIN2HEX(LEFT(RIGHT(J132,4),4))</f>
        <v>00000000</v>
      </c>
      <c r="T132" s="159">
        <v>2</v>
      </c>
      <c r="U132" s="155" t="str">
        <f t="shared" ref="U132" si="181">LEFT(DEC2BIN(O132,2))</f>
        <v>0</v>
      </c>
      <c r="V132" s="145" t="str">
        <f t="shared" ref="V132" si="182">RIGHT(DEC2BIN(O132,2),1)</f>
        <v>1</v>
      </c>
      <c r="W132" s="148">
        <v>0</v>
      </c>
      <c r="X132" s="155">
        <v>0</v>
      </c>
      <c r="Y132" s="145">
        <v>0</v>
      </c>
      <c r="Z132" s="148">
        <v>1</v>
      </c>
      <c r="AA132" s="148">
        <v>0</v>
      </c>
      <c r="AB132" s="148" t="str">
        <f t="shared" ref="AB132" si="183">BIN2HEX(U132&amp;V132&amp;W132&amp;X132&amp;Y132&amp;Z132&amp;AA132)</f>
        <v>22</v>
      </c>
      <c r="AC132" s="151" t="str">
        <f>CONCATENATE("vofc_dom",BIN2DEC(U132&amp;V132),"_quad",BIN2DEC(AA132),"_quad",BIN2DEC(AA132)+2,"_sar",ABS( BIN2DEC(V132)*3-BIN2DEC(Z132)),"_slc",BIN2DEC(X132&amp;Y132)+BIN2DEC(W132)*3)</f>
        <v>vofc_dom1_quad0_quad2_sar2_slc0</v>
      </c>
      <c r="AD132" s="57"/>
      <c r="AE132" s="57"/>
      <c r="AF132" s="57"/>
      <c r="AG132" s="57"/>
      <c r="AH132" s="57"/>
    </row>
    <row r="133" spans="1:34" ht="15" customHeight="1">
      <c r="A133" s="138"/>
      <c r="B133" s="140"/>
      <c r="C133" s="43" t="str">
        <f>CONCATENATE("sar",AD133+AE133*4+AF133*16,"_slc",AG133)</f>
        <v>sar32_slc0</v>
      </c>
      <c r="D133" s="44">
        <v>8</v>
      </c>
      <c r="E133" s="29" t="str">
        <f>IF(D133&gt;1,(31)&amp;":"&amp;(31-D133+1),(31-D133+1)&amp;":"&amp;(31-D133+1))</f>
        <v>31:24</v>
      </c>
      <c r="F133" s="30" t="s">
        <v>133</v>
      </c>
      <c r="G133" s="30" t="s">
        <v>133</v>
      </c>
      <c r="H133" s="45" t="s">
        <v>143</v>
      </c>
      <c r="I133" s="31" t="s">
        <v>68</v>
      </c>
      <c r="J133" s="32" t="s">
        <v>36</v>
      </c>
      <c r="K133" s="33" t="s">
        <v>6</v>
      </c>
      <c r="L133" s="46"/>
      <c r="M133" s="120"/>
      <c r="N133" s="120"/>
      <c r="O133" s="120"/>
      <c r="P133" s="122"/>
      <c r="Q133" s="122"/>
      <c r="R133" s="124"/>
      <c r="S133" s="124"/>
      <c r="T133" s="159"/>
      <c r="U133" s="156"/>
      <c r="V133" s="146"/>
      <c r="W133" s="149"/>
      <c r="X133" s="156"/>
      <c r="Y133" s="146"/>
      <c r="Z133" s="149"/>
      <c r="AA133" s="149"/>
      <c r="AB133" s="149"/>
      <c r="AC133" s="152"/>
      <c r="AD133" s="57">
        <f>BIN2DEC($AA132)*3</f>
        <v>0</v>
      </c>
      <c r="AE133" s="57">
        <f>ABS(BIN2DEC($U132)*3)</f>
        <v>0</v>
      </c>
      <c r="AF133" s="57">
        <f>ABS( BIN2DEC(V132)*3-BIN2DEC(Z132))</f>
        <v>2</v>
      </c>
      <c r="AG133" s="57">
        <f>BIN2DEC(X132&amp;Y132)+BIN2DEC(W132)*3</f>
        <v>0</v>
      </c>
      <c r="AH133" s="57">
        <f>AD133+AE133*4+AF133*16</f>
        <v>32</v>
      </c>
    </row>
    <row r="134" spans="1:34" ht="15" customHeight="1">
      <c r="A134" s="138"/>
      <c r="B134" s="140"/>
      <c r="C134" s="43" t="str">
        <f t="shared" ref="C134:C136" si="184">CONCATENATE("sar",AD134+AE134*4+AF134*16,"_slc",AG134)</f>
        <v>sar36_slc0</v>
      </c>
      <c r="D134" s="44">
        <v>8</v>
      </c>
      <c r="E134" s="30" t="str">
        <f t="shared" ref="E134:E136" si="185">(MID(str_cnvt(E133),SEARCH(":",str_cnvt(E133))+1,2)-1) &amp; ":" &amp; (MID(str_cnvt(E133),SEARCH(":",str_cnvt(E133))+1,2)-D134)</f>
        <v>23:16</v>
      </c>
      <c r="F134" s="30" t="s">
        <v>133</v>
      </c>
      <c r="G134" s="30" t="s">
        <v>133</v>
      </c>
      <c r="H134" s="45" t="s">
        <v>143</v>
      </c>
      <c r="I134" s="31" t="s">
        <v>68</v>
      </c>
      <c r="J134" s="32" t="s">
        <v>36</v>
      </c>
      <c r="K134" s="33" t="s">
        <v>6</v>
      </c>
      <c r="L134" s="46"/>
      <c r="M134" s="120"/>
      <c r="N134" s="120"/>
      <c r="O134" s="120"/>
      <c r="P134" s="122"/>
      <c r="Q134" s="122"/>
      <c r="R134" s="124"/>
      <c r="S134" s="124"/>
      <c r="T134" s="159"/>
      <c r="U134" s="156"/>
      <c r="V134" s="146"/>
      <c r="W134" s="149"/>
      <c r="X134" s="156"/>
      <c r="Y134" s="146"/>
      <c r="Z134" s="149"/>
      <c r="AA134" s="149"/>
      <c r="AB134" s="149"/>
      <c r="AC134" s="152"/>
      <c r="AD134" s="57">
        <f>BIN2DEC($AA132)*3</f>
        <v>0</v>
      </c>
      <c r="AE134" s="57">
        <f>ABS(BIN2DEC($U133)*3-1)</f>
        <v>1</v>
      </c>
      <c r="AF134" s="57">
        <f>ABS( BIN2DEC(V132)*3-BIN2DEC(Z132))</f>
        <v>2</v>
      </c>
      <c r="AG134" s="57">
        <f>BIN2DEC(X132&amp;Y132)+BIN2DEC(W132)*3</f>
        <v>0</v>
      </c>
      <c r="AH134" s="57">
        <f t="shared" ref="AH134:AH136" si="186">AD134+AE134*4+AF134*16</f>
        <v>36</v>
      </c>
    </row>
    <row r="135" spans="1:34" ht="15" customHeight="1">
      <c r="A135" s="138"/>
      <c r="B135" s="140"/>
      <c r="C135" s="43" t="str">
        <f t="shared" si="184"/>
        <v>sar34_slc0</v>
      </c>
      <c r="D135" s="44">
        <v>8</v>
      </c>
      <c r="E135" s="30" t="str">
        <f t="shared" si="185"/>
        <v>15:8</v>
      </c>
      <c r="F135" s="30" t="s">
        <v>133</v>
      </c>
      <c r="G135" s="30" t="s">
        <v>133</v>
      </c>
      <c r="H135" s="45" t="s">
        <v>143</v>
      </c>
      <c r="I135" s="31" t="s">
        <v>68</v>
      </c>
      <c r="J135" s="32" t="s">
        <v>36</v>
      </c>
      <c r="K135" s="33" t="s">
        <v>6</v>
      </c>
      <c r="L135" s="46"/>
      <c r="M135" s="120"/>
      <c r="N135" s="120"/>
      <c r="O135" s="120"/>
      <c r="P135" s="122"/>
      <c r="Q135" s="122"/>
      <c r="R135" s="124"/>
      <c r="S135" s="124"/>
      <c r="T135" s="159"/>
      <c r="U135" s="156"/>
      <c r="V135" s="146"/>
      <c r="W135" s="149"/>
      <c r="X135" s="156"/>
      <c r="Y135" s="146"/>
      <c r="Z135" s="149"/>
      <c r="AA135" s="149"/>
      <c r="AB135" s="149"/>
      <c r="AC135" s="152"/>
      <c r="AD135" s="57">
        <f>ABS(BIN2DEC($AA132)*3-2)</f>
        <v>2</v>
      </c>
      <c r="AE135" s="57">
        <f>ABS(BIN2DEC($U132)*3)</f>
        <v>0</v>
      </c>
      <c r="AF135" s="57">
        <f>ABS( BIN2DEC(V132)*3-BIN2DEC(Z132))</f>
        <v>2</v>
      </c>
      <c r="AG135" s="57">
        <f>BIN2DEC(X132&amp;Y132)+BIN2DEC(W132)*3</f>
        <v>0</v>
      </c>
      <c r="AH135" s="57">
        <f t="shared" si="186"/>
        <v>34</v>
      </c>
    </row>
    <row r="136" spans="1:34" ht="15.75" customHeight="1" thickBot="1">
      <c r="A136" s="138"/>
      <c r="B136" s="140"/>
      <c r="C136" s="43" t="str">
        <f t="shared" si="184"/>
        <v>sar38_slc0</v>
      </c>
      <c r="D136" s="44">
        <v>8</v>
      </c>
      <c r="E136" s="30" t="str">
        <f t="shared" si="185"/>
        <v>7:0</v>
      </c>
      <c r="F136" s="30" t="s">
        <v>133</v>
      </c>
      <c r="G136" s="30" t="s">
        <v>133</v>
      </c>
      <c r="H136" s="45" t="s">
        <v>143</v>
      </c>
      <c r="I136" s="31" t="s">
        <v>68</v>
      </c>
      <c r="J136" s="32" t="s">
        <v>36</v>
      </c>
      <c r="K136" s="33" t="s">
        <v>6</v>
      </c>
      <c r="L136" s="46"/>
      <c r="M136" s="120"/>
      <c r="N136" s="120"/>
      <c r="O136" s="120"/>
      <c r="P136" s="122"/>
      <c r="Q136" s="122"/>
      <c r="R136" s="124"/>
      <c r="S136" s="124"/>
      <c r="T136" s="159"/>
      <c r="U136" s="157"/>
      <c r="V136" s="147"/>
      <c r="W136" s="150"/>
      <c r="X136" s="157"/>
      <c r="Y136" s="147"/>
      <c r="Z136" s="150"/>
      <c r="AA136" s="150"/>
      <c r="AB136" s="150"/>
      <c r="AC136" s="153"/>
      <c r="AD136" s="57">
        <f>ABS(BIN2DEC($AA132)*3-2)</f>
        <v>2</v>
      </c>
      <c r="AE136" s="57">
        <f>ABS(BIN2DEC($U132)*3-1)</f>
        <v>1</v>
      </c>
      <c r="AF136" s="57">
        <f>ABS( BIN2DEC(V132)*3-BIN2DEC(Z132))</f>
        <v>2</v>
      </c>
      <c r="AG136" s="57">
        <f>BIN2DEC(X132&amp;Y132)+BIN2DEC(W132)*3</f>
        <v>0</v>
      </c>
      <c r="AH136" s="57">
        <f t="shared" si="186"/>
        <v>38</v>
      </c>
    </row>
    <row r="137" spans="1:34" ht="15.75" customHeight="1">
      <c r="A137" s="137" t="str">
        <f>AC137</f>
        <v>vofc_dom1_quad1_quad3_sar2_slc0</v>
      </c>
      <c r="B137" s="139" t="str">
        <f>DEC2HEX(P137*4)</f>
        <v>0</v>
      </c>
      <c r="C137" s="56" t="s">
        <v>134</v>
      </c>
      <c r="D137" s="129" t="str">
        <f>bitConcat(F138:F141)</f>
        <v>32'b00000000000000000000000000000000</v>
      </c>
      <c r="E137" s="130"/>
      <c r="F137" s="130"/>
      <c r="G137" s="130"/>
      <c r="H137" s="131" t="s">
        <v>135</v>
      </c>
      <c r="I137" s="131"/>
      <c r="J137" s="131" t="str">
        <f>bitConcat(G138:G141)</f>
        <v>32'b00000000000000000000000000000000</v>
      </c>
      <c r="K137" s="131"/>
      <c r="L137" s="132"/>
      <c r="M137" s="119" t="str">
        <f>DEC2HEX(_xlfn.BITLSHIFT(HEX2DEC(Q137),2))</f>
        <v>8C</v>
      </c>
      <c r="N137" s="119"/>
      <c r="O137" s="119">
        <v>1</v>
      </c>
      <c r="P137" s="121">
        <v>0</v>
      </c>
      <c r="Q137" s="121" t="str">
        <f>AB137</f>
        <v>23</v>
      </c>
      <c r="R137" s="123" t="str">
        <f t="shared" ref="R137" si="187">BIN2HEX(LEFT(RIGHT(D137,32),4))&amp;BIN2HEX(LEFT(RIGHT(D137,28),4))&amp;BIN2HEX(LEFT(RIGHT(D137,24),4))&amp;BIN2HEX(LEFT(RIGHT(D137,20),4))&amp;BIN2HEX(LEFT(RIGHT(D137,16),4))&amp;BIN2HEX(LEFT(RIGHT(D137,12),4))&amp;BIN2HEX(LEFT(RIGHT(D137,8),4))&amp;BIN2HEX(LEFT(RIGHT(D137,4),4))</f>
        <v>00000000</v>
      </c>
      <c r="S137" s="123" t="str">
        <f t="shared" ref="S137" si="188">BIN2HEX(LEFT(RIGHT(J137,32),4))&amp;BIN2HEX(LEFT(RIGHT(J137,28),4))&amp;BIN2HEX(LEFT(RIGHT(J137,24),4))&amp;BIN2HEX(LEFT(RIGHT(J137,20),4))&amp;BIN2HEX(LEFT(RIGHT(J137,16),4))&amp;BIN2HEX(LEFT(RIGHT(J137,12),4))&amp;BIN2HEX(LEFT(RIGHT(J137,8),4))&amp;BIN2HEX(LEFT(RIGHT(J137,4),4))</f>
        <v>00000000</v>
      </c>
      <c r="T137" s="159">
        <v>3</v>
      </c>
      <c r="U137" s="155" t="str">
        <f t="shared" ref="U137" si="189">LEFT(DEC2BIN(O137,2))</f>
        <v>0</v>
      </c>
      <c r="V137" s="145" t="str">
        <f t="shared" ref="V137" si="190">RIGHT(DEC2BIN(O137,2),1)</f>
        <v>1</v>
      </c>
      <c r="W137" s="148">
        <v>0</v>
      </c>
      <c r="X137" s="155">
        <v>0</v>
      </c>
      <c r="Y137" s="145">
        <v>0</v>
      </c>
      <c r="Z137" s="148">
        <v>1</v>
      </c>
      <c r="AA137" s="148">
        <v>1</v>
      </c>
      <c r="AB137" s="148" t="str">
        <f t="shared" ref="AB137" si="191">BIN2HEX(U137&amp;V137&amp;W137&amp;X137&amp;Y137&amp;Z137&amp;AA137)</f>
        <v>23</v>
      </c>
      <c r="AC137" s="151" t="str">
        <f>CONCATENATE("vofc_dom",BIN2DEC(U137&amp;V137),"_quad",BIN2DEC(AA137),"_quad",BIN2DEC(AA137)+2,"_sar",ABS( BIN2DEC(V137)*3-BIN2DEC(Z137)),"_slc",BIN2DEC(X137&amp;Y137)+BIN2DEC(W137)*3)</f>
        <v>vofc_dom1_quad1_quad3_sar2_slc0</v>
      </c>
      <c r="AD137" s="57"/>
      <c r="AE137" s="57"/>
      <c r="AF137" s="57"/>
      <c r="AG137" s="57"/>
      <c r="AH137" s="57"/>
    </row>
    <row r="138" spans="1:34" ht="15" customHeight="1">
      <c r="A138" s="138"/>
      <c r="B138" s="140"/>
      <c r="C138" s="43" t="str">
        <f>CONCATENATE("sar",AD138+AE138*4+AF138*16,"_slc",AG138)</f>
        <v>sar35_slc0</v>
      </c>
      <c r="D138" s="44">
        <v>8</v>
      </c>
      <c r="E138" s="29" t="str">
        <f>IF(D138&gt;1,(31)&amp;":"&amp;(31-D138+1),(31-D138+1)&amp;":"&amp;(31-D138+1))</f>
        <v>31:24</v>
      </c>
      <c r="F138" s="30" t="s">
        <v>133</v>
      </c>
      <c r="G138" s="30" t="s">
        <v>133</v>
      </c>
      <c r="H138" s="45" t="s">
        <v>143</v>
      </c>
      <c r="I138" s="31" t="s">
        <v>68</v>
      </c>
      <c r="J138" s="32" t="s">
        <v>36</v>
      </c>
      <c r="K138" s="33" t="s">
        <v>6</v>
      </c>
      <c r="L138" s="46"/>
      <c r="M138" s="120"/>
      <c r="N138" s="120"/>
      <c r="O138" s="120"/>
      <c r="P138" s="122"/>
      <c r="Q138" s="122"/>
      <c r="R138" s="124"/>
      <c r="S138" s="124"/>
      <c r="T138" s="159"/>
      <c r="U138" s="156"/>
      <c r="V138" s="146"/>
      <c r="W138" s="149"/>
      <c r="X138" s="156"/>
      <c r="Y138" s="146"/>
      <c r="Z138" s="149"/>
      <c r="AA138" s="149"/>
      <c r="AB138" s="149"/>
      <c r="AC138" s="152"/>
      <c r="AD138" s="57">
        <f>BIN2DEC($AA137)*3</f>
        <v>3</v>
      </c>
      <c r="AE138" s="57">
        <f>ABS(BIN2DEC($U137)*3)</f>
        <v>0</v>
      </c>
      <c r="AF138" s="57">
        <f>ABS( BIN2DEC(V137)*3-BIN2DEC(Z137))</f>
        <v>2</v>
      </c>
      <c r="AG138" s="57">
        <f>BIN2DEC(X137&amp;Y137)+BIN2DEC(W137)*3</f>
        <v>0</v>
      </c>
      <c r="AH138" s="57">
        <f>AD138+AE138*4+AF138*16</f>
        <v>35</v>
      </c>
    </row>
    <row r="139" spans="1:34" ht="15" customHeight="1">
      <c r="A139" s="138"/>
      <c r="B139" s="140"/>
      <c r="C139" s="43" t="str">
        <f t="shared" ref="C139:C141" si="192">CONCATENATE("sar",AD139+AE139*4+AF139*16,"_slc",AG139)</f>
        <v>sar39_slc0</v>
      </c>
      <c r="D139" s="44">
        <v>8</v>
      </c>
      <c r="E139" s="30" t="str">
        <f t="shared" ref="E139:E141" si="193">(MID(str_cnvt(E138),SEARCH(":",str_cnvt(E138))+1,2)-1) &amp; ":" &amp; (MID(str_cnvt(E138),SEARCH(":",str_cnvt(E138))+1,2)-D139)</f>
        <v>23:16</v>
      </c>
      <c r="F139" s="30" t="s">
        <v>133</v>
      </c>
      <c r="G139" s="30" t="s">
        <v>133</v>
      </c>
      <c r="H139" s="45" t="s">
        <v>143</v>
      </c>
      <c r="I139" s="31" t="s">
        <v>68</v>
      </c>
      <c r="J139" s="32" t="s">
        <v>36</v>
      </c>
      <c r="K139" s="33" t="s">
        <v>6</v>
      </c>
      <c r="L139" s="46"/>
      <c r="M139" s="120"/>
      <c r="N139" s="120"/>
      <c r="O139" s="120"/>
      <c r="P139" s="122"/>
      <c r="Q139" s="122"/>
      <c r="R139" s="124"/>
      <c r="S139" s="124"/>
      <c r="T139" s="159"/>
      <c r="U139" s="156"/>
      <c r="V139" s="146"/>
      <c r="W139" s="149"/>
      <c r="X139" s="156"/>
      <c r="Y139" s="146"/>
      <c r="Z139" s="149"/>
      <c r="AA139" s="149"/>
      <c r="AB139" s="149"/>
      <c r="AC139" s="152"/>
      <c r="AD139" s="57">
        <f>BIN2DEC($AA137)*3</f>
        <v>3</v>
      </c>
      <c r="AE139" s="57">
        <f>ABS(BIN2DEC($U138)*3-1)</f>
        <v>1</v>
      </c>
      <c r="AF139" s="57">
        <f>ABS( BIN2DEC(V137)*3-BIN2DEC(Z137))</f>
        <v>2</v>
      </c>
      <c r="AG139" s="57">
        <f>BIN2DEC(X137&amp;Y137)+BIN2DEC(W137)*3</f>
        <v>0</v>
      </c>
      <c r="AH139" s="57">
        <f t="shared" ref="AH139:AH141" si="194">AD139+AE139*4+AF139*16</f>
        <v>39</v>
      </c>
    </row>
    <row r="140" spans="1:34" ht="15" customHeight="1">
      <c r="A140" s="138"/>
      <c r="B140" s="140"/>
      <c r="C140" s="43" t="str">
        <f t="shared" si="192"/>
        <v>sar33_slc0</v>
      </c>
      <c r="D140" s="44">
        <v>8</v>
      </c>
      <c r="E140" s="30" t="str">
        <f t="shared" si="193"/>
        <v>15:8</v>
      </c>
      <c r="F140" s="30" t="s">
        <v>133</v>
      </c>
      <c r="G140" s="30" t="s">
        <v>133</v>
      </c>
      <c r="H140" s="45" t="s">
        <v>143</v>
      </c>
      <c r="I140" s="31" t="s">
        <v>68</v>
      </c>
      <c r="J140" s="32" t="s">
        <v>36</v>
      </c>
      <c r="K140" s="33" t="s">
        <v>6</v>
      </c>
      <c r="L140" s="46"/>
      <c r="M140" s="120"/>
      <c r="N140" s="120"/>
      <c r="O140" s="120"/>
      <c r="P140" s="122"/>
      <c r="Q140" s="122"/>
      <c r="R140" s="124"/>
      <c r="S140" s="124"/>
      <c r="T140" s="159"/>
      <c r="U140" s="156"/>
      <c r="V140" s="146"/>
      <c r="W140" s="149"/>
      <c r="X140" s="156"/>
      <c r="Y140" s="146"/>
      <c r="Z140" s="149"/>
      <c r="AA140" s="149"/>
      <c r="AB140" s="149"/>
      <c r="AC140" s="152"/>
      <c r="AD140" s="57">
        <f>ABS(BIN2DEC($AA137)*3-2)</f>
        <v>1</v>
      </c>
      <c r="AE140" s="57">
        <f>ABS(BIN2DEC($U137)*3)</f>
        <v>0</v>
      </c>
      <c r="AF140" s="57">
        <f>ABS( BIN2DEC(V137)*3-BIN2DEC(Z137))</f>
        <v>2</v>
      </c>
      <c r="AG140" s="57">
        <f>BIN2DEC(X137&amp;Y137)+BIN2DEC(W137)*3</f>
        <v>0</v>
      </c>
      <c r="AH140" s="57">
        <f t="shared" si="194"/>
        <v>33</v>
      </c>
    </row>
    <row r="141" spans="1:34" ht="15.75" customHeight="1" thickBot="1">
      <c r="A141" s="138"/>
      <c r="B141" s="140"/>
      <c r="C141" s="43" t="str">
        <f t="shared" si="192"/>
        <v>sar37_slc0</v>
      </c>
      <c r="D141" s="44">
        <v>8</v>
      </c>
      <c r="E141" s="30" t="str">
        <f t="shared" si="193"/>
        <v>7:0</v>
      </c>
      <c r="F141" s="30" t="s">
        <v>133</v>
      </c>
      <c r="G141" s="30" t="s">
        <v>133</v>
      </c>
      <c r="H141" s="45" t="s">
        <v>143</v>
      </c>
      <c r="I141" s="31" t="s">
        <v>68</v>
      </c>
      <c r="J141" s="32" t="s">
        <v>36</v>
      </c>
      <c r="K141" s="33" t="s">
        <v>6</v>
      </c>
      <c r="L141" s="46"/>
      <c r="M141" s="120"/>
      <c r="N141" s="120"/>
      <c r="O141" s="120"/>
      <c r="P141" s="122"/>
      <c r="Q141" s="122"/>
      <c r="R141" s="124"/>
      <c r="S141" s="124"/>
      <c r="T141" s="159"/>
      <c r="U141" s="157"/>
      <c r="V141" s="147"/>
      <c r="W141" s="150"/>
      <c r="X141" s="157"/>
      <c r="Y141" s="147"/>
      <c r="Z141" s="150"/>
      <c r="AA141" s="150"/>
      <c r="AB141" s="150"/>
      <c r="AC141" s="153"/>
      <c r="AD141" s="57">
        <f>ABS(BIN2DEC($AA137)*3-2)</f>
        <v>1</v>
      </c>
      <c r="AE141" s="57">
        <f>ABS(BIN2DEC($U137)*3-1)</f>
        <v>1</v>
      </c>
      <c r="AF141" s="57">
        <f>ABS( BIN2DEC(V137)*3-BIN2DEC(Z137))</f>
        <v>2</v>
      </c>
      <c r="AG141" s="57">
        <f>BIN2DEC(X137&amp;Y137)+BIN2DEC(W137)*3</f>
        <v>0</v>
      </c>
      <c r="AH141" s="57">
        <f t="shared" si="194"/>
        <v>37</v>
      </c>
    </row>
    <row r="142" spans="1:34" ht="15.75" customHeight="1">
      <c r="A142" s="137" t="str">
        <f>AC142</f>
        <v>vofc_dom1_quad0_quad2_sar3_slc1</v>
      </c>
      <c r="B142" s="139" t="str">
        <f>DEC2HEX(P142*4)</f>
        <v>0</v>
      </c>
      <c r="C142" s="56" t="s">
        <v>134</v>
      </c>
      <c r="D142" s="129" t="str">
        <f>bitConcat(F143:F146)</f>
        <v>32'b00000000000000000000000000000000</v>
      </c>
      <c r="E142" s="130"/>
      <c r="F142" s="130"/>
      <c r="G142" s="130"/>
      <c r="H142" s="131" t="s">
        <v>135</v>
      </c>
      <c r="I142" s="131"/>
      <c r="J142" s="131" t="str">
        <f>bitConcat(G143:G146)</f>
        <v>32'b00000000000000000000000000000000</v>
      </c>
      <c r="K142" s="131"/>
      <c r="L142" s="132"/>
      <c r="M142" s="119" t="str">
        <f>DEC2HEX(_xlfn.BITLSHIFT(HEX2DEC(Q142),2))</f>
        <v>90</v>
      </c>
      <c r="N142" s="119"/>
      <c r="O142" s="119">
        <v>1</v>
      </c>
      <c r="P142" s="121">
        <v>0</v>
      </c>
      <c r="Q142" s="121" t="str">
        <f>AB142</f>
        <v>24</v>
      </c>
      <c r="R142" s="123" t="str">
        <f t="shared" ref="R142" si="195">BIN2HEX(LEFT(RIGHT(D142,32),4))&amp;BIN2HEX(LEFT(RIGHT(D142,28),4))&amp;BIN2HEX(LEFT(RIGHT(D142,24),4))&amp;BIN2HEX(LEFT(RIGHT(D142,20),4))&amp;BIN2HEX(LEFT(RIGHT(D142,16),4))&amp;BIN2HEX(LEFT(RIGHT(D142,12),4))&amp;BIN2HEX(LEFT(RIGHT(D142,8),4))&amp;BIN2HEX(LEFT(RIGHT(D142,4),4))</f>
        <v>00000000</v>
      </c>
      <c r="S142" s="123" t="str">
        <f t="shared" ref="S142" si="196">BIN2HEX(LEFT(RIGHT(J142,32),4))&amp;BIN2HEX(LEFT(RIGHT(J142,28),4))&amp;BIN2HEX(LEFT(RIGHT(J142,24),4))&amp;BIN2HEX(LEFT(RIGHT(J142,20),4))&amp;BIN2HEX(LEFT(RIGHT(J142,16),4))&amp;BIN2HEX(LEFT(RIGHT(J142,12),4))&amp;BIN2HEX(LEFT(RIGHT(J142,8),4))&amp;BIN2HEX(LEFT(RIGHT(J142,4),4))</f>
        <v>00000000</v>
      </c>
      <c r="T142" s="159">
        <v>4</v>
      </c>
      <c r="U142" s="155" t="str">
        <f t="shared" ref="U142" si="197">LEFT(DEC2BIN(O142,2))</f>
        <v>0</v>
      </c>
      <c r="V142" s="145" t="str">
        <f t="shared" ref="V142" si="198">RIGHT(DEC2BIN(O142,2),1)</f>
        <v>1</v>
      </c>
      <c r="W142" s="148">
        <v>0</v>
      </c>
      <c r="X142" s="155">
        <v>0</v>
      </c>
      <c r="Y142" s="145">
        <v>1</v>
      </c>
      <c r="Z142" s="148">
        <v>0</v>
      </c>
      <c r="AA142" s="148">
        <v>0</v>
      </c>
      <c r="AB142" s="148" t="str">
        <f t="shared" ref="AB142" si="199">BIN2HEX(U142&amp;V142&amp;W142&amp;X142&amp;Y142&amp;Z142&amp;AA142)</f>
        <v>24</v>
      </c>
      <c r="AC142" s="151" t="str">
        <f>CONCATENATE("vofc_dom",BIN2DEC(U142&amp;V142),"_quad",BIN2DEC(AA142),"_quad",BIN2DEC(AA142)+2,"_sar",ABS( BIN2DEC(V142)*3-BIN2DEC(Z142)),"_slc",BIN2DEC(X142&amp;Y142)+BIN2DEC(W142)*3)</f>
        <v>vofc_dom1_quad0_quad2_sar3_slc1</v>
      </c>
      <c r="AD142" s="57"/>
      <c r="AE142" s="57"/>
      <c r="AF142" s="57"/>
      <c r="AG142" s="57"/>
      <c r="AH142" s="57"/>
    </row>
    <row r="143" spans="1:34" ht="15" customHeight="1">
      <c r="A143" s="138"/>
      <c r="B143" s="140"/>
      <c r="C143" s="43" t="str">
        <f>CONCATENATE("sar",AD143+AE143*4+AF143*16,"_slc",AG143)</f>
        <v>sar48_slc1</v>
      </c>
      <c r="D143" s="44">
        <v>8</v>
      </c>
      <c r="E143" s="29" t="str">
        <f>IF(D143&gt;1,(31)&amp;":"&amp;(31-D143+1),(31-D143+1)&amp;":"&amp;(31-D143+1))</f>
        <v>31:24</v>
      </c>
      <c r="F143" s="30" t="s">
        <v>133</v>
      </c>
      <c r="G143" s="30" t="s">
        <v>133</v>
      </c>
      <c r="H143" s="45" t="s">
        <v>143</v>
      </c>
      <c r="I143" s="31" t="s">
        <v>68</v>
      </c>
      <c r="J143" s="32" t="s">
        <v>36</v>
      </c>
      <c r="K143" s="33" t="s">
        <v>6</v>
      </c>
      <c r="L143" s="46"/>
      <c r="M143" s="120"/>
      <c r="N143" s="120"/>
      <c r="O143" s="120"/>
      <c r="P143" s="122"/>
      <c r="Q143" s="122"/>
      <c r="R143" s="124"/>
      <c r="S143" s="124"/>
      <c r="T143" s="159"/>
      <c r="U143" s="156"/>
      <c r="V143" s="146"/>
      <c r="W143" s="149"/>
      <c r="X143" s="156"/>
      <c r="Y143" s="146"/>
      <c r="Z143" s="149"/>
      <c r="AA143" s="149"/>
      <c r="AB143" s="149"/>
      <c r="AC143" s="152"/>
      <c r="AD143" s="57">
        <f>BIN2DEC($AA142)*3</f>
        <v>0</v>
      </c>
      <c r="AE143" s="57">
        <f>ABS(BIN2DEC($U142)*3)</f>
        <v>0</v>
      </c>
      <c r="AF143" s="57">
        <f>ABS( BIN2DEC(V142)*3-BIN2DEC(Z142))</f>
        <v>3</v>
      </c>
      <c r="AG143" s="57">
        <f>BIN2DEC(X142&amp;Y142)+BIN2DEC(W142)*3</f>
        <v>1</v>
      </c>
      <c r="AH143" s="57">
        <f>AD143+AE143*4+AF143*16</f>
        <v>48</v>
      </c>
    </row>
    <row r="144" spans="1:34" ht="15" customHeight="1">
      <c r="A144" s="138"/>
      <c r="B144" s="140"/>
      <c r="C144" s="43" t="str">
        <f t="shared" ref="C144:C146" si="200">CONCATENATE("sar",AD144+AE144*4+AF144*16,"_slc",AG144)</f>
        <v>sar52_slc1</v>
      </c>
      <c r="D144" s="44">
        <v>8</v>
      </c>
      <c r="E144" s="30" t="str">
        <f t="shared" ref="E144:E146" si="201">(MID(str_cnvt(E143),SEARCH(":",str_cnvt(E143))+1,2)-1) &amp; ":" &amp; (MID(str_cnvt(E143),SEARCH(":",str_cnvt(E143))+1,2)-D144)</f>
        <v>23:16</v>
      </c>
      <c r="F144" s="30" t="s">
        <v>133</v>
      </c>
      <c r="G144" s="30" t="s">
        <v>133</v>
      </c>
      <c r="H144" s="45" t="s">
        <v>143</v>
      </c>
      <c r="I144" s="31" t="s">
        <v>68</v>
      </c>
      <c r="J144" s="32" t="s">
        <v>36</v>
      </c>
      <c r="K144" s="33" t="s">
        <v>6</v>
      </c>
      <c r="L144" s="46"/>
      <c r="M144" s="120"/>
      <c r="N144" s="120"/>
      <c r="O144" s="120"/>
      <c r="P144" s="122"/>
      <c r="Q144" s="122"/>
      <c r="R144" s="124"/>
      <c r="S144" s="124"/>
      <c r="T144" s="159"/>
      <c r="U144" s="156"/>
      <c r="V144" s="146"/>
      <c r="W144" s="149"/>
      <c r="X144" s="156"/>
      <c r="Y144" s="146"/>
      <c r="Z144" s="149"/>
      <c r="AA144" s="149"/>
      <c r="AB144" s="149"/>
      <c r="AC144" s="152"/>
      <c r="AD144" s="57">
        <f>BIN2DEC($AA142)*3</f>
        <v>0</v>
      </c>
      <c r="AE144" s="57">
        <f>ABS(BIN2DEC($U143)*3-1)</f>
        <v>1</v>
      </c>
      <c r="AF144" s="57">
        <f>ABS( BIN2DEC(V142)*3-BIN2DEC(Z142))</f>
        <v>3</v>
      </c>
      <c r="AG144" s="57">
        <f>BIN2DEC(X142&amp;Y142)+BIN2DEC(W142)*3</f>
        <v>1</v>
      </c>
      <c r="AH144" s="57">
        <f t="shared" ref="AH144:AH146" si="202">AD144+AE144*4+AF144*16</f>
        <v>52</v>
      </c>
    </row>
    <row r="145" spans="1:34" ht="15" customHeight="1">
      <c r="A145" s="138"/>
      <c r="B145" s="140"/>
      <c r="C145" s="43" t="str">
        <f t="shared" si="200"/>
        <v>sar50_slc1</v>
      </c>
      <c r="D145" s="44">
        <v>8</v>
      </c>
      <c r="E145" s="30" t="str">
        <f t="shared" si="201"/>
        <v>15:8</v>
      </c>
      <c r="F145" s="30" t="s">
        <v>133</v>
      </c>
      <c r="G145" s="30" t="s">
        <v>133</v>
      </c>
      <c r="H145" s="45" t="s">
        <v>143</v>
      </c>
      <c r="I145" s="31" t="s">
        <v>68</v>
      </c>
      <c r="J145" s="32" t="s">
        <v>36</v>
      </c>
      <c r="K145" s="33" t="s">
        <v>6</v>
      </c>
      <c r="L145" s="46"/>
      <c r="M145" s="120"/>
      <c r="N145" s="120"/>
      <c r="O145" s="120"/>
      <c r="P145" s="122"/>
      <c r="Q145" s="122"/>
      <c r="R145" s="124"/>
      <c r="S145" s="124"/>
      <c r="T145" s="159"/>
      <c r="U145" s="156"/>
      <c r="V145" s="146"/>
      <c r="W145" s="149"/>
      <c r="X145" s="156"/>
      <c r="Y145" s="146"/>
      <c r="Z145" s="149"/>
      <c r="AA145" s="149"/>
      <c r="AB145" s="149"/>
      <c r="AC145" s="152"/>
      <c r="AD145" s="57">
        <f>ABS(BIN2DEC($AA142)*3-2)</f>
        <v>2</v>
      </c>
      <c r="AE145" s="57">
        <f>ABS(BIN2DEC($U142)*3)</f>
        <v>0</v>
      </c>
      <c r="AF145" s="57">
        <f>ABS( BIN2DEC(V142)*3-BIN2DEC(Z142))</f>
        <v>3</v>
      </c>
      <c r="AG145" s="57">
        <f>BIN2DEC(X142&amp;Y142)+BIN2DEC(W142)*3</f>
        <v>1</v>
      </c>
      <c r="AH145" s="57">
        <f t="shared" si="202"/>
        <v>50</v>
      </c>
    </row>
    <row r="146" spans="1:34" ht="15.75" customHeight="1" thickBot="1">
      <c r="A146" s="138"/>
      <c r="B146" s="140"/>
      <c r="C146" s="43" t="str">
        <f t="shared" si="200"/>
        <v>sar54_slc1</v>
      </c>
      <c r="D146" s="44">
        <v>8</v>
      </c>
      <c r="E146" s="30" t="str">
        <f t="shared" si="201"/>
        <v>7:0</v>
      </c>
      <c r="F146" s="30" t="s">
        <v>133</v>
      </c>
      <c r="G146" s="30" t="s">
        <v>133</v>
      </c>
      <c r="H146" s="45" t="s">
        <v>143</v>
      </c>
      <c r="I146" s="31" t="s">
        <v>68</v>
      </c>
      <c r="J146" s="32" t="s">
        <v>36</v>
      </c>
      <c r="K146" s="33" t="s">
        <v>6</v>
      </c>
      <c r="L146" s="46"/>
      <c r="M146" s="120"/>
      <c r="N146" s="120"/>
      <c r="O146" s="120"/>
      <c r="P146" s="122"/>
      <c r="Q146" s="122"/>
      <c r="R146" s="124"/>
      <c r="S146" s="124"/>
      <c r="T146" s="159"/>
      <c r="U146" s="157"/>
      <c r="V146" s="147"/>
      <c r="W146" s="150"/>
      <c r="X146" s="157"/>
      <c r="Y146" s="147"/>
      <c r="Z146" s="150"/>
      <c r="AA146" s="150"/>
      <c r="AB146" s="150"/>
      <c r="AC146" s="153"/>
      <c r="AD146" s="57">
        <f>ABS(BIN2DEC($AA142)*3-2)</f>
        <v>2</v>
      </c>
      <c r="AE146" s="57">
        <f>ABS(BIN2DEC($U142)*3-1)</f>
        <v>1</v>
      </c>
      <c r="AF146" s="57">
        <f>ABS( BIN2DEC(V142)*3-BIN2DEC(Z142))</f>
        <v>3</v>
      </c>
      <c r="AG146" s="57">
        <f>BIN2DEC(X142&amp;Y142)+BIN2DEC(W142)*3</f>
        <v>1</v>
      </c>
      <c r="AH146" s="57">
        <f t="shared" si="202"/>
        <v>54</v>
      </c>
    </row>
    <row r="147" spans="1:34" ht="15.75" customHeight="1">
      <c r="A147" s="137" t="str">
        <f>AC147</f>
        <v>vofc_dom1_quad1_quad3_sar3_slc1</v>
      </c>
      <c r="B147" s="139" t="str">
        <f>DEC2HEX(P147*4)</f>
        <v>0</v>
      </c>
      <c r="C147" s="56" t="s">
        <v>134</v>
      </c>
      <c r="D147" s="129" t="str">
        <f>bitConcat(F148:F151)</f>
        <v>32'b00000000000000000000000000000000</v>
      </c>
      <c r="E147" s="130"/>
      <c r="F147" s="130"/>
      <c r="G147" s="130"/>
      <c r="H147" s="131" t="s">
        <v>135</v>
      </c>
      <c r="I147" s="131"/>
      <c r="J147" s="131" t="str">
        <f>bitConcat(G148:G151)</f>
        <v>32'b00000000000000000000000000000000</v>
      </c>
      <c r="K147" s="131"/>
      <c r="L147" s="132"/>
      <c r="M147" s="119" t="str">
        <f>DEC2HEX(_xlfn.BITLSHIFT(HEX2DEC(Q147),2))</f>
        <v>94</v>
      </c>
      <c r="N147" s="119"/>
      <c r="O147" s="119">
        <v>1</v>
      </c>
      <c r="P147" s="121">
        <v>0</v>
      </c>
      <c r="Q147" s="121" t="str">
        <f>AB147</f>
        <v>25</v>
      </c>
      <c r="R147" s="123" t="str">
        <f t="shared" ref="R147" si="203">BIN2HEX(LEFT(RIGHT(D147,32),4))&amp;BIN2HEX(LEFT(RIGHT(D147,28),4))&amp;BIN2HEX(LEFT(RIGHT(D147,24),4))&amp;BIN2HEX(LEFT(RIGHT(D147,20),4))&amp;BIN2HEX(LEFT(RIGHT(D147,16),4))&amp;BIN2HEX(LEFT(RIGHT(D147,12),4))&amp;BIN2HEX(LEFT(RIGHT(D147,8),4))&amp;BIN2HEX(LEFT(RIGHT(D147,4),4))</f>
        <v>00000000</v>
      </c>
      <c r="S147" s="123" t="str">
        <f t="shared" ref="S147" si="204">BIN2HEX(LEFT(RIGHT(J147,32),4))&amp;BIN2HEX(LEFT(RIGHT(J147,28),4))&amp;BIN2HEX(LEFT(RIGHT(J147,24),4))&amp;BIN2HEX(LEFT(RIGHT(J147,20),4))&amp;BIN2HEX(LEFT(RIGHT(J147,16),4))&amp;BIN2HEX(LEFT(RIGHT(J147,12),4))&amp;BIN2HEX(LEFT(RIGHT(J147,8),4))&amp;BIN2HEX(LEFT(RIGHT(J147,4),4))</f>
        <v>00000000</v>
      </c>
      <c r="T147" s="159">
        <v>5</v>
      </c>
      <c r="U147" s="155" t="str">
        <f t="shared" ref="U147" si="205">LEFT(DEC2BIN(O147,2))</f>
        <v>0</v>
      </c>
      <c r="V147" s="145" t="str">
        <f t="shared" ref="V147" si="206">RIGHT(DEC2BIN(O147,2),1)</f>
        <v>1</v>
      </c>
      <c r="W147" s="148">
        <v>0</v>
      </c>
      <c r="X147" s="155">
        <v>0</v>
      </c>
      <c r="Y147" s="145">
        <v>1</v>
      </c>
      <c r="Z147" s="148">
        <v>0</v>
      </c>
      <c r="AA147" s="148">
        <v>1</v>
      </c>
      <c r="AB147" s="148" t="str">
        <f t="shared" ref="AB147" si="207">BIN2HEX(U147&amp;V147&amp;W147&amp;X147&amp;Y147&amp;Z147&amp;AA147)</f>
        <v>25</v>
      </c>
      <c r="AC147" s="151" t="str">
        <f>CONCATENATE("vofc_dom",BIN2DEC(U147&amp;V147),"_quad",BIN2DEC(AA147),"_quad",BIN2DEC(AA147)+2,"_sar",ABS( BIN2DEC(V147)*3-BIN2DEC(Z147)),"_slc",BIN2DEC(X147&amp;Y147)+BIN2DEC(W147)*3)</f>
        <v>vofc_dom1_quad1_quad3_sar3_slc1</v>
      </c>
      <c r="AD147" s="57"/>
      <c r="AE147" s="57"/>
      <c r="AF147" s="57"/>
      <c r="AG147" s="57"/>
      <c r="AH147" s="57"/>
    </row>
    <row r="148" spans="1:34" ht="15" customHeight="1">
      <c r="A148" s="138"/>
      <c r="B148" s="140"/>
      <c r="C148" s="43" t="str">
        <f>CONCATENATE("sar",AD148+AE148*4+AF148*16,"_slc",AG148)</f>
        <v>sar51_slc1</v>
      </c>
      <c r="D148" s="44">
        <v>8</v>
      </c>
      <c r="E148" s="29" t="str">
        <f>IF(D148&gt;1,(31)&amp;":"&amp;(31-D148+1),(31-D148+1)&amp;":"&amp;(31-D148+1))</f>
        <v>31:24</v>
      </c>
      <c r="F148" s="30" t="s">
        <v>133</v>
      </c>
      <c r="G148" s="30" t="s">
        <v>133</v>
      </c>
      <c r="H148" s="45" t="s">
        <v>143</v>
      </c>
      <c r="I148" s="31" t="s">
        <v>68</v>
      </c>
      <c r="J148" s="32" t="s">
        <v>36</v>
      </c>
      <c r="K148" s="33" t="s">
        <v>6</v>
      </c>
      <c r="L148" s="46"/>
      <c r="M148" s="120"/>
      <c r="N148" s="120"/>
      <c r="O148" s="120"/>
      <c r="P148" s="122"/>
      <c r="Q148" s="122"/>
      <c r="R148" s="124"/>
      <c r="S148" s="124"/>
      <c r="T148" s="159"/>
      <c r="U148" s="156"/>
      <c r="V148" s="146"/>
      <c r="W148" s="149"/>
      <c r="X148" s="156"/>
      <c r="Y148" s="146"/>
      <c r="Z148" s="149"/>
      <c r="AA148" s="149"/>
      <c r="AB148" s="149"/>
      <c r="AC148" s="152"/>
      <c r="AD148" s="57">
        <f>BIN2DEC($AA147)*3</f>
        <v>3</v>
      </c>
      <c r="AE148" s="57">
        <f>ABS(BIN2DEC($U147)*3)</f>
        <v>0</v>
      </c>
      <c r="AF148" s="57">
        <f>ABS( BIN2DEC(V147)*3-BIN2DEC(Z147))</f>
        <v>3</v>
      </c>
      <c r="AG148" s="57">
        <f>BIN2DEC(X147&amp;Y147)+BIN2DEC(W147)*3</f>
        <v>1</v>
      </c>
      <c r="AH148" s="57">
        <f>AD148+AE148*4+AF148*16</f>
        <v>51</v>
      </c>
    </row>
    <row r="149" spans="1:34" ht="15" customHeight="1">
      <c r="A149" s="138"/>
      <c r="B149" s="140"/>
      <c r="C149" s="43" t="str">
        <f t="shared" ref="C149:C151" si="208">CONCATENATE("sar",AD149+AE149*4+AF149*16,"_slc",AG149)</f>
        <v>sar55_slc1</v>
      </c>
      <c r="D149" s="44">
        <v>8</v>
      </c>
      <c r="E149" s="30" t="str">
        <f t="shared" ref="E149:E151" si="209">(MID(str_cnvt(E148),SEARCH(":",str_cnvt(E148))+1,2)-1) &amp; ":" &amp; (MID(str_cnvt(E148),SEARCH(":",str_cnvt(E148))+1,2)-D149)</f>
        <v>23:16</v>
      </c>
      <c r="F149" s="30" t="s">
        <v>133</v>
      </c>
      <c r="G149" s="30" t="s">
        <v>133</v>
      </c>
      <c r="H149" s="45" t="s">
        <v>143</v>
      </c>
      <c r="I149" s="31" t="s">
        <v>68</v>
      </c>
      <c r="J149" s="32" t="s">
        <v>36</v>
      </c>
      <c r="K149" s="33" t="s">
        <v>6</v>
      </c>
      <c r="L149" s="46"/>
      <c r="M149" s="120"/>
      <c r="N149" s="120"/>
      <c r="O149" s="120"/>
      <c r="P149" s="122"/>
      <c r="Q149" s="122"/>
      <c r="R149" s="124"/>
      <c r="S149" s="124"/>
      <c r="T149" s="159"/>
      <c r="U149" s="156"/>
      <c r="V149" s="146"/>
      <c r="W149" s="149"/>
      <c r="X149" s="156"/>
      <c r="Y149" s="146"/>
      <c r="Z149" s="149"/>
      <c r="AA149" s="149"/>
      <c r="AB149" s="149"/>
      <c r="AC149" s="152"/>
      <c r="AD149" s="57">
        <f>BIN2DEC($AA147)*3</f>
        <v>3</v>
      </c>
      <c r="AE149" s="57">
        <f>ABS(BIN2DEC($U148)*3-1)</f>
        <v>1</v>
      </c>
      <c r="AF149" s="57">
        <f>ABS( BIN2DEC(V147)*3-BIN2DEC(Z147))</f>
        <v>3</v>
      </c>
      <c r="AG149" s="57">
        <f>BIN2DEC(X147&amp;Y147)+BIN2DEC(W147)*3</f>
        <v>1</v>
      </c>
      <c r="AH149" s="57">
        <f t="shared" ref="AH149:AH151" si="210">AD149+AE149*4+AF149*16</f>
        <v>55</v>
      </c>
    </row>
    <row r="150" spans="1:34" ht="15" customHeight="1">
      <c r="A150" s="138"/>
      <c r="B150" s="140"/>
      <c r="C150" s="43" t="str">
        <f t="shared" si="208"/>
        <v>sar49_slc1</v>
      </c>
      <c r="D150" s="44">
        <v>8</v>
      </c>
      <c r="E150" s="30" t="str">
        <f t="shared" si="209"/>
        <v>15:8</v>
      </c>
      <c r="F150" s="30" t="s">
        <v>133</v>
      </c>
      <c r="G150" s="30" t="s">
        <v>133</v>
      </c>
      <c r="H150" s="45" t="s">
        <v>143</v>
      </c>
      <c r="I150" s="31" t="s">
        <v>68</v>
      </c>
      <c r="J150" s="32" t="s">
        <v>36</v>
      </c>
      <c r="K150" s="33" t="s">
        <v>6</v>
      </c>
      <c r="L150" s="46"/>
      <c r="M150" s="120"/>
      <c r="N150" s="120"/>
      <c r="O150" s="120"/>
      <c r="P150" s="122"/>
      <c r="Q150" s="122"/>
      <c r="R150" s="124"/>
      <c r="S150" s="124"/>
      <c r="T150" s="159"/>
      <c r="U150" s="156"/>
      <c r="V150" s="146"/>
      <c r="W150" s="149"/>
      <c r="X150" s="156"/>
      <c r="Y150" s="146"/>
      <c r="Z150" s="149"/>
      <c r="AA150" s="149"/>
      <c r="AB150" s="149"/>
      <c r="AC150" s="152"/>
      <c r="AD150" s="57">
        <f>ABS(BIN2DEC($AA147)*3-2)</f>
        <v>1</v>
      </c>
      <c r="AE150" s="57">
        <f>ABS(BIN2DEC($U147)*3)</f>
        <v>0</v>
      </c>
      <c r="AF150" s="57">
        <f>ABS( BIN2DEC(V147)*3-BIN2DEC(Z147))</f>
        <v>3</v>
      </c>
      <c r="AG150" s="57">
        <f>BIN2DEC(X147&amp;Y147)+BIN2DEC(W147)*3</f>
        <v>1</v>
      </c>
      <c r="AH150" s="57">
        <f t="shared" si="210"/>
        <v>49</v>
      </c>
    </row>
    <row r="151" spans="1:34" ht="15.75" customHeight="1" thickBot="1">
      <c r="A151" s="138"/>
      <c r="B151" s="140"/>
      <c r="C151" s="43" t="str">
        <f t="shared" si="208"/>
        <v>sar53_slc1</v>
      </c>
      <c r="D151" s="44">
        <v>8</v>
      </c>
      <c r="E151" s="30" t="str">
        <f t="shared" si="209"/>
        <v>7:0</v>
      </c>
      <c r="F151" s="30" t="s">
        <v>133</v>
      </c>
      <c r="G151" s="30" t="s">
        <v>133</v>
      </c>
      <c r="H151" s="45" t="s">
        <v>143</v>
      </c>
      <c r="I151" s="31" t="s">
        <v>68</v>
      </c>
      <c r="J151" s="32" t="s">
        <v>36</v>
      </c>
      <c r="K151" s="33" t="s">
        <v>6</v>
      </c>
      <c r="L151" s="46"/>
      <c r="M151" s="120"/>
      <c r="N151" s="120"/>
      <c r="O151" s="120"/>
      <c r="P151" s="122"/>
      <c r="Q151" s="122"/>
      <c r="R151" s="124"/>
      <c r="S151" s="124"/>
      <c r="T151" s="159"/>
      <c r="U151" s="157"/>
      <c r="V151" s="147"/>
      <c r="W151" s="150"/>
      <c r="X151" s="157"/>
      <c r="Y151" s="147"/>
      <c r="Z151" s="150"/>
      <c r="AA151" s="150"/>
      <c r="AB151" s="150"/>
      <c r="AC151" s="153"/>
      <c r="AD151" s="57">
        <f>ABS(BIN2DEC($AA147)*3-2)</f>
        <v>1</v>
      </c>
      <c r="AE151" s="57">
        <f>ABS(BIN2DEC($U147)*3-1)</f>
        <v>1</v>
      </c>
      <c r="AF151" s="57">
        <f>ABS( BIN2DEC(V147)*3-BIN2DEC(Z147))</f>
        <v>3</v>
      </c>
      <c r="AG151" s="57">
        <f>BIN2DEC(X147&amp;Y147)+BIN2DEC(W147)*3</f>
        <v>1</v>
      </c>
      <c r="AH151" s="57">
        <f t="shared" si="210"/>
        <v>53</v>
      </c>
    </row>
    <row r="152" spans="1:34" ht="15.75" customHeight="1">
      <c r="A152" s="137" t="str">
        <f>AC152</f>
        <v>vofc_dom1_quad0_quad2_sar2_slc1</v>
      </c>
      <c r="B152" s="139" t="str">
        <f>DEC2HEX(P152*4)</f>
        <v>0</v>
      </c>
      <c r="C152" s="56" t="s">
        <v>134</v>
      </c>
      <c r="D152" s="129" t="str">
        <f>bitConcat(F153:F156)</f>
        <v>32'b00000000000000000000000000000000</v>
      </c>
      <c r="E152" s="130"/>
      <c r="F152" s="130"/>
      <c r="G152" s="130"/>
      <c r="H152" s="131" t="s">
        <v>135</v>
      </c>
      <c r="I152" s="131"/>
      <c r="J152" s="131" t="str">
        <f>bitConcat(G153:G156)</f>
        <v>32'b00000000000000000000000000000000</v>
      </c>
      <c r="K152" s="131"/>
      <c r="L152" s="132"/>
      <c r="M152" s="119" t="str">
        <f>DEC2HEX(_xlfn.BITLSHIFT(HEX2DEC(Q152),2))</f>
        <v>98</v>
      </c>
      <c r="N152" s="119"/>
      <c r="O152" s="119">
        <v>1</v>
      </c>
      <c r="P152" s="121">
        <v>0</v>
      </c>
      <c r="Q152" s="121" t="str">
        <f>AB152</f>
        <v>26</v>
      </c>
      <c r="R152" s="123" t="str">
        <f t="shared" ref="R152" si="211">BIN2HEX(LEFT(RIGHT(D152,32),4))&amp;BIN2HEX(LEFT(RIGHT(D152,28),4))&amp;BIN2HEX(LEFT(RIGHT(D152,24),4))&amp;BIN2HEX(LEFT(RIGHT(D152,20),4))&amp;BIN2HEX(LEFT(RIGHT(D152,16),4))&amp;BIN2HEX(LEFT(RIGHT(D152,12),4))&amp;BIN2HEX(LEFT(RIGHT(D152,8),4))&amp;BIN2HEX(LEFT(RIGHT(D152,4),4))</f>
        <v>00000000</v>
      </c>
      <c r="S152" s="123" t="str">
        <f t="shared" ref="S152" si="212">BIN2HEX(LEFT(RIGHT(J152,32),4))&amp;BIN2HEX(LEFT(RIGHT(J152,28),4))&amp;BIN2HEX(LEFT(RIGHT(J152,24),4))&amp;BIN2HEX(LEFT(RIGHT(J152,20),4))&amp;BIN2HEX(LEFT(RIGHT(J152,16),4))&amp;BIN2HEX(LEFT(RIGHT(J152,12),4))&amp;BIN2HEX(LEFT(RIGHT(J152,8),4))&amp;BIN2HEX(LEFT(RIGHT(J152,4),4))</f>
        <v>00000000</v>
      </c>
      <c r="T152" s="159">
        <v>6</v>
      </c>
      <c r="U152" s="155" t="str">
        <f t="shared" ref="U152" si="213">LEFT(DEC2BIN(O152,2))</f>
        <v>0</v>
      </c>
      <c r="V152" s="145" t="str">
        <f t="shared" ref="V152" si="214">RIGHT(DEC2BIN(O152,2),1)</f>
        <v>1</v>
      </c>
      <c r="W152" s="148">
        <v>0</v>
      </c>
      <c r="X152" s="155">
        <v>0</v>
      </c>
      <c r="Y152" s="145">
        <v>1</v>
      </c>
      <c r="Z152" s="148">
        <v>1</v>
      </c>
      <c r="AA152" s="148">
        <v>0</v>
      </c>
      <c r="AB152" s="148" t="str">
        <f t="shared" ref="AB152" si="215">BIN2HEX(U152&amp;V152&amp;W152&amp;X152&amp;Y152&amp;Z152&amp;AA152)</f>
        <v>26</v>
      </c>
      <c r="AC152" s="151" t="str">
        <f>CONCATENATE("vofc_dom",BIN2DEC(U152&amp;V152),"_quad",BIN2DEC(AA152),"_quad",BIN2DEC(AA152)+2,"_sar",ABS( BIN2DEC(V152)*3-BIN2DEC(Z152)),"_slc",BIN2DEC(X152&amp;Y152)+BIN2DEC(W152)*3)</f>
        <v>vofc_dom1_quad0_quad2_sar2_slc1</v>
      </c>
      <c r="AD152" s="57"/>
      <c r="AE152" s="57"/>
      <c r="AF152" s="57"/>
      <c r="AG152" s="57"/>
      <c r="AH152" s="57"/>
    </row>
    <row r="153" spans="1:34" ht="15" customHeight="1">
      <c r="A153" s="138"/>
      <c r="B153" s="140"/>
      <c r="C153" s="43" t="str">
        <f>CONCATENATE("sar",AD153+AE153*4+AF153*16,"_slc",AG153)</f>
        <v>sar32_slc1</v>
      </c>
      <c r="D153" s="44">
        <v>8</v>
      </c>
      <c r="E153" s="29" t="str">
        <f>IF(D153&gt;1,(31)&amp;":"&amp;(31-D153+1),(31-D153+1)&amp;":"&amp;(31-D153+1))</f>
        <v>31:24</v>
      </c>
      <c r="F153" s="30" t="s">
        <v>133</v>
      </c>
      <c r="G153" s="30" t="s">
        <v>133</v>
      </c>
      <c r="H153" s="45" t="s">
        <v>143</v>
      </c>
      <c r="I153" s="31" t="s">
        <v>68</v>
      </c>
      <c r="J153" s="32" t="s">
        <v>36</v>
      </c>
      <c r="K153" s="33" t="s">
        <v>6</v>
      </c>
      <c r="L153" s="46"/>
      <c r="M153" s="120"/>
      <c r="N153" s="120"/>
      <c r="O153" s="120"/>
      <c r="P153" s="122"/>
      <c r="Q153" s="122"/>
      <c r="R153" s="124"/>
      <c r="S153" s="124"/>
      <c r="T153" s="159"/>
      <c r="U153" s="156"/>
      <c r="V153" s="146"/>
      <c r="W153" s="149"/>
      <c r="X153" s="156"/>
      <c r="Y153" s="146"/>
      <c r="Z153" s="149"/>
      <c r="AA153" s="149"/>
      <c r="AB153" s="149"/>
      <c r="AC153" s="152"/>
      <c r="AD153" s="57">
        <f>BIN2DEC($AA152)*3</f>
        <v>0</v>
      </c>
      <c r="AE153" s="57">
        <f>ABS(BIN2DEC($U152)*3)</f>
        <v>0</v>
      </c>
      <c r="AF153" s="57">
        <f>ABS( BIN2DEC(V152)*3-BIN2DEC(Z152))</f>
        <v>2</v>
      </c>
      <c r="AG153" s="57">
        <f>BIN2DEC(X152&amp;Y152)+BIN2DEC(W152)*3</f>
        <v>1</v>
      </c>
      <c r="AH153" s="57">
        <f>AD153+AE153*4+AF153*16</f>
        <v>32</v>
      </c>
    </row>
    <row r="154" spans="1:34" ht="15" customHeight="1">
      <c r="A154" s="138"/>
      <c r="B154" s="140"/>
      <c r="C154" s="43" t="str">
        <f t="shared" ref="C154:C156" si="216">CONCATENATE("sar",AD154+AE154*4+AF154*16,"_slc",AG154)</f>
        <v>sar36_slc1</v>
      </c>
      <c r="D154" s="44">
        <v>8</v>
      </c>
      <c r="E154" s="30" t="str">
        <f t="shared" ref="E154:E156" si="217">(MID(str_cnvt(E153),SEARCH(":",str_cnvt(E153))+1,2)-1) &amp; ":" &amp; (MID(str_cnvt(E153),SEARCH(":",str_cnvt(E153))+1,2)-D154)</f>
        <v>23:16</v>
      </c>
      <c r="F154" s="30" t="s">
        <v>133</v>
      </c>
      <c r="G154" s="30" t="s">
        <v>133</v>
      </c>
      <c r="H154" s="45" t="s">
        <v>143</v>
      </c>
      <c r="I154" s="31" t="s">
        <v>68</v>
      </c>
      <c r="J154" s="32" t="s">
        <v>36</v>
      </c>
      <c r="K154" s="33" t="s">
        <v>6</v>
      </c>
      <c r="L154" s="46"/>
      <c r="M154" s="120"/>
      <c r="N154" s="120"/>
      <c r="O154" s="120"/>
      <c r="P154" s="122"/>
      <c r="Q154" s="122"/>
      <c r="R154" s="124"/>
      <c r="S154" s="124"/>
      <c r="T154" s="159"/>
      <c r="U154" s="156"/>
      <c r="V154" s="146"/>
      <c r="W154" s="149"/>
      <c r="X154" s="156"/>
      <c r="Y154" s="146"/>
      <c r="Z154" s="149"/>
      <c r="AA154" s="149"/>
      <c r="AB154" s="149"/>
      <c r="AC154" s="152"/>
      <c r="AD154" s="57">
        <f>BIN2DEC($AA152)*3</f>
        <v>0</v>
      </c>
      <c r="AE154" s="57">
        <f>ABS(BIN2DEC($U153)*3-1)</f>
        <v>1</v>
      </c>
      <c r="AF154" s="57">
        <f>ABS( BIN2DEC(V152)*3-BIN2DEC(Z152))</f>
        <v>2</v>
      </c>
      <c r="AG154" s="57">
        <f>BIN2DEC(X152&amp;Y152)+BIN2DEC(W152)*3</f>
        <v>1</v>
      </c>
      <c r="AH154" s="57">
        <f t="shared" ref="AH154:AH156" si="218">AD154+AE154*4+AF154*16</f>
        <v>36</v>
      </c>
    </row>
    <row r="155" spans="1:34" ht="15" customHeight="1">
      <c r="A155" s="138"/>
      <c r="B155" s="140"/>
      <c r="C155" s="43" t="str">
        <f t="shared" si="216"/>
        <v>sar34_slc1</v>
      </c>
      <c r="D155" s="44">
        <v>8</v>
      </c>
      <c r="E155" s="30" t="str">
        <f t="shared" si="217"/>
        <v>15:8</v>
      </c>
      <c r="F155" s="30" t="s">
        <v>133</v>
      </c>
      <c r="G155" s="30" t="s">
        <v>133</v>
      </c>
      <c r="H155" s="45" t="s">
        <v>143</v>
      </c>
      <c r="I155" s="31" t="s">
        <v>68</v>
      </c>
      <c r="J155" s="32" t="s">
        <v>36</v>
      </c>
      <c r="K155" s="33" t="s">
        <v>6</v>
      </c>
      <c r="L155" s="46"/>
      <c r="M155" s="120"/>
      <c r="N155" s="120"/>
      <c r="O155" s="120"/>
      <c r="P155" s="122"/>
      <c r="Q155" s="122"/>
      <c r="R155" s="124"/>
      <c r="S155" s="124"/>
      <c r="T155" s="159"/>
      <c r="U155" s="156"/>
      <c r="V155" s="146"/>
      <c r="W155" s="149"/>
      <c r="X155" s="156"/>
      <c r="Y155" s="146"/>
      <c r="Z155" s="149"/>
      <c r="AA155" s="149"/>
      <c r="AB155" s="149"/>
      <c r="AC155" s="152"/>
      <c r="AD155" s="57">
        <f>ABS(BIN2DEC($AA152)*3-2)</f>
        <v>2</v>
      </c>
      <c r="AE155" s="57">
        <f>ABS(BIN2DEC($U152)*3)</f>
        <v>0</v>
      </c>
      <c r="AF155" s="57">
        <f>ABS( BIN2DEC(V152)*3-BIN2DEC(Z152))</f>
        <v>2</v>
      </c>
      <c r="AG155" s="57">
        <f>BIN2DEC(X152&amp;Y152)+BIN2DEC(W152)*3</f>
        <v>1</v>
      </c>
      <c r="AH155" s="57">
        <f t="shared" si="218"/>
        <v>34</v>
      </c>
    </row>
    <row r="156" spans="1:34" ht="15.75" customHeight="1" thickBot="1">
      <c r="A156" s="138"/>
      <c r="B156" s="140"/>
      <c r="C156" s="43" t="str">
        <f t="shared" si="216"/>
        <v>sar38_slc1</v>
      </c>
      <c r="D156" s="44">
        <v>8</v>
      </c>
      <c r="E156" s="30" t="str">
        <f t="shared" si="217"/>
        <v>7:0</v>
      </c>
      <c r="F156" s="30" t="s">
        <v>133</v>
      </c>
      <c r="G156" s="30" t="s">
        <v>133</v>
      </c>
      <c r="H156" s="45" t="s">
        <v>143</v>
      </c>
      <c r="I156" s="31" t="s">
        <v>68</v>
      </c>
      <c r="J156" s="32" t="s">
        <v>36</v>
      </c>
      <c r="K156" s="33" t="s">
        <v>6</v>
      </c>
      <c r="L156" s="46"/>
      <c r="M156" s="120"/>
      <c r="N156" s="120"/>
      <c r="O156" s="120"/>
      <c r="P156" s="122"/>
      <c r="Q156" s="122"/>
      <c r="R156" s="124"/>
      <c r="S156" s="124"/>
      <c r="T156" s="159"/>
      <c r="U156" s="157"/>
      <c r="V156" s="147"/>
      <c r="W156" s="150"/>
      <c r="X156" s="157"/>
      <c r="Y156" s="147"/>
      <c r="Z156" s="150"/>
      <c r="AA156" s="150"/>
      <c r="AB156" s="150"/>
      <c r="AC156" s="153"/>
      <c r="AD156" s="57">
        <f>ABS(BIN2DEC($AA152)*3-2)</f>
        <v>2</v>
      </c>
      <c r="AE156" s="57">
        <f>ABS(BIN2DEC($U152)*3-1)</f>
        <v>1</v>
      </c>
      <c r="AF156" s="57">
        <f>ABS( BIN2DEC(V152)*3-BIN2DEC(Z152))</f>
        <v>2</v>
      </c>
      <c r="AG156" s="57">
        <f>BIN2DEC(X152&amp;Y152)+BIN2DEC(W152)*3</f>
        <v>1</v>
      </c>
      <c r="AH156" s="57">
        <f t="shared" si="218"/>
        <v>38</v>
      </c>
    </row>
    <row r="157" spans="1:34" ht="15.75" customHeight="1">
      <c r="A157" s="137" t="str">
        <f>AC157</f>
        <v>vofc_dom1_quad1_quad3_sar2_slc1</v>
      </c>
      <c r="B157" s="139" t="str">
        <f>DEC2HEX(P157*4)</f>
        <v>0</v>
      </c>
      <c r="C157" s="56" t="s">
        <v>134</v>
      </c>
      <c r="D157" s="129" t="str">
        <f>bitConcat(F158:F161)</f>
        <v>32'b00000000000000000000000000000000</v>
      </c>
      <c r="E157" s="130"/>
      <c r="F157" s="130"/>
      <c r="G157" s="130"/>
      <c r="H157" s="131" t="s">
        <v>135</v>
      </c>
      <c r="I157" s="131"/>
      <c r="J157" s="131" t="str">
        <f>bitConcat(G158:G161)</f>
        <v>32'b00000000000000000000000000000000</v>
      </c>
      <c r="K157" s="131"/>
      <c r="L157" s="132"/>
      <c r="M157" s="119" t="str">
        <f>DEC2HEX(_xlfn.BITLSHIFT(HEX2DEC(Q157),2))</f>
        <v>9C</v>
      </c>
      <c r="N157" s="119"/>
      <c r="O157" s="119">
        <v>1</v>
      </c>
      <c r="P157" s="121">
        <v>0</v>
      </c>
      <c r="Q157" s="121" t="str">
        <f>AB157</f>
        <v>27</v>
      </c>
      <c r="R157" s="123" t="str">
        <f t="shared" ref="R157" si="219">BIN2HEX(LEFT(RIGHT(D157,32),4))&amp;BIN2HEX(LEFT(RIGHT(D157,28),4))&amp;BIN2HEX(LEFT(RIGHT(D157,24),4))&amp;BIN2HEX(LEFT(RIGHT(D157,20),4))&amp;BIN2HEX(LEFT(RIGHT(D157,16),4))&amp;BIN2HEX(LEFT(RIGHT(D157,12),4))&amp;BIN2HEX(LEFT(RIGHT(D157,8),4))&amp;BIN2HEX(LEFT(RIGHT(D157,4),4))</f>
        <v>00000000</v>
      </c>
      <c r="S157" s="123" t="str">
        <f t="shared" ref="S157" si="220">BIN2HEX(LEFT(RIGHT(J157,32),4))&amp;BIN2HEX(LEFT(RIGHT(J157,28),4))&amp;BIN2HEX(LEFT(RIGHT(J157,24),4))&amp;BIN2HEX(LEFT(RIGHT(J157,20),4))&amp;BIN2HEX(LEFT(RIGHT(J157,16),4))&amp;BIN2HEX(LEFT(RIGHT(J157,12),4))&amp;BIN2HEX(LEFT(RIGHT(J157,8),4))&amp;BIN2HEX(LEFT(RIGHT(J157,4),4))</f>
        <v>00000000</v>
      </c>
      <c r="T157" s="159">
        <v>7</v>
      </c>
      <c r="U157" s="155" t="str">
        <f t="shared" ref="U157" si="221">LEFT(DEC2BIN(O157,2))</f>
        <v>0</v>
      </c>
      <c r="V157" s="145" t="str">
        <f t="shared" ref="V157" si="222">RIGHT(DEC2BIN(O157,2),1)</f>
        <v>1</v>
      </c>
      <c r="W157" s="148">
        <v>0</v>
      </c>
      <c r="X157" s="155">
        <v>0</v>
      </c>
      <c r="Y157" s="145">
        <v>1</v>
      </c>
      <c r="Z157" s="148">
        <v>1</v>
      </c>
      <c r="AA157" s="148">
        <v>1</v>
      </c>
      <c r="AB157" s="148" t="str">
        <f t="shared" ref="AB157" si="223">BIN2HEX(U157&amp;V157&amp;W157&amp;X157&amp;Y157&amp;Z157&amp;AA157)</f>
        <v>27</v>
      </c>
      <c r="AC157" s="151" t="str">
        <f>CONCATENATE("vofc_dom",BIN2DEC(U157&amp;V157),"_quad",BIN2DEC(AA157),"_quad",BIN2DEC(AA157)+2,"_sar",ABS( BIN2DEC(V157)*3-BIN2DEC(Z157)),"_slc",BIN2DEC(X157&amp;Y157)+BIN2DEC(W157)*3)</f>
        <v>vofc_dom1_quad1_quad3_sar2_slc1</v>
      </c>
      <c r="AD157" s="57"/>
      <c r="AE157" s="57"/>
      <c r="AF157" s="57"/>
      <c r="AG157" s="57"/>
      <c r="AH157" s="57"/>
    </row>
    <row r="158" spans="1:34" ht="15" customHeight="1">
      <c r="A158" s="138"/>
      <c r="B158" s="140"/>
      <c r="C158" s="43" t="str">
        <f>CONCATENATE("sar",AD158+AE158*4+AF158*16,"_slc",AG158)</f>
        <v>sar35_slc1</v>
      </c>
      <c r="D158" s="44">
        <v>8</v>
      </c>
      <c r="E158" s="29" t="str">
        <f>IF(D158&gt;1,(31)&amp;":"&amp;(31-D158+1),(31-D158+1)&amp;":"&amp;(31-D158+1))</f>
        <v>31:24</v>
      </c>
      <c r="F158" s="30" t="s">
        <v>133</v>
      </c>
      <c r="G158" s="30" t="s">
        <v>133</v>
      </c>
      <c r="H158" s="45" t="s">
        <v>143</v>
      </c>
      <c r="I158" s="31" t="s">
        <v>68</v>
      </c>
      <c r="J158" s="32" t="s">
        <v>36</v>
      </c>
      <c r="K158" s="33" t="s">
        <v>6</v>
      </c>
      <c r="L158" s="46"/>
      <c r="M158" s="120"/>
      <c r="N158" s="120"/>
      <c r="O158" s="120"/>
      <c r="P158" s="122"/>
      <c r="Q158" s="122"/>
      <c r="R158" s="124"/>
      <c r="S158" s="124"/>
      <c r="T158" s="159"/>
      <c r="U158" s="156"/>
      <c r="V158" s="146"/>
      <c r="W158" s="149"/>
      <c r="X158" s="156"/>
      <c r="Y158" s="146"/>
      <c r="Z158" s="149"/>
      <c r="AA158" s="149"/>
      <c r="AB158" s="149"/>
      <c r="AC158" s="152"/>
      <c r="AD158" s="57">
        <f>BIN2DEC($AA157)*3</f>
        <v>3</v>
      </c>
      <c r="AE158" s="57">
        <f>ABS(BIN2DEC($U157)*3)</f>
        <v>0</v>
      </c>
      <c r="AF158" s="57">
        <f>ABS( BIN2DEC(V157)*3-BIN2DEC(Z157))</f>
        <v>2</v>
      </c>
      <c r="AG158" s="57">
        <f>BIN2DEC(X157&amp;Y157)+BIN2DEC(W157)*3</f>
        <v>1</v>
      </c>
      <c r="AH158" s="57">
        <f>AD158+AE158*4+AF158*16</f>
        <v>35</v>
      </c>
    </row>
    <row r="159" spans="1:34" ht="15" customHeight="1">
      <c r="A159" s="138"/>
      <c r="B159" s="140"/>
      <c r="C159" s="43" t="str">
        <f t="shared" ref="C159:C161" si="224">CONCATENATE("sar",AD159+AE159*4+AF159*16,"_slc",AG159)</f>
        <v>sar39_slc1</v>
      </c>
      <c r="D159" s="44">
        <v>8</v>
      </c>
      <c r="E159" s="30" t="str">
        <f t="shared" ref="E159:E161" si="225">(MID(str_cnvt(E158),SEARCH(":",str_cnvt(E158))+1,2)-1) &amp; ":" &amp; (MID(str_cnvt(E158),SEARCH(":",str_cnvt(E158))+1,2)-D159)</f>
        <v>23:16</v>
      </c>
      <c r="F159" s="30" t="s">
        <v>133</v>
      </c>
      <c r="G159" s="30" t="s">
        <v>133</v>
      </c>
      <c r="H159" s="45" t="s">
        <v>143</v>
      </c>
      <c r="I159" s="31" t="s">
        <v>68</v>
      </c>
      <c r="J159" s="32" t="s">
        <v>36</v>
      </c>
      <c r="K159" s="33" t="s">
        <v>6</v>
      </c>
      <c r="L159" s="46"/>
      <c r="M159" s="120"/>
      <c r="N159" s="120"/>
      <c r="O159" s="120"/>
      <c r="P159" s="122"/>
      <c r="Q159" s="122"/>
      <c r="R159" s="124"/>
      <c r="S159" s="124"/>
      <c r="T159" s="159"/>
      <c r="U159" s="156"/>
      <c r="V159" s="146"/>
      <c r="W159" s="149"/>
      <c r="X159" s="156"/>
      <c r="Y159" s="146"/>
      <c r="Z159" s="149"/>
      <c r="AA159" s="149"/>
      <c r="AB159" s="149"/>
      <c r="AC159" s="152"/>
      <c r="AD159" s="57">
        <f>BIN2DEC($AA157)*3</f>
        <v>3</v>
      </c>
      <c r="AE159" s="57">
        <f>ABS(BIN2DEC($U158)*3-1)</f>
        <v>1</v>
      </c>
      <c r="AF159" s="57">
        <f>ABS( BIN2DEC(V157)*3-BIN2DEC(Z157))</f>
        <v>2</v>
      </c>
      <c r="AG159" s="57">
        <f>BIN2DEC(X157&amp;Y157)+BIN2DEC(W157)*3</f>
        <v>1</v>
      </c>
      <c r="AH159" s="57">
        <f t="shared" ref="AH159:AH161" si="226">AD159+AE159*4+AF159*16</f>
        <v>39</v>
      </c>
    </row>
    <row r="160" spans="1:34" ht="15" customHeight="1">
      <c r="A160" s="138"/>
      <c r="B160" s="140"/>
      <c r="C160" s="43" t="str">
        <f t="shared" si="224"/>
        <v>sar33_slc1</v>
      </c>
      <c r="D160" s="44">
        <v>8</v>
      </c>
      <c r="E160" s="30" t="str">
        <f t="shared" si="225"/>
        <v>15:8</v>
      </c>
      <c r="F160" s="30" t="s">
        <v>133</v>
      </c>
      <c r="G160" s="30" t="s">
        <v>133</v>
      </c>
      <c r="H160" s="45" t="s">
        <v>143</v>
      </c>
      <c r="I160" s="31" t="s">
        <v>68</v>
      </c>
      <c r="J160" s="32" t="s">
        <v>36</v>
      </c>
      <c r="K160" s="33" t="s">
        <v>6</v>
      </c>
      <c r="L160" s="46"/>
      <c r="M160" s="120"/>
      <c r="N160" s="120"/>
      <c r="O160" s="120"/>
      <c r="P160" s="122"/>
      <c r="Q160" s="122"/>
      <c r="R160" s="124"/>
      <c r="S160" s="124"/>
      <c r="T160" s="159"/>
      <c r="U160" s="156"/>
      <c r="V160" s="146"/>
      <c r="W160" s="149"/>
      <c r="X160" s="156"/>
      <c r="Y160" s="146"/>
      <c r="Z160" s="149"/>
      <c r="AA160" s="149"/>
      <c r="AB160" s="149"/>
      <c r="AC160" s="152"/>
      <c r="AD160" s="57">
        <f>ABS(BIN2DEC($AA157)*3-2)</f>
        <v>1</v>
      </c>
      <c r="AE160" s="57">
        <f>ABS(BIN2DEC($U157)*3)</f>
        <v>0</v>
      </c>
      <c r="AF160" s="57">
        <f>ABS( BIN2DEC(V157)*3-BIN2DEC(Z157))</f>
        <v>2</v>
      </c>
      <c r="AG160" s="57">
        <f>BIN2DEC(X157&amp;Y157)+BIN2DEC(W157)*3</f>
        <v>1</v>
      </c>
      <c r="AH160" s="57">
        <f t="shared" si="226"/>
        <v>33</v>
      </c>
    </row>
    <row r="161" spans="1:34" ht="15.75" customHeight="1" thickBot="1">
      <c r="A161" s="138"/>
      <c r="B161" s="140"/>
      <c r="C161" s="43" t="str">
        <f t="shared" si="224"/>
        <v>sar37_slc1</v>
      </c>
      <c r="D161" s="44">
        <v>8</v>
      </c>
      <c r="E161" s="30" t="str">
        <f t="shared" si="225"/>
        <v>7:0</v>
      </c>
      <c r="F161" s="30" t="s">
        <v>133</v>
      </c>
      <c r="G161" s="30" t="s">
        <v>133</v>
      </c>
      <c r="H161" s="45" t="s">
        <v>143</v>
      </c>
      <c r="I161" s="31" t="s">
        <v>68</v>
      </c>
      <c r="J161" s="32" t="s">
        <v>36</v>
      </c>
      <c r="K161" s="33" t="s">
        <v>6</v>
      </c>
      <c r="L161" s="46"/>
      <c r="M161" s="120"/>
      <c r="N161" s="120"/>
      <c r="O161" s="120"/>
      <c r="P161" s="122"/>
      <c r="Q161" s="122"/>
      <c r="R161" s="124"/>
      <c r="S161" s="124"/>
      <c r="T161" s="159"/>
      <c r="U161" s="157"/>
      <c r="V161" s="147"/>
      <c r="W161" s="150"/>
      <c r="X161" s="157"/>
      <c r="Y161" s="147"/>
      <c r="Z161" s="150"/>
      <c r="AA161" s="150"/>
      <c r="AB161" s="150"/>
      <c r="AC161" s="153"/>
      <c r="AD161" s="57">
        <f>ABS(BIN2DEC($AA157)*3-2)</f>
        <v>1</v>
      </c>
      <c r="AE161" s="57">
        <f>ABS(BIN2DEC($U157)*3-1)</f>
        <v>1</v>
      </c>
      <c r="AF161" s="57">
        <f>ABS( BIN2DEC(V157)*3-BIN2DEC(Z157))</f>
        <v>2</v>
      </c>
      <c r="AG161" s="57">
        <f>BIN2DEC(X157&amp;Y157)+BIN2DEC(W157)*3</f>
        <v>1</v>
      </c>
      <c r="AH161" s="57">
        <f t="shared" si="226"/>
        <v>37</v>
      </c>
    </row>
    <row r="162" spans="1:34" ht="15.75" customHeight="1">
      <c r="A162" s="137" t="str">
        <f>AC162</f>
        <v>vofc_dom1_quad0_quad2_sar3_slc2</v>
      </c>
      <c r="B162" s="139" t="str">
        <f>DEC2HEX(P162*4)</f>
        <v>0</v>
      </c>
      <c r="C162" s="56" t="s">
        <v>134</v>
      </c>
      <c r="D162" s="129" t="str">
        <f>bitConcat(F163:F166)</f>
        <v>32'b00000000000000000000000000000000</v>
      </c>
      <c r="E162" s="130"/>
      <c r="F162" s="130"/>
      <c r="G162" s="130"/>
      <c r="H162" s="131" t="s">
        <v>135</v>
      </c>
      <c r="I162" s="131"/>
      <c r="J162" s="131" t="str">
        <f>bitConcat(G163:G166)</f>
        <v>32'b00000000000000000000000000000000</v>
      </c>
      <c r="K162" s="131"/>
      <c r="L162" s="132"/>
      <c r="M162" s="119" t="str">
        <f>DEC2HEX(_xlfn.BITLSHIFT(HEX2DEC(Q162),2))</f>
        <v>A0</v>
      </c>
      <c r="N162" s="119"/>
      <c r="O162" s="119">
        <v>1</v>
      </c>
      <c r="P162" s="121">
        <v>0</v>
      </c>
      <c r="Q162" s="121" t="str">
        <f>AB162</f>
        <v>28</v>
      </c>
      <c r="R162" s="123" t="str">
        <f t="shared" ref="R162" si="227">BIN2HEX(LEFT(RIGHT(D162,32),4))&amp;BIN2HEX(LEFT(RIGHT(D162,28),4))&amp;BIN2HEX(LEFT(RIGHT(D162,24),4))&amp;BIN2HEX(LEFT(RIGHT(D162,20),4))&amp;BIN2HEX(LEFT(RIGHT(D162,16),4))&amp;BIN2HEX(LEFT(RIGHT(D162,12),4))&amp;BIN2HEX(LEFT(RIGHT(D162,8),4))&amp;BIN2HEX(LEFT(RIGHT(D162,4),4))</f>
        <v>00000000</v>
      </c>
      <c r="S162" s="123" t="str">
        <f t="shared" ref="S162" si="228">BIN2HEX(LEFT(RIGHT(J162,32),4))&amp;BIN2HEX(LEFT(RIGHT(J162,28),4))&amp;BIN2HEX(LEFT(RIGHT(J162,24),4))&amp;BIN2HEX(LEFT(RIGHT(J162,20),4))&amp;BIN2HEX(LEFT(RIGHT(J162,16),4))&amp;BIN2HEX(LEFT(RIGHT(J162,12),4))&amp;BIN2HEX(LEFT(RIGHT(J162,8),4))&amp;BIN2HEX(LEFT(RIGHT(J162,4),4))</f>
        <v>00000000</v>
      </c>
      <c r="T162" s="159">
        <v>8</v>
      </c>
      <c r="U162" s="155" t="str">
        <f t="shared" ref="U162" si="229">LEFT(DEC2BIN(O162,2))</f>
        <v>0</v>
      </c>
      <c r="V162" s="145" t="str">
        <f t="shared" ref="V162" si="230">RIGHT(DEC2BIN(O162,2),1)</f>
        <v>1</v>
      </c>
      <c r="W162" s="148">
        <v>0</v>
      </c>
      <c r="X162" s="155">
        <v>1</v>
      </c>
      <c r="Y162" s="145">
        <v>0</v>
      </c>
      <c r="Z162" s="148">
        <v>0</v>
      </c>
      <c r="AA162" s="148">
        <v>0</v>
      </c>
      <c r="AB162" s="148" t="str">
        <f t="shared" ref="AB162" si="231">BIN2HEX(U162&amp;V162&amp;W162&amp;X162&amp;Y162&amp;Z162&amp;AA162)</f>
        <v>28</v>
      </c>
      <c r="AC162" s="151" t="str">
        <f>CONCATENATE("vofc_dom",BIN2DEC(U162&amp;V162),"_quad",BIN2DEC(AA162),"_quad",BIN2DEC(AA162)+2,"_sar",ABS( BIN2DEC(V162)*3-BIN2DEC(Z162)),"_slc",BIN2DEC(X162&amp;Y162)+BIN2DEC(W162)*3)</f>
        <v>vofc_dom1_quad0_quad2_sar3_slc2</v>
      </c>
      <c r="AD162" s="57"/>
      <c r="AE162" s="57"/>
      <c r="AF162" s="57"/>
      <c r="AG162" s="57"/>
      <c r="AH162" s="57"/>
    </row>
    <row r="163" spans="1:34" ht="15" customHeight="1">
      <c r="A163" s="138"/>
      <c r="B163" s="140"/>
      <c r="C163" s="43" t="str">
        <f>CONCATENATE("sar",AD163+AE163*4+AF163*16,"_slc",AG163)</f>
        <v>sar48_slc2</v>
      </c>
      <c r="D163" s="44">
        <v>8</v>
      </c>
      <c r="E163" s="29" t="str">
        <f>IF(D163&gt;1,(31)&amp;":"&amp;(31-D163+1),(31-D163+1)&amp;":"&amp;(31-D163+1))</f>
        <v>31:24</v>
      </c>
      <c r="F163" s="30" t="s">
        <v>133</v>
      </c>
      <c r="G163" s="30" t="s">
        <v>133</v>
      </c>
      <c r="H163" s="45" t="s">
        <v>143</v>
      </c>
      <c r="I163" s="31" t="s">
        <v>68</v>
      </c>
      <c r="J163" s="32" t="s">
        <v>36</v>
      </c>
      <c r="K163" s="33" t="s">
        <v>6</v>
      </c>
      <c r="L163" s="46"/>
      <c r="M163" s="120"/>
      <c r="N163" s="120"/>
      <c r="O163" s="120"/>
      <c r="P163" s="122"/>
      <c r="Q163" s="122"/>
      <c r="R163" s="124"/>
      <c r="S163" s="124"/>
      <c r="T163" s="159"/>
      <c r="U163" s="156"/>
      <c r="V163" s="146"/>
      <c r="W163" s="149"/>
      <c r="X163" s="156"/>
      <c r="Y163" s="146"/>
      <c r="Z163" s="149"/>
      <c r="AA163" s="149"/>
      <c r="AB163" s="149"/>
      <c r="AC163" s="152"/>
      <c r="AD163" s="57">
        <f>BIN2DEC($AA162)*3</f>
        <v>0</v>
      </c>
      <c r="AE163" s="57">
        <f>ABS(BIN2DEC($U162)*3)</f>
        <v>0</v>
      </c>
      <c r="AF163" s="57">
        <f>ABS( BIN2DEC(V162)*3-BIN2DEC(Z162))</f>
        <v>3</v>
      </c>
      <c r="AG163" s="57">
        <f>BIN2DEC(X162&amp;Y162)+BIN2DEC(W162)*3</f>
        <v>2</v>
      </c>
      <c r="AH163" s="57">
        <f>AD163+AE163*4+AF163*16</f>
        <v>48</v>
      </c>
    </row>
    <row r="164" spans="1:34" ht="15" customHeight="1">
      <c r="A164" s="138"/>
      <c r="B164" s="140"/>
      <c r="C164" s="43" t="str">
        <f t="shared" ref="C164:C166" si="232">CONCATENATE("sar",AD164+AE164*4+AF164*16,"_slc",AG164)</f>
        <v>sar52_slc2</v>
      </c>
      <c r="D164" s="44">
        <v>8</v>
      </c>
      <c r="E164" s="30" t="str">
        <f t="shared" ref="E164:E166" si="233">(MID(str_cnvt(E163),SEARCH(":",str_cnvt(E163))+1,2)-1) &amp; ":" &amp; (MID(str_cnvt(E163),SEARCH(":",str_cnvt(E163))+1,2)-D164)</f>
        <v>23:16</v>
      </c>
      <c r="F164" s="30" t="s">
        <v>133</v>
      </c>
      <c r="G164" s="30" t="s">
        <v>133</v>
      </c>
      <c r="H164" s="45" t="s">
        <v>143</v>
      </c>
      <c r="I164" s="31" t="s">
        <v>68</v>
      </c>
      <c r="J164" s="32" t="s">
        <v>36</v>
      </c>
      <c r="K164" s="33" t="s">
        <v>6</v>
      </c>
      <c r="L164" s="46"/>
      <c r="M164" s="120"/>
      <c r="N164" s="120"/>
      <c r="O164" s="120"/>
      <c r="P164" s="122"/>
      <c r="Q164" s="122"/>
      <c r="R164" s="124"/>
      <c r="S164" s="124"/>
      <c r="T164" s="159"/>
      <c r="U164" s="156"/>
      <c r="V164" s="146"/>
      <c r="W164" s="149"/>
      <c r="X164" s="156"/>
      <c r="Y164" s="146"/>
      <c r="Z164" s="149"/>
      <c r="AA164" s="149"/>
      <c r="AB164" s="149"/>
      <c r="AC164" s="152"/>
      <c r="AD164" s="57">
        <f>BIN2DEC($AA162)*3</f>
        <v>0</v>
      </c>
      <c r="AE164" s="57">
        <f>ABS(BIN2DEC($U163)*3-1)</f>
        <v>1</v>
      </c>
      <c r="AF164" s="57">
        <f>ABS( BIN2DEC(V162)*3-BIN2DEC(Z162))</f>
        <v>3</v>
      </c>
      <c r="AG164" s="57">
        <f>BIN2DEC(X162&amp;Y162)+BIN2DEC(W162)*3</f>
        <v>2</v>
      </c>
      <c r="AH164" s="57">
        <f t="shared" ref="AH164:AH166" si="234">AD164+AE164*4+AF164*16</f>
        <v>52</v>
      </c>
    </row>
    <row r="165" spans="1:34" ht="15" customHeight="1">
      <c r="A165" s="138"/>
      <c r="B165" s="140"/>
      <c r="C165" s="43" t="str">
        <f t="shared" si="232"/>
        <v>sar50_slc2</v>
      </c>
      <c r="D165" s="44">
        <v>8</v>
      </c>
      <c r="E165" s="30" t="str">
        <f t="shared" si="233"/>
        <v>15:8</v>
      </c>
      <c r="F165" s="30" t="s">
        <v>133</v>
      </c>
      <c r="G165" s="30" t="s">
        <v>133</v>
      </c>
      <c r="H165" s="45" t="s">
        <v>143</v>
      </c>
      <c r="I165" s="31" t="s">
        <v>68</v>
      </c>
      <c r="J165" s="32" t="s">
        <v>36</v>
      </c>
      <c r="K165" s="33" t="s">
        <v>6</v>
      </c>
      <c r="L165" s="46"/>
      <c r="M165" s="120"/>
      <c r="N165" s="120"/>
      <c r="O165" s="120"/>
      <c r="P165" s="122"/>
      <c r="Q165" s="122"/>
      <c r="R165" s="124"/>
      <c r="S165" s="124"/>
      <c r="T165" s="159"/>
      <c r="U165" s="156"/>
      <c r="V165" s="146"/>
      <c r="W165" s="149"/>
      <c r="X165" s="156"/>
      <c r="Y165" s="146"/>
      <c r="Z165" s="149"/>
      <c r="AA165" s="149"/>
      <c r="AB165" s="149"/>
      <c r="AC165" s="152"/>
      <c r="AD165" s="57">
        <f>ABS(BIN2DEC($AA162)*3-2)</f>
        <v>2</v>
      </c>
      <c r="AE165" s="57">
        <f>ABS(BIN2DEC($U162)*3)</f>
        <v>0</v>
      </c>
      <c r="AF165" s="57">
        <f>ABS( BIN2DEC(V162)*3-BIN2DEC(Z162))</f>
        <v>3</v>
      </c>
      <c r="AG165" s="57">
        <f>BIN2DEC(X162&amp;Y162)+BIN2DEC(W162)*3</f>
        <v>2</v>
      </c>
      <c r="AH165" s="57">
        <f t="shared" si="234"/>
        <v>50</v>
      </c>
    </row>
    <row r="166" spans="1:34" ht="15.75" customHeight="1" thickBot="1">
      <c r="A166" s="138"/>
      <c r="B166" s="140"/>
      <c r="C166" s="43" t="str">
        <f t="shared" si="232"/>
        <v>sar54_slc2</v>
      </c>
      <c r="D166" s="44">
        <v>8</v>
      </c>
      <c r="E166" s="30" t="str">
        <f t="shared" si="233"/>
        <v>7:0</v>
      </c>
      <c r="F166" s="30" t="s">
        <v>133</v>
      </c>
      <c r="G166" s="30" t="s">
        <v>133</v>
      </c>
      <c r="H166" s="45" t="s">
        <v>143</v>
      </c>
      <c r="I166" s="31" t="s">
        <v>68</v>
      </c>
      <c r="J166" s="32" t="s">
        <v>36</v>
      </c>
      <c r="K166" s="33" t="s">
        <v>6</v>
      </c>
      <c r="L166" s="46"/>
      <c r="M166" s="120"/>
      <c r="N166" s="120"/>
      <c r="O166" s="120"/>
      <c r="P166" s="122"/>
      <c r="Q166" s="122"/>
      <c r="R166" s="124"/>
      <c r="S166" s="124"/>
      <c r="T166" s="159"/>
      <c r="U166" s="157"/>
      <c r="V166" s="147"/>
      <c r="W166" s="150"/>
      <c r="X166" s="157"/>
      <c r="Y166" s="147"/>
      <c r="Z166" s="150"/>
      <c r="AA166" s="150"/>
      <c r="AB166" s="150"/>
      <c r="AC166" s="153"/>
      <c r="AD166" s="57">
        <f>ABS(BIN2DEC($AA162)*3-2)</f>
        <v>2</v>
      </c>
      <c r="AE166" s="57">
        <f>ABS(BIN2DEC($U162)*3-1)</f>
        <v>1</v>
      </c>
      <c r="AF166" s="57">
        <f>ABS( BIN2DEC(V162)*3-BIN2DEC(Z162))</f>
        <v>3</v>
      </c>
      <c r="AG166" s="57">
        <f>BIN2DEC(X162&amp;Y162)+BIN2DEC(W162)*3</f>
        <v>2</v>
      </c>
      <c r="AH166" s="57">
        <f t="shared" si="234"/>
        <v>54</v>
      </c>
    </row>
    <row r="167" spans="1:34" ht="15.75" customHeight="1">
      <c r="A167" s="137" t="str">
        <f>AC167</f>
        <v>vofc_dom1_quad1_quad3_sar3_slc2</v>
      </c>
      <c r="B167" s="139" t="str">
        <f>DEC2HEX(P167*4)</f>
        <v>0</v>
      </c>
      <c r="C167" s="56" t="s">
        <v>134</v>
      </c>
      <c r="D167" s="129" t="str">
        <f>bitConcat(F168:F171)</f>
        <v>32'b00000000000000000000000000000000</v>
      </c>
      <c r="E167" s="130"/>
      <c r="F167" s="130"/>
      <c r="G167" s="130"/>
      <c r="H167" s="131" t="s">
        <v>135</v>
      </c>
      <c r="I167" s="131"/>
      <c r="J167" s="131" t="str">
        <f>bitConcat(G168:G171)</f>
        <v>32'b00000000000000000000000000000000</v>
      </c>
      <c r="K167" s="131"/>
      <c r="L167" s="132"/>
      <c r="M167" s="119" t="str">
        <f>DEC2HEX(_xlfn.BITLSHIFT(HEX2DEC(Q167),2))</f>
        <v>A4</v>
      </c>
      <c r="N167" s="119"/>
      <c r="O167" s="119">
        <v>1</v>
      </c>
      <c r="P167" s="121">
        <v>0</v>
      </c>
      <c r="Q167" s="121" t="str">
        <f>AB167</f>
        <v>29</v>
      </c>
      <c r="R167" s="123" t="str">
        <f t="shared" ref="R167" si="235">BIN2HEX(LEFT(RIGHT(D167,32),4))&amp;BIN2HEX(LEFT(RIGHT(D167,28),4))&amp;BIN2HEX(LEFT(RIGHT(D167,24),4))&amp;BIN2HEX(LEFT(RIGHT(D167,20),4))&amp;BIN2HEX(LEFT(RIGHT(D167,16),4))&amp;BIN2HEX(LEFT(RIGHT(D167,12),4))&amp;BIN2HEX(LEFT(RIGHT(D167,8),4))&amp;BIN2HEX(LEFT(RIGHT(D167,4),4))</f>
        <v>00000000</v>
      </c>
      <c r="S167" s="123" t="str">
        <f t="shared" ref="S167" si="236">BIN2HEX(LEFT(RIGHT(J167,32),4))&amp;BIN2HEX(LEFT(RIGHT(J167,28),4))&amp;BIN2HEX(LEFT(RIGHT(J167,24),4))&amp;BIN2HEX(LEFT(RIGHT(J167,20),4))&amp;BIN2HEX(LEFT(RIGHT(J167,16),4))&amp;BIN2HEX(LEFT(RIGHT(J167,12),4))&amp;BIN2HEX(LEFT(RIGHT(J167,8),4))&amp;BIN2HEX(LEFT(RIGHT(J167,4),4))</f>
        <v>00000000</v>
      </c>
      <c r="T167" s="159">
        <v>9</v>
      </c>
      <c r="U167" s="155" t="str">
        <f t="shared" ref="U167" si="237">LEFT(DEC2BIN(O167,2))</f>
        <v>0</v>
      </c>
      <c r="V167" s="145" t="str">
        <f t="shared" ref="V167" si="238">RIGHT(DEC2BIN(O167,2),1)</f>
        <v>1</v>
      </c>
      <c r="W167" s="148">
        <v>0</v>
      </c>
      <c r="X167" s="155">
        <v>1</v>
      </c>
      <c r="Y167" s="145">
        <v>0</v>
      </c>
      <c r="Z167" s="148">
        <v>0</v>
      </c>
      <c r="AA167" s="148">
        <v>1</v>
      </c>
      <c r="AB167" s="148" t="str">
        <f t="shared" ref="AB167" si="239">BIN2HEX(U167&amp;V167&amp;W167&amp;X167&amp;Y167&amp;Z167&amp;AA167)</f>
        <v>29</v>
      </c>
      <c r="AC167" s="151" t="str">
        <f>CONCATENATE("vofc_dom",BIN2DEC(U167&amp;V167),"_quad",BIN2DEC(AA167),"_quad",BIN2DEC(AA167)+2,"_sar",ABS( BIN2DEC(V167)*3-BIN2DEC(Z167)),"_slc",BIN2DEC(X167&amp;Y167)+BIN2DEC(W167)*3)</f>
        <v>vofc_dom1_quad1_quad3_sar3_slc2</v>
      </c>
      <c r="AD167" s="57"/>
      <c r="AE167" s="57"/>
      <c r="AF167" s="57"/>
      <c r="AG167" s="57"/>
      <c r="AH167" s="57"/>
    </row>
    <row r="168" spans="1:34" ht="15" customHeight="1">
      <c r="A168" s="138"/>
      <c r="B168" s="140"/>
      <c r="C168" s="43" t="str">
        <f>CONCATENATE("sar",AD168+AE168*4+AF168*16,"_slc",AG168)</f>
        <v>sar51_slc2</v>
      </c>
      <c r="D168" s="44">
        <v>8</v>
      </c>
      <c r="E168" s="29" t="str">
        <f>IF(D168&gt;1,(31)&amp;":"&amp;(31-D168+1),(31-D168+1)&amp;":"&amp;(31-D168+1))</f>
        <v>31:24</v>
      </c>
      <c r="F168" s="30" t="s">
        <v>133</v>
      </c>
      <c r="G168" s="30" t="s">
        <v>133</v>
      </c>
      <c r="H168" s="45" t="s">
        <v>143</v>
      </c>
      <c r="I168" s="31" t="s">
        <v>68</v>
      </c>
      <c r="J168" s="32" t="s">
        <v>36</v>
      </c>
      <c r="K168" s="33" t="s">
        <v>6</v>
      </c>
      <c r="L168" s="46"/>
      <c r="M168" s="120"/>
      <c r="N168" s="120"/>
      <c r="O168" s="120"/>
      <c r="P168" s="122"/>
      <c r="Q168" s="122"/>
      <c r="R168" s="124"/>
      <c r="S168" s="124"/>
      <c r="T168" s="159"/>
      <c r="U168" s="156"/>
      <c r="V168" s="146"/>
      <c r="W168" s="149"/>
      <c r="X168" s="156"/>
      <c r="Y168" s="146"/>
      <c r="Z168" s="149"/>
      <c r="AA168" s="149"/>
      <c r="AB168" s="149"/>
      <c r="AC168" s="152"/>
      <c r="AD168" s="57">
        <f>BIN2DEC($AA167)*3</f>
        <v>3</v>
      </c>
      <c r="AE168" s="57">
        <f>ABS(BIN2DEC($U167)*3)</f>
        <v>0</v>
      </c>
      <c r="AF168" s="57">
        <f>ABS( BIN2DEC(V167)*3-BIN2DEC(Z167))</f>
        <v>3</v>
      </c>
      <c r="AG168" s="57">
        <f>BIN2DEC(X167&amp;Y167)+BIN2DEC(W167)*3</f>
        <v>2</v>
      </c>
      <c r="AH168" s="57">
        <f>AD168+AE168*4+AF168*16</f>
        <v>51</v>
      </c>
    </row>
    <row r="169" spans="1:34" ht="15" customHeight="1">
      <c r="A169" s="138"/>
      <c r="B169" s="140"/>
      <c r="C169" s="43" t="str">
        <f t="shared" ref="C169:C171" si="240">CONCATENATE("sar",AD169+AE169*4+AF169*16,"_slc",AG169)</f>
        <v>sar55_slc2</v>
      </c>
      <c r="D169" s="44">
        <v>8</v>
      </c>
      <c r="E169" s="30" t="str">
        <f t="shared" ref="E169:E171" si="241">(MID(str_cnvt(E168),SEARCH(":",str_cnvt(E168))+1,2)-1) &amp; ":" &amp; (MID(str_cnvt(E168),SEARCH(":",str_cnvt(E168))+1,2)-D169)</f>
        <v>23:16</v>
      </c>
      <c r="F169" s="30" t="s">
        <v>133</v>
      </c>
      <c r="G169" s="30" t="s">
        <v>133</v>
      </c>
      <c r="H169" s="45" t="s">
        <v>143</v>
      </c>
      <c r="I169" s="31" t="s">
        <v>68</v>
      </c>
      <c r="J169" s="32" t="s">
        <v>36</v>
      </c>
      <c r="K169" s="33" t="s">
        <v>6</v>
      </c>
      <c r="L169" s="46"/>
      <c r="M169" s="120"/>
      <c r="N169" s="120"/>
      <c r="O169" s="120"/>
      <c r="P169" s="122"/>
      <c r="Q169" s="122"/>
      <c r="R169" s="124"/>
      <c r="S169" s="124"/>
      <c r="T169" s="159"/>
      <c r="U169" s="156"/>
      <c r="V169" s="146"/>
      <c r="W169" s="149"/>
      <c r="X169" s="156"/>
      <c r="Y169" s="146"/>
      <c r="Z169" s="149"/>
      <c r="AA169" s="149"/>
      <c r="AB169" s="149"/>
      <c r="AC169" s="152"/>
      <c r="AD169" s="57">
        <f>BIN2DEC($AA167)*3</f>
        <v>3</v>
      </c>
      <c r="AE169" s="57">
        <f>ABS(BIN2DEC($U168)*3-1)</f>
        <v>1</v>
      </c>
      <c r="AF169" s="57">
        <f>ABS( BIN2DEC(V167)*3-BIN2DEC(Z167))</f>
        <v>3</v>
      </c>
      <c r="AG169" s="57">
        <f>BIN2DEC(X167&amp;Y167)+BIN2DEC(W167)*3</f>
        <v>2</v>
      </c>
      <c r="AH169" s="57">
        <f t="shared" ref="AH169:AH171" si="242">AD169+AE169*4+AF169*16</f>
        <v>55</v>
      </c>
    </row>
    <row r="170" spans="1:34" ht="15" customHeight="1">
      <c r="A170" s="138"/>
      <c r="B170" s="140"/>
      <c r="C170" s="43" t="str">
        <f t="shared" si="240"/>
        <v>sar49_slc2</v>
      </c>
      <c r="D170" s="44">
        <v>8</v>
      </c>
      <c r="E170" s="30" t="str">
        <f t="shared" si="241"/>
        <v>15:8</v>
      </c>
      <c r="F170" s="30" t="s">
        <v>133</v>
      </c>
      <c r="G170" s="30" t="s">
        <v>133</v>
      </c>
      <c r="H170" s="45" t="s">
        <v>143</v>
      </c>
      <c r="I170" s="31" t="s">
        <v>68</v>
      </c>
      <c r="J170" s="32" t="s">
        <v>36</v>
      </c>
      <c r="K170" s="33" t="s">
        <v>6</v>
      </c>
      <c r="L170" s="46"/>
      <c r="M170" s="120"/>
      <c r="N170" s="120"/>
      <c r="O170" s="120"/>
      <c r="P170" s="122"/>
      <c r="Q170" s="122"/>
      <c r="R170" s="124"/>
      <c r="S170" s="124"/>
      <c r="T170" s="159"/>
      <c r="U170" s="156"/>
      <c r="V170" s="146"/>
      <c r="W170" s="149"/>
      <c r="X170" s="156"/>
      <c r="Y170" s="146"/>
      <c r="Z170" s="149"/>
      <c r="AA170" s="149"/>
      <c r="AB170" s="149"/>
      <c r="AC170" s="152"/>
      <c r="AD170" s="57">
        <f>ABS(BIN2DEC($AA167)*3-2)</f>
        <v>1</v>
      </c>
      <c r="AE170" s="57">
        <f>ABS(BIN2DEC($U167)*3)</f>
        <v>0</v>
      </c>
      <c r="AF170" s="57">
        <f>ABS( BIN2DEC(V167)*3-BIN2DEC(Z167))</f>
        <v>3</v>
      </c>
      <c r="AG170" s="57">
        <f>BIN2DEC(X167&amp;Y167)+BIN2DEC(W167)*3</f>
        <v>2</v>
      </c>
      <c r="AH170" s="57">
        <f t="shared" si="242"/>
        <v>49</v>
      </c>
    </row>
    <row r="171" spans="1:34" ht="15.75" customHeight="1" thickBot="1">
      <c r="A171" s="138"/>
      <c r="B171" s="140"/>
      <c r="C171" s="43" t="str">
        <f t="shared" si="240"/>
        <v>sar53_slc2</v>
      </c>
      <c r="D171" s="44">
        <v>8</v>
      </c>
      <c r="E171" s="30" t="str">
        <f t="shared" si="241"/>
        <v>7:0</v>
      </c>
      <c r="F171" s="30" t="s">
        <v>133</v>
      </c>
      <c r="G171" s="30" t="s">
        <v>133</v>
      </c>
      <c r="H171" s="45" t="s">
        <v>143</v>
      </c>
      <c r="I171" s="31" t="s">
        <v>68</v>
      </c>
      <c r="J171" s="32" t="s">
        <v>36</v>
      </c>
      <c r="K171" s="33" t="s">
        <v>6</v>
      </c>
      <c r="L171" s="46"/>
      <c r="M171" s="120"/>
      <c r="N171" s="120"/>
      <c r="O171" s="120"/>
      <c r="P171" s="122"/>
      <c r="Q171" s="122"/>
      <c r="R171" s="124"/>
      <c r="S171" s="124"/>
      <c r="T171" s="159"/>
      <c r="U171" s="157"/>
      <c r="V171" s="147"/>
      <c r="W171" s="150"/>
      <c r="X171" s="157"/>
      <c r="Y171" s="147"/>
      <c r="Z171" s="150"/>
      <c r="AA171" s="150"/>
      <c r="AB171" s="150"/>
      <c r="AC171" s="153"/>
      <c r="AD171" s="57">
        <f>ABS(BIN2DEC($AA167)*3-2)</f>
        <v>1</v>
      </c>
      <c r="AE171" s="57">
        <f>ABS(BIN2DEC($U167)*3-1)</f>
        <v>1</v>
      </c>
      <c r="AF171" s="57">
        <f>ABS( BIN2DEC(V167)*3-BIN2DEC(Z167))</f>
        <v>3</v>
      </c>
      <c r="AG171" s="57">
        <f>BIN2DEC(X167&amp;Y167)+BIN2DEC(W167)*3</f>
        <v>2</v>
      </c>
      <c r="AH171" s="57">
        <f t="shared" si="242"/>
        <v>53</v>
      </c>
    </row>
    <row r="172" spans="1:34" ht="15.75" customHeight="1">
      <c r="A172" s="137" t="str">
        <f>AC172</f>
        <v>vofc_dom1_quad0_quad2_sar2_slc2</v>
      </c>
      <c r="B172" s="139" t="str">
        <f>DEC2HEX(P172*4)</f>
        <v>0</v>
      </c>
      <c r="C172" s="56" t="s">
        <v>134</v>
      </c>
      <c r="D172" s="129" t="str">
        <f>bitConcat(F173:F176)</f>
        <v>32'b00000000000000000000000000000000</v>
      </c>
      <c r="E172" s="130"/>
      <c r="F172" s="130"/>
      <c r="G172" s="130"/>
      <c r="H172" s="131" t="s">
        <v>135</v>
      </c>
      <c r="I172" s="131"/>
      <c r="J172" s="131" t="str">
        <f>bitConcat(G173:G176)</f>
        <v>32'b00000000000000000000000000000000</v>
      </c>
      <c r="K172" s="131"/>
      <c r="L172" s="132"/>
      <c r="M172" s="119" t="str">
        <f>DEC2HEX(_xlfn.BITLSHIFT(HEX2DEC(Q172),2))</f>
        <v>A8</v>
      </c>
      <c r="N172" s="119"/>
      <c r="O172" s="119">
        <v>1</v>
      </c>
      <c r="P172" s="121">
        <v>0</v>
      </c>
      <c r="Q172" s="121" t="str">
        <f>AB172</f>
        <v>2A</v>
      </c>
      <c r="R172" s="123" t="str">
        <f t="shared" ref="R172" si="243">BIN2HEX(LEFT(RIGHT(D172,32),4))&amp;BIN2HEX(LEFT(RIGHT(D172,28),4))&amp;BIN2HEX(LEFT(RIGHT(D172,24),4))&amp;BIN2HEX(LEFT(RIGHT(D172,20),4))&amp;BIN2HEX(LEFT(RIGHT(D172,16),4))&amp;BIN2HEX(LEFT(RIGHT(D172,12),4))&amp;BIN2HEX(LEFT(RIGHT(D172,8),4))&amp;BIN2HEX(LEFT(RIGHT(D172,4),4))</f>
        <v>00000000</v>
      </c>
      <c r="S172" s="123" t="str">
        <f t="shared" ref="S172" si="244">BIN2HEX(LEFT(RIGHT(J172,32),4))&amp;BIN2HEX(LEFT(RIGHT(J172,28),4))&amp;BIN2HEX(LEFT(RIGHT(J172,24),4))&amp;BIN2HEX(LEFT(RIGHT(J172,20),4))&amp;BIN2HEX(LEFT(RIGHT(J172,16),4))&amp;BIN2HEX(LEFT(RIGHT(J172,12),4))&amp;BIN2HEX(LEFT(RIGHT(J172,8),4))&amp;BIN2HEX(LEFT(RIGHT(J172,4),4))</f>
        <v>00000000</v>
      </c>
      <c r="T172" s="159">
        <v>10</v>
      </c>
      <c r="U172" s="155" t="str">
        <f t="shared" ref="U172" si="245">LEFT(DEC2BIN(O172,2))</f>
        <v>0</v>
      </c>
      <c r="V172" s="145" t="str">
        <f t="shared" ref="V172" si="246">RIGHT(DEC2BIN(O172,2),1)</f>
        <v>1</v>
      </c>
      <c r="W172" s="148">
        <v>0</v>
      </c>
      <c r="X172" s="155">
        <v>1</v>
      </c>
      <c r="Y172" s="145">
        <v>0</v>
      </c>
      <c r="Z172" s="148">
        <v>1</v>
      </c>
      <c r="AA172" s="148">
        <v>0</v>
      </c>
      <c r="AB172" s="148" t="str">
        <f t="shared" ref="AB172" si="247">BIN2HEX(U172&amp;V172&amp;W172&amp;X172&amp;Y172&amp;Z172&amp;AA172)</f>
        <v>2A</v>
      </c>
      <c r="AC172" s="151" t="str">
        <f>CONCATENATE("vofc_dom",BIN2DEC(U172&amp;V172),"_quad",BIN2DEC(AA172),"_quad",BIN2DEC(AA172)+2,"_sar",ABS( BIN2DEC(V172)*3-BIN2DEC(Z172)),"_slc",BIN2DEC(X172&amp;Y172)+BIN2DEC(W172)*3)</f>
        <v>vofc_dom1_quad0_quad2_sar2_slc2</v>
      </c>
      <c r="AD172" s="57"/>
      <c r="AE172" s="57"/>
      <c r="AF172" s="57"/>
      <c r="AG172" s="57"/>
      <c r="AH172" s="57"/>
    </row>
    <row r="173" spans="1:34" ht="15" customHeight="1">
      <c r="A173" s="138"/>
      <c r="B173" s="140"/>
      <c r="C173" s="43" t="str">
        <f>CONCATENATE("sar",AD173+AE173*4+AF173*16,"_slc",AG173)</f>
        <v>sar32_slc2</v>
      </c>
      <c r="D173" s="44">
        <v>8</v>
      </c>
      <c r="E173" s="29" t="str">
        <f>IF(D173&gt;1,(31)&amp;":"&amp;(31-D173+1),(31-D173+1)&amp;":"&amp;(31-D173+1))</f>
        <v>31:24</v>
      </c>
      <c r="F173" s="30" t="s">
        <v>133</v>
      </c>
      <c r="G173" s="30" t="s">
        <v>133</v>
      </c>
      <c r="H173" s="45" t="s">
        <v>143</v>
      </c>
      <c r="I173" s="31" t="s">
        <v>68</v>
      </c>
      <c r="J173" s="32" t="s">
        <v>36</v>
      </c>
      <c r="K173" s="33" t="s">
        <v>6</v>
      </c>
      <c r="L173" s="46"/>
      <c r="M173" s="120"/>
      <c r="N173" s="120"/>
      <c r="O173" s="120"/>
      <c r="P173" s="122"/>
      <c r="Q173" s="122"/>
      <c r="R173" s="124"/>
      <c r="S173" s="124"/>
      <c r="T173" s="159"/>
      <c r="U173" s="156"/>
      <c r="V173" s="146"/>
      <c r="W173" s="149"/>
      <c r="X173" s="156"/>
      <c r="Y173" s="146"/>
      <c r="Z173" s="149"/>
      <c r="AA173" s="149"/>
      <c r="AB173" s="149"/>
      <c r="AC173" s="152"/>
      <c r="AD173" s="57">
        <f>BIN2DEC($AA172)*3</f>
        <v>0</v>
      </c>
      <c r="AE173" s="57">
        <f>ABS(BIN2DEC($U172)*3)</f>
        <v>0</v>
      </c>
      <c r="AF173" s="57">
        <f>ABS( BIN2DEC(V172)*3-BIN2DEC(Z172))</f>
        <v>2</v>
      </c>
      <c r="AG173" s="57">
        <f>BIN2DEC(X172&amp;Y172)+BIN2DEC(W172)*3</f>
        <v>2</v>
      </c>
      <c r="AH173" s="57">
        <f>AD173+AE173*4+AF173*16</f>
        <v>32</v>
      </c>
    </row>
    <row r="174" spans="1:34" ht="15" customHeight="1">
      <c r="A174" s="138"/>
      <c r="B174" s="140"/>
      <c r="C174" s="43" t="str">
        <f t="shared" ref="C174:C176" si="248">CONCATENATE("sar",AD174+AE174*4+AF174*16,"_slc",AG174)</f>
        <v>sar36_slc2</v>
      </c>
      <c r="D174" s="44">
        <v>8</v>
      </c>
      <c r="E174" s="30" t="str">
        <f t="shared" ref="E174:E176" si="249">(MID(str_cnvt(E173),SEARCH(":",str_cnvt(E173))+1,2)-1) &amp; ":" &amp; (MID(str_cnvt(E173),SEARCH(":",str_cnvt(E173))+1,2)-D174)</f>
        <v>23:16</v>
      </c>
      <c r="F174" s="30" t="s">
        <v>133</v>
      </c>
      <c r="G174" s="30" t="s">
        <v>133</v>
      </c>
      <c r="H174" s="45" t="s">
        <v>143</v>
      </c>
      <c r="I174" s="31" t="s">
        <v>68</v>
      </c>
      <c r="J174" s="32" t="s">
        <v>36</v>
      </c>
      <c r="K174" s="33" t="s">
        <v>6</v>
      </c>
      <c r="L174" s="46"/>
      <c r="M174" s="120"/>
      <c r="N174" s="120"/>
      <c r="O174" s="120"/>
      <c r="P174" s="122"/>
      <c r="Q174" s="122"/>
      <c r="R174" s="124"/>
      <c r="S174" s="124"/>
      <c r="T174" s="159"/>
      <c r="U174" s="156"/>
      <c r="V174" s="146"/>
      <c r="W174" s="149"/>
      <c r="X174" s="156"/>
      <c r="Y174" s="146"/>
      <c r="Z174" s="149"/>
      <c r="AA174" s="149"/>
      <c r="AB174" s="149"/>
      <c r="AC174" s="152"/>
      <c r="AD174" s="57">
        <f>BIN2DEC($AA172)*3</f>
        <v>0</v>
      </c>
      <c r="AE174" s="57">
        <f>ABS(BIN2DEC($U173)*3-1)</f>
        <v>1</v>
      </c>
      <c r="AF174" s="57">
        <f>ABS( BIN2DEC(V172)*3-BIN2DEC(Z172))</f>
        <v>2</v>
      </c>
      <c r="AG174" s="57">
        <f>BIN2DEC(X172&amp;Y172)+BIN2DEC(W172)*3</f>
        <v>2</v>
      </c>
      <c r="AH174" s="57">
        <f t="shared" ref="AH174:AH176" si="250">AD174+AE174*4+AF174*16</f>
        <v>36</v>
      </c>
    </row>
    <row r="175" spans="1:34" ht="15" customHeight="1">
      <c r="A175" s="138"/>
      <c r="B175" s="140"/>
      <c r="C175" s="43" t="str">
        <f t="shared" si="248"/>
        <v>sar34_slc2</v>
      </c>
      <c r="D175" s="44">
        <v>8</v>
      </c>
      <c r="E175" s="30" t="str">
        <f t="shared" si="249"/>
        <v>15:8</v>
      </c>
      <c r="F175" s="30" t="s">
        <v>133</v>
      </c>
      <c r="G175" s="30" t="s">
        <v>133</v>
      </c>
      <c r="H175" s="45" t="s">
        <v>143</v>
      </c>
      <c r="I175" s="31" t="s">
        <v>68</v>
      </c>
      <c r="J175" s="32" t="s">
        <v>36</v>
      </c>
      <c r="K175" s="33" t="s">
        <v>6</v>
      </c>
      <c r="L175" s="46"/>
      <c r="M175" s="120"/>
      <c r="N175" s="120"/>
      <c r="O175" s="120"/>
      <c r="P175" s="122"/>
      <c r="Q175" s="122"/>
      <c r="R175" s="124"/>
      <c r="S175" s="124"/>
      <c r="T175" s="159"/>
      <c r="U175" s="156"/>
      <c r="V175" s="146"/>
      <c r="W175" s="149"/>
      <c r="X175" s="156"/>
      <c r="Y175" s="146"/>
      <c r="Z175" s="149"/>
      <c r="AA175" s="149"/>
      <c r="AB175" s="149"/>
      <c r="AC175" s="152"/>
      <c r="AD175" s="57">
        <f>ABS(BIN2DEC($AA172)*3-2)</f>
        <v>2</v>
      </c>
      <c r="AE175" s="57">
        <f>ABS(BIN2DEC($U172)*3)</f>
        <v>0</v>
      </c>
      <c r="AF175" s="57">
        <f>ABS( BIN2DEC(V172)*3-BIN2DEC(Z172))</f>
        <v>2</v>
      </c>
      <c r="AG175" s="57">
        <f>BIN2DEC(X172&amp;Y172)+BIN2DEC(W172)*3</f>
        <v>2</v>
      </c>
      <c r="AH175" s="57">
        <f t="shared" si="250"/>
        <v>34</v>
      </c>
    </row>
    <row r="176" spans="1:34" ht="15.75" customHeight="1" thickBot="1">
      <c r="A176" s="138"/>
      <c r="B176" s="140"/>
      <c r="C176" s="43" t="str">
        <f t="shared" si="248"/>
        <v>sar38_slc2</v>
      </c>
      <c r="D176" s="44">
        <v>8</v>
      </c>
      <c r="E176" s="30" t="str">
        <f t="shared" si="249"/>
        <v>7:0</v>
      </c>
      <c r="F176" s="30" t="s">
        <v>133</v>
      </c>
      <c r="G176" s="30" t="s">
        <v>133</v>
      </c>
      <c r="H176" s="45" t="s">
        <v>143</v>
      </c>
      <c r="I176" s="31" t="s">
        <v>68</v>
      </c>
      <c r="J176" s="32" t="s">
        <v>36</v>
      </c>
      <c r="K176" s="33" t="s">
        <v>6</v>
      </c>
      <c r="L176" s="46"/>
      <c r="M176" s="120"/>
      <c r="N176" s="120"/>
      <c r="O176" s="120"/>
      <c r="P176" s="122"/>
      <c r="Q176" s="122"/>
      <c r="R176" s="124"/>
      <c r="S176" s="124"/>
      <c r="T176" s="159"/>
      <c r="U176" s="157"/>
      <c r="V176" s="147"/>
      <c r="W176" s="150"/>
      <c r="X176" s="157"/>
      <c r="Y176" s="147"/>
      <c r="Z176" s="150"/>
      <c r="AA176" s="150"/>
      <c r="AB176" s="150"/>
      <c r="AC176" s="153"/>
      <c r="AD176" s="57">
        <f>ABS(BIN2DEC($AA172)*3-2)</f>
        <v>2</v>
      </c>
      <c r="AE176" s="57">
        <f>ABS(BIN2DEC($U172)*3-1)</f>
        <v>1</v>
      </c>
      <c r="AF176" s="57">
        <f>ABS( BIN2DEC(V172)*3-BIN2DEC(Z172))</f>
        <v>2</v>
      </c>
      <c r="AG176" s="57">
        <f>BIN2DEC(X172&amp;Y172)+BIN2DEC(W172)*3</f>
        <v>2</v>
      </c>
      <c r="AH176" s="57">
        <f t="shared" si="250"/>
        <v>38</v>
      </c>
    </row>
    <row r="177" spans="1:34" ht="15.75" customHeight="1">
      <c r="A177" s="137" t="str">
        <f>AC177</f>
        <v>vofc_dom1_quad1_quad3_sar2_slc2</v>
      </c>
      <c r="B177" s="139" t="str">
        <f>DEC2HEX(P177*4)</f>
        <v>0</v>
      </c>
      <c r="C177" s="56" t="s">
        <v>134</v>
      </c>
      <c r="D177" s="129" t="str">
        <f>bitConcat(F178:F181)</f>
        <v>32'b00000000000000000000000000000000</v>
      </c>
      <c r="E177" s="130"/>
      <c r="F177" s="130"/>
      <c r="G177" s="130"/>
      <c r="H177" s="131" t="s">
        <v>135</v>
      </c>
      <c r="I177" s="131"/>
      <c r="J177" s="131" t="str">
        <f>bitConcat(G178:G181)</f>
        <v>32'b00000000000000000000000000000000</v>
      </c>
      <c r="K177" s="131"/>
      <c r="L177" s="132"/>
      <c r="M177" s="119" t="str">
        <f>DEC2HEX(_xlfn.BITLSHIFT(HEX2DEC(Q177),2))</f>
        <v>AC</v>
      </c>
      <c r="N177" s="119"/>
      <c r="O177" s="119">
        <v>1</v>
      </c>
      <c r="P177" s="121">
        <v>0</v>
      </c>
      <c r="Q177" s="121" t="str">
        <f>AB177</f>
        <v>2B</v>
      </c>
      <c r="R177" s="123" t="str">
        <f t="shared" ref="R177" si="251">BIN2HEX(LEFT(RIGHT(D177,32),4))&amp;BIN2HEX(LEFT(RIGHT(D177,28),4))&amp;BIN2HEX(LEFT(RIGHT(D177,24),4))&amp;BIN2HEX(LEFT(RIGHT(D177,20),4))&amp;BIN2HEX(LEFT(RIGHT(D177,16),4))&amp;BIN2HEX(LEFT(RIGHT(D177,12),4))&amp;BIN2HEX(LEFT(RIGHT(D177,8),4))&amp;BIN2HEX(LEFT(RIGHT(D177,4),4))</f>
        <v>00000000</v>
      </c>
      <c r="S177" s="123" t="str">
        <f t="shared" ref="S177" si="252">BIN2HEX(LEFT(RIGHT(J177,32),4))&amp;BIN2HEX(LEFT(RIGHT(J177,28),4))&amp;BIN2HEX(LEFT(RIGHT(J177,24),4))&amp;BIN2HEX(LEFT(RIGHT(J177,20),4))&amp;BIN2HEX(LEFT(RIGHT(J177,16),4))&amp;BIN2HEX(LEFT(RIGHT(J177,12),4))&amp;BIN2HEX(LEFT(RIGHT(J177,8),4))&amp;BIN2HEX(LEFT(RIGHT(J177,4),4))</f>
        <v>00000000</v>
      </c>
      <c r="T177" s="159">
        <v>11</v>
      </c>
      <c r="U177" s="155" t="str">
        <f t="shared" ref="U177" si="253">LEFT(DEC2BIN(O177,2))</f>
        <v>0</v>
      </c>
      <c r="V177" s="145" t="str">
        <f t="shared" ref="V177" si="254">RIGHT(DEC2BIN(O177,2),1)</f>
        <v>1</v>
      </c>
      <c r="W177" s="148">
        <v>0</v>
      </c>
      <c r="X177" s="155">
        <v>1</v>
      </c>
      <c r="Y177" s="145">
        <v>0</v>
      </c>
      <c r="Z177" s="148">
        <v>1</v>
      </c>
      <c r="AA177" s="148">
        <v>1</v>
      </c>
      <c r="AB177" s="148" t="str">
        <f t="shared" ref="AB177" si="255">BIN2HEX(U177&amp;V177&amp;W177&amp;X177&amp;Y177&amp;Z177&amp;AA177)</f>
        <v>2B</v>
      </c>
      <c r="AC177" s="151" t="str">
        <f>CONCATENATE("vofc_dom",BIN2DEC(U177&amp;V177),"_quad",BIN2DEC(AA177),"_quad",BIN2DEC(AA177)+2,"_sar",ABS( BIN2DEC(V177)*3-BIN2DEC(Z177)),"_slc",BIN2DEC(X177&amp;Y177)+BIN2DEC(W177)*3)</f>
        <v>vofc_dom1_quad1_quad3_sar2_slc2</v>
      </c>
      <c r="AD177" s="57"/>
      <c r="AE177" s="57"/>
      <c r="AF177" s="57"/>
      <c r="AG177" s="57"/>
      <c r="AH177" s="57"/>
    </row>
    <row r="178" spans="1:34" ht="15" customHeight="1">
      <c r="A178" s="138"/>
      <c r="B178" s="140"/>
      <c r="C178" s="43" t="str">
        <f>CONCATENATE("sar",AD178+AE178*4+AF178*16,"_slc",AG178)</f>
        <v>sar35_slc2</v>
      </c>
      <c r="D178" s="44">
        <v>8</v>
      </c>
      <c r="E178" s="29" t="str">
        <f>IF(D178&gt;1,(31)&amp;":"&amp;(31-D178+1),(31-D178+1)&amp;":"&amp;(31-D178+1))</f>
        <v>31:24</v>
      </c>
      <c r="F178" s="30" t="s">
        <v>133</v>
      </c>
      <c r="G178" s="30" t="s">
        <v>133</v>
      </c>
      <c r="H178" s="45" t="s">
        <v>143</v>
      </c>
      <c r="I178" s="31" t="s">
        <v>68</v>
      </c>
      <c r="J178" s="32" t="s">
        <v>36</v>
      </c>
      <c r="K178" s="33" t="s">
        <v>6</v>
      </c>
      <c r="L178" s="46"/>
      <c r="M178" s="120"/>
      <c r="N178" s="120"/>
      <c r="O178" s="120"/>
      <c r="P178" s="122"/>
      <c r="Q178" s="122"/>
      <c r="R178" s="124"/>
      <c r="S178" s="124"/>
      <c r="T178" s="159"/>
      <c r="U178" s="156"/>
      <c r="V178" s="146"/>
      <c r="W178" s="149"/>
      <c r="X178" s="156"/>
      <c r="Y178" s="146"/>
      <c r="Z178" s="149"/>
      <c r="AA178" s="149"/>
      <c r="AB178" s="149"/>
      <c r="AC178" s="152"/>
      <c r="AD178" s="57">
        <f>BIN2DEC($AA177)*3</f>
        <v>3</v>
      </c>
      <c r="AE178" s="57">
        <f>ABS(BIN2DEC($U177)*3)</f>
        <v>0</v>
      </c>
      <c r="AF178" s="57">
        <f>ABS( BIN2DEC(V177)*3-BIN2DEC(Z177))</f>
        <v>2</v>
      </c>
      <c r="AG178" s="57">
        <f>BIN2DEC(X177&amp;Y177)+BIN2DEC(W177)*3</f>
        <v>2</v>
      </c>
      <c r="AH178" s="57">
        <f>AD178+AE178*4+AF178*16</f>
        <v>35</v>
      </c>
    </row>
    <row r="179" spans="1:34" ht="15" customHeight="1">
      <c r="A179" s="138"/>
      <c r="B179" s="140"/>
      <c r="C179" s="43" t="str">
        <f t="shared" ref="C179:C181" si="256">CONCATENATE("sar",AD179+AE179*4+AF179*16,"_slc",AG179)</f>
        <v>sar39_slc2</v>
      </c>
      <c r="D179" s="44">
        <v>8</v>
      </c>
      <c r="E179" s="30" t="str">
        <f t="shared" ref="E179:E181" si="257">(MID(str_cnvt(E178),SEARCH(":",str_cnvt(E178))+1,2)-1) &amp; ":" &amp; (MID(str_cnvt(E178),SEARCH(":",str_cnvt(E178))+1,2)-D179)</f>
        <v>23:16</v>
      </c>
      <c r="F179" s="30" t="s">
        <v>133</v>
      </c>
      <c r="G179" s="30" t="s">
        <v>133</v>
      </c>
      <c r="H179" s="45" t="s">
        <v>143</v>
      </c>
      <c r="I179" s="31" t="s">
        <v>68</v>
      </c>
      <c r="J179" s="32" t="s">
        <v>36</v>
      </c>
      <c r="K179" s="33" t="s">
        <v>6</v>
      </c>
      <c r="L179" s="46"/>
      <c r="M179" s="120"/>
      <c r="N179" s="120"/>
      <c r="O179" s="120"/>
      <c r="P179" s="122"/>
      <c r="Q179" s="122"/>
      <c r="R179" s="124"/>
      <c r="S179" s="124"/>
      <c r="T179" s="159"/>
      <c r="U179" s="156"/>
      <c r="V179" s="146"/>
      <c r="W179" s="149"/>
      <c r="X179" s="156"/>
      <c r="Y179" s="146"/>
      <c r="Z179" s="149"/>
      <c r="AA179" s="149"/>
      <c r="AB179" s="149"/>
      <c r="AC179" s="152"/>
      <c r="AD179" s="57">
        <f>BIN2DEC($AA177)*3</f>
        <v>3</v>
      </c>
      <c r="AE179" s="57">
        <f>ABS(BIN2DEC($U178)*3-1)</f>
        <v>1</v>
      </c>
      <c r="AF179" s="57">
        <f>ABS( BIN2DEC(V177)*3-BIN2DEC(Z177))</f>
        <v>2</v>
      </c>
      <c r="AG179" s="57">
        <f>BIN2DEC(X177&amp;Y177)+BIN2DEC(W177)*3</f>
        <v>2</v>
      </c>
      <c r="AH179" s="57">
        <f t="shared" ref="AH179:AH181" si="258">AD179+AE179*4+AF179*16</f>
        <v>39</v>
      </c>
    </row>
    <row r="180" spans="1:34" ht="15" customHeight="1">
      <c r="A180" s="138"/>
      <c r="B180" s="140"/>
      <c r="C180" s="43" t="str">
        <f t="shared" si="256"/>
        <v>sar33_slc2</v>
      </c>
      <c r="D180" s="44">
        <v>8</v>
      </c>
      <c r="E180" s="30" t="str">
        <f t="shared" si="257"/>
        <v>15:8</v>
      </c>
      <c r="F180" s="30" t="s">
        <v>133</v>
      </c>
      <c r="G180" s="30" t="s">
        <v>133</v>
      </c>
      <c r="H180" s="45" t="s">
        <v>143</v>
      </c>
      <c r="I180" s="31" t="s">
        <v>68</v>
      </c>
      <c r="J180" s="32" t="s">
        <v>36</v>
      </c>
      <c r="K180" s="33" t="s">
        <v>6</v>
      </c>
      <c r="L180" s="46"/>
      <c r="M180" s="120"/>
      <c r="N180" s="120"/>
      <c r="O180" s="120"/>
      <c r="P180" s="122"/>
      <c r="Q180" s="122"/>
      <c r="R180" s="124"/>
      <c r="S180" s="124"/>
      <c r="T180" s="159"/>
      <c r="U180" s="156"/>
      <c r="V180" s="146"/>
      <c r="W180" s="149"/>
      <c r="X180" s="156"/>
      <c r="Y180" s="146"/>
      <c r="Z180" s="149"/>
      <c r="AA180" s="149"/>
      <c r="AB180" s="149"/>
      <c r="AC180" s="152"/>
      <c r="AD180" s="57">
        <f>ABS(BIN2DEC($AA177)*3-2)</f>
        <v>1</v>
      </c>
      <c r="AE180" s="57">
        <f>ABS(BIN2DEC($U177)*3)</f>
        <v>0</v>
      </c>
      <c r="AF180" s="57">
        <f>ABS( BIN2DEC(V177)*3-BIN2DEC(Z177))</f>
        <v>2</v>
      </c>
      <c r="AG180" s="57">
        <f>BIN2DEC(X177&amp;Y177)+BIN2DEC(W177)*3</f>
        <v>2</v>
      </c>
      <c r="AH180" s="57">
        <f t="shared" si="258"/>
        <v>33</v>
      </c>
    </row>
    <row r="181" spans="1:34" ht="15.75" customHeight="1" thickBot="1">
      <c r="A181" s="138"/>
      <c r="B181" s="140"/>
      <c r="C181" s="43" t="str">
        <f t="shared" si="256"/>
        <v>sar37_slc2</v>
      </c>
      <c r="D181" s="44">
        <v>8</v>
      </c>
      <c r="E181" s="30" t="str">
        <f t="shared" si="257"/>
        <v>7:0</v>
      </c>
      <c r="F181" s="30" t="s">
        <v>133</v>
      </c>
      <c r="G181" s="30" t="s">
        <v>133</v>
      </c>
      <c r="H181" s="45" t="s">
        <v>143</v>
      </c>
      <c r="I181" s="31" t="s">
        <v>68</v>
      </c>
      <c r="J181" s="32" t="s">
        <v>36</v>
      </c>
      <c r="K181" s="33" t="s">
        <v>6</v>
      </c>
      <c r="L181" s="46"/>
      <c r="M181" s="120"/>
      <c r="N181" s="120"/>
      <c r="O181" s="120"/>
      <c r="P181" s="122"/>
      <c r="Q181" s="122"/>
      <c r="R181" s="124"/>
      <c r="S181" s="124"/>
      <c r="T181" s="159"/>
      <c r="U181" s="157"/>
      <c r="V181" s="147"/>
      <c r="W181" s="150"/>
      <c r="X181" s="157"/>
      <c r="Y181" s="147"/>
      <c r="Z181" s="150"/>
      <c r="AA181" s="150"/>
      <c r="AB181" s="150"/>
      <c r="AC181" s="153"/>
      <c r="AD181" s="57">
        <f>ABS(BIN2DEC($AA177)*3-2)</f>
        <v>1</v>
      </c>
      <c r="AE181" s="57">
        <f>ABS(BIN2DEC($U177)*3-1)</f>
        <v>1</v>
      </c>
      <c r="AF181" s="57">
        <f>ABS( BIN2DEC(V177)*3-BIN2DEC(Z177))</f>
        <v>2</v>
      </c>
      <c r="AG181" s="57">
        <f>BIN2DEC(X177&amp;Y177)+BIN2DEC(W177)*3</f>
        <v>2</v>
      </c>
      <c r="AH181" s="57">
        <f t="shared" si="258"/>
        <v>37</v>
      </c>
    </row>
    <row r="182" spans="1:34" ht="15.75" customHeight="1">
      <c r="A182" s="137" t="str">
        <f>AC182</f>
        <v>vofc_dom1_quad0_quad2_sar3_slc3</v>
      </c>
      <c r="B182" s="139" t="str">
        <f>DEC2HEX(P182*4)</f>
        <v>0</v>
      </c>
      <c r="C182" s="56" t="s">
        <v>134</v>
      </c>
      <c r="D182" s="129" t="str">
        <f>bitConcat(F183:F186)</f>
        <v>32'b00000000000000000000000000000000</v>
      </c>
      <c r="E182" s="130"/>
      <c r="F182" s="130"/>
      <c r="G182" s="130"/>
      <c r="H182" s="131" t="s">
        <v>135</v>
      </c>
      <c r="I182" s="131"/>
      <c r="J182" s="131" t="str">
        <f>bitConcat(G183:G186)</f>
        <v>32'b00000000000000000000000000000000</v>
      </c>
      <c r="K182" s="131"/>
      <c r="L182" s="132"/>
      <c r="M182" s="119" t="str">
        <f>DEC2HEX(_xlfn.BITLSHIFT(HEX2DEC(Q182),2))</f>
        <v>C0</v>
      </c>
      <c r="N182" s="119"/>
      <c r="O182" s="119">
        <v>1</v>
      </c>
      <c r="P182" s="121">
        <v>0</v>
      </c>
      <c r="Q182" s="121" t="str">
        <f>AB182</f>
        <v>30</v>
      </c>
      <c r="R182" s="123" t="str">
        <f t="shared" ref="R182" si="259">BIN2HEX(LEFT(RIGHT(D182,32),4))&amp;BIN2HEX(LEFT(RIGHT(D182,28),4))&amp;BIN2HEX(LEFT(RIGHT(D182,24),4))&amp;BIN2HEX(LEFT(RIGHT(D182,20),4))&amp;BIN2HEX(LEFT(RIGHT(D182,16),4))&amp;BIN2HEX(LEFT(RIGHT(D182,12),4))&amp;BIN2HEX(LEFT(RIGHT(D182,8),4))&amp;BIN2HEX(LEFT(RIGHT(D182,4),4))</f>
        <v>00000000</v>
      </c>
      <c r="S182" s="123" t="str">
        <f t="shared" ref="S182" si="260">BIN2HEX(LEFT(RIGHT(J182,32),4))&amp;BIN2HEX(LEFT(RIGHT(J182,28),4))&amp;BIN2HEX(LEFT(RIGHT(J182,24),4))&amp;BIN2HEX(LEFT(RIGHT(J182,20),4))&amp;BIN2HEX(LEFT(RIGHT(J182,16),4))&amp;BIN2HEX(LEFT(RIGHT(J182,12),4))&amp;BIN2HEX(LEFT(RIGHT(J182,8),4))&amp;BIN2HEX(LEFT(RIGHT(J182,4),4))</f>
        <v>00000000</v>
      </c>
      <c r="T182" s="159">
        <v>12</v>
      </c>
      <c r="U182" s="155" t="str">
        <f t="shared" ref="U182" si="261">LEFT(DEC2BIN(O182,2))</f>
        <v>0</v>
      </c>
      <c r="V182" s="145" t="str">
        <f t="shared" ref="V182" si="262">RIGHT(DEC2BIN(O182,2),1)</f>
        <v>1</v>
      </c>
      <c r="W182" s="148">
        <v>1</v>
      </c>
      <c r="X182" s="155">
        <v>0</v>
      </c>
      <c r="Y182" s="145">
        <v>0</v>
      </c>
      <c r="Z182" s="148">
        <v>0</v>
      </c>
      <c r="AA182" s="148">
        <v>0</v>
      </c>
      <c r="AB182" s="148" t="str">
        <f>BIN2HEX(U182&amp;V182&amp;W182&amp;X182&amp;Y182&amp;Z182&amp;AA182)</f>
        <v>30</v>
      </c>
      <c r="AC182" s="151" t="str">
        <f>CONCATENATE("vofc_dom",BIN2DEC(U182&amp;V182),"_quad",BIN2DEC(AA182),"_quad",BIN2DEC(AA182)+2,"_sar",ABS( BIN2DEC(V182)*3-BIN2DEC(Z182)),"_slc",BIN2DEC(X182&amp;Y182)+BIN2DEC(W182)*3)</f>
        <v>vofc_dom1_quad0_quad2_sar3_slc3</v>
      </c>
      <c r="AD182" s="57"/>
      <c r="AE182" s="57"/>
      <c r="AF182" s="57"/>
      <c r="AG182" s="57"/>
      <c r="AH182" s="57"/>
    </row>
    <row r="183" spans="1:34" ht="15" customHeight="1">
      <c r="A183" s="138"/>
      <c r="B183" s="140"/>
      <c r="C183" s="43" t="str">
        <f>CONCATENATE("sar",AD183+AE183*4+AF183*16,"_slc",AG183)</f>
        <v>sar48_slc3</v>
      </c>
      <c r="D183" s="44">
        <v>8</v>
      </c>
      <c r="E183" s="29" t="str">
        <f>IF(D183&gt;1,(31)&amp;":"&amp;(31-D183+1),(31-D183+1)&amp;":"&amp;(31-D183+1))</f>
        <v>31:24</v>
      </c>
      <c r="F183" s="30" t="s">
        <v>133</v>
      </c>
      <c r="G183" s="30" t="s">
        <v>133</v>
      </c>
      <c r="H183" s="45" t="s">
        <v>143</v>
      </c>
      <c r="I183" s="31" t="s">
        <v>68</v>
      </c>
      <c r="J183" s="32" t="s">
        <v>36</v>
      </c>
      <c r="K183" s="33" t="s">
        <v>6</v>
      </c>
      <c r="L183" s="46"/>
      <c r="M183" s="120"/>
      <c r="N183" s="120"/>
      <c r="O183" s="120"/>
      <c r="P183" s="122"/>
      <c r="Q183" s="122"/>
      <c r="R183" s="124"/>
      <c r="S183" s="124"/>
      <c r="T183" s="159"/>
      <c r="U183" s="156"/>
      <c r="V183" s="146"/>
      <c r="W183" s="149"/>
      <c r="X183" s="156"/>
      <c r="Y183" s="146"/>
      <c r="Z183" s="149"/>
      <c r="AA183" s="149"/>
      <c r="AB183" s="149"/>
      <c r="AC183" s="152"/>
      <c r="AD183" s="57">
        <f>BIN2DEC($AA182)*3</f>
        <v>0</v>
      </c>
      <c r="AE183" s="57">
        <f>ABS(BIN2DEC($U182)*3)</f>
        <v>0</v>
      </c>
      <c r="AF183" s="57">
        <f>ABS( BIN2DEC(V182)*3-BIN2DEC(Z182))</f>
        <v>3</v>
      </c>
      <c r="AG183" s="57">
        <f>BIN2DEC(X182&amp;Y182)+BIN2DEC(W182)*3</f>
        <v>3</v>
      </c>
      <c r="AH183" s="57">
        <f>AD183+AE183*4+AF183*16</f>
        <v>48</v>
      </c>
    </row>
    <row r="184" spans="1:34" ht="15" customHeight="1">
      <c r="A184" s="138"/>
      <c r="B184" s="140"/>
      <c r="C184" s="43" t="str">
        <f t="shared" ref="C184:C186" si="263">CONCATENATE("sar",AD184+AE184*4+AF184*16,"_slc",AG184)</f>
        <v>sar52_slc3</v>
      </c>
      <c r="D184" s="44">
        <v>8</v>
      </c>
      <c r="E184" s="30" t="str">
        <f t="shared" ref="E184:E186" si="264">(MID(str_cnvt(E183),SEARCH(":",str_cnvt(E183))+1,2)-1) &amp; ":" &amp; (MID(str_cnvt(E183),SEARCH(":",str_cnvt(E183))+1,2)-D184)</f>
        <v>23:16</v>
      </c>
      <c r="F184" s="30" t="s">
        <v>133</v>
      </c>
      <c r="G184" s="30" t="s">
        <v>133</v>
      </c>
      <c r="H184" s="45" t="s">
        <v>143</v>
      </c>
      <c r="I184" s="31" t="s">
        <v>68</v>
      </c>
      <c r="J184" s="32" t="s">
        <v>36</v>
      </c>
      <c r="K184" s="33" t="s">
        <v>6</v>
      </c>
      <c r="L184" s="46"/>
      <c r="M184" s="120"/>
      <c r="N184" s="120"/>
      <c r="O184" s="120"/>
      <c r="P184" s="122"/>
      <c r="Q184" s="122"/>
      <c r="R184" s="124"/>
      <c r="S184" s="124"/>
      <c r="T184" s="159"/>
      <c r="U184" s="156"/>
      <c r="V184" s="146"/>
      <c r="W184" s="149"/>
      <c r="X184" s="156"/>
      <c r="Y184" s="146"/>
      <c r="Z184" s="149"/>
      <c r="AA184" s="149"/>
      <c r="AB184" s="149"/>
      <c r="AC184" s="152"/>
      <c r="AD184" s="57">
        <f>BIN2DEC($AA182)*3</f>
        <v>0</v>
      </c>
      <c r="AE184" s="57">
        <f>ABS(BIN2DEC($U183)*3-1)</f>
        <v>1</v>
      </c>
      <c r="AF184" s="57">
        <f>ABS( BIN2DEC(V182)*3-BIN2DEC(Z182))</f>
        <v>3</v>
      </c>
      <c r="AG184" s="57">
        <f>BIN2DEC(X182&amp;Y182)+BIN2DEC(W182)*3</f>
        <v>3</v>
      </c>
      <c r="AH184" s="57">
        <f t="shared" ref="AH184:AH186" si="265">AD184+AE184*4+AF184*16</f>
        <v>52</v>
      </c>
    </row>
    <row r="185" spans="1:34" ht="15" customHeight="1">
      <c r="A185" s="138"/>
      <c r="B185" s="140"/>
      <c r="C185" s="43" t="str">
        <f t="shared" si="263"/>
        <v>sar50_slc3</v>
      </c>
      <c r="D185" s="44">
        <v>8</v>
      </c>
      <c r="E185" s="30" t="str">
        <f t="shared" si="264"/>
        <v>15:8</v>
      </c>
      <c r="F185" s="30" t="s">
        <v>133</v>
      </c>
      <c r="G185" s="30" t="s">
        <v>133</v>
      </c>
      <c r="H185" s="45" t="s">
        <v>143</v>
      </c>
      <c r="I185" s="31" t="s">
        <v>68</v>
      </c>
      <c r="J185" s="32" t="s">
        <v>36</v>
      </c>
      <c r="K185" s="33" t="s">
        <v>6</v>
      </c>
      <c r="L185" s="46"/>
      <c r="M185" s="120"/>
      <c r="N185" s="120"/>
      <c r="O185" s="120"/>
      <c r="P185" s="122"/>
      <c r="Q185" s="122"/>
      <c r="R185" s="124"/>
      <c r="S185" s="124"/>
      <c r="T185" s="159"/>
      <c r="U185" s="156"/>
      <c r="V185" s="146"/>
      <c r="W185" s="149"/>
      <c r="X185" s="156"/>
      <c r="Y185" s="146"/>
      <c r="Z185" s="149"/>
      <c r="AA185" s="149"/>
      <c r="AB185" s="149"/>
      <c r="AC185" s="152"/>
      <c r="AD185" s="57">
        <f>ABS(BIN2DEC($AA182)*3-2)</f>
        <v>2</v>
      </c>
      <c r="AE185" s="57">
        <f>ABS(BIN2DEC($U182)*3)</f>
        <v>0</v>
      </c>
      <c r="AF185" s="57">
        <f>ABS( BIN2DEC(V182)*3-BIN2DEC(Z182))</f>
        <v>3</v>
      </c>
      <c r="AG185" s="57">
        <f>BIN2DEC(X182&amp;Y182)+BIN2DEC(W182)*3</f>
        <v>3</v>
      </c>
      <c r="AH185" s="57">
        <f t="shared" si="265"/>
        <v>50</v>
      </c>
    </row>
    <row r="186" spans="1:34" ht="15.75" customHeight="1" thickBot="1">
      <c r="A186" s="138"/>
      <c r="B186" s="140"/>
      <c r="C186" s="43" t="str">
        <f t="shared" si="263"/>
        <v>sar54_slc3</v>
      </c>
      <c r="D186" s="44">
        <v>8</v>
      </c>
      <c r="E186" s="30" t="str">
        <f t="shared" si="264"/>
        <v>7:0</v>
      </c>
      <c r="F186" s="30" t="s">
        <v>133</v>
      </c>
      <c r="G186" s="30" t="s">
        <v>133</v>
      </c>
      <c r="H186" s="45" t="s">
        <v>143</v>
      </c>
      <c r="I186" s="31" t="s">
        <v>68</v>
      </c>
      <c r="J186" s="32" t="s">
        <v>36</v>
      </c>
      <c r="K186" s="33" t="s">
        <v>6</v>
      </c>
      <c r="L186" s="46"/>
      <c r="M186" s="120"/>
      <c r="N186" s="120"/>
      <c r="O186" s="120"/>
      <c r="P186" s="122"/>
      <c r="Q186" s="122"/>
      <c r="R186" s="124"/>
      <c r="S186" s="124"/>
      <c r="T186" s="159"/>
      <c r="U186" s="157"/>
      <c r="V186" s="147"/>
      <c r="W186" s="150"/>
      <c r="X186" s="157"/>
      <c r="Y186" s="147"/>
      <c r="Z186" s="150"/>
      <c r="AA186" s="150"/>
      <c r="AB186" s="150"/>
      <c r="AC186" s="153"/>
      <c r="AD186" s="57">
        <f>ABS(BIN2DEC($AA182)*3-2)</f>
        <v>2</v>
      </c>
      <c r="AE186" s="57">
        <f>ABS(BIN2DEC($U182)*3-1)</f>
        <v>1</v>
      </c>
      <c r="AF186" s="57">
        <f>ABS( BIN2DEC(V182)*3-BIN2DEC(Z182))</f>
        <v>3</v>
      </c>
      <c r="AG186" s="57">
        <f>BIN2DEC(X182&amp;Y182)+BIN2DEC(W182)*3</f>
        <v>3</v>
      </c>
      <c r="AH186" s="57">
        <f t="shared" si="265"/>
        <v>54</v>
      </c>
    </row>
    <row r="187" spans="1:34" ht="15.75" customHeight="1">
      <c r="A187" s="137" t="str">
        <f>AC187</f>
        <v>vofc_dom1_quad1_quad3_sar3_slc3</v>
      </c>
      <c r="B187" s="139" t="str">
        <f>DEC2HEX(P187*4)</f>
        <v>0</v>
      </c>
      <c r="C187" s="56" t="s">
        <v>134</v>
      </c>
      <c r="D187" s="129" t="str">
        <f>bitConcat(F188:F191)</f>
        <v>32'b00000000000000000000000000000000</v>
      </c>
      <c r="E187" s="130"/>
      <c r="F187" s="130"/>
      <c r="G187" s="130"/>
      <c r="H187" s="131" t="s">
        <v>135</v>
      </c>
      <c r="I187" s="131"/>
      <c r="J187" s="131" t="str">
        <f>bitConcat(G188:G191)</f>
        <v>32'b00000000000000000000000000000000</v>
      </c>
      <c r="K187" s="131"/>
      <c r="L187" s="132"/>
      <c r="M187" s="119" t="str">
        <f>DEC2HEX(_xlfn.BITLSHIFT(HEX2DEC(Q187),2))</f>
        <v>C4</v>
      </c>
      <c r="N187" s="119"/>
      <c r="O187" s="119">
        <v>1</v>
      </c>
      <c r="P187" s="121">
        <v>0</v>
      </c>
      <c r="Q187" s="121" t="str">
        <f>AB187</f>
        <v>31</v>
      </c>
      <c r="R187" s="123" t="str">
        <f t="shared" ref="R187" si="266">BIN2HEX(LEFT(RIGHT(D187,32),4))&amp;BIN2HEX(LEFT(RIGHT(D187,28),4))&amp;BIN2HEX(LEFT(RIGHT(D187,24),4))&amp;BIN2HEX(LEFT(RIGHT(D187,20),4))&amp;BIN2HEX(LEFT(RIGHT(D187,16),4))&amp;BIN2HEX(LEFT(RIGHT(D187,12),4))&amp;BIN2HEX(LEFT(RIGHT(D187,8),4))&amp;BIN2HEX(LEFT(RIGHT(D187,4),4))</f>
        <v>00000000</v>
      </c>
      <c r="S187" s="123" t="str">
        <f t="shared" ref="S187" si="267">BIN2HEX(LEFT(RIGHT(J187,32),4))&amp;BIN2HEX(LEFT(RIGHT(J187,28),4))&amp;BIN2HEX(LEFT(RIGHT(J187,24),4))&amp;BIN2HEX(LEFT(RIGHT(J187,20),4))&amp;BIN2HEX(LEFT(RIGHT(J187,16),4))&amp;BIN2HEX(LEFT(RIGHT(J187,12),4))&amp;BIN2HEX(LEFT(RIGHT(J187,8),4))&amp;BIN2HEX(LEFT(RIGHT(J187,4),4))</f>
        <v>00000000</v>
      </c>
      <c r="T187" s="159">
        <v>13</v>
      </c>
      <c r="U187" s="155" t="str">
        <f t="shared" ref="U187" si="268">LEFT(DEC2BIN(O187,2))</f>
        <v>0</v>
      </c>
      <c r="V187" s="145" t="str">
        <f t="shared" ref="V187" si="269">RIGHT(DEC2BIN(O187,2),1)</f>
        <v>1</v>
      </c>
      <c r="W187" s="148">
        <v>1</v>
      </c>
      <c r="X187" s="155">
        <v>0</v>
      </c>
      <c r="Y187" s="145">
        <v>0</v>
      </c>
      <c r="Z187" s="148">
        <v>0</v>
      </c>
      <c r="AA187" s="148">
        <v>1</v>
      </c>
      <c r="AB187" s="148" t="str">
        <f t="shared" ref="AB187" si="270">BIN2HEX(U187&amp;V187&amp;W187&amp;X187&amp;Y187&amp;Z187&amp;AA187)</f>
        <v>31</v>
      </c>
      <c r="AC187" s="151" t="str">
        <f>CONCATENATE("vofc_dom",BIN2DEC(U187&amp;V187),"_quad",BIN2DEC(AA187),"_quad",BIN2DEC(AA187)+2,"_sar",ABS( BIN2DEC(V187)*3-BIN2DEC(Z187)),"_slc",BIN2DEC(X187&amp;Y187)+BIN2DEC(W187)*3)</f>
        <v>vofc_dom1_quad1_quad3_sar3_slc3</v>
      </c>
      <c r="AD187" s="57"/>
      <c r="AE187" s="57"/>
      <c r="AF187" s="57"/>
      <c r="AG187" s="57"/>
      <c r="AH187" s="57"/>
    </row>
    <row r="188" spans="1:34" ht="15" customHeight="1">
      <c r="A188" s="138"/>
      <c r="B188" s="140"/>
      <c r="C188" s="43" t="str">
        <f>CONCATENATE("sar",AD188+AE188*4+AF188*16,"_slc",AG188)</f>
        <v>sar51_slc3</v>
      </c>
      <c r="D188" s="44">
        <v>8</v>
      </c>
      <c r="E188" s="29" t="str">
        <f>IF(D188&gt;1,(31)&amp;":"&amp;(31-D188+1),(31-D188+1)&amp;":"&amp;(31-D188+1))</f>
        <v>31:24</v>
      </c>
      <c r="F188" s="30" t="s">
        <v>133</v>
      </c>
      <c r="G188" s="30" t="s">
        <v>133</v>
      </c>
      <c r="H188" s="45" t="s">
        <v>143</v>
      </c>
      <c r="I188" s="31" t="s">
        <v>68</v>
      </c>
      <c r="J188" s="32" t="s">
        <v>36</v>
      </c>
      <c r="K188" s="33" t="s">
        <v>6</v>
      </c>
      <c r="L188" s="46"/>
      <c r="M188" s="120"/>
      <c r="N188" s="120"/>
      <c r="O188" s="120"/>
      <c r="P188" s="122"/>
      <c r="Q188" s="122"/>
      <c r="R188" s="124"/>
      <c r="S188" s="124"/>
      <c r="T188" s="159"/>
      <c r="U188" s="156"/>
      <c r="V188" s="146"/>
      <c r="W188" s="149"/>
      <c r="X188" s="156"/>
      <c r="Y188" s="146"/>
      <c r="Z188" s="149"/>
      <c r="AA188" s="149"/>
      <c r="AB188" s="149"/>
      <c r="AC188" s="152"/>
      <c r="AD188" s="57">
        <f>BIN2DEC($AA187)*3</f>
        <v>3</v>
      </c>
      <c r="AE188" s="57">
        <f>ABS(BIN2DEC($U187)*3)</f>
        <v>0</v>
      </c>
      <c r="AF188" s="57">
        <f>ABS( BIN2DEC(V187)*3-BIN2DEC(Z187))</f>
        <v>3</v>
      </c>
      <c r="AG188" s="57">
        <f>BIN2DEC(X187&amp;Y187)+BIN2DEC(W187)*3</f>
        <v>3</v>
      </c>
      <c r="AH188" s="57">
        <f>AD188+AE188*4+AF188*16</f>
        <v>51</v>
      </c>
    </row>
    <row r="189" spans="1:34" ht="15" customHeight="1">
      <c r="A189" s="138"/>
      <c r="B189" s="140"/>
      <c r="C189" s="43" t="str">
        <f t="shared" ref="C189:C191" si="271">CONCATENATE("sar",AD189+AE189*4+AF189*16,"_slc",AG189)</f>
        <v>sar55_slc3</v>
      </c>
      <c r="D189" s="44">
        <v>8</v>
      </c>
      <c r="E189" s="30" t="str">
        <f t="shared" ref="E189:E191" si="272">(MID(str_cnvt(E188),SEARCH(":",str_cnvt(E188))+1,2)-1) &amp; ":" &amp; (MID(str_cnvt(E188),SEARCH(":",str_cnvt(E188))+1,2)-D189)</f>
        <v>23:16</v>
      </c>
      <c r="F189" s="30" t="s">
        <v>133</v>
      </c>
      <c r="G189" s="30" t="s">
        <v>133</v>
      </c>
      <c r="H189" s="45" t="s">
        <v>143</v>
      </c>
      <c r="I189" s="31" t="s">
        <v>68</v>
      </c>
      <c r="J189" s="32" t="s">
        <v>36</v>
      </c>
      <c r="K189" s="33" t="s">
        <v>6</v>
      </c>
      <c r="L189" s="46"/>
      <c r="M189" s="120"/>
      <c r="N189" s="120"/>
      <c r="O189" s="120"/>
      <c r="P189" s="122"/>
      <c r="Q189" s="122"/>
      <c r="R189" s="124"/>
      <c r="S189" s="124"/>
      <c r="T189" s="159"/>
      <c r="U189" s="156"/>
      <c r="V189" s="146"/>
      <c r="W189" s="149"/>
      <c r="X189" s="156"/>
      <c r="Y189" s="146"/>
      <c r="Z189" s="149"/>
      <c r="AA189" s="149"/>
      <c r="AB189" s="149"/>
      <c r="AC189" s="152"/>
      <c r="AD189" s="57">
        <f>BIN2DEC($AA187)*3</f>
        <v>3</v>
      </c>
      <c r="AE189" s="57">
        <f>ABS(BIN2DEC($U188)*3-1)</f>
        <v>1</v>
      </c>
      <c r="AF189" s="57">
        <f>ABS( BIN2DEC(V187)*3-BIN2DEC(Z187))</f>
        <v>3</v>
      </c>
      <c r="AG189" s="57">
        <f>BIN2DEC(X187&amp;Y187)+BIN2DEC(W187)*3</f>
        <v>3</v>
      </c>
      <c r="AH189" s="57">
        <f t="shared" ref="AH189:AH191" si="273">AD189+AE189*4+AF189*16</f>
        <v>55</v>
      </c>
    </row>
    <row r="190" spans="1:34" ht="15" customHeight="1">
      <c r="A190" s="138"/>
      <c r="B190" s="140"/>
      <c r="C190" s="43" t="str">
        <f t="shared" si="271"/>
        <v>sar49_slc3</v>
      </c>
      <c r="D190" s="44">
        <v>8</v>
      </c>
      <c r="E190" s="30" t="str">
        <f t="shared" si="272"/>
        <v>15:8</v>
      </c>
      <c r="F190" s="30" t="s">
        <v>133</v>
      </c>
      <c r="G190" s="30" t="s">
        <v>133</v>
      </c>
      <c r="H190" s="45" t="s">
        <v>143</v>
      </c>
      <c r="I190" s="31" t="s">
        <v>68</v>
      </c>
      <c r="J190" s="32" t="s">
        <v>36</v>
      </c>
      <c r="K190" s="33" t="s">
        <v>6</v>
      </c>
      <c r="L190" s="46"/>
      <c r="M190" s="120"/>
      <c r="N190" s="120"/>
      <c r="O190" s="120"/>
      <c r="P190" s="122"/>
      <c r="Q190" s="122"/>
      <c r="R190" s="124"/>
      <c r="S190" s="124"/>
      <c r="T190" s="159"/>
      <c r="U190" s="156"/>
      <c r="V190" s="146"/>
      <c r="W190" s="149"/>
      <c r="X190" s="156"/>
      <c r="Y190" s="146"/>
      <c r="Z190" s="149"/>
      <c r="AA190" s="149"/>
      <c r="AB190" s="149"/>
      <c r="AC190" s="152"/>
      <c r="AD190" s="57">
        <f>ABS(BIN2DEC($AA187)*3-2)</f>
        <v>1</v>
      </c>
      <c r="AE190" s="57">
        <f>ABS(BIN2DEC($U187)*3)</f>
        <v>0</v>
      </c>
      <c r="AF190" s="57">
        <f>ABS( BIN2DEC(V187)*3-BIN2DEC(Z187))</f>
        <v>3</v>
      </c>
      <c r="AG190" s="57">
        <f>BIN2DEC(X187&amp;Y187)+BIN2DEC(W187)*3</f>
        <v>3</v>
      </c>
      <c r="AH190" s="57">
        <f t="shared" si="273"/>
        <v>49</v>
      </c>
    </row>
    <row r="191" spans="1:34" ht="15.75" customHeight="1" thickBot="1">
      <c r="A191" s="138"/>
      <c r="B191" s="140"/>
      <c r="C191" s="43" t="str">
        <f t="shared" si="271"/>
        <v>sar53_slc3</v>
      </c>
      <c r="D191" s="44">
        <v>8</v>
      </c>
      <c r="E191" s="30" t="str">
        <f t="shared" si="272"/>
        <v>7:0</v>
      </c>
      <c r="F191" s="30" t="s">
        <v>133</v>
      </c>
      <c r="G191" s="30" t="s">
        <v>133</v>
      </c>
      <c r="H191" s="45" t="s">
        <v>143</v>
      </c>
      <c r="I191" s="31" t="s">
        <v>68</v>
      </c>
      <c r="J191" s="32" t="s">
        <v>36</v>
      </c>
      <c r="K191" s="33" t="s">
        <v>6</v>
      </c>
      <c r="L191" s="46"/>
      <c r="M191" s="120"/>
      <c r="N191" s="120"/>
      <c r="O191" s="120"/>
      <c r="P191" s="122"/>
      <c r="Q191" s="122"/>
      <c r="R191" s="124"/>
      <c r="S191" s="124"/>
      <c r="T191" s="159"/>
      <c r="U191" s="157"/>
      <c r="V191" s="147"/>
      <c r="W191" s="150"/>
      <c r="X191" s="157"/>
      <c r="Y191" s="147"/>
      <c r="Z191" s="150"/>
      <c r="AA191" s="150"/>
      <c r="AB191" s="150"/>
      <c r="AC191" s="153"/>
      <c r="AD191" s="57">
        <f>ABS(BIN2DEC($AA187)*3-2)</f>
        <v>1</v>
      </c>
      <c r="AE191" s="57">
        <f>ABS(BIN2DEC($U187)*3-1)</f>
        <v>1</v>
      </c>
      <c r="AF191" s="57">
        <f>ABS( BIN2DEC(V187)*3-BIN2DEC(Z187))</f>
        <v>3</v>
      </c>
      <c r="AG191" s="57">
        <f>BIN2DEC(X187&amp;Y187)+BIN2DEC(W187)*3</f>
        <v>3</v>
      </c>
      <c r="AH191" s="57">
        <f t="shared" si="273"/>
        <v>53</v>
      </c>
    </row>
    <row r="192" spans="1:34" ht="15.75" customHeight="1">
      <c r="A192" s="137" t="str">
        <f>AC192</f>
        <v>vofc_dom1_quad0_quad2_sar2_slc3</v>
      </c>
      <c r="B192" s="139" t="str">
        <f>DEC2HEX(P192*4)</f>
        <v>0</v>
      </c>
      <c r="C192" s="56" t="s">
        <v>134</v>
      </c>
      <c r="D192" s="129" t="str">
        <f>bitConcat(F193:F196)</f>
        <v>32'b00000000000000000000000000000000</v>
      </c>
      <c r="E192" s="130"/>
      <c r="F192" s="130"/>
      <c r="G192" s="130"/>
      <c r="H192" s="131" t="s">
        <v>135</v>
      </c>
      <c r="I192" s="131"/>
      <c r="J192" s="131" t="str">
        <f>bitConcat(G193:G196)</f>
        <v>32'b00000000000000000000000000000000</v>
      </c>
      <c r="K192" s="131"/>
      <c r="L192" s="132"/>
      <c r="M192" s="119" t="str">
        <f>DEC2HEX(_xlfn.BITLSHIFT(HEX2DEC(Q192),2))</f>
        <v>C8</v>
      </c>
      <c r="N192" s="119"/>
      <c r="O192" s="119">
        <v>1</v>
      </c>
      <c r="P192" s="121">
        <v>0</v>
      </c>
      <c r="Q192" s="121" t="str">
        <f>AB192</f>
        <v>32</v>
      </c>
      <c r="R192" s="123" t="str">
        <f t="shared" ref="R192" si="274">BIN2HEX(LEFT(RIGHT(D192,32),4))&amp;BIN2HEX(LEFT(RIGHT(D192,28),4))&amp;BIN2HEX(LEFT(RIGHT(D192,24),4))&amp;BIN2HEX(LEFT(RIGHT(D192,20),4))&amp;BIN2HEX(LEFT(RIGHT(D192,16),4))&amp;BIN2HEX(LEFT(RIGHT(D192,12),4))&amp;BIN2HEX(LEFT(RIGHT(D192,8),4))&amp;BIN2HEX(LEFT(RIGHT(D192,4),4))</f>
        <v>00000000</v>
      </c>
      <c r="S192" s="123" t="str">
        <f t="shared" ref="S192" si="275">BIN2HEX(LEFT(RIGHT(J192,32),4))&amp;BIN2HEX(LEFT(RIGHT(J192,28),4))&amp;BIN2HEX(LEFT(RIGHT(J192,24),4))&amp;BIN2HEX(LEFT(RIGHT(J192,20),4))&amp;BIN2HEX(LEFT(RIGHT(J192,16),4))&amp;BIN2HEX(LEFT(RIGHT(J192,12),4))&amp;BIN2HEX(LEFT(RIGHT(J192,8),4))&amp;BIN2HEX(LEFT(RIGHT(J192,4),4))</f>
        <v>00000000</v>
      </c>
      <c r="T192" s="159">
        <v>14</v>
      </c>
      <c r="U192" s="155" t="str">
        <f t="shared" ref="U192" si="276">LEFT(DEC2BIN(O192,2))</f>
        <v>0</v>
      </c>
      <c r="V192" s="145" t="str">
        <f t="shared" ref="V192" si="277">RIGHT(DEC2BIN(O192,2),1)</f>
        <v>1</v>
      </c>
      <c r="W192" s="148">
        <v>1</v>
      </c>
      <c r="X192" s="155">
        <v>0</v>
      </c>
      <c r="Y192" s="145">
        <v>0</v>
      </c>
      <c r="Z192" s="148">
        <v>1</v>
      </c>
      <c r="AA192" s="148">
        <v>0</v>
      </c>
      <c r="AB192" s="148" t="str">
        <f t="shared" ref="AB192" si="278">BIN2HEX(U192&amp;V192&amp;W192&amp;X192&amp;Y192&amp;Z192&amp;AA192)</f>
        <v>32</v>
      </c>
      <c r="AC192" s="151" t="str">
        <f>CONCATENATE("vofc_dom",BIN2DEC(U192&amp;V192),"_quad",BIN2DEC(AA192),"_quad",BIN2DEC(AA192)+2,"_sar",ABS( BIN2DEC(V192)*3-BIN2DEC(Z192)),"_slc",BIN2DEC(X192&amp;Y192)+BIN2DEC(W192)*3)</f>
        <v>vofc_dom1_quad0_quad2_sar2_slc3</v>
      </c>
      <c r="AD192" s="57"/>
      <c r="AE192" s="57"/>
      <c r="AF192" s="57"/>
      <c r="AG192" s="57"/>
      <c r="AH192" s="57"/>
    </row>
    <row r="193" spans="1:34" ht="15" customHeight="1">
      <c r="A193" s="138"/>
      <c r="B193" s="140"/>
      <c r="C193" s="43" t="str">
        <f>CONCATENATE("sar",AD193+AE193*4+AF193*16,"_slc",AG193)</f>
        <v>sar32_slc3</v>
      </c>
      <c r="D193" s="44">
        <v>8</v>
      </c>
      <c r="E193" s="29" t="str">
        <f>IF(D193&gt;1,(31)&amp;":"&amp;(31-D193+1),(31-D193+1)&amp;":"&amp;(31-D193+1))</f>
        <v>31:24</v>
      </c>
      <c r="F193" s="30" t="s">
        <v>133</v>
      </c>
      <c r="G193" s="30" t="s">
        <v>133</v>
      </c>
      <c r="H193" s="45" t="s">
        <v>143</v>
      </c>
      <c r="I193" s="31" t="s">
        <v>68</v>
      </c>
      <c r="J193" s="32" t="s">
        <v>36</v>
      </c>
      <c r="K193" s="33" t="s">
        <v>6</v>
      </c>
      <c r="L193" s="46"/>
      <c r="M193" s="120"/>
      <c r="N193" s="120"/>
      <c r="O193" s="120"/>
      <c r="P193" s="122"/>
      <c r="Q193" s="122"/>
      <c r="R193" s="124"/>
      <c r="S193" s="124"/>
      <c r="T193" s="159"/>
      <c r="U193" s="156"/>
      <c r="V193" s="146"/>
      <c r="W193" s="149"/>
      <c r="X193" s="156"/>
      <c r="Y193" s="146"/>
      <c r="Z193" s="149"/>
      <c r="AA193" s="149"/>
      <c r="AB193" s="149"/>
      <c r="AC193" s="152"/>
      <c r="AD193" s="57">
        <f>BIN2DEC($AA192)*3</f>
        <v>0</v>
      </c>
      <c r="AE193" s="57">
        <f>ABS(BIN2DEC($U192)*3)</f>
        <v>0</v>
      </c>
      <c r="AF193" s="57">
        <f>ABS( BIN2DEC(V192)*3-BIN2DEC(Z192))</f>
        <v>2</v>
      </c>
      <c r="AG193" s="57">
        <f>BIN2DEC(X192&amp;Y192)+BIN2DEC(W192)*3</f>
        <v>3</v>
      </c>
      <c r="AH193" s="57">
        <f>AD193+AE193*4+AF193*16</f>
        <v>32</v>
      </c>
    </row>
    <row r="194" spans="1:34" ht="15" customHeight="1">
      <c r="A194" s="138"/>
      <c r="B194" s="140"/>
      <c r="C194" s="43" t="str">
        <f t="shared" ref="C194:C196" si="279">CONCATENATE("sar",AD194+AE194*4+AF194*16,"_slc",AG194)</f>
        <v>sar36_slc3</v>
      </c>
      <c r="D194" s="44">
        <v>8</v>
      </c>
      <c r="E194" s="30" t="str">
        <f t="shared" ref="E194:E196" si="280">(MID(str_cnvt(E193),SEARCH(":",str_cnvt(E193))+1,2)-1) &amp; ":" &amp; (MID(str_cnvt(E193),SEARCH(":",str_cnvt(E193))+1,2)-D194)</f>
        <v>23:16</v>
      </c>
      <c r="F194" s="30" t="s">
        <v>133</v>
      </c>
      <c r="G194" s="30" t="s">
        <v>133</v>
      </c>
      <c r="H194" s="45" t="s">
        <v>143</v>
      </c>
      <c r="I194" s="31" t="s">
        <v>68</v>
      </c>
      <c r="J194" s="32" t="s">
        <v>36</v>
      </c>
      <c r="K194" s="33" t="s">
        <v>6</v>
      </c>
      <c r="L194" s="46"/>
      <c r="M194" s="120"/>
      <c r="N194" s="120"/>
      <c r="O194" s="120"/>
      <c r="P194" s="122"/>
      <c r="Q194" s="122"/>
      <c r="R194" s="124"/>
      <c r="S194" s="124"/>
      <c r="T194" s="159"/>
      <c r="U194" s="156"/>
      <c r="V194" s="146"/>
      <c r="W194" s="149"/>
      <c r="X194" s="156"/>
      <c r="Y194" s="146"/>
      <c r="Z194" s="149"/>
      <c r="AA194" s="149"/>
      <c r="AB194" s="149"/>
      <c r="AC194" s="152"/>
      <c r="AD194" s="57">
        <f>BIN2DEC($AA192)*3</f>
        <v>0</v>
      </c>
      <c r="AE194" s="57">
        <f>ABS(BIN2DEC($U193)*3-1)</f>
        <v>1</v>
      </c>
      <c r="AF194" s="57">
        <f>ABS( BIN2DEC(V192)*3-BIN2DEC(Z192))</f>
        <v>2</v>
      </c>
      <c r="AG194" s="57">
        <f>BIN2DEC(X192&amp;Y192)+BIN2DEC(W192)*3</f>
        <v>3</v>
      </c>
      <c r="AH194" s="57">
        <f t="shared" ref="AH194:AH196" si="281">AD194+AE194*4+AF194*16</f>
        <v>36</v>
      </c>
    </row>
    <row r="195" spans="1:34" ht="15" customHeight="1">
      <c r="A195" s="138"/>
      <c r="B195" s="140"/>
      <c r="C195" s="43" t="str">
        <f t="shared" si="279"/>
        <v>sar34_slc3</v>
      </c>
      <c r="D195" s="44">
        <v>8</v>
      </c>
      <c r="E195" s="30" t="str">
        <f t="shared" si="280"/>
        <v>15:8</v>
      </c>
      <c r="F195" s="30" t="s">
        <v>133</v>
      </c>
      <c r="G195" s="30" t="s">
        <v>133</v>
      </c>
      <c r="H195" s="45" t="s">
        <v>143</v>
      </c>
      <c r="I195" s="31" t="s">
        <v>68</v>
      </c>
      <c r="J195" s="32" t="s">
        <v>36</v>
      </c>
      <c r="K195" s="33" t="s">
        <v>6</v>
      </c>
      <c r="L195" s="46"/>
      <c r="M195" s="120"/>
      <c r="N195" s="120"/>
      <c r="O195" s="120"/>
      <c r="P195" s="122"/>
      <c r="Q195" s="122"/>
      <c r="R195" s="124"/>
      <c r="S195" s="124"/>
      <c r="T195" s="159"/>
      <c r="U195" s="156"/>
      <c r="V195" s="146"/>
      <c r="W195" s="149"/>
      <c r="X195" s="156"/>
      <c r="Y195" s="146"/>
      <c r="Z195" s="149"/>
      <c r="AA195" s="149"/>
      <c r="AB195" s="149"/>
      <c r="AC195" s="152"/>
      <c r="AD195" s="57">
        <f>ABS(BIN2DEC($AA192)*3-2)</f>
        <v>2</v>
      </c>
      <c r="AE195" s="57">
        <f>ABS(BIN2DEC($U192)*3)</f>
        <v>0</v>
      </c>
      <c r="AF195" s="57">
        <f>ABS( BIN2DEC(V192)*3-BIN2DEC(Z192))</f>
        <v>2</v>
      </c>
      <c r="AG195" s="57">
        <f>BIN2DEC(X192&amp;Y192)+BIN2DEC(W192)*3</f>
        <v>3</v>
      </c>
      <c r="AH195" s="57">
        <f t="shared" si="281"/>
        <v>34</v>
      </c>
    </row>
    <row r="196" spans="1:34" ht="15.75" customHeight="1" thickBot="1">
      <c r="A196" s="138"/>
      <c r="B196" s="140"/>
      <c r="C196" s="43" t="str">
        <f t="shared" si="279"/>
        <v>sar38_slc3</v>
      </c>
      <c r="D196" s="44">
        <v>8</v>
      </c>
      <c r="E196" s="30" t="str">
        <f t="shared" si="280"/>
        <v>7:0</v>
      </c>
      <c r="F196" s="30" t="s">
        <v>133</v>
      </c>
      <c r="G196" s="30" t="s">
        <v>133</v>
      </c>
      <c r="H196" s="45" t="s">
        <v>143</v>
      </c>
      <c r="I196" s="31" t="s">
        <v>68</v>
      </c>
      <c r="J196" s="32" t="s">
        <v>36</v>
      </c>
      <c r="K196" s="33" t="s">
        <v>6</v>
      </c>
      <c r="L196" s="46"/>
      <c r="M196" s="120"/>
      <c r="N196" s="120"/>
      <c r="O196" s="120"/>
      <c r="P196" s="122"/>
      <c r="Q196" s="122"/>
      <c r="R196" s="124"/>
      <c r="S196" s="124"/>
      <c r="T196" s="159"/>
      <c r="U196" s="157"/>
      <c r="V196" s="147"/>
      <c r="W196" s="150"/>
      <c r="X196" s="157"/>
      <c r="Y196" s="147"/>
      <c r="Z196" s="150"/>
      <c r="AA196" s="150"/>
      <c r="AB196" s="150"/>
      <c r="AC196" s="153"/>
      <c r="AD196" s="57">
        <f>ABS(BIN2DEC($AA192)*3-2)</f>
        <v>2</v>
      </c>
      <c r="AE196" s="57">
        <f>ABS(BIN2DEC($U192)*3-1)</f>
        <v>1</v>
      </c>
      <c r="AF196" s="57">
        <f>ABS( BIN2DEC(V192)*3-BIN2DEC(Z192))</f>
        <v>2</v>
      </c>
      <c r="AG196" s="57">
        <f>BIN2DEC(X192&amp;Y192)+BIN2DEC(W192)*3</f>
        <v>3</v>
      </c>
      <c r="AH196" s="57">
        <f t="shared" si="281"/>
        <v>38</v>
      </c>
    </row>
    <row r="197" spans="1:34" ht="15.75" customHeight="1">
      <c r="A197" s="137" t="str">
        <f>AC197</f>
        <v>vofc_dom1_quad1_quad3_sar2_slc3</v>
      </c>
      <c r="B197" s="139" t="str">
        <f>DEC2HEX(P197*4)</f>
        <v>0</v>
      </c>
      <c r="C197" s="56" t="s">
        <v>134</v>
      </c>
      <c r="D197" s="129" t="str">
        <f>bitConcat(F198:F201)</f>
        <v>32'b00000000000000000000000000000000</v>
      </c>
      <c r="E197" s="130"/>
      <c r="F197" s="130"/>
      <c r="G197" s="130"/>
      <c r="H197" s="131" t="s">
        <v>135</v>
      </c>
      <c r="I197" s="131"/>
      <c r="J197" s="131" t="str">
        <f>bitConcat(G198:G201)</f>
        <v>32'b00000000000000000000000000000000</v>
      </c>
      <c r="K197" s="131"/>
      <c r="L197" s="132"/>
      <c r="M197" s="119" t="str">
        <f>DEC2HEX(_xlfn.BITLSHIFT(HEX2DEC(Q197),2))</f>
        <v>CC</v>
      </c>
      <c r="N197" s="119"/>
      <c r="O197" s="119">
        <v>1</v>
      </c>
      <c r="P197" s="121">
        <v>0</v>
      </c>
      <c r="Q197" s="121" t="str">
        <f>AB197</f>
        <v>33</v>
      </c>
      <c r="R197" s="123" t="str">
        <f t="shared" ref="R197" si="282">BIN2HEX(LEFT(RIGHT(D197,32),4))&amp;BIN2HEX(LEFT(RIGHT(D197,28),4))&amp;BIN2HEX(LEFT(RIGHT(D197,24),4))&amp;BIN2HEX(LEFT(RIGHT(D197,20),4))&amp;BIN2HEX(LEFT(RIGHT(D197,16),4))&amp;BIN2HEX(LEFT(RIGHT(D197,12),4))&amp;BIN2HEX(LEFT(RIGHT(D197,8),4))&amp;BIN2HEX(LEFT(RIGHT(D197,4),4))</f>
        <v>00000000</v>
      </c>
      <c r="S197" s="123" t="str">
        <f t="shared" ref="S197" si="283">BIN2HEX(LEFT(RIGHT(J197,32),4))&amp;BIN2HEX(LEFT(RIGHT(J197,28),4))&amp;BIN2HEX(LEFT(RIGHT(J197,24),4))&amp;BIN2HEX(LEFT(RIGHT(J197,20),4))&amp;BIN2HEX(LEFT(RIGHT(J197,16),4))&amp;BIN2HEX(LEFT(RIGHT(J197,12),4))&amp;BIN2HEX(LEFT(RIGHT(J197,8),4))&amp;BIN2HEX(LEFT(RIGHT(J197,4),4))</f>
        <v>00000000</v>
      </c>
      <c r="T197" s="159">
        <v>15</v>
      </c>
      <c r="U197" s="155" t="str">
        <f t="shared" ref="U197" si="284">LEFT(DEC2BIN(O197,2))</f>
        <v>0</v>
      </c>
      <c r="V197" s="145" t="str">
        <f t="shared" ref="V197" si="285">RIGHT(DEC2BIN(O197,2),1)</f>
        <v>1</v>
      </c>
      <c r="W197" s="148">
        <v>1</v>
      </c>
      <c r="X197" s="155">
        <v>0</v>
      </c>
      <c r="Y197" s="145">
        <v>0</v>
      </c>
      <c r="Z197" s="148">
        <v>1</v>
      </c>
      <c r="AA197" s="148">
        <v>1</v>
      </c>
      <c r="AB197" s="148" t="str">
        <f t="shared" ref="AB197" si="286">BIN2HEX(U197&amp;V197&amp;W197&amp;X197&amp;Y197&amp;Z197&amp;AA197)</f>
        <v>33</v>
      </c>
      <c r="AC197" s="151" t="str">
        <f>CONCATENATE("vofc_dom",BIN2DEC(U197&amp;V197),"_quad",BIN2DEC(AA197),"_quad",BIN2DEC(AA197)+2,"_sar",ABS( BIN2DEC(V197)*3-BIN2DEC(Z197)),"_slc",BIN2DEC(X197&amp;Y197)+BIN2DEC(W197)*3)</f>
        <v>vofc_dom1_quad1_quad3_sar2_slc3</v>
      </c>
      <c r="AD197" s="57"/>
      <c r="AE197" s="57"/>
      <c r="AF197" s="57"/>
      <c r="AG197" s="57"/>
      <c r="AH197" s="57"/>
    </row>
    <row r="198" spans="1:34" ht="15" customHeight="1">
      <c r="A198" s="138"/>
      <c r="B198" s="140"/>
      <c r="C198" s="43" t="str">
        <f>CONCATENATE("sar",AD198+AE198*4+AF198*16,"_slc",AG198)</f>
        <v>sar35_slc3</v>
      </c>
      <c r="D198" s="44">
        <v>8</v>
      </c>
      <c r="E198" s="29" t="str">
        <f>IF(D198&gt;1,(31)&amp;":"&amp;(31-D198+1),(31-D198+1)&amp;":"&amp;(31-D198+1))</f>
        <v>31:24</v>
      </c>
      <c r="F198" s="30" t="s">
        <v>133</v>
      </c>
      <c r="G198" s="30" t="s">
        <v>133</v>
      </c>
      <c r="H198" s="45" t="s">
        <v>143</v>
      </c>
      <c r="I198" s="31" t="s">
        <v>68</v>
      </c>
      <c r="J198" s="32" t="s">
        <v>36</v>
      </c>
      <c r="K198" s="33" t="s">
        <v>6</v>
      </c>
      <c r="L198" s="46"/>
      <c r="M198" s="120"/>
      <c r="N198" s="120"/>
      <c r="O198" s="120"/>
      <c r="P198" s="122"/>
      <c r="Q198" s="122"/>
      <c r="R198" s="124"/>
      <c r="S198" s="124"/>
      <c r="T198" s="159"/>
      <c r="U198" s="156"/>
      <c r="V198" s="146"/>
      <c r="W198" s="149"/>
      <c r="X198" s="156"/>
      <c r="Y198" s="146"/>
      <c r="Z198" s="149"/>
      <c r="AA198" s="149"/>
      <c r="AB198" s="149"/>
      <c r="AC198" s="152"/>
      <c r="AD198" s="57">
        <f>BIN2DEC($AA197)*3</f>
        <v>3</v>
      </c>
      <c r="AE198" s="57">
        <f>ABS(BIN2DEC($U197)*3)</f>
        <v>0</v>
      </c>
      <c r="AF198" s="57">
        <f>ABS( BIN2DEC(V197)*3-BIN2DEC(Z197))</f>
        <v>2</v>
      </c>
      <c r="AG198" s="57">
        <f>BIN2DEC(X197&amp;Y197)+BIN2DEC(W197)*3</f>
        <v>3</v>
      </c>
      <c r="AH198" s="57">
        <f>AD198+AE198*4+AF198*16</f>
        <v>35</v>
      </c>
    </row>
    <row r="199" spans="1:34" ht="15" customHeight="1">
      <c r="A199" s="138"/>
      <c r="B199" s="140"/>
      <c r="C199" s="43" t="str">
        <f t="shared" ref="C199:C201" si="287">CONCATENATE("sar",AD199+AE199*4+AF199*16,"_slc",AG199)</f>
        <v>sar39_slc3</v>
      </c>
      <c r="D199" s="44">
        <v>8</v>
      </c>
      <c r="E199" s="30" t="str">
        <f t="shared" ref="E199:E201" si="288">(MID(str_cnvt(E198),SEARCH(":",str_cnvt(E198))+1,2)-1) &amp; ":" &amp; (MID(str_cnvt(E198),SEARCH(":",str_cnvt(E198))+1,2)-D199)</f>
        <v>23:16</v>
      </c>
      <c r="F199" s="30" t="s">
        <v>133</v>
      </c>
      <c r="G199" s="30" t="s">
        <v>133</v>
      </c>
      <c r="H199" s="45" t="s">
        <v>143</v>
      </c>
      <c r="I199" s="31" t="s">
        <v>68</v>
      </c>
      <c r="J199" s="32" t="s">
        <v>36</v>
      </c>
      <c r="K199" s="33" t="s">
        <v>6</v>
      </c>
      <c r="L199" s="46"/>
      <c r="M199" s="120"/>
      <c r="N199" s="120"/>
      <c r="O199" s="120"/>
      <c r="P199" s="122"/>
      <c r="Q199" s="122"/>
      <c r="R199" s="124"/>
      <c r="S199" s="124"/>
      <c r="T199" s="159"/>
      <c r="U199" s="156"/>
      <c r="V199" s="146"/>
      <c r="W199" s="149"/>
      <c r="X199" s="156"/>
      <c r="Y199" s="146"/>
      <c r="Z199" s="149"/>
      <c r="AA199" s="149"/>
      <c r="AB199" s="149"/>
      <c r="AC199" s="152"/>
      <c r="AD199" s="57">
        <f>BIN2DEC($AA197)*3</f>
        <v>3</v>
      </c>
      <c r="AE199" s="57">
        <f>ABS(BIN2DEC($U198)*3-1)</f>
        <v>1</v>
      </c>
      <c r="AF199" s="57">
        <f>ABS( BIN2DEC(V197)*3-BIN2DEC(Z197))</f>
        <v>2</v>
      </c>
      <c r="AG199" s="57">
        <f>BIN2DEC(X197&amp;Y197)+BIN2DEC(W197)*3</f>
        <v>3</v>
      </c>
      <c r="AH199" s="57">
        <f t="shared" ref="AH199:AH201" si="289">AD199+AE199*4+AF199*16</f>
        <v>39</v>
      </c>
    </row>
    <row r="200" spans="1:34" ht="15" customHeight="1">
      <c r="A200" s="138"/>
      <c r="B200" s="140"/>
      <c r="C200" s="43" t="str">
        <f t="shared" si="287"/>
        <v>sar33_slc3</v>
      </c>
      <c r="D200" s="44">
        <v>8</v>
      </c>
      <c r="E200" s="30" t="str">
        <f t="shared" si="288"/>
        <v>15:8</v>
      </c>
      <c r="F200" s="30" t="s">
        <v>133</v>
      </c>
      <c r="G200" s="30" t="s">
        <v>133</v>
      </c>
      <c r="H200" s="45" t="s">
        <v>143</v>
      </c>
      <c r="I200" s="31" t="s">
        <v>68</v>
      </c>
      <c r="J200" s="32" t="s">
        <v>36</v>
      </c>
      <c r="K200" s="33" t="s">
        <v>6</v>
      </c>
      <c r="L200" s="46"/>
      <c r="M200" s="120"/>
      <c r="N200" s="120"/>
      <c r="O200" s="120"/>
      <c r="P200" s="122"/>
      <c r="Q200" s="122"/>
      <c r="R200" s="124"/>
      <c r="S200" s="124"/>
      <c r="T200" s="159"/>
      <c r="U200" s="156"/>
      <c r="V200" s="146"/>
      <c r="W200" s="149"/>
      <c r="X200" s="156"/>
      <c r="Y200" s="146"/>
      <c r="Z200" s="149"/>
      <c r="AA200" s="149"/>
      <c r="AB200" s="149"/>
      <c r="AC200" s="152"/>
      <c r="AD200" s="57">
        <f>ABS(BIN2DEC($AA197)*3-2)</f>
        <v>1</v>
      </c>
      <c r="AE200" s="57">
        <f>ABS(BIN2DEC($U197)*3)</f>
        <v>0</v>
      </c>
      <c r="AF200" s="57">
        <f>ABS( BIN2DEC(V197)*3-BIN2DEC(Z197))</f>
        <v>2</v>
      </c>
      <c r="AG200" s="57">
        <f>BIN2DEC(X197&amp;Y197)+BIN2DEC(W197)*3</f>
        <v>3</v>
      </c>
      <c r="AH200" s="57">
        <f t="shared" si="289"/>
        <v>33</v>
      </c>
    </row>
    <row r="201" spans="1:34" ht="15.75" customHeight="1" thickBot="1">
      <c r="A201" s="138"/>
      <c r="B201" s="140"/>
      <c r="C201" s="43" t="str">
        <f t="shared" si="287"/>
        <v>sar37_slc3</v>
      </c>
      <c r="D201" s="44">
        <v>8</v>
      </c>
      <c r="E201" s="30" t="str">
        <f t="shared" si="288"/>
        <v>7:0</v>
      </c>
      <c r="F201" s="30" t="s">
        <v>133</v>
      </c>
      <c r="G201" s="30" t="s">
        <v>133</v>
      </c>
      <c r="H201" s="45" t="s">
        <v>143</v>
      </c>
      <c r="I201" s="31" t="s">
        <v>68</v>
      </c>
      <c r="J201" s="32" t="s">
        <v>36</v>
      </c>
      <c r="K201" s="33" t="s">
        <v>6</v>
      </c>
      <c r="L201" s="46"/>
      <c r="M201" s="120"/>
      <c r="N201" s="120"/>
      <c r="O201" s="120"/>
      <c r="P201" s="122"/>
      <c r="Q201" s="122"/>
      <c r="R201" s="124"/>
      <c r="S201" s="124"/>
      <c r="T201" s="159"/>
      <c r="U201" s="157"/>
      <c r="V201" s="147"/>
      <c r="W201" s="150"/>
      <c r="X201" s="157"/>
      <c r="Y201" s="147"/>
      <c r="Z201" s="150"/>
      <c r="AA201" s="150"/>
      <c r="AB201" s="150"/>
      <c r="AC201" s="153"/>
      <c r="AD201" s="57">
        <f>ABS(BIN2DEC($AA197)*3-2)</f>
        <v>1</v>
      </c>
      <c r="AE201" s="57">
        <f>ABS(BIN2DEC($U197)*3-1)</f>
        <v>1</v>
      </c>
      <c r="AF201" s="57">
        <f>ABS( BIN2DEC(V197)*3-BIN2DEC(Z197))</f>
        <v>2</v>
      </c>
      <c r="AG201" s="57">
        <f>BIN2DEC(X197&amp;Y197)+BIN2DEC(W197)*3</f>
        <v>3</v>
      </c>
      <c r="AH201" s="57">
        <f t="shared" si="289"/>
        <v>37</v>
      </c>
    </row>
    <row r="202" spans="1:34" ht="15.75" customHeight="1">
      <c r="A202" s="137" t="str">
        <f>AC202</f>
        <v>vofc_dom1_quad0_quad2_sar3_slc4</v>
      </c>
      <c r="B202" s="139" t="str">
        <f>DEC2HEX(P202*4)</f>
        <v>0</v>
      </c>
      <c r="C202" s="56" t="s">
        <v>134</v>
      </c>
      <c r="D202" s="129" t="str">
        <f>bitConcat(F203:F206)</f>
        <v>32'b00000000000000000000000000000000</v>
      </c>
      <c r="E202" s="130"/>
      <c r="F202" s="130"/>
      <c r="G202" s="130"/>
      <c r="H202" s="131" t="s">
        <v>135</v>
      </c>
      <c r="I202" s="131"/>
      <c r="J202" s="131" t="str">
        <f>bitConcat(G203:G206)</f>
        <v>32'b00000000000000000000000000000000</v>
      </c>
      <c r="K202" s="131"/>
      <c r="L202" s="132"/>
      <c r="M202" s="119" t="str">
        <f>DEC2HEX(_xlfn.BITLSHIFT(HEX2DEC(Q202),2))</f>
        <v>D0</v>
      </c>
      <c r="N202" s="119"/>
      <c r="O202" s="119">
        <v>1</v>
      </c>
      <c r="P202" s="121">
        <v>0</v>
      </c>
      <c r="Q202" s="121" t="str">
        <f>AB202</f>
        <v>34</v>
      </c>
      <c r="R202" s="123" t="str">
        <f t="shared" ref="R202" si="290">BIN2HEX(LEFT(RIGHT(D202,32),4))&amp;BIN2HEX(LEFT(RIGHT(D202,28),4))&amp;BIN2HEX(LEFT(RIGHT(D202,24),4))&amp;BIN2HEX(LEFT(RIGHT(D202,20),4))&amp;BIN2HEX(LEFT(RIGHT(D202,16),4))&amp;BIN2HEX(LEFT(RIGHT(D202,12),4))&amp;BIN2HEX(LEFT(RIGHT(D202,8),4))&amp;BIN2HEX(LEFT(RIGHT(D202,4),4))</f>
        <v>00000000</v>
      </c>
      <c r="S202" s="123" t="str">
        <f t="shared" ref="S202" si="291">BIN2HEX(LEFT(RIGHT(J202,32),4))&amp;BIN2HEX(LEFT(RIGHT(J202,28),4))&amp;BIN2HEX(LEFT(RIGHT(J202,24),4))&amp;BIN2HEX(LEFT(RIGHT(J202,20),4))&amp;BIN2HEX(LEFT(RIGHT(J202,16),4))&amp;BIN2HEX(LEFT(RIGHT(J202,12),4))&amp;BIN2HEX(LEFT(RIGHT(J202,8),4))&amp;BIN2HEX(LEFT(RIGHT(J202,4),4))</f>
        <v>00000000</v>
      </c>
      <c r="T202" s="159">
        <v>16</v>
      </c>
      <c r="U202" s="155" t="str">
        <f t="shared" ref="U202" si="292">LEFT(DEC2BIN(O202,2))</f>
        <v>0</v>
      </c>
      <c r="V202" s="145" t="str">
        <f t="shared" ref="V202" si="293">RIGHT(DEC2BIN(O202,2),1)</f>
        <v>1</v>
      </c>
      <c r="W202" s="148">
        <v>1</v>
      </c>
      <c r="X202" s="155">
        <v>0</v>
      </c>
      <c r="Y202" s="145">
        <v>1</v>
      </c>
      <c r="Z202" s="148">
        <v>0</v>
      </c>
      <c r="AA202" s="148">
        <v>0</v>
      </c>
      <c r="AB202" s="148" t="str">
        <f t="shared" ref="AB202" si="294">BIN2HEX(U202&amp;V202&amp;W202&amp;X202&amp;Y202&amp;Z202&amp;AA202)</f>
        <v>34</v>
      </c>
      <c r="AC202" s="151" t="str">
        <f>CONCATENATE("vofc_dom",BIN2DEC(U202&amp;V202),"_quad",BIN2DEC(AA202),"_quad",BIN2DEC(AA202)+2,"_sar",ABS( BIN2DEC(V202)*3-BIN2DEC(Z202)),"_slc",BIN2DEC(X202&amp;Y202)+BIN2DEC(W202)*3)</f>
        <v>vofc_dom1_quad0_quad2_sar3_slc4</v>
      </c>
      <c r="AD202" s="57"/>
      <c r="AE202" s="57"/>
      <c r="AF202" s="57"/>
      <c r="AG202" s="57"/>
      <c r="AH202" s="57"/>
    </row>
    <row r="203" spans="1:34" ht="15" customHeight="1">
      <c r="A203" s="138"/>
      <c r="B203" s="140"/>
      <c r="C203" s="43" t="str">
        <f>CONCATENATE("sar",AD203+AE203*4+AF203*16,"_slc",AG203)</f>
        <v>sar48_slc4</v>
      </c>
      <c r="D203" s="44">
        <v>8</v>
      </c>
      <c r="E203" s="29" t="str">
        <f>IF(D203&gt;1,(31)&amp;":"&amp;(31-D203+1),(31-D203+1)&amp;":"&amp;(31-D203+1))</f>
        <v>31:24</v>
      </c>
      <c r="F203" s="30" t="s">
        <v>133</v>
      </c>
      <c r="G203" s="30" t="s">
        <v>133</v>
      </c>
      <c r="H203" s="45" t="s">
        <v>143</v>
      </c>
      <c r="I203" s="31" t="s">
        <v>68</v>
      </c>
      <c r="J203" s="32" t="s">
        <v>36</v>
      </c>
      <c r="K203" s="33" t="s">
        <v>6</v>
      </c>
      <c r="L203" s="46"/>
      <c r="M203" s="120"/>
      <c r="N203" s="120"/>
      <c r="O203" s="120"/>
      <c r="P203" s="122"/>
      <c r="Q203" s="122"/>
      <c r="R203" s="124"/>
      <c r="S203" s="124"/>
      <c r="T203" s="159"/>
      <c r="U203" s="156"/>
      <c r="V203" s="146"/>
      <c r="W203" s="149"/>
      <c r="X203" s="156"/>
      <c r="Y203" s="146"/>
      <c r="Z203" s="149"/>
      <c r="AA203" s="149"/>
      <c r="AB203" s="149"/>
      <c r="AC203" s="152"/>
      <c r="AD203" s="57">
        <f>BIN2DEC($AA202)*3</f>
        <v>0</v>
      </c>
      <c r="AE203" s="57">
        <f>ABS(BIN2DEC($U202)*3)</f>
        <v>0</v>
      </c>
      <c r="AF203" s="57">
        <f>ABS( BIN2DEC(V202)*3-BIN2DEC(Z202))</f>
        <v>3</v>
      </c>
      <c r="AG203" s="57">
        <f>BIN2DEC(X202&amp;Y202)+BIN2DEC(W202)*3</f>
        <v>4</v>
      </c>
      <c r="AH203" s="57">
        <f>AD203+AE203*4+AF203*16</f>
        <v>48</v>
      </c>
    </row>
    <row r="204" spans="1:34" ht="15" customHeight="1">
      <c r="A204" s="138"/>
      <c r="B204" s="140"/>
      <c r="C204" s="43" t="str">
        <f t="shared" ref="C204:C206" si="295">CONCATENATE("sar",AD204+AE204*4+AF204*16,"_slc",AG204)</f>
        <v>sar52_slc4</v>
      </c>
      <c r="D204" s="44">
        <v>8</v>
      </c>
      <c r="E204" s="30" t="str">
        <f t="shared" ref="E204:E206" si="296">(MID(str_cnvt(E203),SEARCH(":",str_cnvt(E203))+1,2)-1) &amp; ":" &amp; (MID(str_cnvt(E203),SEARCH(":",str_cnvt(E203))+1,2)-D204)</f>
        <v>23:16</v>
      </c>
      <c r="F204" s="30" t="s">
        <v>133</v>
      </c>
      <c r="G204" s="30" t="s">
        <v>133</v>
      </c>
      <c r="H204" s="45" t="s">
        <v>143</v>
      </c>
      <c r="I204" s="31" t="s">
        <v>68</v>
      </c>
      <c r="J204" s="32" t="s">
        <v>36</v>
      </c>
      <c r="K204" s="33" t="s">
        <v>6</v>
      </c>
      <c r="L204" s="46"/>
      <c r="M204" s="120"/>
      <c r="N204" s="120"/>
      <c r="O204" s="120"/>
      <c r="P204" s="122"/>
      <c r="Q204" s="122"/>
      <c r="R204" s="124"/>
      <c r="S204" s="124"/>
      <c r="T204" s="159"/>
      <c r="U204" s="156"/>
      <c r="V204" s="146"/>
      <c r="W204" s="149"/>
      <c r="X204" s="156"/>
      <c r="Y204" s="146"/>
      <c r="Z204" s="149"/>
      <c r="AA204" s="149"/>
      <c r="AB204" s="149"/>
      <c r="AC204" s="152"/>
      <c r="AD204" s="57">
        <f>BIN2DEC($AA202)*3</f>
        <v>0</v>
      </c>
      <c r="AE204" s="57">
        <f>ABS(BIN2DEC($U203)*3-1)</f>
        <v>1</v>
      </c>
      <c r="AF204" s="57">
        <f>ABS( BIN2DEC(V202)*3-BIN2DEC(Z202))</f>
        <v>3</v>
      </c>
      <c r="AG204" s="57">
        <f>BIN2DEC(X202&amp;Y202)+BIN2DEC(W202)*3</f>
        <v>4</v>
      </c>
      <c r="AH204" s="57">
        <f t="shared" ref="AH204:AH206" si="297">AD204+AE204*4+AF204*16</f>
        <v>52</v>
      </c>
    </row>
    <row r="205" spans="1:34" ht="15" customHeight="1">
      <c r="A205" s="138"/>
      <c r="B205" s="140"/>
      <c r="C205" s="43" t="str">
        <f t="shared" si="295"/>
        <v>sar50_slc4</v>
      </c>
      <c r="D205" s="44">
        <v>8</v>
      </c>
      <c r="E205" s="30" t="str">
        <f t="shared" si="296"/>
        <v>15:8</v>
      </c>
      <c r="F205" s="30" t="s">
        <v>133</v>
      </c>
      <c r="G205" s="30" t="s">
        <v>133</v>
      </c>
      <c r="H205" s="45" t="s">
        <v>143</v>
      </c>
      <c r="I205" s="31" t="s">
        <v>68</v>
      </c>
      <c r="J205" s="32" t="s">
        <v>36</v>
      </c>
      <c r="K205" s="33" t="s">
        <v>6</v>
      </c>
      <c r="L205" s="46"/>
      <c r="M205" s="120"/>
      <c r="N205" s="120"/>
      <c r="O205" s="120"/>
      <c r="P205" s="122"/>
      <c r="Q205" s="122"/>
      <c r="R205" s="124"/>
      <c r="S205" s="124"/>
      <c r="T205" s="159"/>
      <c r="U205" s="156"/>
      <c r="V205" s="146"/>
      <c r="W205" s="149"/>
      <c r="X205" s="156"/>
      <c r="Y205" s="146"/>
      <c r="Z205" s="149"/>
      <c r="AA205" s="149"/>
      <c r="AB205" s="149"/>
      <c r="AC205" s="152"/>
      <c r="AD205" s="57">
        <f>ABS(BIN2DEC($AA202)*3-2)</f>
        <v>2</v>
      </c>
      <c r="AE205" s="57">
        <f>ABS(BIN2DEC($U202)*3)</f>
        <v>0</v>
      </c>
      <c r="AF205" s="57">
        <f>ABS( BIN2DEC(V202)*3-BIN2DEC(Z202))</f>
        <v>3</v>
      </c>
      <c r="AG205" s="57">
        <f>BIN2DEC(X202&amp;Y202)+BIN2DEC(W202)*3</f>
        <v>4</v>
      </c>
      <c r="AH205" s="57">
        <f t="shared" si="297"/>
        <v>50</v>
      </c>
    </row>
    <row r="206" spans="1:34" ht="15.75" customHeight="1" thickBot="1">
      <c r="A206" s="138"/>
      <c r="B206" s="140"/>
      <c r="C206" s="43" t="str">
        <f t="shared" si="295"/>
        <v>sar54_slc4</v>
      </c>
      <c r="D206" s="44">
        <v>8</v>
      </c>
      <c r="E206" s="30" t="str">
        <f t="shared" si="296"/>
        <v>7:0</v>
      </c>
      <c r="F206" s="30" t="s">
        <v>133</v>
      </c>
      <c r="G206" s="30" t="s">
        <v>133</v>
      </c>
      <c r="H206" s="45" t="s">
        <v>143</v>
      </c>
      <c r="I206" s="31" t="s">
        <v>68</v>
      </c>
      <c r="J206" s="32" t="s">
        <v>36</v>
      </c>
      <c r="K206" s="33" t="s">
        <v>6</v>
      </c>
      <c r="L206" s="46"/>
      <c r="M206" s="120"/>
      <c r="N206" s="120"/>
      <c r="O206" s="120"/>
      <c r="P206" s="122"/>
      <c r="Q206" s="122"/>
      <c r="R206" s="124"/>
      <c r="S206" s="124"/>
      <c r="T206" s="159"/>
      <c r="U206" s="157"/>
      <c r="V206" s="147"/>
      <c r="W206" s="150"/>
      <c r="X206" s="157"/>
      <c r="Y206" s="147"/>
      <c r="Z206" s="150"/>
      <c r="AA206" s="150"/>
      <c r="AB206" s="150"/>
      <c r="AC206" s="153"/>
      <c r="AD206" s="57">
        <f>ABS(BIN2DEC($AA202)*3-2)</f>
        <v>2</v>
      </c>
      <c r="AE206" s="57">
        <f>ABS(BIN2DEC($U202)*3-1)</f>
        <v>1</v>
      </c>
      <c r="AF206" s="57">
        <f>ABS( BIN2DEC(V202)*3-BIN2DEC(Z202))</f>
        <v>3</v>
      </c>
      <c r="AG206" s="57">
        <f>BIN2DEC(X202&amp;Y202)+BIN2DEC(W202)*3</f>
        <v>4</v>
      </c>
      <c r="AH206" s="57">
        <f t="shared" si="297"/>
        <v>54</v>
      </c>
    </row>
    <row r="207" spans="1:34" ht="15.75" customHeight="1">
      <c r="A207" s="137" t="str">
        <f>AC207</f>
        <v>vofc_dom1_quad1_quad3_sar3_slc4</v>
      </c>
      <c r="B207" s="139" t="str">
        <f>DEC2HEX(P207*4)</f>
        <v>0</v>
      </c>
      <c r="C207" s="56" t="s">
        <v>134</v>
      </c>
      <c r="D207" s="129" t="str">
        <f>bitConcat(F208:F211)</f>
        <v>32'b00000000000000000000000000000000</v>
      </c>
      <c r="E207" s="130"/>
      <c r="F207" s="130"/>
      <c r="G207" s="130"/>
      <c r="H207" s="131" t="s">
        <v>135</v>
      </c>
      <c r="I207" s="131"/>
      <c r="J207" s="131" t="str">
        <f>bitConcat(G208:G211)</f>
        <v>32'b00000000000000000000000000000000</v>
      </c>
      <c r="K207" s="131"/>
      <c r="L207" s="132"/>
      <c r="M207" s="119" t="str">
        <f>DEC2HEX(_xlfn.BITLSHIFT(HEX2DEC(Q207),2))</f>
        <v>D4</v>
      </c>
      <c r="N207" s="119"/>
      <c r="O207" s="119">
        <v>1</v>
      </c>
      <c r="P207" s="121">
        <v>0</v>
      </c>
      <c r="Q207" s="121" t="str">
        <f>AB207</f>
        <v>35</v>
      </c>
      <c r="R207" s="123" t="str">
        <f t="shared" ref="R207" si="298">BIN2HEX(LEFT(RIGHT(D207,32),4))&amp;BIN2HEX(LEFT(RIGHT(D207,28),4))&amp;BIN2HEX(LEFT(RIGHT(D207,24),4))&amp;BIN2HEX(LEFT(RIGHT(D207,20),4))&amp;BIN2HEX(LEFT(RIGHT(D207,16),4))&amp;BIN2HEX(LEFT(RIGHT(D207,12),4))&amp;BIN2HEX(LEFT(RIGHT(D207,8),4))&amp;BIN2HEX(LEFT(RIGHT(D207,4),4))</f>
        <v>00000000</v>
      </c>
      <c r="S207" s="123" t="str">
        <f t="shared" ref="S207" si="299">BIN2HEX(LEFT(RIGHT(J207,32),4))&amp;BIN2HEX(LEFT(RIGHT(J207,28),4))&amp;BIN2HEX(LEFT(RIGHT(J207,24),4))&amp;BIN2HEX(LEFT(RIGHT(J207,20),4))&amp;BIN2HEX(LEFT(RIGHT(J207,16),4))&amp;BIN2HEX(LEFT(RIGHT(J207,12),4))&amp;BIN2HEX(LEFT(RIGHT(J207,8),4))&amp;BIN2HEX(LEFT(RIGHT(J207,4),4))</f>
        <v>00000000</v>
      </c>
      <c r="T207" s="159">
        <v>17</v>
      </c>
      <c r="U207" s="155" t="str">
        <f t="shared" ref="U207" si="300">LEFT(DEC2BIN(O207,2))</f>
        <v>0</v>
      </c>
      <c r="V207" s="145" t="str">
        <f t="shared" ref="V207" si="301">RIGHT(DEC2BIN(O207,2),1)</f>
        <v>1</v>
      </c>
      <c r="W207" s="148">
        <v>1</v>
      </c>
      <c r="X207" s="155">
        <v>0</v>
      </c>
      <c r="Y207" s="145">
        <v>1</v>
      </c>
      <c r="Z207" s="148">
        <v>0</v>
      </c>
      <c r="AA207" s="148">
        <v>1</v>
      </c>
      <c r="AB207" s="148" t="str">
        <f t="shared" ref="AB207" si="302">BIN2HEX(U207&amp;V207&amp;W207&amp;X207&amp;Y207&amp;Z207&amp;AA207)</f>
        <v>35</v>
      </c>
      <c r="AC207" s="151" t="str">
        <f>CONCATENATE("vofc_dom",BIN2DEC(U207&amp;V207),"_quad",BIN2DEC(AA207),"_quad",BIN2DEC(AA207)+2,"_sar",ABS( BIN2DEC(V207)*3-BIN2DEC(Z207)),"_slc",BIN2DEC(X207&amp;Y207)+BIN2DEC(W207)*3)</f>
        <v>vofc_dom1_quad1_quad3_sar3_slc4</v>
      </c>
      <c r="AD207" s="57"/>
      <c r="AE207" s="57"/>
      <c r="AF207" s="57"/>
      <c r="AG207" s="57"/>
      <c r="AH207" s="57"/>
    </row>
    <row r="208" spans="1:34" ht="15" customHeight="1">
      <c r="A208" s="138"/>
      <c r="B208" s="140"/>
      <c r="C208" s="43" t="str">
        <f>CONCATENATE("sar",AD208+AE208*4+AF208*16,"_slc",AG208)</f>
        <v>sar51_slc4</v>
      </c>
      <c r="D208" s="44">
        <v>8</v>
      </c>
      <c r="E208" s="29" t="str">
        <f>IF(D208&gt;1,(31)&amp;":"&amp;(31-D208+1),(31-D208+1)&amp;":"&amp;(31-D208+1))</f>
        <v>31:24</v>
      </c>
      <c r="F208" s="30" t="s">
        <v>133</v>
      </c>
      <c r="G208" s="30" t="s">
        <v>133</v>
      </c>
      <c r="H208" s="45" t="s">
        <v>143</v>
      </c>
      <c r="I208" s="31" t="s">
        <v>68</v>
      </c>
      <c r="J208" s="32" t="s">
        <v>36</v>
      </c>
      <c r="K208" s="33" t="s">
        <v>6</v>
      </c>
      <c r="L208" s="46"/>
      <c r="M208" s="120"/>
      <c r="N208" s="120"/>
      <c r="O208" s="120"/>
      <c r="P208" s="122"/>
      <c r="Q208" s="122"/>
      <c r="R208" s="124"/>
      <c r="S208" s="124"/>
      <c r="T208" s="159"/>
      <c r="U208" s="156"/>
      <c r="V208" s="146"/>
      <c r="W208" s="149"/>
      <c r="X208" s="156"/>
      <c r="Y208" s="146"/>
      <c r="Z208" s="149"/>
      <c r="AA208" s="149"/>
      <c r="AB208" s="149"/>
      <c r="AC208" s="152"/>
      <c r="AD208" s="57">
        <f>BIN2DEC($AA207)*3</f>
        <v>3</v>
      </c>
      <c r="AE208" s="57">
        <f>ABS(BIN2DEC($U207)*3)</f>
        <v>0</v>
      </c>
      <c r="AF208" s="57">
        <f>ABS( BIN2DEC(V207)*3-BIN2DEC(Z207))</f>
        <v>3</v>
      </c>
      <c r="AG208" s="57">
        <f>BIN2DEC(X207&amp;Y207)+BIN2DEC(W207)*3</f>
        <v>4</v>
      </c>
      <c r="AH208" s="57">
        <f>AD208+AE208*4+AF208*16</f>
        <v>51</v>
      </c>
    </row>
    <row r="209" spans="1:34" ht="15" customHeight="1">
      <c r="A209" s="138"/>
      <c r="B209" s="140"/>
      <c r="C209" s="43" t="str">
        <f t="shared" ref="C209:C211" si="303">CONCATENATE("sar",AD209+AE209*4+AF209*16,"_slc",AG209)</f>
        <v>sar55_slc4</v>
      </c>
      <c r="D209" s="44">
        <v>8</v>
      </c>
      <c r="E209" s="30" t="str">
        <f t="shared" ref="E209:E211" si="304">(MID(str_cnvt(E208),SEARCH(":",str_cnvt(E208))+1,2)-1) &amp; ":" &amp; (MID(str_cnvt(E208),SEARCH(":",str_cnvt(E208))+1,2)-D209)</f>
        <v>23:16</v>
      </c>
      <c r="F209" s="30" t="s">
        <v>133</v>
      </c>
      <c r="G209" s="30" t="s">
        <v>133</v>
      </c>
      <c r="H209" s="45" t="s">
        <v>143</v>
      </c>
      <c r="I209" s="31" t="s">
        <v>68</v>
      </c>
      <c r="J209" s="32" t="s">
        <v>36</v>
      </c>
      <c r="K209" s="33" t="s">
        <v>6</v>
      </c>
      <c r="L209" s="46"/>
      <c r="M209" s="120"/>
      <c r="N209" s="120"/>
      <c r="O209" s="120"/>
      <c r="P209" s="122"/>
      <c r="Q209" s="122"/>
      <c r="R209" s="124"/>
      <c r="S209" s="124"/>
      <c r="T209" s="159"/>
      <c r="U209" s="156"/>
      <c r="V209" s="146"/>
      <c r="W209" s="149"/>
      <c r="X209" s="156"/>
      <c r="Y209" s="146"/>
      <c r="Z209" s="149"/>
      <c r="AA209" s="149"/>
      <c r="AB209" s="149"/>
      <c r="AC209" s="152"/>
      <c r="AD209" s="57">
        <f>BIN2DEC($AA207)*3</f>
        <v>3</v>
      </c>
      <c r="AE209" s="57">
        <f>ABS(BIN2DEC($U208)*3-1)</f>
        <v>1</v>
      </c>
      <c r="AF209" s="57">
        <f>ABS( BIN2DEC(V207)*3-BIN2DEC(Z207))</f>
        <v>3</v>
      </c>
      <c r="AG209" s="57">
        <f>BIN2DEC(X207&amp;Y207)+BIN2DEC(W207)*3</f>
        <v>4</v>
      </c>
      <c r="AH209" s="57">
        <f t="shared" ref="AH209:AH211" si="305">AD209+AE209*4+AF209*16</f>
        <v>55</v>
      </c>
    </row>
    <row r="210" spans="1:34" ht="15" customHeight="1">
      <c r="A210" s="138"/>
      <c r="B210" s="140"/>
      <c r="C210" s="43" t="str">
        <f t="shared" si="303"/>
        <v>sar49_slc4</v>
      </c>
      <c r="D210" s="44">
        <v>8</v>
      </c>
      <c r="E210" s="30" t="str">
        <f t="shared" si="304"/>
        <v>15:8</v>
      </c>
      <c r="F210" s="30" t="s">
        <v>133</v>
      </c>
      <c r="G210" s="30" t="s">
        <v>133</v>
      </c>
      <c r="H210" s="45" t="s">
        <v>143</v>
      </c>
      <c r="I210" s="31" t="s">
        <v>68</v>
      </c>
      <c r="J210" s="32" t="s">
        <v>36</v>
      </c>
      <c r="K210" s="33" t="s">
        <v>6</v>
      </c>
      <c r="L210" s="46"/>
      <c r="M210" s="120"/>
      <c r="N210" s="120"/>
      <c r="O210" s="120"/>
      <c r="P210" s="122"/>
      <c r="Q210" s="122"/>
      <c r="R210" s="124"/>
      <c r="S210" s="124"/>
      <c r="T210" s="159"/>
      <c r="U210" s="156"/>
      <c r="V210" s="146"/>
      <c r="W210" s="149"/>
      <c r="X210" s="156"/>
      <c r="Y210" s="146"/>
      <c r="Z210" s="149"/>
      <c r="AA210" s="149"/>
      <c r="AB210" s="149"/>
      <c r="AC210" s="152"/>
      <c r="AD210" s="57">
        <f>ABS(BIN2DEC($AA207)*3-2)</f>
        <v>1</v>
      </c>
      <c r="AE210" s="57">
        <f>ABS(BIN2DEC($U207)*3)</f>
        <v>0</v>
      </c>
      <c r="AF210" s="57">
        <f>ABS( BIN2DEC(V207)*3-BIN2DEC(Z207))</f>
        <v>3</v>
      </c>
      <c r="AG210" s="57">
        <f>BIN2DEC(X207&amp;Y207)+BIN2DEC(W207)*3</f>
        <v>4</v>
      </c>
      <c r="AH210" s="57">
        <f t="shared" si="305"/>
        <v>49</v>
      </c>
    </row>
    <row r="211" spans="1:34" ht="15.75" customHeight="1" thickBot="1">
      <c r="A211" s="138"/>
      <c r="B211" s="140"/>
      <c r="C211" s="43" t="str">
        <f t="shared" si="303"/>
        <v>sar53_slc4</v>
      </c>
      <c r="D211" s="44">
        <v>8</v>
      </c>
      <c r="E211" s="30" t="str">
        <f t="shared" si="304"/>
        <v>7:0</v>
      </c>
      <c r="F211" s="30" t="s">
        <v>133</v>
      </c>
      <c r="G211" s="30" t="s">
        <v>133</v>
      </c>
      <c r="H211" s="45" t="s">
        <v>143</v>
      </c>
      <c r="I211" s="31" t="s">
        <v>68</v>
      </c>
      <c r="J211" s="32" t="s">
        <v>36</v>
      </c>
      <c r="K211" s="33" t="s">
        <v>6</v>
      </c>
      <c r="L211" s="46"/>
      <c r="M211" s="120"/>
      <c r="N211" s="120"/>
      <c r="O211" s="120"/>
      <c r="P211" s="122"/>
      <c r="Q211" s="122"/>
      <c r="R211" s="124"/>
      <c r="S211" s="124"/>
      <c r="T211" s="159"/>
      <c r="U211" s="157"/>
      <c r="V211" s="147"/>
      <c r="W211" s="150"/>
      <c r="X211" s="157"/>
      <c r="Y211" s="147"/>
      <c r="Z211" s="150"/>
      <c r="AA211" s="150"/>
      <c r="AB211" s="150"/>
      <c r="AC211" s="153"/>
      <c r="AD211" s="57">
        <f>ABS(BIN2DEC($AA207)*3-2)</f>
        <v>1</v>
      </c>
      <c r="AE211" s="57">
        <f>ABS(BIN2DEC($U207)*3-1)</f>
        <v>1</v>
      </c>
      <c r="AF211" s="57">
        <f>ABS( BIN2DEC(V207)*3-BIN2DEC(Z207))</f>
        <v>3</v>
      </c>
      <c r="AG211" s="57">
        <f>BIN2DEC(X207&amp;Y207)+BIN2DEC(W207)*3</f>
        <v>4</v>
      </c>
      <c r="AH211" s="57">
        <f t="shared" si="305"/>
        <v>53</v>
      </c>
    </row>
    <row r="212" spans="1:34" ht="15.75" customHeight="1">
      <c r="A212" s="137" t="str">
        <f>AC212</f>
        <v>vofc_dom1_quad0_quad2_sar2_slc4</v>
      </c>
      <c r="B212" s="139" t="str">
        <f>DEC2HEX(P212*4)</f>
        <v>0</v>
      </c>
      <c r="C212" s="56" t="s">
        <v>134</v>
      </c>
      <c r="D212" s="129" t="str">
        <f>bitConcat(F213:F216)</f>
        <v>32'b00000000000000000000000000000000</v>
      </c>
      <c r="E212" s="130"/>
      <c r="F212" s="130"/>
      <c r="G212" s="130"/>
      <c r="H212" s="131" t="s">
        <v>135</v>
      </c>
      <c r="I212" s="131"/>
      <c r="J212" s="131" t="str">
        <f>bitConcat(G213:G216)</f>
        <v>32'b00000000000000000000000000000000</v>
      </c>
      <c r="K212" s="131"/>
      <c r="L212" s="132"/>
      <c r="M212" s="119" t="str">
        <f>DEC2HEX(_xlfn.BITLSHIFT(HEX2DEC(Q212),2))</f>
        <v>D8</v>
      </c>
      <c r="N212" s="119"/>
      <c r="O212" s="119">
        <v>1</v>
      </c>
      <c r="P212" s="121">
        <v>0</v>
      </c>
      <c r="Q212" s="121" t="str">
        <f>AB212</f>
        <v>36</v>
      </c>
      <c r="R212" s="123" t="str">
        <f t="shared" ref="R212" si="306">BIN2HEX(LEFT(RIGHT(D212,32),4))&amp;BIN2HEX(LEFT(RIGHT(D212,28),4))&amp;BIN2HEX(LEFT(RIGHT(D212,24),4))&amp;BIN2HEX(LEFT(RIGHT(D212,20),4))&amp;BIN2HEX(LEFT(RIGHT(D212,16),4))&amp;BIN2HEX(LEFT(RIGHT(D212,12),4))&amp;BIN2HEX(LEFT(RIGHT(D212,8),4))&amp;BIN2HEX(LEFT(RIGHT(D212,4),4))</f>
        <v>00000000</v>
      </c>
      <c r="S212" s="123" t="str">
        <f t="shared" ref="S212" si="307">BIN2HEX(LEFT(RIGHT(J212,32),4))&amp;BIN2HEX(LEFT(RIGHT(J212,28),4))&amp;BIN2HEX(LEFT(RIGHT(J212,24),4))&amp;BIN2HEX(LEFT(RIGHT(J212,20),4))&amp;BIN2HEX(LEFT(RIGHT(J212,16),4))&amp;BIN2HEX(LEFT(RIGHT(J212,12),4))&amp;BIN2HEX(LEFT(RIGHT(J212,8),4))&amp;BIN2HEX(LEFT(RIGHT(J212,4),4))</f>
        <v>00000000</v>
      </c>
      <c r="T212" s="159">
        <v>18</v>
      </c>
      <c r="U212" s="155" t="str">
        <f t="shared" ref="U212" si="308">LEFT(DEC2BIN(O212,2))</f>
        <v>0</v>
      </c>
      <c r="V212" s="145" t="str">
        <f t="shared" ref="V212" si="309">RIGHT(DEC2BIN(O212,2),1)</f>
        <v>1</v>
      </c>
      <c r="W212" s="148">
        <v>1</v>
      </c>
      <c r="X212" s="155">
        <v>0</v>
      </c>
      <c r="Y212" s="145">
        <v>1</v>
      </c>
      <c r="Z212" s="148">
        <v>1</v>
      </c>
      <c r="AA212" s="148">
        <v>0</v>
      </c>
      <c r="AB212" s="148" t="str">
        <f t="shared" ref="AB212" si="310">BIN2HEX(U212&amp;V212&amp;W212&amp;X212&amp;Y212&amp;Z212&amp;AA212)</f>
        <v>36</v>
      </c>
      <c r="AC212" s="151" t="str">
        <f>CONCATENATE("vofc_dom",BIN2DEC(U212&amp;V212),"_quad",BIN2DEC(AA212),"_quad",BIN2DEC(AA212)+2,"_sar",ABS( BIN2DEC(V212)*3-BIN2DEC(Z212)),"_slc",BIN2DEC(X212&amp;Y212)+BIN2DEC(W212)*3)</f>
        <v>vofc_dom1_quad0_quad2_sar2_slc4</v>
      </c>
      <c r="AD212" s="57"/>
      <c r="AE212" s="57"/>
      <c r="AF212" s="57"/>
      <c r="AG212" s="57"/>
      <c r="AH212" s="57"/>
    </row>
    <row r="213" spans="1:34" ht="15" customHeight="1">
      <c r="A213" s="138"/>
      <c r="B213" s="140"/>
      <c r="C213" s="43" t="str">
        <f>CONCATENATE("sar",AD213+AE213*4+AF213*16,"_slc",AG213)</f>
        <v>sar32_slc4</v>
      </c>
      <c r="D213" s="44">
        <v>8</v>
      </c>
      <c r="E213" s="29" t="str">
        <f>IF(D213&gt;1,(31)&amp;":"&amp;(31-D213+1),(31-D213+1)&amp;":"&amp;(31-D213+1))</f>
        <v>31:24</v>
      </c>
      <c r="F213" s="30" t="s">
        <v>133</v>
      </c>
      <c r="G213" s="30" t="s">
        <v>133</v>
      </c>
      <c r="H213" s="45" t="s">
        <v>143</v>
      </c>
      <c r="I213" s="31" t="s">
        <v>68</v>
      </c>
      <c r="J213" s="32" t="s">
        <v>36</v>
      </c>
      <c r="K213" s="33" t="s">
        <v>6</v>
      </c>
      <c r="L213" s="46"/>
      <c r="M213" s="120"/>
      <c r="N213" s="120"/>
      <c r="O213" s="120"/>
      <c r="P213" s="122"/>
      <c r="Q213" s="122"/>
      <c r="R213" s="124"/>
      <c r="S213" s="124"/>
      <c r="T213" s="159"/>
      <c r="U213" s="156"/>
      <c r="V213" s="146"/>
      <c r="W213" s="149"/>
      <c r="X213" s="156"/>
      <c r="Y213" s="146"/>
      <c r="Z213" s="149"/>
      <c r="AA213" s="149"/>
      <c r="AB213" s="149"/>
      <c r="AC213" s="152"/>
      <c r="AD213" s="57">
        <f>BIN2DEC($AA212)*3</f>
        <v>0</v>
      </c>
      <c r="AE213" s="57">
        <f>ABS(BIN2DEC($U212)*3)</f>
        <v>0</v>
      </c>
      <c r="AF213" s="57">
        <f>ABS( BIN2DEC(V212)*3-BIN2DEC(Z212))</f>
        <v>2</v>
      </c>
      <c r="AG213" s="57">
        <f>BIN2DEC(X212&amp;Y212)+BIN2DEC(W212)*3</f>
        <v>4</v>
      </c>
      <c r="AH213" s="57">
        <f>AD213+AE213*4+AF213*16</f>
        <v>32</v>
      </c>
    </row>
    <row r="214" spans="1:34" ht="15" customHeight="1">
      <c r="A214" s="138"/>
      <c r="B214" s="140"/>
      <c r="C214" s="43" t="str">
        <f t="shared" ref="C214:C216" si="311">CONCATENATE("sar",AD214+AE214*4+AF214*16,"_slc",AG214)</f>
        <v>sar36_slc4</v>
      </c>
      <c r="D214" s="44">
        <v>8</v>
      </c>
      <c r="E214" s="30" t="str">
        <f t="shared" ref="E214:E216" si="312">(MID(str_cnvt(E213),SEARCH(":",str_cnvt(E213))+1,2)-1) &amp; ":" &amp; (MID(str_cnvt(E213),SEARCH(":",str_cnvt(E213))+1,2)-D214)</f>
        <v>23:16</v>
      </c>
      <c r="F214" s="30" t="s">
        <v>133</v>
      </c>
      <c r="G214" s="30" t="s">
        <v>133</v>
      </c>
      <c r="H214" s="45" t="s">
        <v>143</v>
      </c>
      <c r="I214" s="31" t="s">
        <v>68</v>
      </c>
      <c r="J214" s="32" t="s">
        <v>36</v>
      </c>
      <c r="K214" s="33" t="s">
        <v>6</v>
      </c>
      <c r="L214" s="46"/>
      <c r="M214" s="120"/>
      <c r="N214" s="120"/>
      <c r="O214" s="120"/>
      <c r="P214" s="122"/>
      <c r="Q214" s="122"/>
      <c r="R214" s="124"/>
      <c r="S214" s="124"/>
      <c r="T214" s="159"/>
      <c r="U214" s="156"/>
      <c r="V214" s="146"/>
      <c r="W214" s="149"/>
      <c r="X214" s="156"/>
      <c r="Y214" s="146"/>
      <c r="Z214" s="149"/>
      <c r="AA214" s="149"/>
      <c r="AB214" s="149"/>
      <c r="AC214" s="152"/>
      <c r="AD214" s="57">
        <f>BIN2DEC($AA212)*3</f>
        <v>0</v>
      </c>
      <c r="AE214" s="57">
        <f>ABS(BIN2DEC($U213)*3-1)</f>
        <v>1</v>
      </c>
      <c r="AF214" s="57">
        <f>ABS( BIN2DEC(V212)*3-BIN2DEC(Z212))</f>
        <v>2</v>
      </c>
      <c r="AG214" s="57">
        <f>BIN2DEC(X212&amp;Y212)+BIN2DEC(W212)*3</f>
        <v>4</v>
      </c>
      <c r="AH214" s="57">
        <f t="shared" ref="AH214:AH216" si="313">AD214+AE214*4+AF214*16</f>
        <v>36</v>
      </c>
    </row>
    <row r="215" spans="1:34" ht="15" customHeight="1">
      <c r="A215" s="138"/>
      <c r="B215" s="140"/>
      <c r="C215" s="43" t="str">
        <f t="shared" si="311"/>
        <v>sar34_slc4</v>
      </c>
      <c r="D215" s="44">
        <v>8</v>
      </c>
      <c r="E215" s="30" t="str">
        <f t="shared" si="312"/>
        <v>15:8</v>
      </c>
      <c r="F215" s="30" t="s">
        <v>133</v>
      </c>
      <c r="G215" s="30" t="s">
        <v>133</v>
      </c>
      <c r="H215" s="45" t="s">
        <v>143</v>
      </c>
      <c r="I215" s="31" t="s">
        <v>68</v>
      </c>
      <c r="J215" s="32" t="s">
        <v>36</v>
      </c>
      <c r="K215" s="33" t="s">
        <v>6</v>
      </c>
      <c r="L215" s="46"/>
      <c r="M215" s="120"/>
      <c r="N215" s="120"/>
      <c r="O215" s="120"/>
      <c r="P215" s="122"/>
      <c r="Q215" s="122"/>
      <c r="R215" s="124"/>
      <c r="S215" s="124"/>
      <c r="T215" s="159"/>
      <c r="U215" s="156"/>
      <c r="V215" s="146"/>
      <c r="W215" s="149"/>
      <c r="X215" s="156"/>
      <c r="Y215" s="146"/>
      <c r="Z215" s="149"/>
      <c r="AA215" s="149"/>
      <c r="AB215" s="149"/>
      <c r="AC215" s="152"/>
      <c r="AD215" s="57">
        <f>ABS(BIN2DEC($AA212)*3-2)</f>
        <v>2</v>
      </c>
      <c r="AE215" s="57">
        <f>ABS(BIN2DEC($U212)*3)</f>
        <v>0</v>
      </c>
      <c r="AF215" s="57">
        <f>ABS( BIN2DEC(V212)*3-BIN2DEC(Z212))</f>
        <v>2</v>
      </c>
      <c r="AG215" s="57">
        <f>BIN2DEC(X212&amp;Y212)+BIN2DEC(W212)*3</f>
        <v>4</v>
      </c>
      <c r="AH215" s="57">
        <f t="shared" si="313"/>
        <v>34</v>
      </c>
    </row>
    <row r="216" spans="1:34" ht="15.75" customHeight="1" thickBot="1">
      <c r="A216" s="138"/>
      <c r="B216" s="140"/>
      <c r="C216" s="43" t="str">
        <f t="shared" si="311"/>
        <v>sar38_slc4</v>
      </c>
      <c r="D216" s="44">
        <v>8</v>
      </c>
      <c r="E216" s="30" t="str">
        <f t="shared" si="312"/>
        <v>7:0</v>
      </c>
      <c r="F216" s="30" t="s">
        <v>133</v>
      </c>
      <c r="G216" s="30" t="s">
        <v>133</v>
      </c>
      <c r="H216" s="45" t="s">
        <v>143</v>
      </c>
      <c r="I216" s="31" t="s">
        <v>68</v>
      </c>
      <c r="J216" s="32" t="s">
        <v>36</v>
      </c>
      <c r="K216" s="33" t="s">
        <v>6</v>
      </c>
      <c r="L216" s="46"/>
      <c r="M216" s="120"/>
      <c r="N216" s="120"/>
      <c r="O216" s="120"/>
      <c r="P216" s="122"/>
      <c r="Q216" s="122"/>
      <c r="R216" s="124"/>
      <c r="S216" s="124"/>
      <c r="T216" s="159"/>
      <c r="U216" s="157"/>
      <c r="V216" s="147"/>
      <c r="W216" s="150"/>
      <c r="X216" s="157"/>
      <c r="Y216" s="147"/>
      <c r="Z216" s="150"/>
      <c r="AA216" s="150"/>
      <c r="AB216" s="150"/>
      <c r="AC216" s="153"/>
      <c r="AD216" s="57">
        <f>ABS(BIN2DEC($AA212)*3-2)</f>
        <v>2</v>
      </c>
      <c r="AE216" s="57">
        <f>ABS(BIN2DEC($U212)*3-1)</f>
        <v>1</v>
      </c>
      <c r="AF216" s="57">
        <f>ABS( BIN2DEC(V212)*3-BIN2DEC(Z212))</f>
        <v>2</v>
      </c>
      <c r="AG216" s="57">
        <f>BIN2DEC(X212&amp;Y212)+BIN2DEC(W212)*3</f>
        <v>4</v>
      </c>
      <c r="AH216" s="57">
        <f t="shared" si="313"/>
        <v>38</v>
      </c>
    </row>
    <row r="217" spans="1:34" ht="15.75" customHeight="1">
      <c r="A217" s="137" t="str">
        <f>AC217</f>
        <v>vofc_dom1_quad1_quad3_sar2_slc4</v>
      </c>
      <c r="B217" s="139" t="str">
        <f>DEC2HEX(P217*4)</f>
        <v>0</v>
      </c>
      <c r="C217" s="56" t="s">
        <v>134</v>
      </c>
      <c r="D217" s="129" t="str">
        <f>bitConcat(F218:F221)</f>
        <v>32'b00000000000000000000000000000000</v>
      </c>
      <c r="E217" s="130"/>
      <c r="F217" s="130"/>
      <c r="G217" s="130"/>
      <c r="H217" s="131" t="s">
        <v>135</v>
      </c>
      <c r="I217" s="131"/>
      <c r="J217" s="131" t="str">
        <f>bitConcat(G218:G221)</f>
        <v>32'b00000000000000000000000000000000</v>
      </c>
      <c r="K217" s="131"/>
      <c r="L217" s="132"/>
      <c r="M217" s="119" t="str">
        <f>DEC2HEX(_xlfn.BITLSHIFT(HEX2DEC(Q217),2))</f>
        <v>DC</v>
      </c>
      <c r="N217" s="119"/>
      <c r="O217" s="119">
        <v>1</v>
      </c>
      <c r="P217" s="121">
        <v>0</v>
      </c>
      <c r="Q217" s="121" t="str">
        <f>AB217</f>
        <v>37</v>
      </c>
      <c r="R217" s="123" t="str">
        <f t="shared" ref="R217" si="314">BIN2HEX(LEFT(RIGHT(D217,32),4))&amp;BIN2HEX(LEFT(RIGHT(D217,28),4))&amp;BIN2HEX(LEFT(RIGHT(D217,24),4))&amp;BIN2HEX(LEFT(RIGHT(D217,20),4))&amp;BIN2HEX(LEFT(RIGHT(D217,16),4))&amp;BIN2HEX(LEFT(RIGHT(D217,12),4))&amp;BIN2HEX(LEFT(RIGHT(D217,8),4))&amp;BIN2HEX(LEFT(RIGHT(D217,4),4))</f>
        <v>00000000</v>
      </c>
      <c r="S217" s="123" t="str">
        <f t="shared" ref="S217" si="315">BIN2HEX(LEFT(RIGHT(J217,32),4))&amp;BIN2HEX(LEFT(RIGHT(J217,28),4))&amp;BIN2HEX(LEFT(RIGHT(J217,24),4))&amp;BIN2HEX(LEFT(RIGHT(J217,20),4))&amp;BIN2HEX(LEFT(RIGHT(J217,16),4))&amp;BIN2HEX(LEFT(RIGHT(J217,12),4))&amp;BIN2HEX(LEFT(RIGHT(J217,8),4))&amp;BIN2HEX(LEFT(RIGHT(J217,4),4))</f>
        <v>00000000</v>
      </c>
      <c r="T217" s="159">
        <v>19</v>
      </c>
      <c r="U217" s="155" t="str">
        <f t="shared" ref="U217" si="316">LEFT(DEC2BIN(O217,2))</f>
        <v>0</v>
      </c>
      <c r="V217" s="145" t="str">
        <f t="shared" ref="V217" si="317">RIGHT(DEC2BIN(O217,2),1)</f>
        <v>1</v>
      </c>
      <c r="W217" s="148">
        <v>1</v>
      </c>
      <c r="X217" s="155">
        <v>0</v>
      </c>
      <c r="Y217" s="145">
        <v>1</v>
      </c>
      <c r="Z217" s="148">
        <v>1</v>
      </c>
      <c r="AA217" s="148">
        <v>1</v>
      </c>
      <c r="AB217" s="148" t="str">
        <f t="shared" ref="AB217" si="318">BIN2HEX(U217&amp;V217&amp;W217&amp;X217&amp;Y217&amp;Z217&amp;AA217)</f>
        <v>37</v>
      </c>
      <c r="AC217" s="151" t="str">
        <f>CONCATENATE("vofc_dom",BIN2DEC(U217&amp;V217),"_quad",BIN2DEC(AA217),"_quad",BIN2DEC(AA217)+2,"_sar",ABS( BIN2DEC(V217)*3-BIN2DEC(Z217)),"_slc",BIN2DEC(X217&amp;Y217)+BIN2DEC(W217)*3)</f>
        <v>vofc_dom1_quad1_quad3_sar2_slc4</v>
      </c>
      <c r="AD217" s="57"/>
      <c r="AE217" s="57"/>
      <c r="AF217" s="57"/>
      <c r="AG217" s="57"/>
      <c r="AH217" s="57"/>
    </row>
    <row r="218" spans="1:34" ht="15" customHeight="1">
      <c r="A218" s="138"/>
      <c r="B218" s="140"/>
      <c r="C218" s="43" t="str">
        <f>CONCATENATE("sar",AD218+AE218*4+AF218*16,"_slc",AG218)</f>
        <v>sar35_slc4</v>
      </c>
      <c r="D218" s="44">
        <v>8</v>
      </c>
      <c r="E218" s="29" t="str">
        <f>IF(D218&gt;1,(31)&amp;":"&amp;(31-D218+1),(31-D218+1)&amp;":"&amp;(31-D218+1))</f>
        <v>31:24</v>
      </c>
      <c r="F218" s="30" t="s">
        <v>133</v>
      </c>
      <c r="G218" s="30" t="s">
        <v>133</v>
      </c>
      <c r="H218" s="45" t="s">
        <v>143</v>
      </c>
      <c r="I218" s="31" t="s">
        <v>68</v>
      </c>
      <c r="J218" s="32" t="s">
        <v>36</v>
      </c>
      <c r="K218" s="33" t="s">
        <v>6</v>
      </c>
      <c r="L218" s="46"/>
      <c r="M218" s="120"/>
      <c r="N218" s="120"/>
      <c r="O218" s="120"/>
      <c r="P218" s="122"/>
      <c r="Q218" s="122"/>
      <c r="R218" s="124"/>
      <c r="S218" s="124"/>
      <c r="T218" s="159"/>
      <c r="U218" s="156"/>
      <c r="V218" s="146"/>
      <c r="W218" s="149"/>
      <c r="X218" s="156"/>
      <c r="Y218" s="146"/>
      <c r="Z218" s="149"/>
      <c r="AA218" s="149"/>
      <c r="AB218" s="149"/>
      <c r="AC218" s="152"/>
      <c r="AD218" s="57">
        <f>BIN2DEC($AA217)*3</f>
        <v>3</v>
      </c>
      <c r="AE218" s="57">
        <f>ABS(BIN2DEC($U217)*3)</f>
        <v>0</v>
      </c>
      <c r="AF218" s="57">
        <f>ABS( BIN2DEC(V217)*3-BIN2DEC(Z217))</f>
        <v>2</v>
      </c>
      <c r="AG218" s="57">
        <f>BIN2DEC(X217&amp;Y217)+BIN2DEC(W217)*3</f>
        <v>4</v>
      </c>
      <c r="AH218" s="57">
        <f>AD218+AE218*4+AF218*16</f>
        <v>35</v>
      </c>
    </row>
    <row r="219" spans="1:34" ht="15" customHeight="1">
      <c r="A219" s="138"/>
      <c r="B219" s="140"/>
      <c r="C219" s="43" t="str">
        <f t="shared" ref="C219:C221" si="319">CONCATENATE("sar",AD219+AE219*4+AF219*16,"_slc",AG219)</f>
        <v>sar39_slc4</v>
      </c>
      <c r="D219" s="44">
        <v>8</v>
      </c>
      <c r="E219" s="30" t="str">
        <f t="shared" ref="E219:E221" si="320">(MID(str_cnvt(E218),SEARCH(":",str_cnvt(E218))+1,2)-1) &amp; ":" &amp; (MID(str_cnvt(E218),SEARCH(":",str_cnvt(E218))+1,2)-D219)</f>
        <v>23:16</v>
      </c>
      <c r="F219" s="30" t="s">
        <v>133</v>
      </c>
      <c r="G219" s="30" t="s">
        <v>133</v>
      </c>
      <c r="H219" s="45" t="s">
        <v>143</v>
      </c>
      <c r="I219" s="31" t="s">
        <v>68</v>
      </c>
      <c r="J219" s="32" t="s">
        <v>36</v>
      </c>
      <c r="K219" s="33" t="s">
        <v>6</v>
      </c>
      <c r="L219" s="46"/>
      <c r="M219" s="120"/>
      <c r="N219" s="120"/>
      <c r="O219" s="120"/>
      <c r="P219" s="122"/>
      <c r="Q219" s="122"/>
      <c r="R219" s="124"/>
      <c r="S219" s="124"/>
      <c r="T219" s="159"/>
      <c r="U219" s="156"/>
      <c r="V219" s="146"/>
      <c r="W219" s="149"/>
      <c r="X219" s="156"/>
      <c r="Y219" s="146"/>
      <c r="Z219" s="149"/>
      <c r="AA219" s="149"/>
      <c r="AB219" s="149"/>
      <c r="AC219" s="152"/>
      <c r="AD219" s="57">
        <f>BIN2DEC($AA217)*3</f>
        <v>3</v>
      </c>
      <c r="AE219" s="57">
        <f>ABS(BIN2DEC($U218)*3-1)</f>
        <v>1</v>
      </c>
      <c r="AF219" s="57">
        <f>ABS( BIN2DEC(V217)*3-BIN2DEC(Z217))</f>
        <v>2</v>
      </c>
      <c r="AG219" s="57">
        <f>BIN2DEC(X217&amp;Y217)+BIN2DEC(W217)*3</f>
        <v>4</v>
      </c>
      <c r="AH219" s="57">
        <f t="shared" ref="AH219:AH221" si="321">AD219+AE219*4+AF219*16</f>
        <v>39</v>
      </c>
    </row>
    <row r="220" spans="1:34" ht="15" customHeight="1">
      <c r="A220" s="138"/>
      <c r="B220" s="140"/>
      <c r="C220" s="43" t="str">
        <f t="shared" si="319"/>
        <v>sar33_slc4</v>
      </c>
      <c r="D220" s="44">
        <v>8</v>
      </c>
      <c r="E220" s="30" t="str">
        <f t="shared" si="320"/>
        <v>15:8</v>
      </c>
      <c r="F220" s="30" t="s">
        <v>133</v>
      </c>
      <c r="G220" s="30" t="s">
        <v>133</v>
      </c>
      <c r="H220" s="45" t="s">
        <v>143</v>
      </c>
      <c r="I220" s="31" t="s">
        <v>68</v>
      </c>
      <c r="J220" s="32" t="s">
        <v>36</v>
      </c>
      <c r="K220" s="33" t="s">
        <v>6</v>
      </c>
      <c r="L220" s="46"/>
      <c r="M220" s="120"/>
      <c r="N220" s="120"/>
      <c r="O220" s="120"/>
      <c r="P220" s="122"/>
      <c r="Q220" s="122"/>
      <c r="R220" s="124"/>
      <c r="S220" s="124"/>
      <c r="T220" s="159"/>
      <c r="U220" s="156"/>
      <c r="V220" s="146"/>
      <c r="W220" s="149"/>
      <c r="X220" s="156"/>
      <c r="Y220" s="146"/>
      <c r="Z220" s="149"/>
      <c r="AA220" s="149"/>
      <c r="AB220" s="149"/>
      <c r="AC220" s="152"/>
      <c r="AD220" s="57">
        <f>ABS(BIN2DEC($AA217)*3-2)</f>
        <v>1</v>
      </c>
      <c r="AE220" s="57">
        <f>ABS(BIN2DEC($U217)*3)</f>
        <v>0</v>
      </c>
      <c r="AF220" s="57">
        <f>ABS( BIN2DEC(V217)*3-BIN2DEC(Z217))</f>
        <v>2</v>
      </c>
      <c r="AG220" s="57">
        <f>BIN2DEC(X217&amp;Y217)+BIN2DEC(W217)*3</f>
        <v>4</v>
      </c>
      <c r="AH220" s="57">
        <f t="shared" si="321"/>
        <v>33</v>
      </c>
    </row>
    <row r="221" spans="1:34" ht="15.75" customHeight="1" thickBot="1">
      <c r="A221" s="138"/>
      <c r="B221" s="140"/>
      <c r="C221" s="43" t="str">
        <f t="shared" si="319"/>
        <v>sar37_slc4</v>
      </c>
      <c r="D221" s="44">
        <v>8</v>
      </c>
      <c r="E221" s="30" t="str">
        <f t="shared" si="320"/>
        <v>7:0</v>
      </c>
      <c r="F221" s="30" t="s">
        <v>133</v>
      </c>
      <c r="G221" s="30" t="s">
        <v>133</v>
      </c>
      <c r="H221" s="45" t="s">
        <v>143</v>
      </c>
      <c r="I221" s="31" t="s">
        <v>68</v>
      </c>
      <c r="J221" s="32" t="s">
        <v>36</v>
      </c>
      <c r="K221" s="33" t="s">
        <v>6</v>
      </c>
      <c r="L221" s="46"/>
      <c r="M221" s="120"/>
      <c r="N221" s="120"/>
      <c r="O221" s="120"/>
      <c r="P221" s="122"/>
      <c r="Q221" s="122"/>
      <c r="R221" s="124"/>
      <c r="S221" s="124"/>
      <c r="T221" s="159"/>
      <c r="U221" s="157"/>
      <c r="V221" s="147"/>
      <c r="W221" s="150"/>
      <c r="X221" s="157"/>
      <c r="Y221" s="147"/>
      <c r="Z221" s="150"/>
      <c r="AA221" s="150"/>
      <c r="AB221" s="150"/>
      <c r="AC221" s="153"/>
      <c r="AD221" s="57">
        <f>ABS(BIN2DEC($AA217)*3-2)</f>
        <v>1</v>
      </c>
      <c r="AE221" s="57">
        <f>ABS(BIN2DEC($U217)*3-1)</f>
        <v>1</v>
      </c>
      <c r="AF221" s="57">
        <f>ABS( BIN2DEC(V217)*3-BIN2DEC(Z217))</f>
        <v>2</v>
      </c>
      <c r="AG221" s="57">
        <f>BIN2DEC(X217&amp;Y217)+BIN2DEC(W217)*3</f>
        <v>4</v>
      </c>
      <c r="AH221" s="57">
        <f t="shared" si="321"/>
        <v>37</v>
      </c>
    </row>
    <row r="222" spans="1:34" ht="15.75" customHeight="1">
      <c r="A222" s="137" t="str">
        <f>AC222</f>
        <v>vofc_dom1_quad0_quad2_sar3_slc5</v>
      </c>
      <c r="B222" s="139" t="str">
        <f>DEC2HEX(P222*4)</f>
        <v>0</v>
      </c>
      <c r="C222" s="56" t="s">
        <v>134</v>
      </c>
      <c r="D222" s="129" t="str">
        <f>bitConcat(F223:F226)</f>
        <v>32'b00000000000000000000000000000000</v>
      </c>
      <c r="E222" s="130"/>
      <c r="F222" s="130"/>
      <c r="G222" s="130"/>
      <c r="H222" s="131" t="s">
        <v>135</v>
      </c>
      <c r="I222" s="131"/>
      <c r="J222" s="131" t="str">
        <f>bitConcat(G223:G226)</f>
        <v>32'b00000000000000000000000000000000</v>
      </c>
      <c r="K222" s="131"/>
      <c r="L222" s="132"/>
      <c r="M222" s="119" t="str">
        <f>DEC2HEX(_xlfn.BITLSHIFT(HEX2DEC(Q222),2))</f>
        <v>E0</v>
      </c>
      <c r="N222" s="119"/>
      <c r="O222" s="119">
        <v>1</v>
      </c>
      <c r="P222" s="121">
        <v>0</v>
      </c>
      <c r="Q222" s="121" t="str">
        <f>AB222</f>
        <v>38</v>
      </c>
      <c r="R222" s="123" t="str">
        <f t="shared" ref="R222" si="322">BIN2HEX(LEFT(RIGHT(D222,32),4))&amp;BIN2HEX(LEFT(RIGHT(D222,28),4))&amp;BIN2HEX(LEFT(RIGHT(D222,24),4))&amp;BIN2HEX(LEFT(RIGHT(D222,20),4))&amp;BIN2HEX(LEFT(RIGHT(D222,16),4))&amp;BIN2HEX(LEFT(RIGHT(D222,12),4))&amp;BIN2HEX(LEFT(RIGHT(D222,8),4))&amp;BIN2HEX(LEFT(RIGHT(D222,4),4))</f>
        <v>00000000</v>
      </c>
      <c r="S222" s="123" t="str">
        <f t="shared" ref="S222" si="323">BIN2HEX(LEFT(RIGHT(J222,32),4))&amp;BIN2HEX(LEFT(RIGHT(J222,28),4))&amp;BIN2HEX(LEFT(RIGHT(J222,24),4))&amp;BIN2HEX(LEFT(RIGHT(J222,20),4))&amp;BIN2HEX(LEFT(RIGHT(J222,16),4))&amp;BIN2HEX(LEFT(RIGHT(J222,12),4))&amp;BIN2HEX(LEFT(RIGHT(J222,8),4))&amp;BIN2HEX(LEFT(RIGHT(J222,4),4))</f>
        <v>00000000</v>
      </c>
      <c r="T222" s="159">
        <v>20</v>
      </c>
      <c r="U222" s="155" t="str">
        <f t="shared" ref="U222" si="324">LEFT(DEC2BIN(O222,2))</f>
        <v>0</v>
      </c>
      <c r="V222" s="145" t="str">
        <f t="shared" ref="V222" si="325">RIGHT(DEC2BIN(O222,2),1)</f>
        <v>1</v>
      </c>
      <c r="W222" s="148">
        <v>1</v>
      </c>
      <c r="X222" s="155">
        <v>1</v>
      </c>
      <c r="Y222" s="145">
        <v>0</v>
      </c>
      <c r="Z222" s="148">
        <v>0</v>
      </c>
      <c r="AA222" s="148">
        <v>0</v>
      </c>
      <c r="AB222" s="148" t="str">
        <f t="shared" ref="AB222" si="326">BIN2HEX(U222&amp;V222&amp;W222&amp;X222&amp;Y222&amp;Z222&amp;AA222)</f>
        <v>38</v>
      </c>
      <c r="AC222" s="151" t="str">
        <f>CONCATENATE("vofc_dom",BIN2DEC(U222&amp;V222),"_quad",BIN2DEC(AA222),"_quad",BIN2DEC(AA222)+2,"_sar",ABS( BIN2DEC(V222)*3-BIN2DEC(Z222)),"_slc",BIN2DEC(X222&amp;Y222)+BIN2DEC(W222)*3)</f>
        <v>vofc_dom1_quad0_quad2_sar3_slc5</v>
      </c>
      <c r="AD222" s="57"/>
      <c r="AE222" s="57"/>
      <c r="AF222" s="57"/>
      <c r="AG222" s="57"/>
      <c r="AH222" s="57"/>
    </row>
    <row r="223" spans="1:34" ht="15" customHeight="1">
      <c r="A223" s="138"/>
      <c r="B223" s="140"/>
      <c r="C223" s="43" t="str">
        <f>CONCATENATE("sar",AD223+AE223*4+AF223*16,"_slc",AG223)</f>
        <v>sar48_slc5</v>
      </c>
      <c r="D223" s="44">
        <v>8</v>
      </c>
      <c r="E223" s="29" t="str">
        <f>IF(D223&gt;1,(31)&amp;":"&amp;(31-D223+1),(31-D223+1)&amp;":"&amp;(31-D223+1))</f>
        <v>31:24</v>
      </c>
      <c r="F223" s="30" t="s">
        <v>133</v>
      </c>
      <c r="G223" s="30" t="s">
        <v>133</v>
      </c>
      <c r="H223" s="45" t="s">
        <v>143</v>
      </c>
      <c r="I223" s="31" t="s">
        <v>68</v>
      </c>
      <c r="J223" s="32" t="s">
        <v>36</v>
      </c>
      <c r="K223" s="33" t="s">
        <v>6</v>
      </c>
      <c r="L223" s="46"/>
      <c r="M223" s="120"/>
      <c r="N223" s="120"/>
      <c r="O223" s="120"/>
      <c r="P223" s="122"/>
      <c r="Q223" s="122"/>
      <c r="R223" s="124"/>
      <c r="S223" s="124"/>
      <c r="T223" s="159"/>
      <c r="U223" s="156"/>
      <c r="V223" s="146"/>
      <c r="W223" s="149"/>
      <c r="X223" s="156"/>
      <c r="Y223" s="146"/>
      <c r="Z223" s="149"/>
      <c r="AA223" s="149"/>
      <c r="AB223" s="149"/>
      <c r="AC223" s="152"/>
      <c r="AD223" s="57">
        <f>BIN2DEC($AA222)*3</f>
        <v>0</v>
      </c>
      <c r="AE223" s="57">
        <f>ABS(BIN2DEC($U222)*3)</f>
        <v>0</v>
      </c>
      <c r="AF223" s="57">
        <f>ABS( BIN2DEC(V222)*3-BIN2DEC(Z222))</f>
        <v>3</v>
      </c>
      <c r="AG223" s="57">
        <f>BIN2DEC(X222&amp;Y222)+BIN2DEC(W222)*3</f>
        <v>5</v>
      </c>
      <c r="AH223" s="57">
        <f>AD223+AE223*4+AF223*16</f>
        <v>48</v>
      </c>
    </row>
    <row r="224" spans="1:34" ht="15" customHeight="1">
      <c r="A224" s="138"/>
      <c r="B224" s="140"/>
      <c r="C224" s="43" t="str">
        <f t="shared" ref="C224:C226" si="327">CONCATENATE("sar",AD224+AE224*4+AF224*16,"_slc",AG224)</f>
        <v>sar52_slc5</v>
      </c>
      <c r="D224" s="44">
        <v>8</v>
      </c>
      <c r="E224" s="30" t="str">
        <f t="shared" ref="E224:E226" si="328">(MID(str_cnvt(E223),SEARCH(":",str_cnvt(E223))+1,2)-1) &amp; ":" &amp; (MID(str_cnvt(E223),SEARCH(":",str_cnvt(E223))+1,2)-D224)</f>
        <v>23:16</v>
      </c>
      <c r="F224" s="30" t="s">
        <v>133</v>
      </c>
      <c r="G224" s="30" t="s">
        <v>133</v>
      </c>
      <c r="H224" s="45" t="s">
        <v>143</v>
      </c>
      <c r="I224" s="31" t="s">
        <v>68</v>
      </c>
      <c r="J224" s="32" t="s">
        <v>36</v>
      </c>
      <c r="K224" s="33" t="s">
        <v>6</v>
      </c>
      <c r="L224" s="46"/>
      <c r="M224" s="120"/>
      <c r="N224" s="120"/>
      <c r="O224" s="120"/>
      <c r="P224" s="122"/>
      <c r="Q224" s="122"/>
      <c r="R224" s="124"/>
      <c r="S224" s="124"/>
      <c r="T224" s="159"/>
      <c r="U224" s="156"/>
      <c r="V224" s="146"/>
      <c r="W224" s="149"/>
      <c r="X224" s="156"/>
      <c r="Y224" s="146"/>
      <c r="Z224" s="149"/>
      <c r="AA224" s="149"/>
      <c r="AB224" s="149"/>
      <c r="AC224" s="152"/>
      <c r="AD224" s="57">
        <f>BIN2DEC($AA222)*3</f>
        <v>0</v>
      </c>
      <c r="AE224" s="57">
        <f>ABS(BIN2DEC($U223)*3-1)</f>
        <v>1</v>
      </c>
      <c r="AF224" s="57">
        <f>ABS( BIN2DEC(V222)*3-BIN2DEC(Z222))</f>
        <v>3</v>
      </c>
      <c r="AG224" s="57">
        <f>BIN2DEC(X222&amp;Y222)+BIN2DEC(W222)*3</f>
        <v>5</v>
      </c>
      <c r="AH224" s="57">
        <f t="shared" ref="AH224:AH226" si="329">AD224+AE224*4+AF224*16</f>
        <v>52</v>
      </c>
    </row>
    <row r="225" spans="1:34" ht="15" customHeight="1">
      <c r="A225" s="138"/>
      <c r="B225" s="140"/>
      <c r="C225" s="43" t="str">
        <f t="shared" si="327"/>
        <v>sar50_slc5</v>
      </c>
      <c r="D225" s="44">
        <v>8</v>
      </c>
      <c r="E225" s="30" t="str">
        <f t="shared" si="328"/>
        <v>15:8</v>
      </c>
      <c r="F225" s="30" t="s">
        <v>133</v>
      </c>
      <c r="G225" s="30" t="s">
        <v>133</v>
      </c>
      <c r="H225" s="45" t="s">
        <v>143</v>
      </c>
      <c r="I225" s="31" t="s">
        <v>68</v>
      </c>
      <c r="J225" s="32" t="s">
        <v>36</v>
      </c>
      <c r="K225" s="33" t="s">
        <v>6</v>
      </c>
      <c r="L225" s="46"/>
      <c r="M225" s="120"/>
      <c r="N225" s="120"/>
      <c r="O225" s="120"/>
      <c r="P225" s="122"/>
      <c r="Q225" s="122"/>
      <c r="R225" s="124"/>
      <c r="S225" s="124"/>
      <c r="T225" s="159"/>
      <c r="U225" s="156"/>
      <c r="V225" s="146"/>
      <c r="W225" s="149"/>
      <c r="X225" s="156"/>
      <c r="Y225" s="146"/>
      <c r="Z225" s="149"/>
      <c r="AA225" s="149"/>
      <c r="AB225" s="149"/>
      <c r="AC225" s="152"/>
      <c r="AD225" s="57">
        <f>ABS(BIN2DEC($AA222)*3-2)</f>
        <v>2</v>
      </c>
      <c r="AE225" s="57">
        <f>ABS(BIN2DEC($U222)*3)</f>
        <v>0</v>
      </c>
      <c r="AF225" s="57">
        <f>ABS( BIN2DEC(V222)*3-BIN2DEC(Z222))</f>
        <v>3</v>
      </c>
      <c r="AG225" s="57">
        <f>BIN2DEC(X222&amp;Y222)+BIN2DEC(W222)*3</f>
        <v>5</v>
      </c>
      <c r="AH225" s="57">
        <f t="shared" si="329"/>
        <v>50</v>
      </c>
    </row>
    <row r="226" spans="1:34" ht="15.75" customHeight="1" thickBot="1">
      <c r="A226" s="138"/>
      <c r="B226" s="140"/>
      <c r="C226" s="43" t="str">
        <f t="shared" si="327"/>
        <v>sar54_slc5</v>
      </c>
      <c r="D226" s="44">
        <v>8</v>
      </c>
      <c r="E226" s="30" t="str">
        <f t="shared" si="328"/>
        <v>7:0</v>
      </c>
      <c r="F226" s="30" t="s">
        <v>133</v>
      </c>
      <c r="G226" s="30" t="s">
        <v>133</v>
      </c>
      <c r="H226" s="45" t="s">
        <v>143</v>
      </c>
      <c r="I226" s="31" t="s">
        <v>68</v>
      </c>
      <c r="J226" s="32" t="s">
        <v>36</v>
      </c>
      <c r="K226" s="33" t="s">
        <v>6</v>
      </c>
      <c r="L226" s="46"/>
      <c r="M226" s="120"/>
      <c r="N226" s="120"/>
      <c r="O226" s="120"/>
      <c r="P226" s="122"/>
      <c r="Q226" s="122"/>
      <c r="R226" s="124"/>
      <c r="S226" s="124"/>
      <c r="T226" s="159"/>
      <c r="U226" s="157"/>
      <c r="V226" s="147"/>
      <c r="W226" s="150"/>
      <c r="X226" s="157"/>
      <c r="Y226" s="147"/>
      <c r="Z226" s="150"/>
      <c r="AA226" s="150"/>
      <c r="AB226" s="150"/>
      <c r="AC226" s="153"/>
      <c r="AD226" s="57">
        <f>ABS(BIN2DEC($AA222)*3-2)</f>
        <v>2</v>
      </c>
      <c r="AE226" s="57">
        <f>ABS(BIN2DEC($U222)*3-1)</f>
        <v>1</v>
      </c>
      <c r="AF226" s="57">
        <f>ABS( BIN2DEC(V222)*3-BIN2DEC(Z222))</f>
        <v>3</v>
      </c>
      <c r="AG226" s="57">
        <f>BIN2DEC(X222&amp;Y222)+BIN2DEC(W222)*3</f>
        <v>5</v>
      </c>
      <c r="AH226" s="57">
        <f t="shared" si="329"/>
        <v>54</v>
      </c>
    </row>
    <row r="227" spans="1:34" ht="15.75" customHeight="1">
      <c r="A227" s="137" t="str">
        <f>AC227</f>
        <v>vofc_dom1_quad1_quad3_sar3_slc5</v>
      </c>
      <c r="B227" s="139" t="str">
        <f>DEC2HEX(P227*4)</f>
        <v>0</v>
      </c>
      <c r="C227" s="56" t="s">
        <v>134</v>
      </c>
      <c r="D227" s="129" t="str">
        <f>bitConcat(F228:F231)</f>
        <v>32'b00000000000000000000000000000000</v>
      </c>
      <c r="E227" s="130"/>
      <c r="F227" s="130"/>
      <c r="G227" s="130"/>
      <c r="H227" s="131" t="s">
        <v>135</v>
      </c>
      <c r="I227" s="131"/>
      <c r="J227" s="131" t="str">
        <f>bitConcat(G228:G231)</f>
        <v>32'b00000000000000000000000000000000</v>
      </c>
      <c r="K227" s="131"/>
      <c r="L227" s="132"/>
      <c r="M227" s="119" t="str">
        <f>DEC2HEX(_xlfn.BITLSHIFT(HEX2DEC(Q227),2))</f>
        <v>E4</v>
      </c>
      <c r="N227" s="119"/>
      <c r="O227" s="119">
        <v>1</v>
      </c>
      <c r="P227" s="121">
        <v>0</v>
      </c>
      <c r="Q227" s="121" t="str">
        <f>AB227</f>
        <v>39</v>
      </c>
      <c r="R227" s="123" t="str">
        <f t="shared" ref="R227" si="330">BIN2HEX(LEFT(RIGHT(D227,32),4))&amp;BIN2HEX(LEFT(RIGHT(D227,28),4))&amp;BIN2HEX(LEFT(RIGHT(D227,24),4))&amp;BIN2HEX(LEFT(RIGHT(D227,20),4))&amp;BIN2HEX(LEFT(RIGHT(D227,16),4))&amp;BIN2HEX(LEFT(RIGHT(D227,12),4))&amp;BIN2HEX(LEFT(RIGHT(D227,8),4))&amp;BIN2HEX(LEFT(RIGHT(D227,4),4))</f>
        <v>00000000</v>
      </c>
      <c r="S227" s="123" t="str">
        <f t="shared" ref="S227" si="331">BIN2HEX(LEFT(RIGHT(J227,32),4))&amp;BIN2HEX(LEFT(RIGHT(J227,28),4))&amp;BIN2HEX(LEFT(RIGHT(J227,24),4))&amp;BIN2HEX(LEFT(RIGHT(J227,20),4))&amp;BIN2HEX(LEFT(RIGHT(J227,16),4))&amp;BIN2HEX(LEFT(RIGHT(J227,12),4))&amp;BIN2HEX(LEFT(RIGHT(J227,8),4))&amp;BIN2HEX(LEFT(RIGHT(J227,4),4))</f>
        <v>00000000</v>
      </c>
      <c r="T227" s="159">
        <v>21</v>
      </c>
      <c r="U227" s="155" t="str">
        <f t="shared" ref="U227" si="332">LEFT(DEC2BIN(O227,2))</f>
        <v>0</v>
      </c>
      <c r="V227" s="145" t="str">
        <f t="shared" ref="V227" si="333">RIGHT(DEC2BIN(O227,2),1)</f>
        <v>1</v>
      </c>
      <c r="W227" s="148">
        <v>1</v>
      </c>
      <c r="X227" s="155">
        <v>1</v>
      </c>
      <c r="Y227" s="145">
        <v>0</v>
      </c>
      <c r="Z227" s="148">
        <v>0</v>
      </c>
      <c r="AA227" s="148">
        <v>1</v>
      </c>
      <c r="AB227" s="148" t="str">
        <f t="shared" ref="AB227" si="334">BIN2HEX(U227&amp;V227&amp;W227&amp;X227&amp;Y227&amp;Z227&amp;AA227)</f>
        <v>39</v>
      </c>
      <c r="AC227" s="151" t="str">
        <f>CONCATENATE("vofc_dom",BIN2DEC(U227&amp;V227),"_quad",BIN2DEC(AA227),"_quad",BIN2DEC(AA227)+2,"_sar",ABS( BIN2DEC(V227)*3-BIN2DEC(Z227)),"_slc",BIN2DEC(X227&amp;Y227)+BIN2DEC(W227)*3)</f>
        <v>vofc_dom1_quad1_quad3_sar3_slc5</v>
      </c>
      <c r="AD227" s="57"/>
      <c r="AE227" s="57"/>
      <c r="AF227" s="57"/>
      <c r="AG227" s="57"/>
      <c r="AH227" s="57"/>
    </row>
    <row r="228" spans="1:34" ht="15" customHeight="1">
      <c r="A228" s="138"/>
      <c r="B228" s="140"/>
      <c r="C228" s="43" t="str">
        <f>CONCATENATE("sar",AD228+AE228*4+AF228*16,"_slc",AG228)</f>
        <v>sar51_slc5</v>
      </c>
      <c r="D228" s="44">
        <v>8</v>
      </c>
      <c r="E228" s="29" t="str">
        <f>IF(D228&gt;1,(31)&amp;":"&amp;(31-D228+1),(31-D228+1)&amp;":"&amp;(31-D228+1))</f>
        <v>31:24</v>
      </c>
      <c r="F228" s="30" t="s">
        <v>133</v>
      </c>
      <c r="G228" s="30" t="s">
        <v>133</v>
      </c>
      <c r="H228" s="45" t="s">
        <v>143</v>
      </c>
      <c r="I228" s="31" t="s">
        <v>68</v>
      </c>
      <c r="J228" s="32" t="s">
        <v>36</v>
      </c>
      <c r="K228" s="33" t="s">
        <v>6</v>
      </c>
      <c r="L228" s="46"/>
      <c r="M228" s="120"/>
      <c r="N228" s="120"/>
      <c r="O228" s="120"/>
      <c r="P228" s="122"/>
      <c r="Q228" s="122"/>
      <c r="R228" s="124"/>
      <c r="S228" s="124"/>
      <c r="T228" s="159"/>
      <c r="U228" s="156"/>
      <c r="V228" s="146"/>
      <c r="W228" s="149"/>
      <c r="X228" s="156"/>
      <c r="Y228" s="146"/>
      <c r="Z228" s="149"/>
      <c r="AA228" s="149"/>
      <c r="AB228" s="149"/>
      <c r="AC228" s="152"/>
      <c r="AD228" s="57">
        <f>BIN2DEC($AA227)*3</f>
        <v>3</v>
      </c>
      <c r="AE228" s="57">
        <f>ABS(BIN2DEC($U227)*3)</f>
        <v>0</v>
      </c>
      <c r="AF228" s="57">
        <f>ABS( BIN2DEC(V227)*3-BIN2DEC(Z227))</f>
        <v>3</v>
      </c>
      <c r="AG228" s="57">
        <f>BIN2DEC(X227&amp;Y227)+BIN2DEC(W227)*3</f>
        <v>5</v>
      </c>
      <c r="AH228" s="57">
        <f>AD228+AE228*4+AF228*16</f>
        <v>51</v>
      </c>
    </row>
    <row r="229" spans="1:34" ht="15" customHeight="1">
      <c r="A229" s="138"/>
      <c r="B229" s="140"/>
      <c r="C229" s="43" t="str">
        <f t="shared" ref="C229:C231" si="335">CONCATENATE("sar",AD229+AE229*4+AF229*16,"_slc",AG229)</f>
        <v>sar55_slc5</v>
      </c>
      <c r="D229" s="44">
        <v>8</v>
      </c>
      <c r="E229" s="30" t="str">
        <f t="shared" ref="E229:E231" si="336">(MID(str_cnvt(E228),SEARCH(":",str_cnvt(E228))+1,2)-1) &amp; ":" &amp; (MID(str_cnvt(E228),SEARCH(":",str_cnvt(E228))+1,2)-D229)</f>
        <v>23:16</v>
      </c>
      <c r="F229" s="30" t="s">
        <v>133</v>
      </c>
      <c r="G229" s="30" t="s">
        <v>133</v>
      </c>
      <c r="H229" s="45" t="s">
        <v>143</v>
      </c>
      <c r="I229" s="31" t="s">
        <v>68</v>
      </c>
      <c r="J229" s="32" t="s">
        <v>36</v>
      </c>
      <c r="K229" s="33" t="s">
        <v>6</v>
      </c>
      <c r="L229" s="46"/>
      <c r="M229" s="120"/>
      <c r="N229" s="120"/>
      <c r="O229" s="120"/>
      <c r="P229" s="122"/>
      <c r="Q229" s="122"/>
      <c r="R229" s="124"/>
      <c r="S229" s="124"/>
      <c r="T229" s="159"/>
      <c r="U229" s="156"/>
      <c r="V229" s="146"/>
      <c r="W229" s="149"/>
      <c r="X229" s="156"/>
      <c r="Y229" s="146"/>
      <c r="Z229" s="149"/>
      <c r="AA229" s="149"/>
      <c r="AB229" s="149"/>
      <c r="AC229" s="152"/>
      <c r="AD229" s="57">
        <f>BIN2DEC($AA227)*3</f>
        <v>3</v>
      </c>
      <c r="AE229" s="57">
        <f>ABS(BIN2DEC($U228)*3-1)</f>
        <v>1</v>
      </c>
      <c r="AF229" s="57">
        <f>ABS( BIN2DEC(V227)*3-BIN2DEC(Z227))</f>
        <v>3</v>
      </c>
      <c r="AG229" s="57">
        <f>BIN2DEC(X227&amp;Y227)+BIN2DEC(W227)*3</f>
        <v>5</v>
      </c>
      <c r="AH229" s="57">
        <f t="shared" ref="AH229:AH231" si="337">AD229+AE229*4+AF229*16</f>
        <v>55</v>
      </c>
    </row>
    <row r="230" spans="1:34" ht="15" customHeight="1">
      <c r="A230" s="138"/>
      <c r="B230" s="140"/>
      <c r="C230" s="43" t="str">
        <f t="shared" si="335"/>
        <v>sar49_slc5</v>
      </c>
      <c r="D230" s="44">
        <v>8</v>
      </c>
      <c r="E230" s="30" t="str">
        <f t="shared" si="336"/>
        <v>15:8</v>
      </c>
      <c r="F230" s="30" t="s">
        <v>133</v>
      </c>
      <c r="G230" s="30" t="s">
        <v>133</v>
      </c>
      <c r="H230" s="45" t="s">
        <v>143</v>
      </c>
      <c r="I230" s="31" t="s">
        <v>68</v>
      </c>
      <c r="J230" s="32" t="s">
        <v>36</v>
      </c>
      <c r="K230" s="33" t="s">
        <v>6</v>
      </c>
      <c r="L230" s="46"/>
      <c r="M230" s="120"/>
      <c r="N230" s="120"/>
      <c r="O230" s="120"/>
      <c r="P230" s="122"/>
      <c r="Q230" s="122"/>
      <c r="R230" s="124"/>
      <c r="S230" s="124"/>
      <c r="T230" s="159"/>
      <c r="U230" s="156"/>
      <c r="V230" s="146"/>
      <c r="W230" s="149"/>
      <c r="X230" s="156"/>
      <c r="Y230" s="146"/>
      <c r="Z230" s="149"/>
      <c r="AA230" s="149"/>
      <c r="AB230" s="149"/>
      <c r="AC230" s="152"/>
      <c r="AD230" s="57">
        <f>ABS(BIN2DEC($AA227)*3-2)</f>
        <v>1</v>
      </c>
      <c r="AE230" s="57">
        <f>ABS(BIN2DEC($U227)*3)</f>
        <v>0</v>
      </c>
      <c r="AF230" s="57">
        <f>ABS( BIN2DEC(V227)*3-BIN2DEC(Z227))</f>
        <v>3</v>
      </c>
      <c r="AG230" s="57">
        <f>BIN2DEC(X227&amp;Y227)+BIN2DEC(W227)*3</f>
        <v>5</v>
      </c>
      <c r="AH230" s="57">
        <f t="shared" si="337"/>
        <v>49</v>
      </c>
    </row>
    <row r="231" spans="1:34" ht="15.75" customHeight="1" thickBot="1">
      <c r="A231" s="138"/>
      <c r="B231" s="140"/>
      <c r="C231" s="43" t="str">
        <f t="shared" si="335"/>
        <v>sar53_slc5</v>
      </c>
      <c r="D231" s="44">
        <v>8</v>
      </c>
      <c r="E231" s="30" t="str">
        <f t="shared" si="336"/>
        <v>7:0</v>
      </c>
      <c r="F231" s="30" t="s">
        <v>133</v>
      </c>
      <c r="G231" s="30" t="s">
        <v>133</v>
      </c>
      <c r="H231" s="45" t="s">
        <v>143</v>
      </c>
      <c r="I231" s="31" t="s">
        <v>68</v>
      </c>
      <c r="J231" s="32" t="s">
        <v>36</v>
      </c>
      <c r="K231" s="33" t="s">
        <v>6</v>
      </c>
      <c r="L231" s="46"/>
      <c r="M231" s="120"/>
      <c r="N231" s="120"/>
      <c r="O231" s="120"/>
      <c r="P231" s="122"/>
      <c r="Q231" s="122"/>
      <c r="R231" s="124"/>
      <c r="S231" s="124"/>
      <c r="T231" s="159"/>
      <c r="U231" s="157"/>
      <c r="V231" s="147"/>
      <c r="W231" s="150"/>
      <c r="X231" s="157"/>
      <c r="Y231" s="147"/>
      <c r="Z231" s="150"/>
      <c r="AA231" s="150"/>
      <c r="AB231" s="150"/>
      <c r="AC231" s="153"/>
      <c r="AD231" s="57">
        <f>ABS(BIN2DEC($AA227)*3-2)</f>
        <v>1</v>
      </c>
      <c r="AE231" s="57">
        <f>ABS(BIN2DEC($U227)*3-1)</f>
        <v>1</v>
      </c>
      <c r="AF231" s="57">
        <f>ABS( BIN2DEC(V227)*3-BIN2DEC(Z227))</f>
        <v>3</v>
      </c>
      <c r="AG231" s="57">
        <f>BIN2DEC(X227&amp;Y227)+BIN2DEC(W227)*3</f>
        <v>5</v>
      </c>
      <c r="AH231" s="57">
        <f t="shared" si="337"/>
        <v>53</v>
      </c>
    </row>
    <row r="232" spans="1:34" ht="15.75" customHeight="1">
      <c r="A232" s="137" t="str">
        <f>AC232</f>
        <v>vofc_dom1_quad0_quad2_sar2_slc5</v>
      </c>
      <c r="B232" s="139" t="str">
        <f>DEC2HEX(P232*4)</f>
        <v>0</v>
      </c>
      <c r="C232" s="56" t="s">
        <v>134</v>
      </c>
      <c r="D232" s="129" t="str">
        <f>bitConcat(F233:F236)</f>
        <v>32'b00000000000000000000000000000000</v>
      </c>
      <c r="E232" s="130"/>
      <c r="F232" s="130"/>
      <c r="G232" s="130"/>
      <c r="H232" s="131" t="s">
        <v>135</v>
      </c>
      <c r="I232" s="131"/>
      <c r="J232" s="131" t="str">
        <f>bitConcat(G233:G236)</f>
        <v>32'b00000000000000000000000000000000</v>
      </c>
      <c r="K232" s="131"/>
      <c r="L232" s="132"/>
      <c r="M232" s="119" t="str">
        <f>DEC2HEX(_xlfn.BITLSHIFT(HEX2DEC(Q232),2))</f>
        <v>E8</v>
      </c>
      <c r="N232" s="119"/>
      <c r="O232" s="119">
        <v>1</v>
      </c>
      <c r="P232" s="121">
        <v>0</v>
      </c>
      <c r="Q232" s="121" t="str">
        <f>AB232</f>
        <v>3A</v>
      </c>
      <c r="R232" s="123" t="str">
        <f t="shared" ref="R232" si="338">BIN2HEX(LEFT(RIGHT(D232,32),4))&amp;BIN2HEX(LEFT(RIGHT(D232,28),4))&amp;BIN2HEX(LEFT(RIGHT(D232,24),4))&amp;BIN2HEX(LEFT(RIGHT(D232,20),4))&amp;BIN2HEX(LEFT(RIGHT(D232,16),4))&amp;BIN2HEX(LEFT(RIGHT(D232,12),4))&amp;BIN2HEX(LEFT(RIGHT(D232,8),4))&amp;BIN2HEX(LEFT(RIGHT(D232,4),4))</f>
        <v>00000000</v>
      </c>
      <c r="S232" s="123" t="str">
        <f t="shared" ref="S232" si="339">BIN2HEX(LEFT(RIGHT(J232,32),4))&amp;BIN2HEX(LEFT(RIGHT(J232,28),4))&amp;BIN2HEX(LEFT(RIGHT(J232,24),4))&amp;BIN2HEX(LEFT(RIGHT(J232,20),4))&amp;BIN2HEX(LEFT(RIGHT(J232,16),4))&amp;BIN2HEX(LEFT(RIGHT(J232,12),4))&amp;BIN2HEX(LEFT(RIGHT(J232,8),4))&amp;BIN2HEX(LEFT(RIGHT(J232,4),4))</f>
        <v>00000000</v>
      </c>
      <c r="T232" s="159">
        <v>22</v>
      </c>
      <c r="U232" s="155" t="str">
        <f t="shared" ref="U232" si="340">LEFT(DEC2BIN(O232,2))</f>
        <v>0</v>
      </c>
      <c r="V232" s="145" t="str">
        <f t="shared" ref="V232" si="341">RIGHT(DEC2BIN(O232,2),1)</f>
        <v>1</v>
      </c>
      <c r="W232" s="148">
        <v>1</v>
      </c>
      <c r="X232" s="155">
        <v>1</v>
      </c>
      <c r="Y232" s="145">
        <v>0</v>
      </c>
      <c r="Z232" s="148">
        <v>1</v>
      </c>
      <c r="AA232" s="148">
        <v>0</v>
      </c>
      <c r="AB232" s="148" t="str">
        <f t="shared" ref="AB232" si="342">BIN2HEX(U232&amp;V232&amp;W232&amp;X232&amp;Y232&amp;Z232&amp;AA232)</f>
        <v>3A</v>
      </c>
      <c r="AC232" s="151" t="str">
        <f>CONCATENATE("vofc_dom",BIN2DEC(U232&amp;V232),"_quad",BIN2DEC(AA232),"_quad",BIN2DEC(AA232)+2,"_sar",ABS( BIN2DEC(V232)*3-BIN2DEC(Z232)),"_slc",BIN2DEC(X232&amp;Y232)+BIN2DEC(W232)*3)</f>
        <v>vofc_dom1_quad0_quad2_sar2_slc5</v>
      </c>
      <c r="AD232" s="57"/>
      <c r="AE232" s="57"/>
      <c r="AF232" s="57"/>
      <c r="AG232" s="57"/>
      <c r="AH232" s="57"/>
    </row>
    <row r="233" spans="1:34" ht="15" customHeight="1">
      <c r="A233" s="138"/>
      <c r="B233" s="140"/>
      <c r="C233" s="43" t="str">
        <f>CONCATENATE("sar",AD233+AE233*4+AF233*16,"_slc",AG233)</f>
        <v>sar32_slc5</v>
      </c>
      <c r="D233" s="44">
        <v>8</v>
      </c>
      <c r="E233" s="29" t="str">
        <f>IF(D233&gt;1,(31)&amp;":"&amp;(31-D233+1),(31-D233+1)&amp;":"&amp;(31-D233+1))</f>
        <v>31:24</v>
      </c>
      <c r="F233" s="30" t="s">
        <v>133</v>
      </c>
      <c r="G233" s="30" t="s">
        <v>133</v>
      </c>
      <c r="H233" s="45" t="s">
        <v>143</v>
      </c>
      <c r="I233" s="31" t="s">
        <v>68</v>
      </c>
      <c r="J233" s="32" t="s">
        <v>36</v>
      </c>
      <c r="K233" s="33" t="s">
        <v>6</v>
      </c>
      <c r="L233" s="46"/>
      <c r="M233" s="120"/>
      <c r="N233" s="120"/>
      <c r="O233" s="120"/>
      <c r="P233" s="122"/>
      <c r="Q233" s="122"/>
      <c r="R233" s="124"/>
      <c r="S233" s="124"/>
      <c r="T233" s="159"/>
      <c r="U233" s="156"/>
      <c r="V233" s="146"/>
      <c r="W233" s="149"/>
      <c r="X233" s="156"/>
      <c r="Y233" s="146"/>
      <c r="Z233" s="149"/>
      <c r="AA233" s="149"/>
      <c r="AB233" s="149"/>
      <c r="AC233" s="152"/>
      <c r="AD233" s="57">
        <f>BIN2DEC($AA232)*3</f>
        <v>0</v>
      </c>
      <c r="AE233" s="57">
        <f>ABS(BIN2DEC($U232)*3)</f>
        <v>0</v>
      </c>
      <c r="AF233" s="57">
        <f>ABS( BIN2DEC(V232)*3-BIN2DEC(Z232))</f>
        <v>2</v>
      </c>
      <c r="AG233" s="57">
        <f>BIN2DEC(X232&amp;Y232)+BIN2DEC(W232)*3</f>
        <v>5</v>
      </c>
      <c r="AH233" s="57">
        <f>AD233+AE233*4+AF233*16</f>
        <v>32</v>
      </c>
    </row>
    <row r="234" spans="1:34" ht="15" customHeight="1">
      <c r="A234" s="138"/>
      <c r="B234" s="140"/>
      <c r="C234" s="43" t="str">
        <f t="shared" ref="C234:C236" si="343">CONCATENATE("sar",AD234+AE234*4+AF234*16,"_slc",AG234)</f>
        <v>sar36_slc5</v>
      </c>
      <c r="D234" s="44">
        <v>8</v>
      </c>
      <c r="E234" s="30" t="str">
        <f t="shared" ref="E234:E236" si="344">(MID(str_cnvt(E233),SEARCH(":",str_cnvt(E233))+1,2)-1) &amp; ":" &amp; (MID(str_cnvt(E233),SEARCH(":",str_cnvt(E233))+1,2)-D234)</f>
        <v>23:16</v>
      </c>
      <c r="F234" s="30" t="s">
        <v>133</v>
      </c>
      <c r="G234" s="30" t="s">
        <v>133</v>
      </c>
      <c r="H234" s="45" t="s">
        <v>143</v>
      </c>
      <c r="I234" s="31" t="s">
        <v>68</v>
      </c>
      <c r="J234" s="32" t="s">
        <v>36</v>
      </c>
      <c r="K234" s="33" t="s">
        <v>6</v>
      </c>
      <c r="L234" s="46"/>
      <c r="M234" s="120"/>
      <c r="N234" s="120"/>
      <c r="O234" s="120"/>
      <c r="P234" s="122"/>
      <c r="Q234" s="122"/>
      <c r="R234" s="124"/>
      <c r="S234" s="124"/>
      <c r="T234" s="159"/>
      <c r="U234" s="156"/>
      <c r="V234" s="146"/>
      <c r="W234" s="149"/>
      <c r="X234" s="156"/>
      <c r="Y234" s="146"/>
      <c r="Z234" s="149"/>
      <c r="AA234" s="149"/>
      <c r="AB234" s="149"/>
      <c r="AC234" s="152"/>
      <c r="AD234" s="57">
        <f>BIN2DEC($AA232)*3</f>
        <v>0</v>
      </c>
      <c r="AE234" s="57">
        <f>ABS(BIN2DEC($U233)*3-1)</f>
        <v>1</v>
      </c>
      <c r="AF234" s="57">
        <f>ABS( BIN2DEC(V232)*3-BIN2DEC(Z232))</f>
        <v>2</v>
      </c>
      <c r="AG234" s="57">
        <f>BIN2DEC(X232&amp;Y232)+BIN2DEC(W232)*3</f>
        <v>5</v>
      </c>
      <c r="AH234" s="57">
        <f t="shared" ref="AH234:AH236" si="345">AD234+AE234*4+AF234*16</f>
        <v>36</v>
      </c>
    </row>
    <row r="235" spans="1:34" ht="15" customHeight="1">
      <c r="A235" s="138"/>
      <c r="B235" s="140"/>
      <c r="C235" s="43" t="str">
        <f t="shared" si="343"/>
        <v>sar34_slc5</v>
      </c>
      <c r="D235" s="44">
        <v>8</v>
      </c>
      <c r="E235" s="30" t="str">
        <f t="shared" si="344"/>
        <v>15:8</v>
      </c>
      <c r="F235" s="30" t="s">
        <v>133</v>
      </c>
      <c r="G235" s="30" t="s">
        <v>133</v>
      </c>
      <c r="H235" s="45" t="s">
        <v>143</v>
      </c>
      <c r="I235" s="31" t="s">
        <v>68</v>
      </c>
      <c r="J235" s="32" t="s">
        <v>36</v>
      </c>
      <c r="K235" s="33" t="s">
        <v>6</v>
      </c>
      <c r="L235" s="46"/>
      <c r="M235" s="120"/>
      <c r="N235" s="120"/>
      <c r="O235" s="120"/>
      <c r="P235" s="122"/>
      <c r="Q235" s="122"/>
      <c r="R235" s="124"/>
      <c r="S235" s="124"/>
      <c r="T235" s="159"/>
      <c r="U235" s="156"/>
      <c r="V235" s="146"/>
      <c r="W235" s="149"/>
      <c r="X235" s="156"/>
      <c r="Y235" s="146"/>
      <c r="Z235" s="149"/>
      <c r="AA235" s="149"/>
      <c r="AB235" s="149"/>
      <c r="AC235" s="152"/>
      <c r="AD235" s="57">
        <f>ABS(BIN2DEC($AA232)*3-2)</f>
        <v>2</v>
      </c>
      <c r="AE235" s="57">
        <f>ABS(BIN2DEC($U232)*3)</f>
        <v>0</v>
      </c>
      <c r="AF235" s="57">
        <f>ABS( BIN2DEC(V232)*3-BIN2DEC(Z232))</f>
        <v>2</v>
      </c>
      <c r="AG235" s="57">
        <f>BIN2DEC(X232&amp;Y232)+BIN2DEC(W232)*3</f>
        <v>5</v>
      </c>
      <c r="AH235" s="57">
        <f t="shared" si="345"/>
        <v>34</v>
      </c>
    </row>
    <row r="236" spans="1:34" ht="15.75" customHeight="1" thickBot="1">
      <c r="A236" s="138"/>
      <c r="B236" s="140"/>
      <c r="C236" s="43" t="str">
        <f t="shared" si="343"/>
        <v>sar38_slc5</v>
      </c>
      <c r="D236" s="44">
        <v>8</v>
      </c>
      <c r="E236" s="30" t="str">
        <f t="shared" si="344"/>
        <v>7:0</v>
      </c>
      <c r="F236" s="30" t="s">
        <v>133</v>
      </c>
      <c r="G236" s="30" t="s">
        <v>133</v>
      </c>
      <c r="H236" s="45" t="s">
        <v>143</v>
      </c>
      <c r="I236" s="31" t="s">
        <v>68</v>
      </c>
      <c r="J236" s="32" t="s">
        <v>36</v>
      </c>
      <c r="K236" s="33" t="s">
        <v>6</v>
      </c>
      <c r="L236" s="46"/>
      <c r="M236" s="120"/>
      <c r="N236" s="120"/>
      <c r="O236" s="120"/>
      <c r="P236" s="122"/>
      <c r="Q236" s="122"/>
      <c r="R236" s="124"/>
      <c r="S236" s="124"/>
      <c r="T236" s="159"/>
      <c r="U236" s="157"/>
      <c r="V236" s="147"/>
      <c r="W236" s="150"/>
      <c r="X236" s="157"/>
      <c r="Y236" s="147"/>
      <c r="Z236" s="150"/>
      <c r="AA236" s="150"/>
      <c r="AB236" s="150"/>
      <c r="AC236" s="153"/>
      <c r="AD236" s="57">
        <f>ABS(BIN2DEC($AA232)*3-2)</f>
        <v>2</v>
      </c>
      <c r="AE236" s="57">
        <f>ABS(BIN2DEC($U232)*3-1)</f>
        <v>1</v>
      </c>
      <c r="AF236" s="57">
        <f>ABS( BIN2DEC(V232)*3-BIN2DEC(Z232))</f>
        <v>2</v>
      </c>
      <c r="AG236" s="57">
        <f>BIN2DEC(X232&amp;Y232)+BIN2DEC(W232)*3</f>
        <v>5</v>
      </c>
      <c r="AH236" s="57">
        <f t="shared" si="345"/>
        <v>38</v>
      </c>
    </row>
    <row r="237" spans="1:34" ht="15.75" customHeight="1">
      <c r="A237" s="137" t="str">
        <f>AC237</f>
        <v>vofc_dom1_quad1_quad3_sar2_slc5</v>
      </c>
      <c r="B237" s="139" t="str">
        <f>DEC2HEX(P237*4)</f>
        <v>0</v>
      </c>
      <c r="C237" s="56" t="s">
        <v>134</v>
      </c>
      <c r="D237" s="129" t="str">
        <f>bitConcat(F238:F241)</f>
        <v>32'b00000000000000000000000000000000</v>
      </c>
      <c r="E237" s="130"/>
      <c r="F237" s="130"/>
      <c r="G237" s="130"/>
      <c r="H237" s="131" t="s">
        <v>135</v>
      </c>
      <c r="I237" s="131"/>
      <c r="J237" s="131" t="str">
        <f>bitConcat(G238:G241)</f>
        <v>32'b00000000000000000000000000000000</v>
      </c>
      <c r="K237" s="131"/>
      <c r="L237" s="132"/>
      <c r="M237" s="119" t="str">
        <f>DEC2HEX(_xlfn.BITLSHIFT(HEX2DEC(Q237),2))</f>
        <v>EC</v>
      </c>
      <c r="N237" s="119"/>
      <c r="O237" s="119">
        <v>1</v>
      </c>
      <c r="P237" s="121">
        <v>0</v>
      </c>
      <c r="Q237" s="121" t="str">
        <f>AB237</f>
        <v>3B</v>
      </c>
      <c r="R237" s="123" t="str">
        <f t="shared" ref="R237" si="346">BIN2HEX(LEFT(RIGHT(D237,32),4))&amp;BIN2HEX(LEFT(RIGHT(D237,28),4))&amp;BIN2HEX(LEFT(RIGHT(D237,24),4))&amp;BIN2HEX(LEFT(RIGHT(D237,20),4))&amp;BIN2HEX(LEFT(RIGHT(D237,16),4))&amp;BIN2HEX(LEFT(RIGHT(D237,12),4))&amp;BIN2HEX(LEFT(RIGHT(D237,8),4))&amp;BIN2HEX(LEFT(RIGHT(D237,4),4))</f>
        <v>00000000</v>
      </c>
      <c r="S237" s="123" t="str">
        <f t="shared" ref="S237" si="347">BIN2HEX(LEFT(RIGHT(J237,32),4))&amp;BIN2HEX(LEFT(RIGHT(J237,28),4))&amp;BIN2HEX(LEFT(RIGHT(J237,24),4))&amp;BIN2HEX(LEFT(RIGHT(J237,20),4))&amp;BIN2HEX(LEFT(RIGHT(J237,16),4))&amp;BIN2HEX(LEFT(RIGHT(J237,12),4))&amp;BIN2HEX(LEFT(RIGHT(J237,8),4))&amp;BIN2HEX(LEFT(RIGHT(J237,4),4))</f>
        <v>00000000</v>
      </c>
      <c r="T237" s="159">
        <v>23</v>
      </c>
      <c r="U237" s="155" t="str">
        <f t="shared" ref="U237" si="348">LEFT(DEC2BIN(O237,2))</f>
        <v>0</v>
      </c>
      <c r="V237" s="145" t="str">
        <f t="shared" ref="V237" si="349">RIGHT(DEC2BIN(O237,2),1)</f>
        <v>1</v>
      </c>
      <c r="W237" s="148">
        <v>1</v>
      </c>
      <c r="X237" s="155">
        <v>1</v>
      </c>
      <c r="Y237" s="145">
        <v>0</v>
      </c>
      <c r="Z237" s="148">
        <v>1</v>
      </c>
      <c r="AA237" s="148">
        <v>1</v>
      </c>
      <c r="AB237" s="148" t="str">
        <f t="shared" ref="AB237" si="350">BIN2HEX(U237&amp;V237&amp;W237&amp;X237&amp;Y237&amp;Z237&amp;AA237)</f>
        <v>3B</v>
      </c>
      <c r="AC237" s="151" t="str">
        <f>CONCATENATE("vofc_dom",BIN2DEC(U237&amp;V237),"_quad",BIN2DEC(AA237),"_quad",BIN2DEC(AA237)+2,"_sar",ABS( BIN2DEC(V237)*3-BIN2DEC(Z237)),"_slc",BIN2DEC(X237&amp;Y237)+BIN2DEC(W237)*3)</f>
        <v>vofc_dom1_quad1_quad3_sar2_slc5</v>
      </c>
      <c r="AD237" s="57"/>
      <c r="AE237" s="57"/>
      <c r="AF237" s="57"/>
      <c r="AG237" s="57"/>
      <c r="AH237" s="57"/>
    </row>
    <row r="238" spans="1:34" ht="15" customHeight="1">
      <c r="A238" s="138"/>
      <c r="B238" s="140"/>
      <c r="C238" s="43" t="str">
        <f>CONCATENATE("sar",AD238+AE238*4+AF238*16,"_slc",AG238)</f>
        <v>sar35_slc5</v>
      </c>
      <c r="D238" s="44">
        <v>8</v>
      </c>
      <c r="E238" s="29" t="str">
        <f>IF(D238&gt;1,(31)&amp;":"&amp;(31-D238+1),(31-D238+1)&amp;":"&amp;(31-D238+1))</f>
        <v>31:24</v>
      </c>
      <c r="F238" s="30" t="s">
        <v>133</v>
      </c>
      <c r="G238" s="30" t="s">
        <v>133</v>
      </c>
      <c r="H238" s="45" t="s">
        <v>143</v>
      </c>
      <c r="I238" s="31" t="s">
        <v>68</v>
      </c>
      <c r="J238" s="32" t="s">
        <v>36</v>
      </c>
      <c r="K238" s="33" t="s">
        <v>6</v>
      </c>
      <c r="L238" s="46"/>
      <c r="M238" s="120"/>
      <c r="N238" s="120"/>
      <c r="O238" s="120"/>
      <c r="P238" s="122"/>
      <c r="Q238" s="122"/>
      <c r="R238" s="124"/>
      <c r="S238" s="124"/>
      <c r="T238" s="159"/>
      <c r="U238" s="156"/>
      <c r="V238" s="146"/>
      <c r="W238" s="149"/>
      <c r="X238" s="156"/>
      <c r="Y238" s="146"/>
      <c r="Z238" s="149"/>
      <c r="AA238" s="149"/>
      <c r="AB238" s="149"/>
      <c r="AC238" s="152"/>
      <c r="AD238" s="57">
        <f>BIN2DEC($AA237)*3</f>
        <v>3</v>
      </c>
      <c r="AE238" s="57">
        <f>ABS(BIN2DEC($U237)*3)</f>
        <v>0</v>
      </c>
      <c r="AF238" s="57">
        <f>ABS( BIN2DEC(V237)*3-BIN2DEC(Z237))</f>
        <v>2</v>
      </c>
      <c r="AG238" s="57">
        <f>BIN2DEC(X237&amp;Y237)+BIN2DEC(W237)*3</f>
        <v>5</v>
      </c>
      <c r="AH238" s="57">
        <f>AD238+AE238*4+AF238*16</f>
        <v>35</v>
      </c>
    </row>
    <row r="239" spans="1:34" ht="15" customHeight="1">
      <c r="A239" s="138"/>
      <c r="B239" s="140"/>
      <c r="C239" s="43" t="str">
        <f t="shared" ref="C239:C241" si="351">CONCATENATE("sar",AD239+AE239*4+AF239*16,"_slc",AG239)</f>
        <v>sar39_slc5</v>
      </c>
      <c r="D239" s="44">
        <v>8</v>
      </c>
      <c r="E239" s="30" t="str">
        <f t="shared" ref="E239:E241" si="352">(MID(str_cnvt(E238),SEARCH(":",str_cnvt(E238))+1,2)-1) &amp; ":" &amp; (MID(str_cnvt(E238),SEARCH(":",str_cnvt(E238))+1,2)-D239)</f>
        <v>23:16</v>
      </c>
      <c r="F239" s="30" t="s">
        <v>133</v>
      </c>
      <c r="G239" s="30" t="s">
        <v>133</v>
      </c>
      <c r="H239" s="45" t="s">
        <v>143</v>
      </c>
      <c r="I239" s="31" t="s">
        <v>68</v>
      </c>
      <c r="J239" s="32" t="s">
        <v>36</v>
      </c>
      <c r="K239" s="33" t="s">
        <v>6</v>
      </c>
      <c r="L239" s="46"/>
      <c r="M239" s="120"/>
      <c r="N239" s="120"/>
      <c r="O239" s="120"/>
      <c r="P239" s="122"/>
      <c r="Q239" s="122"/>
      <c r="R239" s="124"/>
      <c r="S239" s="124"/>
      <c r="T239" s="159"/>
      <c r="U239" s="156"/>
      <c r="V239" s="146"/>
      <c r="W239" s="149"/>
      <c r="X239" s="156"/>
      <c r="Y239" s="146"/>
      <c r="Z239" s="149"/>
      <c r="AA239" s="149"/>
      <c r="AB239" s="149"/>
      <c r="AC239" s="152"/>
      <c r="AD239" s="57">
        <f>BIN2DEC($AA237)*3</f>
        <v>3</v>
      </c>
      <c r="AE239" s="57">
        <f>ABS(BIN2DEC($U238)*3-1)</f>
        <v>1</v>
      </c>
      <c r="AF239" s="57">
        <f>ABS( BIN2DEC(V237)*3-BIN2DEC(Z237))</f>
        <v>2</v>
      </c>
      <c r="AG239" s="57">
        <f>BIN2DEC(X237&amp;Y237)+BIN2DEC(W237)*3</f>
        <v>5</v>
      </c>
      <c r="AH239" s="57">
        <f t="shared" ref="AH239:AH241" si="353">AD239+AE239*4+AF239*16</f>
        <v>39</v>
      </c>
    </row>
    <row r="240" spans="1:34" ht="15" customHeight="1">
      <c r="A240" s="138"/>
      <c r="B240" s="140"/>
      <c r="C240" s="43" t="str">
        <f t="shared" si="351"/>
        <v>sar33_slc5</v>
      </c>
      <c r="D240" s="44">
        <v>8</v>
      </c>
      <c r="E240" s="30" t="str">
        <f t="shared" si="352"/>
        <v>15:8</v>
      </c>
      <c r="F240" s="30" t="s">
        <v>133</v>
      </c>
      <c r="G240" s="30" t="s">
        <v>133</v>
      </c>
      <c r="H240" s="45" t="s">
        <v>143</v>
      </c>
      <c r="I240" s="31" t="s">
        <v>68</v>
      </c>
      <c r="J240" s="32" t="s">
        <v>36</v>
      </c>
      <c r="K240" s="33" t="s">
        <v>6</v>
      </c>
      <c r="L240" s="46"/>
      <c r="M240" s="120"/>
      <c r="N240" s="120"/>
      <c r="O240" s="120"/>
      <c r="P240" s="122"/>
      <c r="Q240" s="122"/>
      <c r="R240" s="124"/>
      <c r="S240" s="124"/>
      <c r="T240" s="159"/>
      <c r="U240" s="156"/>
      <c r="V240" s="146"/>
      <c r="W240" s="149"/>
      <c r="X240" s="156"/>
      <c r="Y240" s="146"/>
      <c r="Z240" s="149"/>
      <c r="AA240" s="149"/>
      <c r="AB240" s="149"/>
      <c r="AC240" s="152"/>
      <c r="AD240" s="57">
        <f>ABS(BIN2DEC($AA237)*3-2)</f>
        <v>1</v>
      </c>
      <c r="AE240" s="57">
        <f>ABS(BIN2DEC($U237)*3)</f>
        <v>0</v>
      </c>
      <c r="AF240" s="57">
        <f>ABS( BIN2DEC(V237)*3-BIN2DEC(Z237))</f>
        <v>2</v>
      </c>
      <c r="AG240" s="57">
        <f>BIN2DEC(X237&amp;Y237)+BIN2DEC(W237)*3</f>
        <v>5</v>
      </c>
      <c r="AH240" s="57">
        <f t="shared" si="353"/>
        <v>33</v>
      </c>
    </row>
    <row r="241" spans="1:34" ht="15.75" customHeight="1" thickBot="1">
      <c r="A241" s="138"/>
      <c r="B241" s="140"/>
      <c r="C241" s="43" t="str">
        <f t="shared" si="351"/>
        <v>sar37_slc5</v>
      </c>
      <c r="D241" s="44">
        <v>8</v>
      </c>
      <c r="E241" s="30" t="str">
        <f t="shared" si="352"/>
        <v>7:0</v>
      </c>
      <c r="F241" s="30" t="s">
        <v>133</v>
      </c>
      <c r="G241" s="30" t="s">
        <v>133</v>
      </c>
      <c r="H241" s="45" t="s">
        <v>143</v>
      </c>
      <c r="I241" s="31" t="s">
        <v>68</v>
      </c>
      <c r="J241" s="32" t="s">
        <v>36</v>
      </c>
      <c r="K241" s="33" t="s">
        <v>6</v>
      </c>
      <c r="L241" s="46"/>
      <c r="M241" s="120"/>
      <c r="N241" s="120"/>
      <c r="O241" s="120"/>
      <c r="P241" s="122"/>
      <c r="Q241" s="122"/>
      <c r="R241" s="124"/>
      <c r="S241" s="124"/>
      <c r="T241" s="159"/>
      <c r="U241" s="157"/>
      <c r="V241" s="147"/>
      <c r="W241" s="150"/>
      <c r="X241" s="157"/>
      <c r="Y241" s="147"/>
      <c r="Z241" s="150"/>
      <c r="AA241" s="150"/>
      <c r="AB241" s="150"/>
      <c r="AC241" s="153"/>
      <c r="AD241" s="57">
        <f>ABS(BIN2DEC($AA237)*3-2)</f>
        <v>1</v>
      </c>
      <c r="AE241" s="57">
        <f>ABS(BIN2DEC($U237)*3-1)</f>
        <v>1</v>
      </c>
      <c r="AF241" s="57">
        <f>ABS( BIN2DEC(V237)*3-BIN2DEC(Z237))</f>
        <v>2</v>
      </c>
      <c r="AG241" s="57">
        <f>BIN2DEC(X237&amp;Y237)+BIN2DEC(W237)*3</f>
        <v>5</v>
      </c>
      <c r="AH241" s="57">
        <f t="shared" si="353"/>
        <v>37</v>
      </c>
    </row>
    <row r="242" spans="1:34" ht="15.75" customHeight="1">
      <c r="A242" s="133" t="str">
        <f>AC242</f>
        <v>vofc_dom2_quad0_quad2_sar0_slc0</v>
      </c>
      <c r="B242" s="135" t="str">
        <f>DEC2HEX(P242*4)</f>
        <v>0</v>
      </c>
      <c r="C242" s="56" t="s">
        <v>134</v>
      </c>
      <c r="D242" s="129" t="str">
        <f>bitConcat(F243:F246)</f>
        <v>32'b00000000000000000000000000000000</v>
      </c>
      <c r="E242" s="130"/>
      <c r="F242" s="130"/>
      <c r="G242" s="130"/>
      <c r="H242" s="131" t="s">
        <v>135</v>
      </c>
      <c r="I242" s="131"/>
      <c r="J242" s="131" t="str">
        <f>bitConcat(G243:G246)</f>
        <v>32'b00000000000000000000000000000000</v>
      </c>
      <c r="K242" s="131"/>
      <c r="L242" s="132"/>
      <c r="M242" s="119" t="str">
        <f>DEC2HEX(_xlfn.BITLSHIFT(HEX2DEC(Q242),2))</f>
        <v>100</v>
      </c>
      <c r="N242" s="119"/>
      <c r="O242" s="119">
        <v>2</v>
      </c>
      <c r="P242" s="121">
        <v>0</v>
      </c>
      <c r="Q242" s="121" t="str">
        <f>AB242</f>
        <v>40</v>
      </c>
      <c r="R242" s="123" t="str">
        <f t="shared" ref="R242" si="354">BIN2HEX(LEFT(RIGHT(D242,32),4))&amp;BIN2HEX(LEFT(RIGHT(D242,28),4))&amp;BIN2HEX(LEFT(RIGHT(D242,24),4))&amp;BIN2HEX(LEFT(RIGHT(D242,20),4))&amp;BIN2HEX(LEFT(RIGHT(D242,16),4))&amp;BIN2HEX(LEFT(RIGHT(D242,12),4))&amp;BIN2HEX(LEFT(RIGHT(D242,8),4))&amp;BIN2HEX(LEFT(RIGHT(D242,4),4))</f>
        <v>00000000</v>
      </c>
      <c r="S242" s="123" t="str">
        <f t="shared" ref="S242" si="355">BIN2HEX(LEFT(RIGHT(J242,32),4))&amp;BIN2HEX(LEFT(RIGHT(J242,28),4))&amp;BIN2HEX(LEFT(RIGHT(J242,24),4))&amp;BIN2HEX(LEFT(RIGHT(J242,20),4))&amp;BIN2HEX(LEFT(RIGHT(J242,16),4))&amp;BIN2HEX(LEFT(RIGHT(J242,12),4))&amp;BIN2HEX(LEFT(RIGHT(J242,8),4))&amp;BIN2HEX(LEFT(RIGHT(J242,4),4))</f>
        <v>00000000</v>
      </c>
      <c r="T242" s="158">
        <v>0</v>
      </c>
      <c r="U242" s="155" t="str">
        <f t="shared" ref="U242" si="356">LEFT(DEC2BIN(O242,2))</f>
        <v>1</v>
      </c>
      <c r="V242" s="145" t="str">
        <f t="shared" ref="V242" si="357">RIGHT(DEC2BIN(O242,2),1)</f>
        <v>0</v>
      </c>
      <c r="W242" s="148">
        <v>0</v>
      </c>
      <c r="X242" s="155">
        <v>0</v>
      </c>
      <c r="Y242" s="145">
        <v>0</v>
      </c>
      <c r="Z242" s="148">
        <v>0</v>
      </c>
      <c r="AA242" s="148">
        <v>0</v>
      </c>
      <c r="AB242" s="148" t="str">
        <f t="shared" ref="AB242" si="358">BIN2HEX(U242&amp;V242&amp;W242&amp;X242&amp;Y242&amp;Z242&amp;AA242)</f>
        <v>40</v>
      </c>
      <c r="AC242" s="151" t="str">
        <f>CONCATENATE("vofc_dom",BIN2DEC(U242&amp;V242),"_quad",BIN2DEC(AA242),"_quad",BIN2DEC(AA242)+2,"_sar",ABS( BIN2DEC(V242)*3-BIN2DEC(Z242)),"_slc",BIN2DEC(X242&amp;Y242)+BIN2DEC(W242)*3)</f>
        <v>vofc_dom2_quad0_quad2_sar0_slc0</v>
      </c>
      <c r="AD242" s="57"/>
      <c r="AE242" s="57"/>
      <c r="AF242" s="57"/>
      <c r="AG242" s="57"/>
      <c r="AH242" s="57"/>
    </row>
    <row r="243" spans="1:34" ht="15" customHeight="1">
      <c r="A243" s="134"/>
      <c r="B243" s="136"/>
      <c r="C243" s="43" t="str">
        <f>CONCATENATE("sar",AD243+AE243*4+AF243*16,"_slc",AG243)</f>
        <v>sar12_slc0</v>
      </c>
      <c r="D243" s="44">
        <v>8</v>
      </c>
      <c r="E243" s="29" t="str">
        <f>IF(D243&gt;1,(31)&amp;":"&amp;(31-D243+1),(31-D243+1)&amp;":"&amp;(31-D243+1))</f>
        <v>31:24</v>
      </c>
      <c r="F243" s="30" t="s">
        <v>133</v>
      </c>
      <c r="G243" s="30" t="s">
        <v>133</v>
      </c>
      <c r="H243" s="45" t="s">
        <v>143</v>
      </c>
      <c r="I243" s="31" t="s">
        <v>68</v>
      </c>
      <c r="J243" s="32" t="s">
        <v>36</v>
      </c>
      <c r="K243" s="33" t="s">
        <v>6</v>
      </c>
      <c r="L243" s="46"/>
      <c r="M243" s="120"/>
      <c r="N243" s="120"/>
      <c r="O243" s="120"/>
      <c r="P243" s="122"/>
      <c r="Q243" s="122"/>
      <c r="R243" s="124"/>
      <c r="S243" s="124"/>
      <c r="T243" s="158"/>
      <c r="U243" s="156"/>
      <c r="V243" s="146"/>
      <c r="W243" s="149"/>
      <c r="X243" s="156"/>
      <c r="Y243" s="146"/>
      <c r="Z243" s="149"/>
      <c r="AA243" s="149"/>
      <c r="AB243" s="149"/>
      <c r="AC243" s="152"/>
      <c r="AD243" s="57">
        <f>BIN2DEC($AA242)*3</f>
        <v>0</v>
      </c>
      <c r="AE243" s="57">
        <f>ABS(BIN2DEC($U242)*3)</f>
        <v>3</v>
      </c>
      <c r="AF243" s="57">
        <f>ABS( BIN2DEC(V242)*3-BIN2DEC(Z242))</f>
        <v>0</v>
      </c>
      <c r="AG243" s="57">
        <f>BIN2DEC(X242&amp;Y242)+BIN2DEC(W242)*3</f>
        <v>0</v>
      </c>
      <c r="AH243" s="57">
        <f>AD243+AE243*4+AF243*16</f>
        <v>12</v>
      </c>
    </row>
    <row r="244" spans="1:34" ht="15" customHeight="1">
      <c r="A244" s="134"/>
      <c r="B244" s="136"/>
      <c r="C244" s="43" t="str">
        <f t="shared" ref="C244:C246" si="359">CONCATENATE("sar",AD244+AE244*4+AF244*16,"_slc",AG244)</f>
        <v>sar8_slc0</v>
      </c>
      <c r="D244" s="44">
        <v>8</v>
      </c>
      <c r="E244" s="30" t="str">
        <f t="shared" ref="E244:E246" si="360">(MID(str_cnvt(E243),SEARCH(":",str_cnvt(E243))+1,2)-1) &amp; ":" &amp; (MID(str_cnvt(E243),SEARCH(":",str_cnvt(E243))+1,2)-D244)</f>
        <v>23:16</v>
      </c>
      <c r="F244" s="30" t="s">
        <v>133</v>
      </c>
      <c r="G244" s="30" t="s">
        <v>133</v>
      </c>
      <c r="H244" s="45" t="s">
        <v>143</v>
      </c>
      <c r="I244" s="31" t="s">
        <v>68</v>
      </c>
      <c r="J244" s="32" t="s">
        <v>36</v>
      </c>
      <c r="K244" s="33" t="s">
        <v>6</v>
      </c>
      <c r="L244" s="46"/>
      <c r="M244" s="120"/>
      <c r="N244" s="120"/>
      <c r="O244" s="120"/>
      <c r="P244" s="122"/>
      <c r="Q244" s="122"/>
      <c r="R244" s="124"/>
      <c r="S244" s="124"/>
      <c r="T244" s="158"/>
      <c r="U244" s="156"/>
      <c r="V244" s="146"/>
      <c r="W244" s="149"/>
      <c r="X244" s="156"/>
      <c r="Y244" s="146"/>
      <c r="Z244" s="149"/>
      <c r="AA244" s="149"/>
      <c r="AB244" s="149"/>
      <c r="AC244" s="152"/>
      <c r="AD244" s="57">
        <f>BIN2DEC($AA242)*3</f>
        <v>0</v>
      </c>
      <c r="AE244" s="57">
        <f>ABS(BIN2DEC($U242)*3-1)</f>
        <v>2</v>
      </c>
      <c r="AF244" s="57">
        <f>ABS( BIN2DEC(V242)*3-BIN2DEC(Z242))</f>
        <v>0</v>
      </c>
      <c r="AG244" s="57">
        <f>BIN2DEC(X242&amp;Y242)+BIN2DEC(W242)*3</f>
        <v>0</v>
      </c>
      <c r="AH244" s="57">
        <f t="shared" ref="AH244:AH246" si="361">AD244+AE244*4+AF244*16</f>
        <v>8</v>
      </c>
    </row>
    <row r="245" spans="1:34" ht="15" customHeight="1">
      <c r="A245" s="134"/>
      <c r="B245" s="136"/>
      <c r="C245" s="43" t="str">
        <f t="shared" si="359"/>
        <v>sar14_slc0</v>
      </c>
      <c r="D245" s="44">
        <v>8</v>
      </c>
      <c r="E245" s="30" t="str">
        <f t="shared" si="360"/>
        <v>15:8</v>
      </c>
      <c r="F245" s="30" t="s">
        <v>133</v>
      </c>
      <c r="G245" s="30" t="s">
        <v>133</v>
      </c>
      <c r="H245" s="45" t="s">
        <v>143</v>
      </c>
      <c r="I245" s="31" t="s">
        <v>68</v>
      </c>
      <c r="J245" s="32" t="s">
        <v>36</v>
      </c>
      <c r="K245" s="33" t="s">
        <v>6</v>
      </c>
      <c r="L245" s="46"/>
      <c r="M245" s="120"/>
      <c r="N245" s="120"/>
      <c r="O245" s="120"/>
      <c r="P245" s="122"/>
      <c r="Q245" s="122"/>
      <c r="R245" s="124"/>
      <c r="S245" s="124"/>
      <c r="T245" s="158"/>
      <c r="U245" s="156"/>
      <c r="V245" s="146"/>
      <c r="W245" s="149"/>
      <c r="X245" s="156"/>
      <c r="Y245" s="146"/>
      <c r="Z245" s="149"/>
      <c r="AA245" s="149"/>
      <c r="AB245" s="149"/>
      <c r="AC245" s="152"/>
      <c r="AD245" s="57">
        <f>ABS(BIN2DEC($AA242)*3-2)</f>
        <v>2</v>
      </c>
      <c r="AE245" s="57">
        <f>ABS(BIN2DEC($U242)*3)</f>
        <v>3</v>
      </c>
      <c r="AF245" s="57">
        <f>ABS( BIN2DEC(V242)*3-BIN2DEC(Z242))</f>
        <v>0</v>
      </c>
      <c r="AG245" s="57">
        <f>BIN2DEC(X242&amp;Y242)+BIN2DEC(W242)*3</f>
        <v>0</v>
      </c>
      <c r="AH245" s="57">
        <f t="shared" si="361"/>
        <v>14</v>
      </c>
    </row>
    <row r="246" spans="1:34" ht="15.75" customHeight="1" thickBot="1">
      <c r="A246" s="134"/>
      <c r="B246" s="136"/>
      <c r="C246" s="43" t="str">
        <f t="shared" si="359"/>
        <v>sar10_slc0</v>
      </c>
      <c r="D246" s="44">
        <v>8</v>
      </c>
      <c r="E246" s="30" t="str">
        <f t="shared" si="360"/>
        <v>7:0</v>
      </c>
      <c r="F246" s="30" t="s">
        <v>133</v>
      </c>
      <c r="G246" s="30" t="s">
        <v>133</v>
      </c>
      <c r="H246" s="45" t="s">
        <v>143</v>
      </c>
      <c r="I246" s="31" t="s">
        <v>68</v>
      </c>
      <c r="J246" s="32" t="s">
        <v>36</v>
      </c>
      <c r="K246" s="33" t="s">
        <v>6</v>
      </c>
      <c r="L246" s="46"/>
      <c r="M246" s="120"/>
      <c r="N246" s="120"/>
      <c r="O246" s="120"/>
      <c r="P246" s="122"/>
      <c r="Q246" s="122"/>
      <c r="R246" s="124"/>
      <c r="S246" s="124"/>
      <c r="T246" s="158"/>
      <c r="U246" s="157"/>
      <c r="V246" s="147"/>
      <c r="W246" s="150"/>
      <c r="X246" s="157"/>
      <c r="Y246" s="147"/>
      <c r="Z246" s="150"/>
      <c r="AA246" s="150"/>
      <c r="AB246" s="150"/>
      <c r="AC246" s="153"/>
      <c r="AD246" s="57">
        <f>ABS(BIN2DEC($AA242)*3-2)</f>
        <v>2</v>
      </c>
      <c r="AE246" s="57">
        <f>ABS(BIN2DEC($U242)*3-1)</f>
        <v>2</v>
      </c>
      <c r="AF246" s="57">
        <f>ABS( BIN2DEC(V242)*3-BIN2DEC(Z242))</f>
        <v>0</v>
      </c>
      <c r="AG246" s="57">
        <f>BIN2DEC(X242&amp;Y242)+BIN2DEC(W242)*3</f>
        <v>0</v>
      </c>
      <c r="AH246" s="57">
        <f t="shared" si="361"/>
        <v>10</v>
      </c>
    </row>
    <row r="247" spans="1:34" ht="15.75" customHeight="1">
      <c r="A247" s="133" t="str">
        <f>AC247</f>
        <v>vofc_dom2_quad1_quad3_sar0_slc0</v>
      </c>
      <c r="B247" s="135" t="str">
        <f>DEC2HEX(P247*4)</f>
        <v>0</v>
      </c>
      <c r="C247" s="56" t="s">
        <v>134</v>
      </c>
      <c r="D247" s="129" t="str">
        <f>bitConcat(F248:F251)</f>
        <v>32'b00000000000000000000000000000000</v>
      </c>
      <c r="E247" s="130"/>
      <c r="F247" s="130"/>
      <c r="G247" s="130"/>
      <c r="H247" s="131" t="s">
        <v>135</v>
      </c>
      <c r="I247" s="131"/>
      <c r="J247" s="131" t="str">
        <f>bitConcat(G248:G251)</f>
        <v>32'b00000000000000000000000000000000</v>
      </c>
      <c r="K247" s="131"/>
      <c r="L247" s="132"/>
      <c r="M247" s="119" t="str">
        <f>DEC2HEX(_xlfn.BITLSHIFT(HEX2DEC(Q247),2))</f>
        <v>104</v>
      </c>
      <c r="N247" s="119"/>
      <c r="O247" s="119">
        <v>2</v>
      </c>
      <c r="P247" s="121">
        <v>0</v>
      </c>
      <c r="Q247" s="121" t="str">
        <f>AB247</f>
        <v>41</v>
      </c>
      <c r="R247" s="123" t="str">
        <f t="shared" ref="R247" si="362">BIN2HEX(LEFT(RIGHT(D247,32),4))&amp;BIN2HEX(LEFT(RIGHT(D247,28),4))&amp;BIN2HEX(LEFT(RIGHT(D247,24),4))&amp;BIN2HEX(LEFT(RIGHT(D247,20),4))&amp;BIN2HEX(LEFT(RIGHT(D247,16),4))&amp;BIN2HEX(LEFT(RIGHT(D247,12),4))&amp;BIN2HEX(LEFT(RIGHT(D247,8),4))&amp;BIN2HEX(LEFT(RIGHT(D247,4),4))</f>
        <v>00000000</v>
      </c>
      <c r="S247" s="123" t="str">
        <f t="shared" ref="S247" si="363">BIN2HEX(LEFT(RIGHT(J247,32),4))&amp;BIN2HEX(LEFT(RIGHT(J247,28),4))&amp;BIN2HEX(LEFT(RIGHT(J247,24),4))&amp;BIN2HEX(LEFT(RIGHT(J247,20),4))&amp;BIN2HEX(LEFT(RIGHT(J247,16),4))&amp;BIN2HEX(LEFT(RIGHT(J247,12),4))&amp;BIN2HEX(LEFT(RIGHT(J247,8),4))&amp;BIN2HEX(LEFT(RIGHT(J247,4),4))</f>
        <v>00000000</v>
      </c>
      <c r="T247" s="158">
        <v>1</v>
      </c>
      <c r="U247" s="155" t="str">
        <f t="shared" ref="U247" si="364">LEFT(DEC2BIN(O247,2))</f>
        <v>1</v>
      </c>
      <c r="V247" s="145" t="str">
        <f t="shared" ref="V247" si="365">RIGHT(DEC2BIN(O247,2),1)</f>
        <v>0</v>
      </c>
      <c r="W247" s="148">
        <v>0</v>
      </c>
      <c r="X247" s="155">
        <v>0</v>
      </c>
      <c r="Y247" s="145">
        <v>0</v>
      </c>
      <c r="Z247" s="148">
        <v>0</v>
      </c>
      <c r="AA247" s="148">
        <v>1</v>
      </c>
      <c r="AB247" s="148" t="str">
        <f t="shared" ref="AB247" si="366">BIN2HEX(U247&amp;V247&amp;W247&amp;X247&amp;Y247&amp;Z247&amp;AA247)</f>
        <v>41</v>
      </c>
      <c r="AC247" s="151" t="str">
        <f>CONCATENATE("vofc_dom",BIN2DEC(U247&amp;V247),"_quad",BIN2DEC(AA247),"_quad",BIN2DEC(AA247)+2,"_sar",ABS( BIN2DEC(V247)*3-BIN2DEC(Z247)),"_slc",BIN2DEC(X247&amp;Y247)+BIN2DEC(W247)*3)</f>
        <v>vofc_dom2_quad1_quad3_sar0_slc0</v>
      </c>
      <c r="AD247" s="57"/>
      <c r="AE247" s="57"/>
      <c r="AF247" s="57"/>
      <c r="AG247" s="57"/>
      <c r="AH247" s="57"/>
    </row>
    <row r="248" spans="1:34" ht="15" customHeight="1">
      <c r="A248" s="134"/>
      <c r="B248" s="136"/>
      <c r="C248" s="43" t="str">
        <f>CONCATENATE("sar",AD248+AE248*4+AF248*16,"_slc",AG248)</f>
        <v>sar15_slc0</v>
      </c>
      <c r="D248" s="44">
        <v>8</v>
      </c>
      <c r="E248" s="29" t="str">
        <f>IF(D248&gt;1,(31)&amp;":"&amp;(31-D248+1),(31-D248+1)&amp;":"&amp;(31-D248+1))</f>
        <v>31:24</v>
      </c>
      <c r="F248" s="30" t="s">
        <v>133</v>
      </c>
      <c r="G248" s="30" t="s">
        <v>133</v>
      </c>
      <c r="H248" s="45" t="s">
        <v>143</v>
      </c>
      <c r="I248" s="31" t="s">
        <v>68</v>
      </c>
      <c r="J248" s="32" t="s">
        <v>36</v>
      </c>
      <c r="K248" s="33" t="s">
        <v>6</v>
      </c>
      <c r="L248" s="46"/>
      <c r="M248" s="120"/>
      <c r="N248" s="120"/>
      <c r="O248" s="120"/>
      <c r="P248" s="122"/>
      <c r="Q248" s="122"/>
      <c r="R248" s="124"/>
      <c r="S248" s="124"/>
      <c r="T248" s="158"/>
      <c r="U248" s="156"/>
      <c r="V248" s="146"/>
      <c r="W248" s="149"/>
      <c r="X248" s="156"/>
      <c r="Y248" s="146"/>
      <c r="Z248" s="149"/>
      <c r="AA248" s="149"/>
      <c r="AB248" s="149"/>
      <c r="AC248" s="152"/>
      <c r="AD248" s="57">
        <f>BIN2DEC($AA247)*3</f>
        <v>3</v>
      </c>
      <c r="AE248" s="57">
        <f>ABS(BIN2DEC($U247)*3)</f>
        <v>3</v>
      </c>
      <c r="AF248" s="57">
        <f>ABS( BIN2DEC(V247)*3-BIN2DEC(Z247))</f>
        <v>0</v>
      </c>
      <c r="AG248" s="57">
        <f>BIN2DEC(X247&amp;Y247)+BIN2DEC(W247)*3</f>
        <v>0</v>
      </c>
      <c r="AH248" s="57">
        <f>AD248+AE248*4+AF248*16</f>
        <v>15</v>
      </c>
    </row>
    <row r="249" spans="1:34" ht="15" customHeight="1">
      <c r="A249" s="134"/>
      <c r="B249" s="136"/>
      <c r="C249" s="43" t="str">
        <f t="shared" ref="C249:C251" si="367">CONCATENATE("sar",AD249+AE249*4+AF249*16,"_slc",AG249)</f>
        <v>sar11_slc0</v>
      </c>
      <c r="D249" s="44">
        <v>8</v>
      </c>
      <c r="E249" s="30" t="str">
        <f t="shared" ref="E249:E251" si="368">(MID(str_cnvt(E248),SEARCH(":",str_cnvt(E248))+1,2)-1) &amp; ":" &amp; (MID(str_cnvt(E248),SEARCH(":",str_cnvt(E248))+1,2)-D249)</f>
        <v>23:16</v>
      </c>
      <c r="F249" s="30" t="s">
        <v>133</v>
      </c>
      <c r="G249" s="30" t="s">
        <v>133</v>
      </c>
      <c r="H249" s="45" t="s">
        <v>143</v>
      </c>
      <c r="I249" s="31" t="s">
        <v>68</v>
      </c>
      <c r="J249" s="32" t="s">
        <v>36</v>
      </c>
      <c r="K249" s="33" t="s">
        <v>6</v>
      </c>
      <c r="L249" s="46"/>
      <c r="M249" s="120"/>
      <c r="N249" s="120"/>
      <c r="O249" s="120"/>
      <c r="P249" s="122"/>
      <c r="Q249" s="122"/>
      <c r="R249" s="124"/>
      <c r="S249" s="124"/>
      <c r="T249" s="158"/>
      <c r="U249" s="156"/>
      <c r="V249" s="146"/>
      <c r="W249" s="149"/>
      <c r="X249" s="156"/>
      <c r="Y249" s="146"/>
      <c r="Z249" s="149"/>
      <c r="AA249" s="149"/>
      <c r="AB249" s="149"/>
      <c r="AC249" s="152"/>
      <c r="AD249" s="57">
        <f>BIN2DEC($AA247)*3</f>
        <v>3</v>
      </c>
      <c r="AE249" s="57">
        <f>ABS(BIN2DEC($U247)*3-1)</f>
        <v>2</v>
      </c>
      <c r="AF249" s="57">
        <f>ABS( BIN2DEC(V247)*3-BIN2DEC(Z247))</f>
        <v>0</v>
      </c>
      <c r="AG249" s="57">
        <f>BIN2DEC(X247&amp;Y247)+BIN2DEC(W247)*3</f>
        <v>0</v>
      </c>
      <c r="AH249" s="57">
        <f t="shared" ref="AH249:AH251" si="369">AD249+AE249*4+AF249*16</f>
        <v>11</v>
      </c>
    </row>
    <row r="250" spans="1:34" ht="15" customHeight="1">
      <c r="A250" s="134"/>
      <c r="B250" s="136"/>
      <c r="C250" s="43" t="str">
        <f t="shared" si="367"/>
        <v>sar13_slc0</v>
      </c>
      <c r="D250" s="44">
        <v>8</v>
      </c>
      <c r="E250" s="30" t="str">
        <f t="shared" si="368"/>
        <v>15:8</v>
      </c>
      <c r="F250" s="30" t="s">
        <v>133</v>
      </c>
      <c r="G250" s="30" t="s">
        <v>133</v>
      </c>
      <c r="H250" s="45" t="s">
        <v>143</v>
      </c>
      <c r="I250" s="31" t="s">
        <v>68</v>
      </c>
      <c r="J250" s="32" t="s">
        <v>36</v>
      </c>
      <c r="K250" s="33" t="s">
        <v>6</v>
      </c>
      <c r="L250" s="46"/>
      <c r="M250" s="120"/>
      <c r="N250" s="120"/>
      <c r="O250" s="120"/>
      <c r="P250" s="122"/>
      <c r="Q250" s="122"/>
      <c r="R250" s="124"/>
      <c r="S250" s="124"/>
      <c r="T250" s="158"/>
      <c r="U250" s="156"/>
      <c r="V250" s="146"/>
      <c r="W250" s="149"/>
      <c r="X250" s="156"/>
      <c r="Y250" s="146"/>
      <c r="Z250" s="149"/>
      <c r="AA250" s="149"/>
      <c r="AB250" s="149"/>
      <c r="AC250" s="152"/>
      <c r="AD250" s="57">
        <f>ABS(BIN2DEC($AA247)*3-2)</f>
        <v>1</v>
      </c>
      <c r="AE250" s="57">
        <f>ABS(BIN2DEC($U247)*3)</f>
        <v>3</v>
      </c>
      <c r="AF250" s="57">
        <f>ABS( BIN2DEC(V247)*3-BIN2DEC(Z247))</f>
        <v>0</v>
      </c>
      <c r="AG250" s="57">
        <f>BIN2DEC(X247&amp;Y247)+BIN2DEC(W247)*3</f>
        <v>0</v>
      </c>
      <c r="AH250" s="57">
        <f t="shared" si="369"/>
        <v>13</v>
      </c>
    </row>
    <row r="251" spans="1:34" ht="15.75" customHeight="1" thickBot="1">
      <c r="A251" s="134"/>
      <c r="B251" s="136"/>
      <c r="C251" s="43" t="str">
        <f t="shared" si="367"/>
        <v>sar9_slc0</v>
      </c>
      <c r="D251" s="44">
        <v>8</v>
      </c>
      <c r="E251" s="30" t="str">
        <f t="shared" si="368"/>
        <v>7:0</v>
      </c>
      <c r="F251" s="30" t="s">
        <v>133</v>
      </c>
      <c r="G251" s="30" t="s">
        <v>133</v>
      </c>
      <c r="H251" s="45" t="s">
        <v>143</v>
      </c>
      <c r="I251" s="31" t="s">
        <v>68</v>
      </c>
      <c r="J251" s="32" t="s">
        <v>36</v>
      </c>
      <c r="K251" s="33" t="s">
        <v>6</v>
      </c>
      <c r="L251" s="46"/>
      <c r="M251" s="120"/>
      <c r="N251" s="120"/>
      <c r="O251" s="120"/>
      <c r="P251" s="122"/>
      <c r="Q251" s="122"/>
      <c r="R251" s="124"/>
      <c r="S251" s="124"/>
      <c r="T251" s="158"/>
      <c r="U251" s="157"/>
      <c r="V251" s="147"/>
      <c r="W251" s="150"/>
      <c r="X251" s="157"/>
      <c r="Y251" s="147"/>
      <c r="Z251" s="150"/>
      <c r="AA251" s="150"/>
      <c r="AB251" s="150"/>
      <c r="AC251" s="153"/>
      <c r="AD251" s="57">
        <f>ABS(BIN2DEC($AA247)*3-2)</f>
        <v>1</v>
      </c>
      <c r="AE251" s="57">
        <f>ABS(BIN2DEC($U247)*3-1)</f>
        <v>2</v>
      </c>
      <c r="AF251" s="57">
        <f>ABS( BIN2DEC(V247)*3-BIN2DEC(Z247))</f>
        <v>0</v>
      </c>
      <c r="AG251" s="57">
        <f>BIN2DEC(X247&amp;Y247)+BIN2DEC(W247)*3</f>
        <v>0</v>
      </c>
      <c r="AH251" s="57">
        <f t="shared" si="369"/>
        <v>9</v>
      </c>
    </row>
    <row r="252" spans="1:34" ht="15.75" customHeight="1">
      <c r="A252" s="133" t="str">
        <f>AC252</f>
        <v>vofc_dom2_quad0_quad2_sar1_slc0</v>
      </c>
      <c r="B252" s="135" t="str">
        <f>DEC2HEX(P252*4)</f>
        <v>0</v>
      </c>
      <c r="C252" s="56" t="s">
        <v>134</v>
      </c>
      <c r="D252" s="129" t="str">
        <f>bitConcat(F253:F256)</f>
        <v>32'b00000000000000000000000000000000</v>
      </c>
      <c r="E252" s="130"/>
      <c r="F252" s="130"/>
      <c r="G252" s="130"/>
      <c r="H252" s="131" t="s">
        <v>135</v>
      </c>
      <c r="I252" s="131"/>
      <c r="J252" s="131" t="str">
        <f>bitConcat(G253:G256)</f>
        <v>32'b00000000000000000000000000000000</v>
      </c>
      <c r="K252" s="131"/>
      <c r="L252" s="132"/>
      <c r="M252" s="119" t="str">
        <f>DEC2HEX(_xlfn.BITLSHIFT(HEX2DEC(Q252),2))</f>
        <v>108</v>
      </c>
      <c r="N252" s="119"/>
      <c r="O252" s="119">
        <v>2</v>
      </c>
      <c r="P252" s="121">
        <v>0</v>
      </c>
      <c r="Q252" s="121" t="str">
        <f>AB252</f>
        <v>42</v>
      </c>
      <c r="R252" s="123" t="str">
        <f t="shared" ref="R252" si="370">BIN2HEX(LEFT(RIGHT(D252,32),4))&amp;BIN2HEX(LEFT(RIGHT(D252,28),4))&amp;BIN2HEX(LEFT(RIGHT(D252,24),4))&amp;BIN2HEX(LEFT(RIGHT(D252,20),4))&amp;BIN2HEX(LEFT(RIGHT(D252,16),4))&amp;BIN2HEX(LEFT(RIGHT(D252,12),4))&amp;BIN2HEX(LEFT(RIGHT(D252,8),4))&amp;BIN2HEX(LEFT(RIGHT(D252,4),4))</f>
        <v>00000000</v>
      </c>
      <c r="S252" s="123" t="str">
        <f t="shared" ref="S252" si="371">BIN2HEX(LEFT(RIGHT(J252,32),4))&amp;BIN2HEX(LEFT(RIGHT(J252,28),4))&amp;BIN2HEX(LEFT(RIGHT(J252,24),4))&amp;BIN2HEX(LEFT(RIGHT(J252,20),4))&amp;BIN2HEX(LEFT(RIGHT(J252,16),4))&amp;BIN2HEX(LEFT(RIGHT(J252,12),4))&amp;BIN2HEX(LEFT(RIGHT(J252,8),4))&amp;BIN2HEX(LEFT(RIGHT(J252,4),4))</f>
        <v>00000000</v>
      </c>
      <c r="T252" s="158">
        <v>2</v>
      </c>
      <c r="U252" s="155" t="str">
        <f t="shared" ref="U252" si="372">LEFT(DEC2BIN(O252,2))</f>
        <v>1</v>
      </c>
      <c r="V252" s="145" t="str">
        <f t="shared" ref="V252" si="373">RIGHT(DEC2BIN(O252,2),1)</f>
        <v>0</v>
      </c>
      <c r="W252" s="148">
        <v>0</v>
      </c>
      <c r="X252" s="155">
        <v>0</v>
      </c>
      <c r="Y252" s="145">
        <v>0</v>
      </c>
      <c r="Z252" s="148">
        <v>1</v>
      </c>
      <c r="AA252" s="148">
        <v>0</v>
      </c>
      <c r="AB252" s="148" t="str">
        <f t="shared" ref="AB252" si="374">BIN2HEX(U252&amp;V252&amp;W252&amp;X252&amp;Y252&amp;Z252&amp;AA252)</f>
        <v>42</v>
      </c>
      <c r="AC252" s="151" t="str">
        <f>CONCATENATE("vofc_dom",BIN2DEC(U252&amp;V252),"_quad",BIN2DEC(AA252),"_quad",BIN2DEC(AA252)+2,"_sar",ABS( BIN2DEC(V252)*3-BIN2DEC(Z252)),"_slc",BIN2DEC(X252&amp;Y252)+BIN2DEC(W252)*3)</f>
        <v>vofc_dom2_quad0_quad2_sar1_slc0</v>
      </c>
      <c r="AD252" s="57"/>
      <c r="AE252" s="57"/>
      <c r="AF252" s="57"/>
      <c r="AG252" s="57"/>
      <c r="AH252" s="57"/>
    </row>
    <row r="253" spans="1:34" ht="15" customHeight="1">
      <c r="A253" s="134"/>
      <c r="B253" s="136"/>
      <c r="C253" s="43" t="str">
        <f>CONCATENATE("sar",AD253+AE253*4+AF253*16,"_slc",AG253)</f>
        <v>sar28_slc0</v>
      </c>
      <c r="D253" s="44">
        <v>8</v>
      </c>
      <c r="E253" s="29" t="str">
        <f>IF(D253&gt;1,(31)&amp;":"&amp;(31-D253+1),(31-D253+1)&amp;":"&amp;(31-D253+1))</f>
        <v>31:24</v>
      </c>
      <c r="F253" s="30" t="s">
        <v>133</v>
      </c>
      <c r="G253" s="30" t="s">
        <v>133</v>
      </c>
      <c r="H253" s="45" t="s">
        <v>143</v>
      </c>
      <c r="I253" s="31" t="s">
        <v>68</v>
      </c>
      <c r="J253" s="32" t="s">
        <v>36</v>
      </c>
      <c r="K253" s="33" t="s">
        <v>6</v>
      </c>
      <c r="L253" s="46"/>
      <c r="M253" s="120"/>
      <c r="N253" s="120"/>
      <c r="O253" s="120"/>
      <c r="P253" s="122"/>
      <c r="Q253" s="122"/>
      <c r="R253" s="124"/>
      <c r="S253" s="124"/>
      <c r="T253" s="158"/>
      <c r="U253" s="156"/>
      <c r="V253" s="146"/>
      <c r="W253" s="149"/>
      <c r="X253" s="156"/>
      <c r="Y253" s="146"/>
      <c r="Z253" s="149"/>
      <c r="AA253" s="149"/>
      <c r="AB253" s="149"/>
      <c r="AC253" s="152"/>
      <c r="AD253" s="57">
        <f>BIN2DEC($AA252)*3</f>
        <v>0</v>
      </c>
      <c r="AE253" s="57">
        <f>ABS(BIN2DEC($U252)*3)</f>
        <v>3</v>
      </c>
      <c r="AF253" s="57">
        <f>ABS( BIN2DEC(V252)*3-BIN2DEC(Z252))</f>
        <v>1</v>
      </c>
      <c r="AG253" s="57">
        <f>BIN2DEC(X252&amp;Y252)+BIN2DEC(W252)*3</f>
        <v>0</v>
      </c>
      <c r="AH253" s="57">
        <f>AD253+AE253*4+AF253*16</f>
        <v>28</v>
      </c>
    </row>
    <row r="254" spans="1:34" ht="15" customHeight="1">
      <c r="A254" s="134"/>
      <c r="B254" s="136"/>
      <c r="C254" s="43" t="str">
        <f t="shared" ref="C254:C256" si="375">CONCATENATE("sar",AD254+AE254*4+AF254*16,"_slc",AG254)</f>
        <v>sar24_slc0</v>
      </c>
      <c r="D254" s="44">
        <v>8</v>
      </c>
      <c r="E254" s="30" t="str">
        <f t="shared" ref="E254:E256" si="376">(MID(str_cnvt(E253),SEARCH(":",str_cnvt(E253))+1,2)-1) &amp; ":" &amp; (MID(str_cnvt(E253),SEARCH(":",str_cnvt(E253))+1,2)-D254)</f>
        <v>23:16</v>
      </c>
      <c r="F254" s="30" t="s">
        <v>133</v>
      </c>
      <c r="G254" s="30" t="s">
        <v>133</v>
      </c>
      <c r="H254" s="45" t="s">
        <v>143</v>
      </c>
      <c r="I254" s="31" t="s">
        <v>68</v>
      </c>
      <c r="J254" s="32" t="s">
        <v>36</v>
      </c>
      <c r="K254" s="33" t="s">
        <v>6</v>
      </c>
      <c r="L254" s="46"/>
      <c r="M254" s="120"/>
      <c r="N254" s="120"/>
      <c r="O254" s="120"/>
      <c r="P254" s="122"/>
      <c r="Q254" s="122"/>
      <c r="R254" s="124"/>
      <c r="S254" s="124"/>
      <c r="T254" s="158"/>
      <c r="U254" s="156"/>
      <c r="V254" s="146"/>
      <c r="W254" s="149"/>
      <c r="X254" s="156"/>
      <c r="Y254" s="146"/>
      <c r="Z254" s="149"/>
      <c r="AA254" s="149"/>
      <c r="AB254" s="149"/>
      <c r="AC254" s="152"/>
      <c r="AD254" s="57">
        <f>BIN2DEC($AA252)*3</f>
        <v>0</v>
      </c>
      <c r="AE254" s="57">
        <f>ABS(BIN2DEC($U252)*3-1)</f>
        <v>2</v>
      </c>
      <c r="AF254" s="57">
        <f>ABS( BIN2DEC(V252)*3-BIN2DEC(Z252))</f>
        <v>1</v>
      </c>
      <c r="AG254" s="57">
        <f>BIN2DEC(X252&amp;Y252)+BIN2DEC(W252)*3</f>
        <v>0</v>
      </c>
      <c r="AH254" s="57">
        <f t="shared" ref="AH254:AH256" si="377">AD254+AE254*4+AF254*16</f>
        <v>24</v>
      </c>
    </row>
    <row r="255" spans="1:34" ht="15" customHeight="1">
      <c r="A255" s="134"/>
      <c r="B255" s="136"/>
      <c r="C255" s="43" t="str">
        <f t="shared" si="375"/>
        <v>sar30_slc0</v>
      </c>
      <c r="D255" s="44">
        <v>8</v>
      </c>
      <c r="E255" s="30" t="str">
        <f t="shared" si="376"/>
        <v>15:8</v>
      </c>
      <c r="F255" s="30" t="s">
        <v>133</v>
      </c>
      <c r="G255" s="30" t="s">
        <v>133</v>
      </c>
      <c r="H255" s="45" t="s">
        <v>143</v>
      </c>
      <c r="I255" s="31" t="s">
        <v>68</v>
      </c>
      <c r="J255" s="32" t="s">
        <v>36</v>
      </c>
      <c r="K255" s="33" t="s">
        <v>6</v>
      </c>
      <c r="L255" s="46"/>
      <c r="M255" s="120"/>
      <c r="N255" s="120"/>
      <c r="O255" s="120"/>
      <c r="P255" s="122"/>
      <c r="Q255" s="122"/>
      <c r="R255" s="124"/>
      <c r="S255" s="124"/>
      <c r="T255" s="158"/>
      <c r="U255" s="156"/>
      <c r="V255" s="146"/>
      <c r="W255" s="149"/>
      <c r="X255" s="156"/>
      <c r="Y255" s="146"/>
      <c r="Z255" s="149"/>
      <c r="AA255" s="149"/>
      <c r="AB255" s="149"/>
      <c r="AC255" s="152"/>
      <c r="AD255" s="57">
        <f>ABS(BIN2DEC($AA252)*3-2)</f>
        <v>2</v>
      </c>
      <c r="AE255" s="57">
        <f>ABS(BIN2DEC($U252)*3)</f>
        <v>3</v>
      </c>
      <c r="AF255" s="57">
        <f>ABS( BIN2DEC(V252)*3-BIN2DEC(Z252))</f>
        <v>1</v>
      </c>
      <c r="AG255" s="57">
        <f>BIN2DEC(X252&amp;Y252)+BIN2DEC(W252)*3</f>
        <v>0</v>
      </c>
      <c r="AH255" s="57">
        <f t="shared" si="377"/>
        <v>30</v>
      </c>
    </row>
    <row r="256" spans="1:34" ht="15.75" customHeight="1" thickBot="1">
      <c r="A256" s="134"/>
      <c r="B256" s="136"/>
      <c r="C256" s="43" t="str">
        <f t="shared" si="375"/>
        <v>sar26_slc0</v>
      </c>
      <c r="D256" s="44">
        <v>8</v>
      </c>
      <c r="E256" s="30" t="str">
        <f t="shared" si="376"/>
        <v>7:0</v>
      </c>
      <c r="F256" s="30" t="s">
        <v>133</v>
      </c>
      <c r="G256" s="30" t="s">
        <v>133</v>
      </c>
      <c r="H256" s="45" t="s">
        <v>143</v>
      </c>
      <c r="I256" s="31" t="s">
        <v>68</v>
      </c>
      <c r="J256" s="32" t="s">
        <v>36</v>
      </c>
      <c r="K256" s="33" t="s">
        <v>6</v>
      </c>
      <c r="L256" s="46"/>
      <c r="M256" s="120"/>
      <c r="N256" s="120"/>
      <c r="O256" s="120"/>
      <c r="P256" s="122"/>
      <c r="Q256" s="122"/>
      <c r="R256" s="124"/>
      <c r="S256" s="124"/>
      <c r="T256" s="158"/>
      <c r="U256" s="157"/>
      <c r="V256" s="147"/>
      <c r="W256" s="150"/>
      <c r="X256" s="157"/>
      <c r="Y256" s="147"/>
      <c r="Z256" s="150"/>
      <c r="AA256" s="150"/>
      <c r="AB256" s="150"/>
      <c r="AC256" s="153"/>
      <c r="AD256" s="57">
        <f>ABS(BIN2DEC($AA252)*3-2)</f>
        <v>2</v>
      </c>
      <c r="AE256" s="57">
        <f>ABS(BIN2DEC($U252)*3-1)</f>
        <v>2</v>
      </c>
      <c r="AF256" s="57">
        <f>ABS( BIN2DEC(V252)*3-BIN2DEC(Z252))</f>
        <v>1</v>
      </c>
      <c r="AG256" s="57">
        <f>BIN2DEC(X252&amp;Y252)+BIN2DEC(W252)*3</f>
        <v>0</v>
      </c>
      <c r="AH256" s="57">
        <f t="shared" si="377"/>
        <v>26</v>
      </c>
    </row>
    <row r="257" spans="1:34" ht="15.75" customHeight="1">
      <c r="A257" s="133" t="str">
        <f>AC257</f>
        <v>vofc_dom2_quad1_quad3_sar1_slc0</v>
      </c>
      <c r="B257" s="135" t="str">
        <f>DEC2HEX(P257*4)</f>
        <v>0</v>
      </c>
      <c r="C257" s="56" t="s">
        <v>134</v>
      </c>
      <c r="D257" s="129" t="str">
        <f>bitConcat(F258:F261)</f>
        <v>32'b00000000000000000000000000000000</v>
      </c>
      <c r="E257" s="130"/>
      <c r="F257" s="130"/>
      <c r="G257" s="130"/>
      <c r="H257" s="131" t="s">
        <v>135</v>
      </c>
      <c r="I257" s="131"/>
      <c r="J257" s="131" t="str">
        <f>bitConcat(G258:G261)</f>
        <v>32'b00000000000000000000000000000000</v>
      </c>
      <c r="K257" s="131"/>
      <c r="L257" s="132"/>
      <c r="M257" s="119" t="str">
        <f>DEC2HEX(_xlfn.BITLSHIFT(HEX2DEC(Q257),2))</f>
        <v>10C</v>
      </c>
      <c r="N257" s="119"/>
      <c r="O257" s="119">
        <v>0</v>
      </c>
      <c r="P257" s="121">
        <v>0</v>
      </c>
      <c r="Q257" s="121" t="str">
        <f>AB257</f>
        <v>43</v>
      </c>
      <c r="R257" s="123" t="str">
        <f t="shared" ref="R257" si="378">BIN2HEX(LEFT(RIGHT(D257,32),4))&amp;BIN2HEX(LEFT(RIGHT(D257,28),4))&amp;BIN2HEX(LEFT(RIGHT(D257,24),4))&amp;BIN2HEX(LEFT(RIGHT(D257,20),4))&amp;BIN2HEX(LEFT(RIGHT(D257,16),4))&amp;BIN2HEX(LEFT(RIGHT(D257,12),4))&amp;BIN2HEX(LEFT(RIGHT(D257,8),4))&amp;BIN2HEX(LEFT(RIGHT(D257,4),4))</f>
        <v>00000000</v>
      </c>
      <c r="S257" s="123" t="str">
        <f t="shared" ref="S257" si="379">BIN2HEX(LEFT(RIGHT(J257,32),4))&amp;BIN2HEX(LEFT(RIGHT(J257,28),4))&amp;BIN2HEX(LEFT(RIGHT(J257,24),4))&amp;BIN2HEX(LEFT(RIGHT(J257,20),4))&amp;BIN2HEX(LEFT(RIGHT(J257,16),4))&amp;BIN2HEX(LEFT(RIGHT(J257,12),4))&amp;BIN2HEX(LEFT(RIGHT(J257,8),4))&amp;BIN2HEX(LEFT(RIGHT(J257,4),4))</f>
        <v>00000000</v>
      </c>
      <c r="T257" s="158">
        <v>3</v>
      </c>
      <c r="U257" s="145">
        <v>1</v>
      </c>
      <c r="V257" s="148" t="str">
        <f t="shared" ref="V257" si="380">RIGHT(DEC2BIN(O257,2),1)</f>
        <v>0</v>
      </c>
      <c r="W257" s="155">
        <v>0</v>
      </c>
      <c r="X257" s="145">
        <v>0</v>
      </c>
      <c r="Y257" s="148">
        <v>0</v>
      </c>
      <c r="Z257" s="148">
        <v>1</v>
      </c>
      <c r="AA257" s="148">
        <v>1</v>
      </c>
      <c r="AB257" s="145" t="str">
        <f t="shared" ref="AB257" si="381">BIN2HEX(U257&amp;V257&amp;W257&amp;X257&amp;Y257&amp;Z257&amp;AA257)</f>
        <v>43</v>
      </c>
      <c r="AC257" s="151" t="str">
        <f>CONCATENATE("vofc_dom",BIN2DEC(U257&amp;V257),"_quad",BIN2DEC(AA257),"_quad",BIN2DEC(AA257)+2,"_sar",ABS( BIN2DEC(V257)*3-BIN2DEC(Z257)),"_slc",BIN2DEC(X257&amp;Y257)+BIN2DEC(W257)*3)</f>
        <v>vofc_dom2_quad1_quad3_sar1_slc0</v>
      </c>
      <c r="AD257" s="57"/>
      <c r="AE257" s="57"/>
      <c r="AF257" s="57"/>
      <c r="AG257" s="57"/>
      <c r="AH257" s="57"/>
    </row>
    <row r="258" spans="1:34" ht="15" customHeight="1">
      <c r="A258" s="134"/>
      <c r="B258" s="136"/>
      <c r="C258" s="43" t="str">
        <f>CONCATENATE("sar",AD258+AE258*4+AF258*16,"_slc",AG258)</f>
        <v>sar31_slc0</v>
      </c>
      <c r="D258" s="44">
        <v>8</v>
      </c>
      <c r="E258" s="29" t="str">
        <f>IF(D258&gt;1,(31)&amp;":"&amp;(31-D258+1),(31-D258+1)&amp;":"&amp;(31-D258+1))</f>
        <v>31:24</v>
      </c>
      <c r="F258" s="30" t="s">
        <v>133</v>
      </c>
      <c r="G258" s="30" t="s">
        <v>133</v>
      </c>
      <c r="H258" s="45" t="s">
        <v>143</v>
      </c>
      <c r="I258" s="31" t="s">
        <v>68</v>
      </c>
      <c r="J258" s="32" t="s">
        <v>36</v>
      </c>
      <c r="K258" s="33" t="s">
        <v>6</v>
      </c>
      <c r="L258" s="46"/>
      <c r="M258" s="120"/>
      <c r="N258" s="120"/>
      <c r="O258" s="120"/>
      <c r="P258" s="122"/>
      <c r="Q258" s="122"/>
      <c r="R258" s="124"/>
      <c r="S258" s="124"/>
      <c r="T258" s="158"/>
      <c r="U258" s="146"/>
      <c r="V258" s="149"/>
      <c r="W258" s="156"/>
      <c r="X258" s="146"/>
      <c r="Y258" s="149"/>
      <c r="Z258" s="149"/>
      <c r="AA258" s="149"/>
      <c r="AB258" s="146"/>
      <c r="AC258" s="152"/>
      <c r="AD258" s="57">
        <f>BIN2DEC($AA257)*3</f>
        <v>3</v>
      </c>
      <c r="AE258" s="57">
        <f>ABS(BIN2DEC($U257)*3)</f>
        <v>3</v>
      </c>
      <c r="AF258" s="57">
        <f>ABS( BIN2DEC(V257)*3-BIN2DEC(Z257))</f>
        <v>1</v>
      </c>
      <c r="AG258" s="57">
        <f>BIN2DEC(X257&amp;Y257)+BIN2DEC(W257)*3</f>
        <v>0</v>
      </c>
      <c r="AH258" s="57">
        <f>AD258+AE258*4+AF258*16</f>
        <v>31</v>
      </c>
    </row>
    <row r="259" spans="1:34" ht="15" customHeight="1">
      <c r="A259" s="134"/>
      <c r="B259" s="136"/>
      <c r="C259" s="43" t="str">
        <f t="shared" ref="C259:C261" si="382">CONCATENATE("sar",AD259+AE259*4+AF259*16,"_slc",AG259)</f>
        <v>sar27_slc0</v>
      </c>
      <c r="D259" s="44">
        <v>8</v>
      </c>
      <c r="E259" s="30" t="str">
        <f t="shared" ref="E259:E261" si="383">(MID(str_cnvt(E258),SEARCH(":",str_cnvt(E258))+1,2)-1) &amp; ":" &amp; (MID(str_cnvt(E258),SEARCH(":",str_cnvt(E258))+1,2)-D259)</f>
        <v>23:16</v>
      </c>
      <c r="F259" s="30" t="s">
        <v>133</v>
      </c>
      <c r="G259" s="30" t="s">
        <v>133</v>
      </c>
      <c r="H259" s="45" t="s">
        <v>143</v>
      </c>
      <c r="I259" s="31" t="s">
        <v>68</v>
      </c>
      <c r="J259" s="32" t="s">
        <v>36</v>
      </c>
      <c r="K259" s="33" t="s">
        <v>6</v>
      </c>
      <c r="L259" s="46"/>
      <c r="M259" s="120"/>
      <c r="N259" s="120"/>
      <c r="O259" s="120"/>
      <c r="P259" s="122"/>
      <c r="Q259" s="122"/>
      <c r="R259" s="124"/>
      <c r="S259" s="124"/>
      <c r="T259" s="158"/>
      <c r="U259" s="146"/>
      <c r="V259" s="149"/>
      <c r="W259" s="156"/>
      <c r="X259" s="146"/>
      <c r="Y259" s="149"/>
      <c r="Z259" s="149"/>
      <c r="AA259" s="149"/>
      <c r="AB259" s="146"/>
      <c r="AC259" s="152"/>
      <c r="AD259" s="57">
        <f>BIN2DEC($AA257)*3</f>
        <v>3</v>
      </c>
      <c r="AE259" s="57">
        <f>ABS(BIN2DEC($U257)*3-1)</f>
        <v>2</v>
      </c>
      <c r="AF259" s="57">
        <f>ABS( BIN2DEC(V257)*3-BIN2DEC(Z257))</f>
        <v>1</v>
      </c>
      <c r="AG259" s="57">
        <f>BIN2DEC(X257&amp;Y257)+BIN2DEC(W257)*3</f>
        <v>0</v>
      </c>
      <c r="AH259" s="57">
        <f t="shared" ref="AH259:AH261" si="384">AD259+AE259*4+AF259*16</f>
        <v>27</v>
      </c>
    </row>
    <row r="260" spans="1:34" ht="15" customHeight="1">
      <c r="A260" s="134"/>
      <c r="B260" s="136"/>
      <c r="C260" s="43" t="str">
        <f t="shared" si="382"/>
        <v>sar29_slc0</v>
      </c>
      <c r="D260" s="44">
        <v>8</v>
      </c>
      <c r="E260" s="30" t="str">
        <f t="shared" si="383"/>
        <v>15:8</v>
      </c>
      <c r="F260" s="30" t="s">
        <v>133</v>
      </c>
      <c r="G260" s="30" t="s">
        <v>133</v>
      </c>
      <c r="H260" s="45" t="s">
        <v>143</v>
      </c>
      <c r="I260" s="31" t="s">
        <v>68</v>
      </c>
      <c r="J260" s="32" t="s">
        <v>36</v>
      </c>
      <c r="K260" s="33" t="s">
        <v>6</v>
      </c>
      <c r="L260" s="46"/>
      <c r="M260" s="120"/>
      <c r="N260" s="120"/>
      <c r="O260" s="120"/>
      <c r="P260" s="122"/>
      <c r="Q260" s="122"/>
      <c r="R260" s="124"/>
      <c r="S260" s="124"/>
      <c r="T260" s="158"/>
      <c r="U260" s="146"/>
      <c r="V260" s="149"/>
      <c r="W260" s="156"/>
      <c r="X260" s="146"/>
      <c r="Y260" s="149"/>
      <c r="Z260" s="149"/>
      <c r="AA260" s="149"/>
      <c r="AB260" s="146"/>
      <c r="AC260" s="152"/>
      <c r="AD260" s="57">
        <f>ABS(BIN2DEC($AA257)*3-2)</f>
        <v>1</v>
      </c>
      <c r="AE260" s="57">
        <f>ABS(BIN2DEC($U257)*3)</f>
        <v>3</v>
      </c>
      <c r="AF260" s="57">
        <f>ABS( BIN2DEC(V257)*3-BIN2DEC(Z257))</f>
        <v>1</v>
      </c>
      <c r="AG260" s="57">
        <f>BIN2DEC(X257&amp;Y257)+BIN2DEC(W257)*3</f>
        <v>0</v>
      </c>
      <c r="AH260" s="57">
        <f t="shared" si="384"/>
        <v>29</v>
      </c>
    </row>
    <row r="261" spans="1:34" ht="30.75" customHeight="1" thickBot="1">
      <c r="A261" s="134"/>
      <c r="B261" s="136"/>
      <c r="C261" s="43" t="str">
        <f t="shared" si="382"/>
        <v>sar25_slc0</v>
      </c>
      <c r="D261" s="44">
        <v>8</v>
      </c>
      <c r="E261" s="30" t="str">
        <f t="shared" si="383"/>
        <v>7:0</v>
      </c>
      <c r="F261" s="30" t="s">
        <v>133</v>
      </c>
      <c r="G261" s="30" t="s">
        <v>133</v>
      </c>
      <c r="H261" s="45" t="s">
        <v>143</v>
      </c>
      <c r="I261" s="31" t="s">
        <v>68</v>
      </c>
      <c r="J261" s="32" t="s">
        <v>36</v>
      </c>
      <c r="K261" s="33" t="s">
        <v>6</v>
      </c>
      <c r="L261" s="46"/>
      <c r="M261" s="120"/>
      <c r="N261" s="120"/>
      <c r="O261" s="120"/>
      <c r="P261" s="122"/>
      <c r="Q261" s="122"/>
      <c r="R261" s="124"/>
      <c r="S261" s="124"/>
      <c r="T261" s="158"/>
      <c r="U261" s="147"/>
      <c r="V261" s="150"/>
      <c r="W261" s="157"/>
      <c r="X261" s="147"/>
      <c r="Y261" s="150"/>
      <c r="Z261" s="150"/>
      <c r="AA261" s="150"/>
      <c r="AB261" s="147"/>
      <c r="AC261" s="153"/>
      <c r="AD261" s="57">
        <f>ABS(BIN2DEC($AA257)*3-2)</f>
        <v>1</v>
      </c>
      <c r="AE261" s="57">
        <f>ABS(BIN2DEC($U257)*3-1)</f>
        <v>2</v>
      </c>
      <c r="AF261" s="57">
        <f>ABS( BIN2DEC(V257)*3-BIN2DEC(Z257))</f>
        <v>1</v>
      </c>
      <c r="AG261" s="57">
        <f>BIN2DEC(X257&amp;Y257)+BIN2DEC(W257)*3</f>
        <v>0</v>
      </c>
      <c r="AH261" s="57">
        <f t="shared" si="384"/>
        <v>25</v>
      </c>
    </row>
    <row r="262" spans="1:34" ht="15.75" customHeight="1">
      <c r="A262" s="133" t="str">
        <f>AC262</f>
        <v>vofc_dom2_quad0_quad2_sar0_slc1</v>
      </c>
      <c r="B262" s="135" t="str">
        <f>DEC2HEX(P262*4)</f>
        <v>0</v>
      </c>
      <c r="C262" s="56" t="s">
        <v>134</v>
      </c>
      <c r="D262" s="129" t="str">
        <f>bitConcat(F263:F266)</f>
        <v>32'b00000000000000000000000000000000</v>
      </c>
      <c r="E262" s="130"/>
      <c r="F262" s="130"/>
      <c r="G262" s="130"/>
      <c r="H262" s="131" t="s">
        <v>135</v>
      </c>
      <c r="I262" s="131"/>
      <c r="J262" s="131" t="str">
        <f>bitConcat(G263:G266)</f>
        <v>32'b00000000000000000000000000000000</v>
      </c>
      <c r="K262" s="131"/>
      <c r="L262" s="132"/>
      <c r="M262" s="119" t="str">
        <f>DEC2HEX(_xlfn.BITLSHIFT(HEX2DEC(Q262),2))</f>
        <v>110</v>
      </c>
      <c r="N262" s="119"/>
      <c r="O262" s="119">
        <v>2</v>
      </c>
      <c r="P262" s="121">
        <v>0</v>
      </c>
      <c r="Q262" s="121" t="str">
        <f>AB262</f>
        <v>44</v>
      </c>
      <c r="R262" s="123" t="str">
        <f t="shared" ref="R262" si="385">BIN2HEX(LEFT(RIGHT(D262,32),4))&amp;BIN2HEX(LEFT(RIGHT(D262,28),4))&amp;BIN2HEX(LEFT(RIGHT(D262,24),4))&amp;BIN2HEX(LEFT(RIGHT(D262,20),4))&amp;BIN2HEX(LEFT(RIGHT(D262,16),4))&amp;BIN2HEX(LEFT(RIGHT(D262,12),4))&amp;BIN2HEX(LEFT(RIGHT(D262,8),4))&amp;BIN2HEX(LEFT(RIGHT(D262,4),4))</f>
        <v>00000000</v>
      </c>
      <c r="S262" s="123" t="str">
        <f t="shared" ref="S262" si="386">BIN2HEX(LEFT(RIGHT(J262,32),4))&amp;BIN2HEX(LEFT(RIGHT(J262,28),4))&amp;BIN2HEX(LEFT(RIGHT(J262,24),4))&amp;BIN2HEX(LEFT(RIGHT(J262,20),4))&amp;BIN2HEX(LEFT(RIGHT(J262,16),4))&amp;BIN2HEX(LEFT(RIGHT(J262,12),4))&amp;BIN2HEX(LEFT(RIGHT(J262,8),4))&amp;BIN2HEX(LEFT(RIGHT(J262,4),4))</f>
        <v>00000000</v>
      </c>
      <c r="T262" s="158">
        <v>4</v>
      </c>
      <c r="U262" s="155" t="str">
        <f t="shared" ref="U262" si="387">LEFT(DEC2BIN(O262,2))</f>
        <v>1</v>
      </c>
      <c r="V262" s="145" t="str">
        <f t="shared" ref="V262" si="388">RIGHT(DEC2BIN(O262,2),1)</f>
        <v>0</v>
      </c>
      <c r="W262" s="148">
        <v>0</v>
      </c>
      <c r="X262" s="155">
        <v>0</v>
      </c>
      <c r="Y262" s="145">
        <v>1</v>
      </c>
      <c r="Z262" s="148">
        <v>0</v>
      </c>
      <c r="AA262" s="148">
        <v>0</v>
      </c>
      <c r="AB262" s="148" t="str">
        <f t="shared" ref="AB262" si="389">BIN2HEX(U262&amp;V262&amp;W262&amp;X262&amp;Y262&amp;Z262&amp;AA262)</f>
        <v>44</v>
      </c>
      <c r="AC262" s="151" t="str">
        <f>CONCATENATE("vofc_dom",BIN2DEC(U262&amp;V262),"_quad",BIN2DEC(AA262),"_quad",BIN2DEC(AA262)+2,"_sar",ABS( BIN2DEC(V262)*3-BIN2DEC(Z262)),"_slc",BIN2DEC(X262&amp;Y262)+BIN2DEC(W262)*3)</f>
        <v>vofc_dom2_quad0_quad2_sar0_slc1</v>
      </c>
      <c r="AD262" s="57"/>
      <c r="AE262" s="57"/>
      <c r="AF262" s="57"/>
      <c r="AG262" s="57"/>
      <c r="AH262" s="57"/>
    </row>
    <row r="263" spans="1:34" ht="15" customHeight="1">
      <c r="A263" s="134"/>
      <c r="B263" s="136"/>
      <c r="C263" s="43" t="str">
        <f>CONCATENATE("sar",AD263+AE263*4+AF263*16,"_slc",AG263)</f>
        <v>sar12_slc1</v>
      </c>
      <c r="D263" s="44">
        <v>8</v>
      </c>
      <c r="E263" s="29" t="str">
        <f>IF(D263&gt;1,(31)&amp;":"&amp;(31-D263+1),(31-D263+1)&amp;":"&amp;(31-D263+1))</f>
        <v>31:24</v>
      </c>
      <c r="F263" s="30" t="s">
        <v>133</v>
      </c>
      <c r="G263" s="30" t="s">
        <v>133</v>
      </c>
      <c r="H263" s="45" t="s">
        <v>143</v>
      </c>
      <c r="I263" s="31" t="s">
        <v>68</v>
      </c>
      <c r="J263" s="32" t="s">
        <v>36</v>
      </c>
      <c r="K263" s="33" t="s">
        <v>6</v>
      </c>
      <c r="L263" s="46"/>
      <c r="M263" s="120"/>
      <c r="N263" s="120"/>
      <c r="O263" s="120"/>
      <c r="P263" s="122"/>
      <c r="Q263" s="122"/>
      <c r="R263" s="124"/>
      <c r="S263" s="124"/>
      <c r="T263" s="158"/>
      <c r="U263" s="156"/>
      <c r="V263" s="146"/>
      <c r="W263" s="149"/>
      <c r="X263" s="156"/>
      <c r="Y263" s="146"/>
      <c r="Z263" s="149"/>
      <c r="AA263" s="149"/>
      <c r="AB263" s="149"/>
      <c r="AC263" s="152"/>
      <c r="AD263" s="57">
        <f>BIN2DEC($AA262)*3</f>
        <v>0</v>
      </c>
      <c r="AE263" s="57">
        <f>ABS(BIN2DEC($U262)*3)</f>
        <v>3</v>
      </c>
      <c r="AF263" s="57">
        <f>ABS( BIN2DEC(V262)*3-BIN2DEC(Z262))</f>
        <v>0</v>
      </c>
      <c r="AG263" s="57">
        <f>BIN2DEC(X262&amp;Y262)+BIN2DEC(W262)*3</f>
        <v>1</v>
      </c>
      <c r="AH263" s="57">
        <f>AD263+AE263*4+AF263*16</f>
        <v>12</v>
      </c>
    </row>
    <row r="264" spans="1:34" ht="15" customHeight="1">
      <c r="A264" s="134"/>
      <c r="B264" s="136"/>
      <c r="C264" s="43" t="str">
        <f t="shared" ref="C264:C266" si="390">CONCATENATE("sar",AD264+AE264*4+AF264*16,"_slc",AG264)</f>
        <v>sar8_slc1</v>
      </c>
      <c r="D264" s="44">
        <v>8</v>
      </c>
      <c r="E264" s="30" t="str">
        <f t="shared" ref="E264:E266" si="391">(MID(str_cnvt(E263),SEARCH(":",str_cnvt(E263))+1,2)-1) &amp; ":" &amp; (MID(str_cnvt(E263),SEARCH(":",str_cnvt(E263))+1,2)-D264)</f>
        <v>23:16</v>
      </c>
      <c r="F264" s="30" t="s">
        <v>133</v>
      </c>
      <c r="G264" s="30" t="s">
        <v>133</v>
      </c>
      <c r="H264" s="45" t="s">
        <v>143</v>
      </c>
      <c r="I264" s="31" t="s">
        <v>68</v>
      </c>
      <c r="J264" s="32" t="s">
        <v>36</v>
      </c>
      <c r="K264" s="33" t="s">
        <v>6</v>
      </c>
      <c r="L264" s="46"/>
      <c r="M264" s="120"/>
      <c r="N264" s="120"/>
      <c r="O264" s="120"/>
      <c r="P264" s="122"/>
      <c r="Q264" s="122"/>
      <c r="R264" s="124"/>
      <c r="S264" s="124"/>
      <c r="T264" s="158"/>
      <c r="U264" s="156"/>
      <c r="V264" s="146"/>
      <c r="W264" s="149"/>
      <c r="X264" s="156"/>
      <c r="Y264" s="146"/>
      <c r="Z264" s="149"/>
      <c r="AA264" s="149"/>
      <c r="AB264" s="149"/>
      <c r="AC264" s="152"/>
      <c r="AD264" s="57">
        <f>BIN2DEC($AA262)*3</f>
        <v>0</v>
      </c>
      <c r="AE264" s="57">
        <f>ABS(BIN2DEC($U262)*3-1)</f>
        <v>2</v>
      </c>
      <c r="AF264" s="57">
        <f>ABS( BIN2DEC(V262)*3-BIN2DEC(Z262))</f>
        <v>0</v>
      </c>
      <c r="AG264" s="57">
        <f>BIN2DEC(X262&amp;Y262)+BIN2DEC(W262)*3</f>
        <v>1</v>
      </c>
      <c r="AH264" s="57">
        <f t="shared" ref="AH264:AH266" si="392">AD264+AE264*4+AF264*16</f>
        <v>8</v>
      </c>
    </row>
    <row r="265" spans="1:34" ht="15" customHeight="1">
      <c r="A265" s="134"/>
      <c r="B265" s="136"/>
      <c r="C265" s="43" t="str">
        <f t="shared" si="390"/>
        <v>sar14_slc1</v>
      </c>
      <c r="D265" s="44">
        <v>8</v>
      </c>
      <c r="E265" s="30" t="str">
        <f t="shared" si="391"/>
        <v>15:8</v>
      </c>
      <c r="F265" s="30" t="s">
        <v>133</v>
      </c>
      <c r="G265" s="30" t="s">
        <v>133</v>
      </c>
      <c r="H265" s="45" t="s">
        <v>143</v>
      </c>
      <c r="I265" s="31" t="s">
        <v>68</v>
      </c>
      <c r="J265" s="32" t="s">
        <v>36</v>
      </c>
      <c r="K265" s="33" t="s">
        <v>6</v>
      </c>
      <c r="L265" s="46"/>
      <c r="M265" s="120"/>
      <c r="N265" s="120"/>
      <c r="O265" s="120"/>
      <c r="P265" s="122"/>
      <c r="Q265" s="122"/>
      <c r="R265" s="124"/>
      <c r="S265" s="124"/>
      <c r="T265" s="158"/>
      <c r="U265" s="156"/>
      <c r="V265" s="146"/>
      <c r="W265" s="149"/>
      <c r="X265" s="156"/>
      <c r="Y265" s="146"/>
      <c r="Z265" s="149"/>
      <c r="AA265" s="149"/>
      <c r="AB265" s="149"/>
      <c r="AC265" s="152"/>
      <c r="AD265" s="57">
        <f>ABS(BIN2DEC($AA262)*3-2)</f>
        <v>2</v>
      </c>
      <c r="AE265" s="57">
        <f>ABS(BIN2DEC($U262)*3)</f>
        <v>3</v>
      </c>
      <c r="AF265" s="57">
        <f>ABS( BIN2DEC(V262)*3-BIN2DEC(Z262))</f>
        <v>0</v>
      </c>
      <c r="AG265" s="57">
        <f>BIN2DEC(X262&amp;Y262)+BIN2DEC(W262)*3</f>
        <v>1</v>
      </c>
      <c r="AH265" s="57">
        <f t="shared" si="392"/>
        <v>14</v>
      </c>
    </row>
    <row r="266" spans="1:34" ht="15.75" customHeight="1" thickBot="1">
      <c r="A266" s="134"/>
      <c r="B266" s="136"/>
      <c r="C266" s="43" t="str">
        <f t="shared" si="390"/>
        <v>sar10_slc1</v>
      </c>
      <c r="D266" s="44">
        <v>8</v>
      </c>
      <c r="E266" s="30" t="str">
        <f t="shared" si="391"/>
        <v>7:0</v>
      </c>
      <c r="F266" s="30" t="s">
        <v>133</v>
      </c>
      <c r="G266" s="30" t="s">
        <v>133</v>
      </c>
      <c r="H266" s="45" t="s">
        <v>143</v>
      </c>
      <c r="I266" s="31" t="s">
        <v>68</v>
      </c>
      <c r="J266" s="32" t="s">
        <v>36</v>
      </c>
      <c r="K266" s="33" t="s">
        <v>6</v>
      </c>
      <c r="L266" s="46"/>
      <c r="M266" s="120"/>
      <c r="N266" s="120"/>
      <c r="O266" s="120"/>
      <c r="P266" s="122"/>
      <c r="Q266" s="122"/>
      <c r="R266" s="124"/>
      <c r="S266" s="124"/>
      <c r="T266" s="158"/>
      <c r="U266" s="157"/>
      <c r="V266" s="147"/>
      <c r="W266" s="150"/>
      <c r="X266" s="157"/>
      <c r="Y266" s="147"/>
      <c r="Z266" s="150"/>
      <c r="AA266" s="150"/>
      <c r="AB266" s="150"/>
      <c r="AC266" s="153"/>
      <c r="AD266" s="57">
        <f>ABS(BIN2DEC($AA262)*3-2)</f>
        <v>2</v>
      </c>
      <c r="AE266" s="57">
        <f>ABS(BIN2DEC($U262)*3-1)</f>
        <v>2</v>
      </c>
      <c r="AF266" s="57">
        <f>ABS( BIN2DEC(V262)*3-BIN2DEC(Z262))</f>
        <v>0</v>
      </c>
      <c r="AG266" s="57">
        <f>BIN2DEC(X262&amp;Y262)+BIN2DEC(W262)*3</f>
        <v>1</v>
      </c>
      <c r="AH266" s="57">
        <f t="shared" si="392"/>
        <v>10</v>
      </c>
    </row>
    <row r="267" spans="1:34" ht="15.75" customHeight="1">
      <c r="A267" s="133" t="str">
        <f>AC267</f>
        <v>vofc_dom2_quad1_quad3_sar0_slc1</v>
      </c>
      <c r="B267" s="135" t="str">
        <f>DEC2HEX(P267*4)</f>
        <v>0</v>
      </c>
      <c r="C267" s="56" t="s">
        <v>134</v>
      </c>
      <c r="D267" s="129" t="str">
        <f>bitConcat(F268:F271)</f>
        <v>32'b00000000000000000000000000000000</v>
      </c>
      <c r="E267" s="130"/>
      <c r="F267" s="130"/>
      <c r="G267" s="130"/>
      <c r="H267" s="131" t="s">
        <v>135</v>
      </c>
      <c r="I267" s="131"/>
      <c r="J267" s="131" t="str">
        <f>bitConcat(G268:G271)</f>
        <v>32'b00000000000000000000000000000000</v>
      </c>
      <c r="K267" s="131"/>
      <c r="L267" s="132"/>
      <c r="M267" s="119" t="str">
        <f>DEC2HEX(_xlfn.BITLSHIFT(HEX2DEC(Q267),2))</f>
        <v>114</v>
      </c>
      <c r="N267" s="119"/>
      <c r="O267" s="119">
        <v>2</v>
      </c>
      <c r="P267" s="121">
        <v>0</v>
      </c>
      <c r="Q267" s="121" t="str">
        <f>AB267</f>
        <v>45</v>
      </c>
      <c r="R267" s="123" t="str">
        <f t="shared" ref="R267" si="393">BIN2HEX(LEFT(RIGHT(D267,32),4))&amp;BIN2HEX(LEFT(RIGHT(D267,28),4))&amp;BIN2HEX(LEFT(RIGHT(D267,24),4))&amp;BIN2HEX(LEFT(RIGHT(D267,20),4))&amp;BIN2HEX(LEFT(RIGHT(D267,16),4))&amp;BIN2HEX(LEFT(RIGHT(D267,12),4))&amp;BIN2HEX(LEFT(RIGHT(D267,8),4))&amp;BIN2HEX(LEFT(RIGHT(D267,4),4))</f>
        <v>00000000</v>
      </c>
      <c r="S267" s="123" t="str">
        <f t="shared" ref="S267" si="394">BIN2HEX(LEFT(RIGHT(J267,32),4))&amp;BIN2HEX(LEFT(RIGHT(J267,28),4))&amp;BIN2HEX(LEFT(RIGHT(J267,24),4))&amp;BIN2HEX(LEFT(RIGHT(J267,20),4))&amp;BIN2HEX(LEFT(RIGHT(J267,16),4))&amp;BIN2HEX(LEFT(RIGHT(J267,12),4))&amp;BIN2HEX(LEFT(RIGHT(J267,8),4))&amp;BIN2HEX(LEFT(RIGHT(J267,4),4))</f>
        <v>00000000</v>
      </c>
      <c r="T267" s="158">
        <v>5</v>
      </c>
      <c r="U267" s="155" t="str">
        <f t="shared" ref="U267" si="395">LEFT(DEC2BIN(O267,2))</f>
        <v>1</v>
      </c>
      <c r="V267" s="145" t="str">
        <f t="shared" ref="V267" si="396">RIGHT(DEC2BIN(O267,2),1)</f>
        <v>0</v>
      </c>
      <c r="W267" s="148">
        <v>0</v>
      </c>
      <c r="X267" s="155">
        <v>0</v>
      </c>
      <c r="Y267" s="145">
        <v>1</v>
      </c>
      <c r="Z267" s="148">
        <v>0</v>
      </c>
      <c r="AA267" s="148">
        <v>1</v>
      </c>
      <c r="AB267" s="148" t="str">
        <f t="shared" ref="AB267" si="397">BIN2HEX(U267&amp;V267&amp;W267&amp;X267&amp;Y267&amp;Z267&amp;AA267)</f>
        <v>45</v>
      </c>
      <c r="AC267" s="151" t="str">
        <f>CONCATENATE("vofc_dom",BIN2DEC(U267&amp;V267),"_quad",BIN2DEC(AA267),"_quad",BIN2DEC(AA267)+2,"_sar",ABS( BIN2DEC(V267)*3-BIN2DEC(Z267)),"_slc",BIN2DEC(X267&amp;Y267)+BIN2DEC(W267)*3)</f>
        <v>vofc_dom2_quad1_quad3_sar0_slc1</v>
      </c>
      <c r="AD267" s="57"/>
      <c r="AE267" s="57"/>
      <c r="AF267" s="57"/>
      <c r="AG267" s="57"/>
      <c r="AH267" s="57"/>
    </row>
    <row r="268" spans="1:34" ht="15" customHeight="1">
      <c r="A268" s="134"/>
      <c r="B268" s="136"/>
      <c r="C268" s="43" t="str">
        <f>CONCATENATE("sar",AD268+AE268*4+AF268*16,"_slc",AG268)</f>
        <v>sar15_slc1</v>
      </c>
      <c r="D268" s="44">
        <v>8</v>
      </c>
      <c r="E268" s="29" t="str">
        <f>IF(D268&gt;1,(31)&amp;":"&amp;(31-D268+1),(31-D268+1)&amp;":"&amp;(31-D268+1))</f>
        <v>31:24</v>
      </c>
      <c r="F268" s="30" t="s">
        <v>133</v>
      </c>
      <c r="G268" s="30" t="s">
        <v>133</v>
      </c>
      <c r="H268" s="45" t="s">
        <v>143</v>
      </c>
      <c r="I268" s="31" t="s">
        <v>68</v>
      </c>
      <c r="J268" s="32" t="s">
        <v>36</v>
      </c>
      <c r="K268" s="33" t="s">
        <v>6</v>
      </c>
      <c r="L268" s="46"/>
      <c r="M268" s="120"/>
      <c r="N268" s="120"/>
      <c r="O268" s="120"/>
      <c r="P268" s="122"/>
      <c r="Q268" s="122"/>
      <c r="R268" s="124"/>
      <c r="S268" s="124"/>
      <c r="T268" s="158"/>
      <c r="U268" s="156"/>
      <c r="V268" s="146"/>
      <c r="W268" s="149"/>
      <c r="X268" s="156"/>
      <c r="Y268" s="146"/>
      <c r="Z268" s="149"/>
      <c r="AA268" s="149"/>
      <c r="AB268" s="149"/>
      <c r="AC268" s="152"/>
      <c r="AD268" s="57">
        <f>BIN2DEC($AA267)*3</f>
        <v>3</v>
      </c>
      <c r="AE268" s="57">
        <f>ABS(BIN2DEC($U267)*3)</f>
        <v>3</v>
      </c>
      <c r="AF268" s="57">
        <f>ABS( BIN2DEC(V267)*3-BIN2DEC(Z267))</f>
        <v>0</v>
      </c>
      <c r="AG268" s="57">
        <f>BIN2DEC(X267&amp;Y267)+BIN2DEC(W267)*3</f>
        <v>1</v>
      </c>
      <c r="AH268" s="57">
        <f>AD268+AE268*4+AF268*16</f>
        <v>15</v>
      </c>
    </row>
    <row r="269" spans="1:34" ht="15" customHeight="1">
      <c r="A269" s="134"/>
      <c r="B269" s="136"/>
      <c r="C269" s="43" t="str">
        <f t="shared" ref="C269:C271" si="398">CONCATENATE("sar",AD269+AE269*4+AF269*16,"_slc",AG269)</f>
        <v>sar11_slc1</v>
      </c>
      <c r="D269" s="44">
        <v>8</v>
      </c>
      <c r="E269" s="30" t="str">
        <f t="shared" ref="E269:E271" si="399">(MID(str_cnvt(E268),SEARCH(":",str_cnvt(E268))+1,2)-1) &amp; ":" &amp; (MID(str_cnvt(E268),SEARCH(":",str_cnvt(E268))+1,2)-D269)</f>
        <v>23:16</v>
      </c>
      <c r="F269" s="30" t="s">
        <v>133</v>
      </c>
      <c r="G269" s="30" t="s">
        <v>133</v>
      </c>
      <c r="H269" s="45" t="s">
        <v>143</v>
      </c>
      <c r="I269" s="31" t="s">
        <v>68</v>
      </c>
      <c r="J269" s="32" t="s">
        <v>36</v>
      </c>
      <c r="K269" s="33" t="s">
        <v>6</v>
      </c>
      <c r="L269" s="46"/>
      <c r="M269" s="120"/>
      <c r="N269" s="120"/>
      <c r="O269" s="120"/>
      <c r="P269" s="122"/>
      <c r="Q269" s="122"/>
      <c r="R269" s="124"/>
      <c r="S269" s="124"/>
      <c r="T269" s="158"/>
      <c r="U269" s="156"/>
      <c r="V269" s="146"/>
      <c r="W269" s="149"/>
      <c r="X269" s="156"/>
      <c r="Y269" s="146"/>
      <c r="Z269" s="149"/>
      <c r="AA269" s="149"/>
      <c r="AB269" s="149"/>
      <c r="AC269" s="152"/>
      <c r="AD269" s="57">
        <f>BIN2DEC($AA267)*3</f>
        <v>3</v>
      </c>
      <c r="AE269" s="57">
        <f>ABS(BIN2DEC($U267)*3-1)</f>
        <v>2</v>
      </c>
      <c r="AF269" s="57">
        <f>ABS( BIN2DEC(V267)*3-BIN2DEC(Z267))</f>
        <v>0</v>
      </c>
      <c r="AG269" s="57">
        <f>BIN2DEC(X267&amp;Y267)+BIN2DEC(W267)*3</f>
        <v>1</v>
      </c>
      <c r="AH269" s="57">
        <f t="shared" ref="AH269:AH271" si="400">AD269+AE269*4+AF269*16</f>
        <v>11</v>
      </c>
    </row>
    <row r="270" spans="1:34" ht="15" customHeight="1">
      <c r="A270" s="134"/>
      <c r="B270" s="136"/>
      <c r="C270" s="43" t="str">
        <f t="shared" si="398"/>
        <v>sar13_slc1</v>
      </c>
      <c r="D270" s="44">
        <v>8</v>
      </c>
      <c r="E270" s="30" t="str">
        <f t="shared" si="399"/>
        <v>15:8</v>
      </c>
      <c r="F270" s="30" t="s">
        <v>133</v>
      </c>
      <c r="G270" s="30" t="s">
        <v>133</v>
      </c>
      <c r="H270" s="45" t="s">
        <v>143</v>
      </c>
      <c r="I270" s="31" t="s">
        <v>68</v>
      </c>
      <c r="J270" s="32" t="s">
        <v>36</v>
      </c>
      <c r="K270" s="33" t="s">
        <v>6</v>
      </c>
      <c r="L270" s="46"/>
      <c r="M270" s="120"/>
      <c r="N270" s="120"/>
      <c r="O270" s="120"/>
      <c r="P270" s="122"/>
      <c r="Q270" s="122"/>
      <c r="R270" s="124"/>
      <c r="S270" s="124"/>
      <c r="T270" s="158"/>
      <c r="U270" s="156"/>
      <c r="V270" s="146"/>
      <c r="W270" s="149"/>
      <c r="X270" s="156"/>
      <c r="Y270" s="146"/>
      <c r="Z270" s="149"/>
      <c r="AA270" s="149"/>
      <c r="AB270" s="149"/>
      <c r="AC270" s="152"/>
      <c r="AD270" s="57">
        <f>ABS(BIN2DEC($AA267)*3-2)</f>
        <v>1</v>
      </c>
      <c r="AE270" s="57">
        <f>ABS(BIN2DEC($U267)*3)</f>
        <v>3</v>
      </c>
      <c r="AF270" s="57">
        <f>ABS( BIN2DEC(V267)*3-BIN2DEC(Z267))</f>
        <v>0</v>
      </c>
      <c r="AG270" s="57">
        <f>BIN2DEC(X267&amp;Y267)+BIN2DEC(W267)*3</f>
        <v>1</v>
      </c>
      <c r="AH270" s="57">
        <f t="shared" si="400"/>
        <v>13</v>
      </c>
    </row>
    <row r="271" spans="1:34" ht="15.75" customHeight="1" thickBot="1">
      <c r="A271" s="134"/>
      <c r="B271" s="136"/>
      <c r="C271" s="43" t="str">
        <f t="shared" si="398"/>
        <v>sar9_slc1</v>
      </c>
      <c r="D271" s="44">
        <v>8</v>
      </c>
      <c r="E271" s="30" t="str">
        <f t="shared" si="399"/>
        <v>7:0</v>
      </c>
      <c r="F271" s="30" t="s">
        <v>133</v>
      </c>
      <c r="G271" s="30" t="s">
        <v>133</v>
      </c>
      <c r="H271" s="45" t="s">
        <v>143</v>
      </c>
      <c r="I271" s="31" t="s">
        <v>68</v>
      </c>
      <c r="J271" s="32" t="s">
        <v>36</v>
      </c>
      <c r="K271" s="33" t="s">
        <v>6</v>
      </c>
      <c r="L271" s="46"/>
      <c r="M271" s="120"/>
      <c r="N271" s="120"/>
      <c r="O271" s="120"/>
      <c r="P271" s="122"/>
      <c r="Q271" s="122"/>
      <c r="R271" s="124"/>
      <c r="S271" s="124"/>
      <c r="T271" s="158"/>
      <c r="U271" s="157"/>
      <c r="V271" s="147"/>
      <c r="W271" s="150"/>
      <c r="X271" s="157"/>
      <c r="Y271" s="147"/>
      <c r="Z271" s="150"/>
      <c r="AA271" s="150"/>
      <c r="AB271" s="150"/>
      <c r="AC271" s="153"/>
      <c r="AD271" s="57">
        <f>ABS(BIN2DEC($AA267)*3-2)</f>
        <v>1</v>
      </c>
      <c r="AE271" s="57">
        <f>ABS(BIN2DEC($U267)*3-1)</f>
        <v>2</v>
      </c>
      <c r="AF271" s="57">
        <f>ABS( BIN2DEC(V267)*3-BIN2DEC(Z267))</f>
        <v>0</v>
      </c>
      <c r="AG271" s="57">
        <f>BIN2DEC(X267&amp;Y267)+BIN2DEC(W267)*3</f>
        <v>1</v>
      </c>
      <c r="AH271" s="57">
        <f t="shared" si="400"/>
        <v>9</v>
      </c>
    </row>
    <row r="272" spans="1:34" ht="15.75" customHeight="1">
      <c r="A272" s="133" t="str">
        <f>AC272</f>
        <v>vofc_dom2_quad0_quad2_sar1_slc1</v>
      </c>
      <c r="B272" s="135" t="str">
        <f>DEC2HEX(P272*4)</f>
        <v>0</v>
      </c>
      <c r="C272" s="56" t="s">
        <v>134</v>
      </c>
      <c r="D272" s="129" t="str">
        <f>bitConcat(F273:F276)</f>
        <v>32'b00000000000000000000000000000000</v>
      </c>
      <c r="E272" s="130"/>
      <c r="F272" s="130"/>
      <c r="G272" s="130"/>
      <c r="H272" s="131" t="s">
        <v>135</v>
      </c>
      <c r="I272" s="131"/>
      <c r="J272" s="131" t="str">
        <f>bitConcat(G273:G276)</f>
        <v>32'b00000000000000000000000000000000</v>
      </c>
      <c r="K272" s="131"/>
      <c r="L272" s="132"/>
      <c r="M272" s="119" t="str">
        <f>DEC2HEX(_xlfn.BITLSHIFT(HEX2DEC(Q272),2))</f>
        <v>118</v>
      </c>
      <c r="N272" s="119"/>
      <c r="O272" s="119">
        <v>2</v>
      </c>
      <c r="P272" s="121">
        <v>0</v>
      </c>
      <c r="Q272" s="121" t="str">
        <f>AB272</f>
        <v>46</v>
      </c>
      <c r="R272" s="123" t="str">
        <f t="shared" ref="R272" si="401">BIN2HEX(LEFT(RIGHT(D272,32),4))&amp;BIN2HEX(LEFT(RIGHT(D272,28),4))&amp;BIN2HEX(LEFT(RIGHT(D272,24),4))&amp;BIN2HEX(LEFT(RIGHT(D272,20),4))&amp;BIN2HEX(LEFT(RIGHT(D272,16),4))&amp;BIN2HEX(LEFT(RIGHT(D272,12),4))&amp;BIN2HEX(LEFT(RIGHT(D272,8),4))&amp;BIN2HEX(LEFT(RIGHT(D272,4),4))</f>
        <v>00000000</v>
      </c>
      <c r="S272" s="123" t="str">
        <f t="shared" ref="S272" si="402">BIN2HEX(LEFT(RIGHT(J272,32),4))&amp;BIN2HEX(LEFT(RIGHT(J272,28),4))&amp;BIN2HEX(LEFT(RIGHT(J272,24),4))&amp;BIN2HEX(LEFT(RIGHT(J272,20),4))&amp;BIN2HEX(LEFT(RIGHT(J272,16),4))&amp;BIN2HEX(LEFT(RIGHT(J272,12),4))&amp;BIN2HEX(LEFT(RIGHT(J272,8),4))&amp;BIN2HEX(LEFT(RIGHT(J272,4),4))</f>
        <v>00000000</v>
      </c>
      <c r="T272" s="158">
        <v>6</v>
      </c>
      <c r="U272" s="155" t="str">
        <f t="shared" ref="U272" si="403">LEFT(DEC2BIN(O272,2))</f>
        <v>1</v>
      </c>
      <c r="V272" s="145" t="str">
        <f t="shared" ref="V272" si="404">RIGHT(DEC2BIN(O272,2),1)</f>
        <v>0</v>
      </c>
      <c r="W272" s="148">
        <v>0</v>
      </c>
      <c r="X272" s="155">
        <v>0</v>
      </c>
      <c r="Y272" s="145">
        <v>1</v>
      </c>
      <c r="Z272" s="148">
        <v>1</v>
      </c>
      <c r="AA272" s="148">
        <v>0</v>
      </c>
      <c r="AB272" s="148" t="str">
        <f t="shared" ref="AB272" si="405">BIN2HEX(U272&amp;V272&amp;W272&amp;X272&amp;Y272&amp;Z272&amp;AA272)</f>
        <v>46</v>
      </c>
      <c r="AC272" s="151" t="str">
        <f>CONCATENATE("vofc_dom",BIN2DEC(U272&amp;V272),"_quad",BIN2DEC(AA272),"_quad",BIN2DEC(AA272)+2,"_sar",ABS( BIN2DEC(V272)*3-BIN2DEC(Z272)),"_slc",BIN2DEC(X272&amp;Y272)+BIN2DEC(W272)*3)</f>
        <v>vofc_dom2_quad0_quad2_sar1_slc1</v>
      </c>
      <c r="AD272" s="57"/>
      <c r="AE272" s="57"/>
      <c r="AF272" s="57"/>
      <c r="AG272" s="57"/>
      <c r="AH272" s="57"/>
    </row>
    <row r="273" spans="1:34" ht="15" customHeight="1">
      <c r="A273" s="134"/>
      <c r="B273" s="136"/>
      <c r="C273" s="43" t="str">
        <f>CONCATENATE("sar",AD273+AE273*4+AF273*16,"_slc",AG273)</f>
        <v>sar28_slc1</v>
      </c>
      <c r="D273" s="44">
        <v>8</v>
      </c>
      <c r="E273" s="29" t="str">
        <f>IF(D273&gt;1,(31)&amp;":"&amp;(31-D273+1),(31-D273+1)&amp;":"&amp;(31-D273+1))</f>
        <v>31:24</v>
      </c>
      <c r="F273" s="30" t="s">
        <v>133</v>
      </c>
      <c r="G273" s="30" t="s">
        <v>133</v>
      </c>
      <c r="H273" s="45" t="s">
        <v>143</v>
      </c>
      <c r="I273" s="31" t="s">
        <v>68</v>
      </c>
      <c r="J273" s="32" t="s">
        <v>36</v>
      </c>
      <c r="K273" s="33" t="s">
        <v>6</v>
      </c>
      <c r="L273" s="46"/>
      <c r="M273" s="120"/>
      <c r="N273" s="120"/>
      <c r="O273" s="120"/>
      <c r="P273" s="122"/>
      <c r="Q273" s="122"/>
      <c r="R273" s="124"/>
      <c r="S273" s="124"/>
      <c r="T273" s="158"/>
      <c r="U273" s="156"/>
      <c r="V273" s="146"/>
      <c r="W273" s="149"/>
      <c r="X273" s="156"/>
      <c r="Y273" s="146"/>
      <c r="Z273" s="149"/>
      <c r="AA273" s="149"/>
      <c r="AB273" s="149"/>
      <c r="AC273" s="152"/>
      <c r="AD273" s="57">
        <f>BIN2DEC($AA272)*3</f>
        <v>0</v>
      </c>
      <c r="AE273" s="57">
        <f>ABS(BIN2DEC($U272)*3)</f>
        <v>3</v>
      </c>
      <c r="AF273" s="57">
        <f>ABS( BIN2DEC(V272)*3-BIN2DEC(Z272))</f>
        <v>1</v>
      </c>
      <c r="AG273" s="57">
        <f>BIN2DEC(X272&amp;Y272)+BIN2DEC(W272)*3</f>
        <v>1</v>
      </c>
      <c r="AH273" s="57">
        <f>AD273+AE273*4+AF273*16</f>
        <v>28</v>
      </c>
    </row>
    <row r="274" spans="1:34" ht="15" customHeight="1">
      <c r="A274" s="134"/>
      <c r="B274" s="136"/>
      <c r="C274" s="43" t="str">
        <f t="shared" ref="C274:C276" si="406">CONCATENATE("sar",AD274+AE274*4+AF274*16,"_slc",AG274)</f>
        <v>sar24_slc1</v>
      </c>
      <c r="D274" s="44">
        <v>8</v>
      </c>
      <c r="E274" s="30" t="str">
        <f t="shared" ref="E274:E276" si="407">(MID(str_cnvt(E273),SEARCH(":",str_cnvt(E273))+1,2)-1) &amp; ":" &amp; (MID(str_cnvt(E273),SEARCH(":",str_cnvt(E273))+1,2)-D274)</f>
        <v>23:16</v>
      </c>
      <c r="F274" s="30" t="s">
        <v>133</v>
      </c>
      <c r="G274" s="30" t="s">
        <v>133</v>
      </c>
      <c r="H274" s="45" t="s">
        <v>143</v>
      </c>
      <c r="I274" s="31" t="s">
        <v>68</v>
      </c>
      <c r="J274" s="32" t="s">
        <v>36</v>
      </c>
      <c r="K274" s="33" t="s">
        <v>6</v>
      </c>
      <c r="L274" s="46"/>
      <c r="M274" s="120"/>
      <c r="N274" s="120"/>
      <c r="O274" s="120"/>
      <c r="P274" s="122"/>
      <c r="Q274" s="122"/>
      <c r="R274" s="124"/>
      <c r="S274" s="124"/>
      <c r="T274" s="158"/>
      <c r="U274" s="156"/>
      <c r="V274" s="146"/>
      <c r="W274" s="149"/>
      <c r="X274" s="156"/>
      <c r="Y274" s="146"/>
      <c r="Z274" s="149"/>
      <c r="AA274" s="149"/>
      <c r="AB274" s="149"/>
      <c r="AC274" s="152"/>
      <c r="AD274" s="57">
        <f>BIN2DEC($AA272)*3</f>
        <v>0</v>
      </c>
      <c r="AE274" s="57">
        <f>ABS(BIN2DEC($U272)*3-1)</f>
        <v>2</v>
      </c>
      <c r="AF274" s="57">
        <f>ABS( BIN2DEC(V272)*3-BIN2DEC(Z272))</f>
        <v>1</v>
      </c>
      <c r="AG274" s="57">
        <f>BIN2DEC(X272&amp;Y272)+BIN2DEC(W272)*3</f>
        <v>1</v>
      </c>
      <c r="AH274" s="57">
        <f t="shared" ref="AH274:AH276" si="408">AD274+AE274*4+AF274*16</f>
        <v>24</v>
      </c>
    </row>
    <row r="275" spans="1:34" ht="15" customHeight="1">
      <c r="A275" s="134"/>
      <c r="B275" s="136"/>
      <c r="C275" s="43" t="str">
        <f t="shared" si="406"/>
        <v>sar30_slc1</v>
      </c>
      <c r="D275" s="44">
        <v>8</v>
      </c>
      <c r="E275" s="30" t="str">
        <f t="shared" si="407"/>
        <v>15:8</v>
      </c>
      <c r="F275" s="30" t="s">
        <v>133</v>
      </c>
      <c r="G275" s="30" t="s">
        <v>133</v>
      </c>
      <c r="H275" s="45" t="s">
        <v>143</v>
      </c>
      <c r="I275" s="31" t="s">
        <v>68</v>
      </c>
      <c r="J275" s="32" t="s">
        <v>36</v>
      </c>
      <c r="K275" s="33" t="s">
        <v>6</v>
      </c>
      <c r="L275" s="46"/>
      <c r="M275" s="120"/>
      <c r="N275" s="120"/>
      <c r="O275" s="120"/>
      <c r="P275" s="122"/>
      <c r="Q275" s="122"/>
      <c r="R275" s="124"/>
      <c r="S275" s="124"/>
      <c r="T275" s="158"/>
      <c r="U275" s="156"/>
      <c r="V275" s="146"/>
      <c r="W275" s="149"/>
      <c r="X275" s="156"/>
      <c r="Y275" s="146"/>
      <c r="Z275" s="149"/>
      <c r="AA275" s="149"/>
      <c r="AB275" s="149"/>
      <c r="AC275" s="152"/>
      <c r="AD275" s="57">
        <f>ABS(BIN2DEC($AA272)*3-2)</f>
        <v>2</v>
      </c>
      <c r="AE275" s="57">
        <f>ABS(BIN2DEC($U272)*3)</f>
        <v>3</v>
      </c>
      <c r="AF275" s="57">
        <f>ABS( BIN2DEC(V272)*3-BIN2DEC(Z272))</f>
        <v>1</v>
      </c>
      <c r="AG275" s="57">
        <f>BIN2DEC(X272&amp;Y272)+BIN2DEC(W272)*3</f>
        <v>1</v>
      </c>
      <c r="AH275" s="57">
        <f t="shared" si="408"/>
        <v>30</v>
      </c>
    </row>
    <row r="276" spans="1:34" ht="15.75" customHeight="1" thickBot="1">
      <c r="A276" s="134"/>
      <c r="B276" s="136"/>
      <c r="C276" s="43" t="str">
        <f t="shared" si="406"/>
        <v>sar26_slc1</v>
      </c>
      <c r="D276" s="44">
        <v>8</v>
      </c>
      <c r="E276" s="30" t="str">
        <f t="shared" si="407"/>
        <v>7:0</v>
      </c>
      <c r="F276" s="30" t="s">
        <v>133</v>
      </c>
      <c r="G276" s="30" t="s">
        <v>133</v>
      </c>
      <c r="H276" s="45" t="s">
        <v>143</v>
      </c>
      <c r="I276" s="31" t="s">
        <v>68</v>
      </c>
      <c r="J276" s="32" t="s">
        <v>36</v>
      </c>
      <c r="K276" s="33" t="s">
        <v>6</v>
      </c>
      <c r="L276" s="46"/>
      <c r="M276" s="120"/>
      <c r="N276" s="120"/>
      <c r="O276" s="120"/>
      <c r="P276" s="122"/>
      <c r="Q276" s="122"/>
      <c r="R276" s="124"/>
      <c r="S276" s="124"/>
      <c r="T276" s="158"/>
      <c r="U276" s="157"/>
      <c r="V276" s="147"/>
      <c r="W276" s="150"/>
      <c r="X276" s="157"/>
      <c r="Y276" s="147"/>
      <c r="Z276" s="150"/>
      <c r="AA276" s="150"/>
      <c r="AB276" s="150"/>
      <c r="AC276" s="153"/>
      <c r="AD276" s="57">
        <f>ABS(BIN2DEC($AA272)*3-2)</f>
        <v>2</v>
      </c>
      <c r="AE276" s="57">
        <f>ABS(BIN2DEC($U272)*3-1)</f>
        <v>2</v>
      </c>
      <c r="AF276" s="57">
        <f>ABS( BIN2DEC(V272)*3-BIN2DEC(Z272))</f>
        <v>1</v>
      </c>
      <c r="AG276" s="57">
        <f>BIN2DEC(X272&amp;Y272)+BIN2DEC(W272)*3</f>
        <v>1</v>
      </c>
      <c r="AH276" s="57">
        <f t="shared" si="408"/>
        <v>26</v>
      </c>
    </row>
    <row r="277" spans="1:34" ht="15.75" customHeight="1">
      <c r="A277" s="133" t="str">
        <f>AC277</f>
        <v>vofc_dom2_quad1_quad3_sar1_slc1</v>
      </c>
      <c r="B277" s="135" t="str">
        <f>DEC2HEX(P277*4)</f>
        <v>0</v>
      </c>
      <c r="C277" s="56" t="s">
        <v>134</v>
      </c>
      <c r="D277" s="129" t="str">
        <f>bitConcat(F278:F281)</f>
        <v>32'b00000000000000000000000000000000</v>
      </c>
      <c r="E277" s="130"/>
      <c r="F277" s="130"/>
      <c r="G277" s="130"/>
      <c r="H277" s="131" t="s">
        <v>135</v>
      </c>
      <c r="I277" s="131"/>
      <c r="J277" s="131" t="str">
        <f>bitConcat(G278:G281)</f>
        <v>32'b00000000000000000000000000000000</v>
      </c>
      <c r="K277" s="131"/>
      <c r="L277" s="132"/>
      <c r="M277" s="119" t="str">
        <f>DEC2HEX(_xlfn.BITLSHIFT(HEX2DEC(Q277),2))</f>
        <v>11C</v>
      </c>
      <c r="N277" s="119"/>
      <c r="O277" s="119">
        <v>2</v>
      </c>
      <c r="P277" s="121">
        <v>0</v>
      </c>
      <c r="Q277" s="121" t="str">
        <f>AB277</f>
        <v>47</v>
      </c>
      <c r="R277" s="123" t="str">
        <f t="shared" ref="R277" si="409">BIN2HEX(LEFT(RIGHT(D277,32),4))&amp;BIN2HEX(LEFT(RIGHT(D277,28),4))&amp;BIN2HEX(LEFT(RIGHT(D277,24),4))&amp;BIN2HEX(LEFT(RIGHT(D277,20),4))&amp;BIN2HEX(LEFT(RIGHT(D277,16),4))&amp;BIN2HEX(LEFT(RIGHT(D277,12),4))&amp;BIN2HEX(LEFT(RIGHT(D277,8),4))&amp;BIN2HEX(LEFT(RIGHT(D277,4),4))</f>
        <v>00000000</v>
      </c>
      <c r="S277" s="123" t="str">
        <f t="shared" ref="S277" si="410">BIN2HEX(LEFT(RIGHT(J277,32),4))&amp;BIN2HEX(LEFT(RIGHT(J277,28),4))&amp;BIN2HEX(LEFT(RIGHT(J277,24),4))&amp;BIN2HEX(LEFT(RIGHT(J277,20),4))&amp;BIN2HEX(LEFT(RIGHT(J277,16),4))&amp;BIN2HEX(LEFT(RIGHT(J277,12),4))&amp;BIN2HEX(LEFT(RIGHT(J277,8),4))&amp;BIN2HEX(LEFT(RIGHT(J277,4),4))</f>
        <v>00000000</v>
      </c>
      <c r="T277" s="158">
        <v>7</v>
      </c>
      <c r="U277" s="155" t="str">
        <f t="shared" ref="U277" si="411">LEFT(DEC2BIN(O277,2))</f>
        <v>1</v>
      </c>
      <c r="V277" s="145" t="str">
        <f t="shared" ref="V277" si="412">RIGHT(DEC2BIN(O277,2),1)</f>
        <v>0</v>
      </c>
      <c r="W277" s="148">
        <v>0</v>
      </c>
      <c r="X277" s="155">
        <v>0</v>
      </c>
      <c r="Y277" s="145">
        <v>1</v>
      </c>
      <c r="Z277" s="148">
        <v>1</v>
      </c>
      <c r="AA277" s="148">
        <v>1</v>
      </c>
      <c r="AB277" s="148" t="str">
        <f t="shared" ref="AB277" si="413">BIN2HEX(U277&amp;V277&amp;W277&amp;X277&amp;Y277&amp;Z277&amp;AA277)</f>
        <v>47</v>
      </c>
      <c r="AC277" s="151" t="str">
        <f>CONCATENATE("vofc_dom",BIN2DEC(U277&amp;V277),"_quad",BIN2DEC(AA277),"_quad",BIN2DEC(AA277)+2,"_sar",ABS( BIN2DEC(V277)*3-BIN2DEC(Z277)),"_slc",BIN2DEC(X277&amp;Y277)+BIN2DEC(W277)*3)</f>
        <v>vofc_dom2_quad1_quad3_sar1_slc1</v>
      </c>
      <c r="AD277" s="57"/>
      <c r="AE277" s="57"/>
      <c r="AF277" s="57"/>
      <c r="AG277" s="57"/>
      <c r="AH277" s="57"/>
    </row>
    <row r="278" spans="1:34" ht="15" customHeight="1">
      <c r="A278" s="134"/>
      <c r="B278" s="136"/>
      <c r="C278" s="43" t="str">
        <f>CONCATENATE("sar",AD278+AE278*4+AF278*16,"_slc",AG278)</f>
        <v>sar31_slc1</v>
      </c>
      <c r="D278" s="44">
        <v>8</v>
      </c>
      <c r="E278" s="29" t="str">
        <f>IF(D278&gt;1,(31)&amp;":"&amp;(31-D278+1),(31-D278+1)&amp;":"&amp;(31-D278+1))</f>
        <v>31:24</v>
      </c>
      <c r="F278" s="30" t="s">
        <v>133</v>
      </c>
      <c r="G278" s="30" t="s">
        <v>133</v>
      </c>
      <c r="H278" s="45" t="s">
        <v>143</v>
      </c>
      <c r="I278" s="31" t="s">
        <v>68</v>
      </c>
      <c r="J278" s="32" t="s">
        <v>36</v>
      </c>
      <c r="K278" s="33" t="s">
        <v>6</v>
      </c>
      <c r="L278" s="46"/>
      <c r="M278" s="120"/>
      <c r="N278" s="120"/>
      <c r="O278" s="120"/>
      <c r="P278" s="122"/>
      <c r="Q278" s="122"/>
      <c r="R278" s="124"/>
      <c r="S278" s="124"/>
      <c r="T278" s="158"/>
      <c r="U278" s="156"/>
      <c r="V278" s="146"/>
      <c r="W278" s="149"/>
      <c r="X278" s="156"/>
      <c r="Y278" s="146"/>
      <c r="Z278" s="149"/>
      <c r="AA278" s="149"/>
      <c r="AB278" s="149"/>
      <c r="AC278" s="152"/>
      <c r="AD278" s="57">
        <f>BIN2DEC($AA277)*3</f>
        <v>3</v>
      </c>
      <c r="AE278" s="57">
        <f>ABS(BIN2DEC($U277)*3)</f>
        <v>3</v>
      </c>
      <c r="AF278" s="57">
        <f>ABS( BIN2DEC(V277)*3-BIN2DEC(Z277))</f>
        <v>1</v>
      </c>
      <c r="AG278" s="57">
        <f>BIN2DEC(X277&amp;Y277)+BIN2DEC(W277)*3</f>
        <v>1</v>
      </c>
      <c r="AH278" s="57">
        <f>AD278+AE278*4+AF278*16</f>
        <v>31</v>
      </c>
    </row>
    <row r="279" spans="1:34" ht="15" customHeight="1">
      <c r="A279" s="134"/>
      <c r="B279" s="136"/>
      <c r="C279" s="43" t="str">
        <f t="shared" ref="C279:C281" si="414">CONCATENATE("sar",AD279+AE279*4+AF279*16,"_slc",AG279)</f>
        <v>sar27_slc1</v>
      </c>
      <c r="D279" s="44">
        <v>8</v>
      </c>
      <c r="E279" s="30" t="str">
        <f t="shared" ref="E279:E281" si="415">(MID(str_cnvt(E278),SEARCH(":",str_cnvt(E278))+1,2)-1) &amp; ":" &amp; (MID(str_cnvt(E278),SEARCH(":",str_cnvt(E278))+1,2)-D279)</f>
        <v>23:16</v>
      </c>
      <c r="F279" s="30" t="s">
        <v>133</v>
      </c>
      <c r="G279" s="30" t="s">
        <v>133</v>
      </c>
      <c r="H279" s="45" t="s">
        <v>143</v>
      </c>
      <c r="I279" s="31" t="s">
        <v>68</v>
      </c>
      <c r="J279" s="32" t="s">
        <v>36</v>
      </c>
      <c r="K279" s="33" t="s">
        <v>6</v>
      </c>
      <c r="L279" s="46"/>
      <c r="M279" s="120"/>
      <c r="N279" s="120"/>
      <c r="O279" s="120"/>
      <c r="P279" s="122"/>
      <c r="Q279" s="122"/>
      <c r="R279" s="124"/>
      <c r="S279" s="124"/>
      <c r="T279" s="158"/>
      <c r="U279" s="156"/>
      <c r="V279" s="146"/>
      <c r="W279" s="149"/>
      <c r="X279" s="156"/>
      <c r="Y279" s="146"/>
      <c r="Z279" s="149"/>
      <c r="AA279" s="149"/>
      <c r="AB279" s="149"/>
      <c r="AC279" s="152"/>
      <c r="AD279" s="57">
        <f>BIN2DEC($AA277)*3</f>
        <v>3</v>
      </c>
      <c r="AE279" s="57">
        <f>ABS(BIN2DEC($U277)*3-1)</f>
        <v>2</v>
      </c>
      <c r="AF279" s="57">
        <f>ABS( BIN2DEC(V277)*3-BIN2DEC(Z277))</f>
        <v>1</v>
      </c>
      <c r="AG279" s="57">
        <f>BIN2DEC(X277&amp;Y277)+BIN2DEC(W277)*3</f>
        <v>1</v>
      </c>
      <c r="AH279" s="57">
        <f t="shared" ref="AH279:AH281" si="416">AD279+AE279*4+AF279*16</f>
        <v>27</v>
      </c>
    </row>
    <row r="280" spans="1:34" ht="15" customHeight="1">
      <c r="A280" s="134"/>
      <c r="B280" s="136"/>
      <c r="C280" s="43" t="str">
        <f t="shared" si="414"/>
        <v>sar29_slc1</v>
      </c>
      <c r="D280" s="44">
        <v>8</v>
      </c>
      <c r="E280" s="30" t="str">
        <f t="shared" si="415"/>
        <v>15:8</v>
      </c>
      <c r="F280" s="30" t="s">
        <v>133</v>
      </c>
      <c r="G280" s="30" t="s">
        <v>133</v>
      </c>
      <c r="H280" s="45" t="s">
        <v>143</v>
      </c>
      <c r="I280" s="31" t="s">
        <v>68</v>
      </c>
      <c r="J280" s="32" t="s">
        <v>36</v>
      </c>
      <c r="K280" s="33" t="s">
        <v>6</v>
      </c>
      <c r="L280" s="46"/>
      <c r="M280" s="120"/>
      <c r="N280" s="120"/>
      <c r="O280" s="120"/>
      <c r="P280" s="122"/>
      <c r="Q280" s="122"/>
      <c r="R280" s="124"/>
      <c r="S280" s="124"/>
      <c r="T280" s="158"/>
      <c r="U280" s="156"/>
      <c r="V280" s="146"/>
      <c r="W280" s="149"/>
      <c r="X280" s="156"/>
      <c r="Y280" s="146"/>
      <c r="Z280" s="149"/>
      <c r="AA280" s="149"/>
      <c r="AB280" s="149"/>
      <c r="AC280" s="152"/>
      <c r="AD280" s="57">
        <f>ABS(BIN2DEC($AA277)*3-2)</f>
        <v>1</v>
      </c>
      <c r="AE280" s="57">
        <f>ABS(BIN2DEC($U277)*3)</f>
        <v>3</v>
      </c>
      <c r="AF280" s="57">
        <f>ABS( BIN2DEC(V277)*3-BIN2DEC(Z277))</f>
        <v>1</v>
      </c>
      <c r="AG280" s="57">
        <f>BIN2DEC(X277&amp;Y277)+BIN2DEC(W277)*3</f>
        <v>1</v>
      </c>
      <c r="AH280" s="57">
        <f t="shared" si="416"/>
        <v>29</v>
      </c>
    </row>
    <row r="281" spans="1:34" ht="15.75" customHeight="1" thickBot="1">
      <c r="A281" s="134"/>
      <c r="B281" s="136"/>
      <c r="C281" s="43" t="str">
        <f t="shared" si="414"/>
        <v>sar25_slc1</v>
      </c>
      <c r="D281" s="44">
        <v>8</v>
      </c>
      <c r="E281" s="30" t="str">
        <f t="shared" si="415"/>
        <v>7:0</v>
      </c>
      <c r="F281" s="30" t="s">
        <v>133</v>
      </c>
      <c r="G281" s="30" t="s">
        <v>133</v>
      </c>
      <c r="H281" s="45" t="s">
        <v>143</v>
      </c>
      <c r="I281" s="31" t="s">
        <v>68</v>
      </c>
      <c r="J281" s="32" t="s">
        <v>36</v>
      </c>
      <c r="K281" s="33" t="s">
        <v>6</v>
      </c>
      <c r="L281" s="46"/>
      <c r="M281" s="120"/>
      <c r="N281" s="120"/>
      <c r="O281" s="120"/>
      <c r="P281" s="122"/>
      <c r="Q281" s="122"/>
      <c r="R281" s="124"/>
      <c r="S281" s="124"/>
      <c r="T281" s="158"/>
      <c r="U281" s="157"/>
      <c r="V281" s="147"/>
      <c r="W281" s="150"/>
      <c r="X281" s="157"/>
      <c r="Y281" s="147"/>
      <c r="Z281" s="150"/>
      <c r="AA281" s="150"/>
      <c r="AB281" s="150"/>
      <c r="AC281" s="153"/>
      <c r="AD281" s="57">
        <f>ABS(BIN2DEC($AA277)*3-2)</f>
        <v>1</v>
      </c>
      <c r="AE281" s="57">
        <f>ABS(BIN2DEC($U277)*3-1)</f>
        <v>2</v>
      </c>
      <c r="AF281" s="57">
        <f>ABS( BIN2DEC(V277)*3-BIN2DEC(Z277))</f>
        <v>1</v>
      </c>
      <c r="AG281" s="57">
        <f>BIN2DEC(X277&amp;Y277)+BIN2DEC(W277)*3</f>
        <v>1</v>
      </c>
      <c r="AH281" s="57">
        <f t="shared" si="416"/>
        <v>25</v>
      </c>
    </row>
    <row r="282" spans="1:34" ht="15.75" customHeight="1">
      <c r="A282" s="133" t="str">
        <f>AC282</f>
        <v>vofc_dom2_quad0_quad2_sar0_slc2</v>
      </c>
      <c r="B282" s="135" t="str">
        <f>DEC2HEX(P282*4)</f>
        <v>0</v>
      </c>
      <c r="C282" s="56" t="s">
        <v>134</v>
      </c>
      <c r="D282" s="129" t="str">
        <f>bitConcat(F283:F286)</f>
        <v>32'b00000000000000000000000000000000</v>
      </c>
      <c r="E282" s="130"/>
      <c r="F282" s="130"/>
      <c r="G282" s="130"/>
      <c r="H282" s="131" t="s">
        <v>135</v>
      </c>
      <c r="I282" s="131"/>
      <c r="J282" s="131" t="str">
        <f>bitConcat(G283:G286)</f>
        <v>32'b00000000000000000000000000000000</v>
      </c>
      <c r="K282" s="131"/>
      <c r="L282" s="132"/>
      <c r="M282" s="119" t="str">
        <f>DEC2HEX(_xlfn.BITLSHIFT(HEX2DEC(Q282),2))</f>
        <v>120</v>
      </c>
      <c r="N282" s="119"/>
      <c r="O282" s="119">
        <v>2</v>
      </c>
      <c r="P282" s="121">
        <v>0</v>
      </c>
      <c r="Q282" s="121" t="str">
        <f>AB282</f>
        <v>48</v>
      </c>
      <c r="R282" s="123" t="str">
        <f t="shared" ref="R282" si="417">BIN2HEX(LEFT(RIGHT(D282,32),4))&amp;BIN2HEX(LEFT(RIGHT(D282,28),4))&amp;BIN2HEX(LEFT(RIGHT(D282,24),4))&amp;BIN2HEX(LEFT(RIGHT(D282,20),4))&amp;BIN2HEX(LEFT(RIGHT(D282,16),4))&amp;BIN2HEX(LEFT(RIGHT(D282,12),4))&amp;BIN2HEX(LEFT(RIGHT(D282,8),4))&amp;BIN2HEX(LEFT(RIGHT(D282,4),4))</f>
        <v>00000000</v>
      </c>
      <c r="S282" s="123" t="str">
        <f t="shared" ref="S282" si="418">BIN2HEX(LEFT(RIGHT(J282,32),4))&amp;BIN2HEX(LEFT(RIGHT(J282,28),4))&amp;BIN2HEX(LEFT(RIGHT(J282,24),4))&amp;BIN2HEX(LEFT(RIGHT(J282,20),4))&amp;BIN2HEX(LEFT(RIGHT(J282,16),4))&amp;BIN2HEX(LEFT(RIGHT(J282,12),4))&amp;BIN2HEX(LEFT(RIGHT(J282,8),4))&amp;BIN2HEX(LEFT(RIGHT(J282,4),4))</f>
        <v>00000000</v>
      </c>
      <c r="T282" s="158">
        <v>8</v>
      </c>
      <c r="U282" s="155" t="str">
        <f t="shared" ref="U282" si="419">LEFT(DEC2BIN(O282,2))</f>
        <v>1</v>
      </c>
      <c r="V282" s="145" t="str">
        <f t="shared" ref="V282" si="420">RIGHT(DEC2BIN(O282,2),1)</f>
        <v>0</v>
      </c>
      <c r="W282" s="148">
        <v>0</v>
      </c>
      <c r="X282" s="155">
        <v>1</v>
      </c>
      <c r="Y282" s="145">
        <v>0</v>
      </c>
      <c r="Z282" s="148">
        <v>0</v>
      </c>
      <c r="AA282" s="148">
        <v>0</v>
      </c>
      <c r="AB282" s="148" t="str">
        <f t="shared" ref="AB282" si="421">BIN2HEX(U282&amp;V282&amp;W282&amp;X282&amp;Y282&amp;Z282&amp;AA282)</f>
        <v>48</v>
      </c>
      <c r="AC282" s="151" t="str">
        <f>CONCATENATE("vofc_dom",BIN2DEC(U282&amp;V282),"_quad",BIN2DEC(AA282),"_quad",BIN2DEC(AA282)+2,"_sar",ABS( BIN2DEC(V282)*3-BIN2DEC(Z282)),"_slc",BIN2DEC(X282&amp;Y282)+BIN2DEC(W282)*3)</f>
        <v>vofc_dom2_quad0_quad2_sar0_slc2</v>
      </c>
      <c r="AD282" s="57"/>
      <c r="AE282" s="57"/>
      <c r="AF282" s="57"/>
      <c r="AG282" s="57"/>
      <c r="AH282" s="57"/>
    </row>
    <row r="283" spans="1:34" ht="15" customHeight="1">
      <c r="A283" s="134"/>
      <c r="B283" s="136"/>
      <c r="C283" s="43" t="str">
        <f>CONCATENATE("sar",AD283+AE283*4+AF283*16,"_slc",AG283)</f>
        <v>sar12_slc2</v>
      </c>
      <c r="D283" s="44">
        <v>8</v>
      </c>
      <c r="E283" s="29" t="str">
        <f>IF(D283&gt;1,(31)&amp;":"&amp;(31-D283+1),(31-D283+1)&amp;":"&amp;(31-D283+1))</f>
        <v>31:24</v>
      </c>
      <c r="F283" s="30" t="s">
        <v>133</v>
      </c>
      <c r="G283" s="30" t="s">
        <v>133</v>
      </c>
      <c r="H283" s="45" t="s">
        <v>143</v>
      </c>
      <c r="I283" s="31" t="s">
        <v>68</v>
      </c>
      <c r="J283" s="32" t="s">
        <v>36</v>
      </c>
      <c r="K283" s="33" t="s">
        <v>6</v>
      </c>
      <c r="L283" s="46"/>
      <c r="M283" s="120"/>
      <c r="N283" s="120"/>
      <c r="O283" s="120"/>
      <c r="P283" s="122"/>
      <c r="Q283" s="122"/>
      <c r="R283" s="124"/>
      <c r="S283" s="124"/>
      <c r="T283" s="158"/>
      <c r="U283" s="156"/>
      <c r="V283" s="146"/>
      <c r="W283" s="149"/>
      <c r="X283" s="156"/>
      <c r="Y283" s="146"/>
      <c r="Z283" s="149"/>
      <c r="AA283" s="149"/>
      <c r="AB283" s="149"/>
      <c r="AC283" s="152"/>
      <c r="AD283" s="57">
        <f>BIN2DEC($AA282)*3</f>
        <v>0</v>
      </c>
      <c r="AE283" s="57">
        <f>ABS(BIN2DEC($U282)*3)</f>
        <v>3</v>
      </c>
      <c r="AF283" s="57">
        <f>ABS( BIN2DEC(V282)*3-BIN2DEC(Z282))</f>
        <v>0</v>
      </c>
      <c r="AG283" s="57">
        <f>BIN2DEC(X282&amp;Y282)+BIN2DEC(W282)*3</f>
        <v>2</v>
      </c>
      <c r="AH283" s="57">
        <f>AD283+AE283*4+AF283*16</f>
        <v>12</v>
      </c>
    </row>
    <row r="284" spans="1:34" ht="15" customHeight="1">
      <c r="A284" s="134"/>
      <c r="B284" s="136"/>
      <c r="C284" s="43" t="str">
        <f t="shared" ref="C284:C286" si="422">CONCATENATE("sar",AD284+AE284*4+AF284*16,"_slc",AG284)</f>
        <v>sar8_slc2</v>
      </c>
      <c r="D284" s="44">
        <v>8</v>
      </c>
      <c r="E284" s="30" t="str">
        <f t="shared" ref="E284:E286" si="423">(MID(str_cnvt(E283),SEARCH(":",str_cnvt(E283))+1,2)-1) &amp; ":" &amp; (MID(str_cnvt(E283),SEARCH(":",str_cnvt(E283))+1,2)-D284)</f>
        <v>23:16</v>
      </c>
      <c r="F284" s="30" t="s">
        <v>133</v>
      </c>
      <c r="G284" s="30" t="s">
        <v>133</v>
      </c>
      <c r="H284" s="45" t="s">
        <v>143</v>
      </c>
      <c r="I284" s="31" t="s">
        <v>68</v>
      </c>
      <c r="J284" s="32" t="s">
        <v>36</v>
      </c>
      <c r="K284" s="33" t="s">
        <v>6</v>
      </c>
      <c r="L284" s="46"/>
      <c r="M284" s="120"/>
      <c r="N284" s="120"/>
      <c r="O284" s="120"/>
      <c r="P284" s="122"/>
      <c r="Q284" s="122"/>
      <c r="R284" s="124"/>
      <c r="S284" s="124"/>
      <c r="T284" s="158"/>
      <c r="U284" s="156"/>
      <c r="V284" s="146"/>
      <c r="W284" s="149"/>
      <c r="X284" s="156"/>
      <c r="Y284" s="146"/>
      <c r="Z284" s="149"/>
      <c r="AA284" s="149"/>
      <c r="AB284" s="149"/>
      <c r="AC284" s="152"/>
      <c r="AD284" s="57">
        <f>BIN2DEC($AA282)*3</f>
        <v>0</v>
      </c>
      <c r="AE284" s="57">
        <f>ABS(BIN2DEC($U282)*3-1)</f>
        <v>2</v>
      </c>
      <c r="AF284" s="57">
        <f>ABS( BIN2DEC(V282)*3-BIN2DEC(Z282))</f>
        <v>0</v>
      </c>
      <c r="AG284" s="57">
        <f>BIN2DEC(X282&amp;Y282)+BIN2DEC(W282)*3</f>
        <v>2</v>
      </c>
      <c r="AH284" s="57">
        <f t="shared" ref="AH284:AH286" si="424">AD284+AE284*4+AF284*16</f>
        <v>8</v>
      </c>
    </row>
    <row r="285" spans="1:34" ht="15" customHeight="1">
      <c r="A285" s="134"/>
      <c r="B285" s="136"/>
      <c r="C285" s="43" t="str">
        <f t="shared" si="422"/>
        <v>sar14_slc2</v>
      </c>
      <c r="D285" s="44">
        <v>8</v>
      </c>
      <c r="E285" s="30" t="str">
        <f t="shared" si="423"/>
        <v>15:8</v>
      </c>
      <c r="F285" s="30" t="s">
        <v>133</v>
      </c>
      <c r="G285" s="30" t="s">
        <v>133</v>
      </c>
      <c r="H285" s="45" t="s">
        <v>143</v>
      </c>
      <c r="I285" s="31" t="s">
        <v>68</v>
      </c>
      <c r="J285" s="32" t="s">
        <v>36</v>
      </c>
      <c r="K285" s="33" t="s">
        <v>6</v>
      </c>
      <c r="L285" s="46"/>
      <c r="M285" s="120"/>
      <c r="N285" s="120"/>
      <c r="O285" s="120"/>
      <c r="P285" s="122"/>
      <c r="Q285" s="122"/>
      <c r="R285" s="124"/>
      <c r="S285" s="124"/>
      <c r="T285" s="158"/>
      <c r="U285" s="156"/>
      <c r="V285" s="146"/>
      <c r="W285" s="149"/>
      <c r="X285" s="156"/>
      <c r="Y285" s="146"/>
      <c r="Z285" s="149"/>
      <c r="AA285" s="149"/>
      <c r="AB285" s="149"/>
      <c r="AC285" s="152"/>
      <c r="AD285" s="57">
        <f>ABS(BIN2DEC($AA282)*3-2)</f>
        <v>2</v>
      </c>
      <c r="AE285" s="57">
        <f>ABS(BIN2DEC($U282)*3)</f>
        <v>3</v>
      </c>
      <c r="AF285" s="57">
        <f>ABS( BIN2DEC(V282)*3-BIN2DEC(Z282))</f>
        <v>0</v>
      </c>
      <c r="AG285" s="57">
        <f>BIN2DEC(X282&amp;Y282)+BIN2DEC(W282)*3</f>
        <v>2</v>
      </c>
      <c r="AH285" s="57">
        <f t="shared" si="424"/>
        <v>14</v>
      </c>
    </row>
    <row r="286" spans="1:34" ht="15.75" customHeight="1" thickBot="1">
      <c r="A286" s="134"/>
      <c r="B286" s="136"/>
      <c r="C286" s="43" t="str">
        <f t="shared" si="422"/>
        <v>sar10_slc2</v>
      </c>
      <c r="D286" s="44">
        <v>8</v>
      </c>
      <c r="E286" s="30" t="str">
        <f t="shared" si="423"/>
        <v>7:0</v>
      </c>
      <c r="F286" s="30" t="s">
        <v>133</v>
      </c>
      <c r="G286" s="30" t="s">
        <v>133</v>
      </c>
      <c r="H286" s="45" t="s">
        <v>143</v>
      </c>
      <c r="I286" s="31" t="s">
        <v>68</v>
      </c>
      <c r="J286" s="32" t="s">
        <v>36</v>
      </c>
      <c r="K286" s="33" t="s">
        <v>6</v>
      </c>
      <c r="L286" s="46"/>
      <c r="M286" s="120"/>
      <c r="N286" s="120"/>
      <c r="O286" s="120"/>
      <c r="P286" s="122"/>
      <c r="Q286" s="122"/>
      <c r="R286" s="124"/>
      <c r="S286" s="124"/>
      <c r="T286" s="158"/>
      <c r="U286" s="157"/>
      <c r="V286" s="147"/>
      <c r="W286" s="150"/>
      <c r="X286" s="157"/>
      <c r="Y286" s="147"/>
      <c r="Z286" s="150"/>
      <c r="AA286" s="150"/>
      <c r="AB286" s="150"/>
      <c r="AC286" s="153"/>
      <c r="AD286" s="57">
        <f>ABS(BIN2DEC($AA282)*3-2)</f>
        <v>2</v>
      </c>
      <c r="AE286" s="57">
        <f>ABS(BIN2DEC($U282)*3-1)</f>
        <v>2</v>
      </c>
      <c r="AF286" s="57">
        <f>ABS( BIN2DEC(V282)*3-BIN2DEC(Z282))</f>
        <v>0</v>
      </c>
      <c r="AG286" s="57">
        <f>BIN2DEC(X282&amp;Y282)+BIN2DEC(W282)*3</f>
        <v>2</v>
      </c>
      <c r="AH286" s="57">
        <f t="shared" si="424"/>
        <v>10</v>
      </c>
    </row>
    <row r="287" spans="1:34" ht="15.75" customHeight="1">
      <c r="A287" s="133" t="str">
        <f>AC287</f>
        <v>vofc_dom2_quad1_quad3_sar0_slc2</v>
      </c>
      <c r="B287" s="135" t="str">
        <f>DEC2HEX(P287*4)</f>
        <v>0</v>
      </c>
      <c r="C287" s="56" t="s">
        <v>134</v>
      </c>
      <c r="D287" s="129" t="str">
        <f>bitConcat(F288:F291)</f>
        <v>32'b00000000000000000000000000000000</v>
      </c>
      <c r="E287" s="130"/>
      <c r="F287" s="130"/>
      <c r="G287" s="130"/>
      <c r="H287" s="131" t="s">
        <v>135</v>
      </c>
      <c r="I287" s="131"/>
      <c r="J287" s="131" t="str">
        <f>bitConcat(G288:G291)</f>
        <v>32'b00000000000000000000000000000000</v>
      </c>
      <c r="K287" s="131"/>
      <c r="L287" s="132"/>
      <c r="M287" s="119" t="str">
        <f>DEC2HEX(_xlfn.BITLSHIFT(HEX2DEC(Q287),2))</f>
        <v>124</v>
      </c>
      <c r="N287" s="119"/>
      <c r="O287" s="119">
        <v>2</v>
      </c>
      <c r="P287" s="121">
        <v>0</v>
      </c>
      <c r="Q287" s="121" t="str">
        <f>AB287</f>
        <v>49</v>
      </c>
      <c r="R287" s="123" t="str">
        <f t="shared" ref="R287" si="425">BIN2HEX(LEFT(RIGHT(D287,32),4))&amp;BIN2HEX(LEFT(RIGHT(D287,28),4))&amp;BIN2HEX(LEFT(RIGHT(D287,24),4))&amp;BIN2HEX(LEFT(RIGHT(D287,20),4))&amp;BIN2HEX(LEFT(RIGHT(D287,16),4))&amp;BIN2HEX(LEFT(RIGHT(D287,12),4))&amp;BIN2HEX(LEFT(RIGHT(D287,8),4))&amp;BIN2HEX(LEFT(RIGHT(D287,4),4))</f>
        <v>00000000</v>
      </c>
      <c r="S287" s="123" t="str">
        <f t="shared" ref="S287" si="426">BIN2HEX(LEFT(RIGHT(J287,32),4))&amp;BIN2HEX(LEFT(RIGHT(J287,28),4))&amp;BIN2HEX(LEFT(RIGHT(J287,24),4))&amp;BIN2HEX(LEFT(RIGHT(J287,20),4))&amp;BIN2HEX(LEFT(RIGHT(J287,16),4))&amp;BIN2HEX(LEFT(RIGHT(J287,12),4))&amp;BIN2HEX(LEFT(RIGHT(J287,8),4))&amp;BIN2HEX(LEFT(RIGHT(J287,4),4))</f>
        <v>00000000</v>
      </c>
      <c r="T287" s="158">
        <v>9</v>
      </c>
      <c r="U287" s="155" t="str">
        <f t="shared" ref="U287" si="427">LEFT(DEC2BIN(O287,2))</f>
        <v>1</v>
      </c>
      <c r="V287" s="145" t="str">
        <f t="shared" ref="V287" si="428">RIGHT(DEC2BIN(O287,2),1)</f>
        <v>0</v>
      </c>
      <c r="W287" s="148">
        <v>0</v>
      </c>
      <c r="X287" s="155">
        <v>1</v>
      </c>
      <c r="Y287" s="145">
        <v>0</v>
      </c>
      <c r="Z287" s="148">
        <v>0</v>
      </c>
      <c r="AA287" s="148">
        <v>1</v>
      </c>
      <c r="AB287" s="148" t="str">
        <f t="shared" ref="AB287" si="429">BIN2HEX(U287&amp;V287&amp;W287&amp;X287&amp;Y287&amp;Z287&amp;AA287)</f>
        <v>49</v>
      </c>
      <c r="AC287" s="151" t="str">
        <f>CONCATENATE("vofc_dom",BIN2DEC(U287&amp;V287),"_quad",BIN2DEC(AA287),"_quad",BIN2DEC(AA287)+2,"_sar",ABS( BIN2DEC(V287)*3-BIN2DEC(Z287)),"_slc",BIN2DEC(X287&amp;Y287)+BIN2DEC(W287)*3)</f>
        <v>vofc_dom2_quad1_quad3_sar0_slc2</v>
      </c>
      <c r="AD287" s="57"/>
      <c r="AE287" s="57"/>
      <c r="AF287" s="57"/>
      <c r="AG287" s="57"/>
      <c r="AH287" s="57"/>
    </row>
    <row r="288" spans="1:34" ht="15" customHeight="1">
      <c r="A288" s="134"/>
      <c r="B288" s="136"/>
      <c r="C288" s="43" t="str">
        <f>CONCATENATE("sar",AD288+AE288*4+AF288*16,"_slc",AG288)</f>
        <v>sar15_slc2</v>
      </c>
      <c r="D288" s="44">
        <v>8</v>
      </c>
      <c r="E288" s="29" t="str">
        <f>IF(D288&gt;1,(31)&amp;":"&amp;(31-D288+1),(31-D288+1)&amp;":"&amp;(31-D288+1))</f>
        <v>31:24</v>
      </c>
      <c r="F288" s="30" t="s">
        <v>133</v>
      </c>
      <c r="G288" s="30" t="s">
        <v>133</v>
      </c>
      <c r="H288" s="45" t="s">
        <v>143</v>
      </c>
      <c r="I288" s="31" t="s">
        <v>68</v>
      </c>
      <c r="J288" s="32" t="s">
        <v>36</v>
      </c>
      <c r="K288" s="33" t="s">
        <v>6</v>
      </c>
      <c r="L288" s="46"/>
      <c r="M288" s="120"/>
      <c r="N288" s="120"/>
      <c r="O288" s="120"/>
      <c r="P288" s="122"/>
      <c r="Q288" s="122"/>
      <c r="R288" s="124"/>
      <c r="S288" s="124"/>
      <c r="T288" s="158"/>
      <c r="U288" s="156"/>
      <c r="V288" s="146"/>
      <c r="W288" s="149"/>
      <c r="X288" s="156"/>
      <c r="Y288" s="146"/>
      <c r="Z288" s="149"/>
      <c r="AA288" s="149"/>
      <c r="AB288" s="149"/>
      <c r="AC288" s="152"/>
      <c r="AD288" s="57">
        <f>BIN2DEC($AA287)*3</f>
        <v>3</v>
      </c>
      <c r="AE288" s="57">
        <f>ABS(BIN2DEC($U287)*3)</f>
        <v>3</v>
      </c>
      <c r="AF288" s="57">
        <f>ABS( BIN2DEC(V287)*3-BIN2DEC(Z287))</f>
        <v>0</v>
      </c>
      <c r="AG288" s="57">
        <f>BIN2DEC(X287&amp;Y287)+BIN2DEC(W287)*3</f>
        <v>2</v>
      </c>
      <c r="AH288" s="57">
        <f>AD288+AE288*4+AF288*16</f>
        <v>15</v>
      </c>
    </row>
    <row r="289" spans="1:34" ht="15" customHeight="1">
      <c r="A289" s="134"/>
      <c r="B289" s="136"/>
      <c r="C289" s="43" t="str">
        <f t="shared" ref="C289:C291" si="430">CONCATENATE("sar",AD289+AE289*4+AF289*16,"_slc",AG289)</f>
        <v>sar11_slc2</v>
      </c>
      <c r="D289" s="44">
        <v>8</v>
      </c>
      <c r="E289" s="30" t="str">
        <f t="shared" ref="E289:E291" si="431">(MID(str_cnvt(E288),SEARCH(":",str_cnvt(E288))+1,2)-1) &amp; ":" &amp; (MID(str_cnvt(E288),SEARCH(":",str_cnvt(E288))+1,2)-D289)</f>
        <v>23:16</v>
      </c>
      <c r="F289" s="30" t="s">
        <v>133</v>
      </c>
      <c r="G289" s="30" t="s">
        <v>133</v>
      </c>
      <c r="H289" s="45" t="s">
        <v>143</v>
      </c>
      <c r="I289" s="31" t="s">
        <v>68</v>
      </c>
      <c r="J289" s="32" t="s">
        <v>36</v>
      </c>
      <c r="K289" s="33" t="s">
        <v>6</v>
      </c>
      <c r="L289" s="46"/>
      <c r="M289" s="120"/>
      <c r="N289" s="120"/>
      <c r="O289" s="120"/>
      <c r="P289" s="122"/>
      <c r="Q289" s="122"/>
      <c r="R289" s="124"/>
      <c r="S289" s="124"/>
      <c r="T289" s="158"/>
      <c r="U289" s="156"/>
      <c r="V289" s="146"/>
      <c r="W289" s="149"/>
      <c r="X289" s="156"/>
      <c r="Y289" s="146"/>
      <c r="Z289" s="149"/>
      <c r="AA289" s="149"/>
      <c r="AB289" s="149"/>
      <c r="AC289" s="152"/>
      <c r="AD289" s="57">
        <f>BIN2DEC($AA287)*3</f>
        <v>3</v>
      </c>
      <c r="AE289" s="57">
        <f>ABS(BIN2DEC($U287)*3-1)</f>
        <v>2</v>
      </c>
      <c r="AF289" s="57">
        <f>ABS( BIN2DEC(V287)*3-BIN2DEC(Z287))</f>
        <v>0</v>
      </c>
      <c r="AG289" s="57">
        <f>BIN2DEC(X287&amp;Y287)+BIN2DEC(W287)*3</f>
        <v>2</v>
      </c>
      <c r="AH289" s="57">
        <f t="shared" ref="AH289:AH291" si="432">AD289+AE289*4+AF289*16</f>
        <v>11</v>
      </c>
    </row>
    <row r="290" spans="1:34" ht="15" customHeight="1">
      <c r="A290" s="134"/>
      <c r="B290" s="136"/>
      <c r="C290" s="43" t="str">
        <f t="shared" si="430"/>
        <v>sar13_slc2</v>
      </c>
      <c r="D290" s="44">
        <v>8</v>
      </c>
      <c r="E290" s="30" t="str">
        <f t="shared" si="431"/>
        <v>15:8</v>
      </c>
      <c r="F290" s="30" t="s">
        <v>133</v>
      </c>
      <c r="G290" s="30" t="s">
        <v>133</v>
      </c>
      <c r="H290" s="45" t="s">
        <v>143</v>
      </c>
      <c r="I290" s="31" t="s">
        <v>68</v>
      </c>
      <c r="J290" s="32" t="s">
        <v>36</v>
      </c>
      <c r="K290" s="33" t="s">
        <v>6</v>
      </c>
      <c r="L290" s="46"/>
      <c r="M290" s="120"/>
      <c r="N290" s="120"/>
      <c r="O290" s="120"/>
      <c r="P290" s="122"/>
      <c r="Q290" s="122"/>
      <c r="R290" s="124"/>
      <c r="S290" s="124"/>
      <c r="T290" s="158"/>
      <c r="U290" s="156"/>
      <c r="V290" s="146"/>
      <c r="W290" s="149"/>
      <c r="X290" s="156"/>
      <c r="Y290" s="146"/>
      <c r="Z290" s="149"/>
      <c r="AA290" s="149"/>
      <c r="AB290" s="149"/>
      <c r="AC290" s="152"/>
      <c r="AD290" s="57">
        <f>ABS(BIN2DEC($AA287)*3-2)</f>
        <v>1</v>
      </c>
      <c r="AE290" s="57">
        <f>ABS(BIN2DEC($U287)*3)</f>
        <v>3</v>
      </c>
      <c r="AF290" s="57">
        <f>ABS( BIN2DEC(V287)*3-BIN2DEC(Z287))</f>
        <v>0</v>
      </c>
      <c r="AG290" s="57">
        <f>BIN2DEC(X287&amp;Y287)+BIN2DEC(W287)*3</f>
        <v>2</v>
      </c>
      <c r="AH290" s="57">
        <f t="shared" si="432"/>
        <v>13</v>
      </c>
    </row>
    <row r="291" spans="1:34" ht="15.75" customHeight="1" thickBot="1">
      <c r="A291" s="134"/>
      <c r="B291" s="136"/>
      <c r="C291" s="43" t="str">
        <f t="shared" si="430"/>
        <v>sar9_slc2</v>
      </c>
      <c r="D291" s="44">
        <v>8</v>
      </c>
      <c r="E291" s="30" t="str">
        <f t="shared" si="431"/>
        <v>7:0</v>
      </c>
      <c r="F291" s="30" t="s">
        <v>133</v>
      </c>
      <c r="G291" s="30" t="s">
        <v>133</v>
      </c>
      <c r="H291" s="45" t="s">
        <v>143</v>
      </c>
      <c r="I291" s="31" t="s">
        <v>68</v>
      </c>
      <c r="J291" s="32" t="s">
        <v>36</v>
      </c>
      <c r="K291" s="33" t="s">
        <v>6</v>
      </c>
      <c r="L291" s="46"/>
      <c r="M291" s="120"/>
      <c r="N291" s="120"/>
      <c r="O291" s="120"/>
      <c r="P291" s="122"/>
      <c r="Q291" s="122"/>
      <c r="R291" s="124"/>
      <c r="S291" s="124"/>
      <c r="T291" s="158"/>
      <c r="U291" s="157"/>
      <c r="V291" s="147"/>
      <c r="W291" s="150"/>
      <c r="X291" s="157"/>
      <c r="Y291" s="147"/>
      <c r="Z291" s="150"/>
      <c r="AA291" s="150"/>
      <c r="AB291" s="150"/>
      <c r="AC291" s="153"/>
      <c r="AD291" s="57">
        <f>ABS(BIN2DEC($AA287)*3-2)</f>
        <v>1</v>
      </c>
      <c r="AE291" s="57">
        <f>ABS(BIN2DEC($U287)*3-1)</f>
        <v>2</v>
      </c>
      <c r="AF291" s="57">
        <f>ABS( BIN2DEC(V287)*3-BIN2DEC(Z287))</f>
        <v>0</v>
      </c>
      <c r="AG291" s="57">
        <f>BIN2DEC(X287&amp;Y287)+BIN2DEC(W287)*3</f>
        <v>2</v>
      </c>
      <c r="AH291" s="57">
        <f t="shared" si="432"/>
        <v>9</v>
      </c>
    </row>
    <row r="292" spans="1:34" ht="15.75" customHeight="1">
      <c r="A292" s="133" t="str">
        <f>AC292</f>
        <v>vofc_dom2_quad0_quad2_sar1_slc2</v>
      </c>
      <c r="B292" s="135" t="str">
        <f>DEC2HEX(P292*4)</f>
        <v>0</v>
      </c>
      <c r="C292" s="56" t="s">
        <v>134</v>
      </c>
      <c r="D292" s="129" t="str">
        <f>bitConcat(F293:F296)</f>
        <v>32'b00000000000000000000000000000000</v>
      </c>
      <c r="E292" s="130"/>
      <c r="F292" s="130"/>
      <c r="G292" s="130"/>
      <c r="H292" s="131" t="s">
        <v>135</v>
      </c>
      <c r="I292" s="131"/>
      <c r="J292" s="131" t="str">
        <f>bitConcat(G293:G296)</f>
        <v>32'b00000000000000000000000000000000</v>
      </c>
      <c r="K292" s="131"/>
      <c r="L292" s="132"/>
      <c r="M292" s="119" t="str">
        <f>DEC2HEX(_xlfn.BITLSHIFT(HEX2DEC(Q292),2))</f>
        <v>128</v>
      </c>
      <c r="N292" s="119"/>
      <c r="O292" s="119">
        <v>2</v>
      </c>
      <c r="P292" s="121">
        <v>0</v>
      </c>
      <c r="Q292" s="121" t="str">
        <f>AB292</f>
        <v>4A</v>
      </c>
      <c r="R292" s="123" t="str">
        <f t="shared" ref="R292" si="433">BIN2HEX(LEFT(RIGHT(D292,32),4))&amp;BIN2HEX(LEFT(RIGHT(D292,28),4))&amp;BIN2HEX(LEFT(RIGHT(D292,24),4))&amp;BIN2HEX(LEFT(RIGHT(D292,20),4))&amp;BIN2HEX(LEFT(RIGHT(D292,16),4))&amp;BIN2HEX(LEFT(RIGHT(D292,12),4))&amp;BIN2HEX(LEFT(RIGHT(D292,8),4))&amp;BIN2HEX(LEFT(RIGHT(D292,4),4))</f>
        <v>00000000</v>
      </c>
      <c r="S292" s="123" t="str">
        <f t="shared" ref="S292" si="434">BIN2HEX(LEFT(RIGHT(J292,32),4))&amp;BIN2HEX(LEFT(RIGHT(J292,28),4))&amp;BIN2HEX(LEFT(RIGHT(J292,24),4))&amp;BIN2HEX(LEFT(RIGHT(J292,20),4))&amp;BIN2HEX(LEFT(RIGHT(J292,16),4))&amp;BIN2HEX(LEFT(RIGHT(J292,12),4))&amp;BIN2HEX(LEFT(RIGHT(J292,8),4))&amp;BIN2HEX(LEFT(RIGHT(J292,4),4))</f>
        <v>00000000</v>
      </c>
      <c r="T292" s="158">
        <v>10</v>
      </c>
      <c r="U292" s="155" t="str">
        <f t="shared" ref="U292" si="435">LEFT(DEC2BIN(O292,2))</f>
        <v>1</v>
      </c>
      <c r="V292" s="145" t="str">
        <f t="shared" ref="V292" si="436">RIGHT(DEC2BIN(O292,2),1)</f>
        <v>0</v>
      </c>
      <c r="W292" s="148">
        <v>0</v>
      </c>
      <c r="X292" s="155">
        <v>1</v>
      </c>
      <c r="Y292" s="145">
        <v>0</v>
      </c>
      <c r="Z292" s="148">
        <v>1</v>
      </c>
      <c r="AA292" s="148">
        <v>0</v>
      </c>
      <c r="AB292" s="148" t="str">
        <f t="shared" ref="AB292" si="437">BIN2HEX(U292&amp;V292&amp;W292&amp;X292&amp;Y292&amp;Z292&amp;AA292)</f>
        <v>4A</v>
      </c>
      <c r="AC292" s="151" t="str">
        <f>CONCATENATE("vofc_dom",BIN2DEC(U292&amp;V292),"_quad",BIN2DEC(AA292),"_quad",BIN2DEC(AA292)+2,"_sar",ABS( BIN2DEC(V292)*3-BIN2DEC(Z292)),"_slc",BIN2DEC(X292&amp;Y292)+BIN2DEC(W292)*3)</f>
        <v>vofc_dom2_quad0_quad2_sar1_slc2</v>
      </c>
      <c r="AD292" s="57"/>
      <c r="AE292" s="57"/>
      <c r="AF292" s="57"/>
      <c r="AG292" s="57"/>
      <c r="AH292" s="57"/>
    </row>
    <row r="293" spans="1:34" ht="15" customHeight="1">
      <c r="A293" s="134"/>
      <c r="B293" s="136"/>
      <c r="C293" s="43" t="str">
        <f>CONCATENATE("sar",AD293+AE293*4+AF293*16,"_slc",AG293)</f>
        <v>sar28_slc2</v>
      </c>
      <c r="D293" s="44">
        <v>8</v>
      </c>
      <c r="E293" s="29" t="str">
        <f>IF(D293&gt;1,(31)&amp;":"&amp;(31-D293+1),(31-D293+1)&amp;":"&amp;(31-D293+1))</f>
        <v>31:24</v>
      </c>
      <c r="F293" s="30" t="s">
        <v>133</v>
      </c>
      <c r="G293" s="30" t="s">
        <v>133</v>
      </c>
      <c r="H293" s="45" t="s">
        <v>143</v>
      </c>
      <c r="I293" s="31" t="s">
        <v>68</v>
      </c>
      <c r="J293" s="32" t="s">
        <v>36</v>
      </c>
      <c r="K293" s="33" t="s">
        <v>6</v>
      </c>
      <c r="L293" s="46"/>
      <c r="M293" s="120"/>
      <c r="N293" s="120"/>
      <c r="O293" s="120"/>
      <c r="P293" s="122"/>
      <c r="Q293" s="122"/>
      <c r="R293" s="124"/>
      <c r="S293" s="124"/>
      <c r="T293" s="158"/>
      <c r="U293" s="156"/>
      <c r="V293" s="146"/>
      <c r="W293" s="149"/>
      <c r="X293" s="156"/>
      <c r="Y293" s="146"/>
      <c r="Z293" s="149"/>
      <c r="AA293" s="149"/>
      <c r="AB293" s="149"/>
      <c r="AC293" s="152"/>
      <c r="AD293" s="57">
        <f>BIN2DEC($AA292)*3</f>
        <v>0</v>
      </c>
      <c r="AE293" s="57">
        <f>ABS(BIN2DEC($U292)*3)</f>
        <v>3</v>
      </c>
      <c r="AF293" s="57">
        <f>ABS( BIN2DEC(V292)*3-BIN2DEC(Z292))</f>
        <v>1</v>
      </c>
      <c r="AG293" s="57">
        <f>BIN2DEC(X292&amp;Y292)+BIN2DEC(W292)*3</f>
        <v>2</v>
      </c>
      <c r="AH293" s="57">
        <f>AD293+AE293*4+AF293*16</f>
        <v>28</v>
      </c>
    </row>
    <row r="294" spans="1:34" ht="15" customHeight="1">
      <c r="A294" s="134"/>
      <c r="B294" s="136"/>
      <c r="C294" s="43" t="str">
        <f t="shared" ref="C294:C296" si="438">CONCATENATE("sar",AD294+AE294*4+AF294*16,"_slc",AG294)</f>
        <v>sar24_slc2</v>
      </c>
      <c r="D294" s="44">
        <v>8</v>
      </c>
      <c r="E294" s="30" t="str">
        <f t="shared" ref="E294:E296" si="439">(MID(str_cnvt(E293),SEARCH(":",str_cnvt(E293))+1,2)-1) &amp; ":" &amp; (MID(str_cnvt(E293),SEARCH(":",str_cnvt(E293))+1,2)-D294)</f>
        <v>23:16</v>
      </c>
      <c r="F294" s="30" t="s">
        <v>133</v>
      </c>
      <c r="G294" s="30" t="s">
        <v>133</v>
      </c>
      <c r="H294" s="45" t="s">
        <v>143</v>
      </c>
      <c r="I294" s="31" t="s">
        <v>68</v>
      </c>
      <c r="J294" s="32" t="s">
        <v>36</v>
      </c>
      <c r="K294" s="33" t="s">
        <v>6</v>
      </c>
      <c r="L294" s="46"/>
      <c r="M294" s="120"/>
      <c r="N294" s="120"/>
      <c r="O294" s="120"/>
      <c r="P294" s="122"/>
      <c r="Q294" s="122"/>
      <c r="R294" s="124"/>
      <c r="S294" s="124"/>
      <c r="T294" s="158"/>
      <c r="U294" s="156"/>
      <c r="V294" s="146"/>
      <c r="W294" s="149"/>
      <c r="X294" s="156"/>
      <c r="Y294" s="146"/>
      <c r="Z294" s="149"/>
      <c r="AA294" s="149"/>
      <c r="AB294" s="149"/>
      <c r="AC294" s="152"/>
      <c r="AD294" s="57">
        <f>BIN2DEC($AA292)*3</f>
        <v>0</v>
      </c>
      <c r="AE294" s="57">
        <f>ABS(BIN2DEC($U292)*3-1)</f>
        <v>2</v>
      </c>
      <c r="AF294" s="57">
        <f>ABS( BIN2DEC(V292)*3-BIN2DEC(Z292))</f>
        <v>1</v>
      </c>
      <c r="AG294" s="57">
        <f>BIN2DEC(X292&amp;Y292)+BIN2DEC(W292)*3</f>
        <v>2</v>
      </c>
      <c r="AH294" s="57">
        <f t="shared" ref="AH294:AH296" si="440">AD294+AE294*4+AF294*16</f>
        <v>24</v>
      </c>
    </row>
    <row r="295" spans="1:34" ht="15" customHeight="1">
      <c r="A295" s="134"/>
      <c r="B295" s="136"/>
      <c r="C295" s="43" t="str">
        <f t="shared" si="438"/>
        <v>sar30_slc2</v>
      </c>
      <c r="D295" s="44">
        <v>8</v>
      </c>
      <c r="E295" s="30" t="str">
        <f t="shared" si="439"/>
        <v>15:8</v>
      </c>
      <c r="F295" s="30" t="s">
        <v>133</v>
      </c>
      <c r="G295" s="30" t="s">
        <v>133</v>
      </c>
      <c r="H295" s="45" t="s">
        <v>143</v>
      </c>
      <c r="I295" s="31" t="s">
        <v>68</v>
      </c>
      <c r="J295" s="32" t="s">
        <v>36</v>
      </c>
      <c r="K295" s="33" t="s">
        <v>6</v>
      </c>
      <c r="L295" s="46"/>
      <c r="M295" s="120"/>
      <c r="N295" s="120"/>
      <c r="O295" s="120"/>
      <c r="P295" s="122"/>
      <c r="Q295" s="122"/>
      <c r="R295" s="124"/>
      <c r="S295" s="124"/>
      <c r="T295" s="158"/>
      <c r="U295" s="156"/>
      <c r="V295" s="146"/>
      <c r="W295" s="149"/>
      <c r="X295" s="156"/>
      <c r="Y295" s="146"/>
      <c r="Z295" s="149"/>
      <c r="AA295" s="149"/>
      <c r="AB295" s="149"/>
      <c r="AC295" s="152"/>
      <c r="AD295" s="57">
        <f>ABS(BIN2DEC($AA292)*3-2)</f>
        <v>2</v>
      </c>
      <c r="AE295" s="57">
        <f>ABS(BIN2DEC($U292)*3)</f>
        <v>3</v>
      </c>
      <c r="AF295" s="57">
        <f>ABS( BIN2DEC(V292)*3-BIN2DEC(Z292))</f>
        <v>1</v>
      </c>
      <c r="AG295" s="57">
        <f>BIN2DEC(X292&amp;Y292)+BIN2DEC(W292)*3</f>
        <v>2</v>
      </c>
      <c r="AH295" s="57">
        <f t="shared" si="440"/>
        <v>30</v>
      </c>
    </row>
    <row r="296" spans="1:34" ht="15.75" customHeight="1" thickBot="1">
      <c r="A296" s="134"/>
      <c r="B296" s="136"/>
      <c r="C296" s="43" t="str">
        <f t="shared" si="438"/>
        <v>sar26_slc2</v>
      </c>
      <c r="D296" s="44">
        <v>8</v>
      </c>
      <c r="E296" s="30" t="str">
        <f t="shared" si="439"/>
        <v>7:0</v>
      </c>
      <c r="F296" s="30" t="s">
        <v>133</v>
      </c>
      <c r="G296" s="30" t="s">
        <v>133</v>
      </c>
      <c r="H296" s="45" t="s">
        <v>143</v>
      </c>
      <c r="I296" s="31" t="s">
        <v>68</v>
      </c>
      <c r="J296" s="32" t="s">
        <v>36</v>
      </c>
      <c r="K296" s="33" t="s">
        <v>6</v>
      </c>
      <c r="L296" s="46"/>
      <c r="M296" s="120"/>
      <c r="N296" s="120"/>
      <c r="O296" s="120"/>
      <c r="P296" s="122"/>
      <c r="Q296" s="122"/>
      <c r="R296" s="124"/>
      <c r="S296" s="124"/>
      <c r="T296" s="158"/>
      <c r="U296" s="157"/>
      <c r="V296" s="147"/>
      <c r="W296" s="150"/>
      <c r="X296" s="157"/>
      <c r="Y296" s="147"/>
      <c r="Z296" s="150"/>
      <c r="AA296" s="150"/>
      <c r="AB296" s="150"/>
      <c r="AC296" s="153"/>
      <c r="AD296" s="57">
        <f>ABS(BIN2DEC($AA292)*3-2)</f>
        <v>2</v>
      </c>
      <c r="AE296" s="57">
        <f>ABS(BIN2DEC($U292)*3-1)</f>
        <v>2</v>
      </c>
      <c r="AF296" s="57">
        <f>ABS( BIN2DEC(V292)*3-BIN2DEC(Z292))</f>
        <v>1</v>
      </c>
      <c r="AG296" s="57">
        <f>BIN2DEC(X292&amp;Y292)+BIN2DEC(W292)*3</f>
        <v>2</v>
      </c>
      <c r="AH296" s="57">
        <f t="shared" si="440"/>
        <v>26</v>
      </c>
    </row>
    <row r="297" spans="1:34" ht="15.75" customHeight="1">
      <c r="A297" s="133" t="str">
        <f>AC297</f>
        <v>vofc_dom2_quad1_quad3_sar1_slc2</v>
      </c>
      <c r="B297" s="135" t="str">
        <f>DEC2HEX(P297*4)</f>
        <v>0</v>
      </c>
      <c r="C297" s="56" t="s">
        <v>134</v>
      </c>
      <c r="D297" s="129" t="str">
        <f>bitConcat(F298:F301)</f>
        <v>32'b00000000000000000000000000000000</v>
      </c>
      <c r="E297" s="130"/>
      <c r="F297" s="130"/>
      <c r="G297" s="130"/>
      <c r="H297" s="131" t="s">
        <v>135</v>
      </c>
      <c r="I297" s="131"/>
      <c r="J297" s="131" t="str">
        <f>bitConcat(G298:G301)</f>
        <v>32'b00000000000000000000000000000000</v>
      </c>
      <c r="K297" s="131"/>
      <c r="L297" s="132"/>
      <c r="M297" s="119" t="str">
        <f>DEC2HEX(_xlfn.BITLSHIFT(HEX2DEC(Q297),2))</f>
        <v>12C</v>
      </c>
      <c r="N297" s="119"/>
      <c r="O297" s="119">
        <v>2</v>
      </c>
      <c r="P297" s="121">
        <v>0</v>
      </c>
      <c r="Q297" s="121" t="str">
        <f>AB297</f>
        <v>4B</v>
      </c>
      <c r="R297" s="123" t="str">
        <f t="shared" ref="R297" si="441">BIN2HEX(LEFT(RIGHT(D297,32),4))&amp;BIN2HEX(LEFT(RIGHT(D297,28),4))&amp;BIN2HEX(LEFT(RIGHT(D297,24),4))&amp;BIN2HEX(LEFT(RIGHT(D297,20),4))&amp;BIN2HEX(LEFT(RIGHT(D297,16),4))&amp;BIN2HEX(LEFT(RIGHT(D297,12),4))&amp;BIN2HEX(LEFT(RIGHT(D297,8),4))&amp;BIN2HEX(LEFT(RIGHT(D297,4),4))</f>
        <v>00000000</v>
      </c>
      <c r="S297" s="123" t="str">
        <f t="shared" ref="S297" si="442">BIN2HEX(LEFT(RIGHT(J297,32),4))&amp;BIN2HEX(LEFT(RIGHT(J297,28),4))&amp;BIN2HEX(LEFT(RIGHT(J297,24),4))&amp;BIN2HEX(LEFT(RIGHT(J297,20),4))&amp;BIN2HEX(LEFT(RIGHT(J297,16),4))&amp;BIN2HEX(LEFT(RIGHT(J297,12),4))&amp;BIN2HEX(LEFT(RIGHT(J297,8),4))&amp;BIN2HEX(LEFT(RIGHT(J297,4),4))</f>
        <v>00000000</v>
      </c>
      <c r="T297" s="158">
        <v>11</v>
      </c>
      <c r="U297" s="155" t="str">
        <f t="shared" ref="U297" si="443">LEFT(DEC2BIN(O297,2))</f>
        <v>1</v>
      </c>
      <c r="V297" s="145" t="str">
        <f t="shared" ref="V297" si="444">RIGHT(DEC2BIN(O297,2),1)</f>
        <v>0</v>
      </c>
      <c r="W297" s="148">
        <v>0</v>
      </c>
      <c r="X297" s="155">
        <v>1</v>
      </c>
      <c r="Y297" s="145">
        <v>0</v>
      </c>
      <c r="Z297" s="148">
        <v>1</v>
      </c>
      <c r="AA297" s="148">
        <v>1</v>
      </c>
      <c r="AB297" s="148" t="str">
        <f t="shared" ref="AB297" si="445">BIN2HEX(U297&amp;V297&amp;W297&amp;X297&amp;Y297&amp;Z297&amp;AA297)</f>
        <v>4B</v>
      </c>
      <c r="AC297" s="151" t="str">
        <f>CONCATENATE("vofc_dom",BIN2DEC(U297&amp;V297),"_quad",BIN2DEC(AA297),"_quad",BIN2DEC(AA297)+2,"_sar",ABS( BIN2DEC(V297)*3-BIN2DEC(Z297)),"_slc",BIN2DEC(X297&amp;Y297)+BIN2DEC(W297)*3)</f>
        <v>vofc_dom2_quad1_quad3_sar1_slc2</v>
      </c>
      <c r="AD297" s="57"/>
      <c r="AE297" s="57"/>
      <c r="AF297" s="57"/>
      <c r="AG297" s="57"/>
      <c r="AH297" s="57"/>
    </row>
    <row r="298" spans="1:34" ht="15" customHeight="1">
      <c r="A298" s="134"/>
      <c r="B298" s="136"/>
      <c r="C298" s="43" t="str">
        <f>CONCATENATE("sar",AD298+AE298*4+AF298*16,"_slc",AG298)</f>
        <v>sar31_slc2</v>
      </c>
      <c r="D298" s="44">
        <v>8</v>
      </c>
      <c r="E298" s="29" t="str">
        <f>IF(D298&gt;1,(31)&amp;":"&amp;(31-D298+1),(31-D298+1)&amp;":"&amp;(31-D298+1))</f>
        <v>31:24</v>
      </c>
      <c r="F298" s="30" t="s">
        <v>133</v>
      </c>
      <c r="G298" s="30" t="s">
        <v>133</v>
      </c>
      <c r="H298" s="45" t="s">
        <v>143</v>
      </c>
      <c r="I298" s="31" t="s">
        <v>68</v>
      </c>
      <c r="J298" s="32" t="s">
        <v>36</v>
      </c>
      <c r="K298" s="33" t="s">
        <v>6</v>
      </c>
      <c r="L298" s="46"/>
      <c r="M298" s="120"/>
      <c r="N298" s="120"/>
      <c r="O298" s="120"/>
      <c r="P298" s="122"/>
      <c r="Q298" s="122"/>
      <c r="R298" s="124"/>
      <c r="S298" s="124"/>
      <c r="T298" s="158"/>
      <c r="U298" s="156"/>
      <c r="V298" s="146"/>
      <c r="W298" s="149"/>
      <c r="X298" s="156"/>
      <c r="Y298" s="146"/>
      <c r="Z298" s="149"/>
      <c r="AA298" s="149"/>
      <c r="AB298" s="149"/>
      <c r="AC298" s="152"/>
      <c r="AD298" s="57">
        <f>BIN2DEC($AA297)*3</f>
        <v>3</v>
      </c>
      <c r="AE298" s="57">
        <f>ABS(BIN2DEC($U297)*3)</f>
        <v>3</v>
      </c>
      <c r="AF298" s="57">
        <f>ABS( BIN2DEC(V297)*3-BIN2DEC(Z297))</f>
        <v>1</v>
      </c>
      <c r="AG298" s="57">
        <f>BIN2DEC(X297&amp;Y297)+BIN2DEC(W297)*3</f>
        <v>2</v>
      </c>
      <c r="AH298" s="57">
        <f>AD298+AE298*4+AF298*16</f>
        <v>31</v>
      </c>
    </row>
    <row r="299" spans="1:34" ht="15" customHeight="1">
      <c r="A299" s="134"/>
      <c r="B299" s="136"/>
      <c r="C299" s="43" t="str">
        <f t="shared" ref="C299:C301" si="446">CONCATENATE("sar",AD299+AE299*4+AF299*16,"_slc",AG299)</f>
        <v>sar27_slc2</v>
      </c>
      <c r="D299" s="44">
        <v>8</v>
      </c>
      <c r="E299" s="30" t="str">
        <f t="shared" ref="E299:E301" si="447">(MID(str_cnvt(E298),SEARCH(":",str_cnvt(E298))+1,2)-1) &amp; ":" &amp; (MID(str_cnvt(E298),SEARCH(":",str_cnvt(E298))+1,2)-D299)</f>
        <v>23:16</v>
      </c>
      <c r="F299" s="30" t="s">
        <v>133</v>
      </c>
      <c r="G299" s="30" t="s">
        <v>133</v>
      </c>
      <c r="H299" s="45" t="s">
        <v>143</v>
      </c>
      <c r="I299" s="31" t="s">
        <v>68</v>
      </c>
      <c r="J299" s="32" t="s">
        <v>36</v>
      </c>
      <c r="K299" s="33" t="s">
        <v>6</v>
      </c>
      <c r="L299" s="46"/>
      <c r="M299" s="120"/>
      <c r="N299" s="120"/>
      <c r="O299" s="120"/>
      <c r="P299" s="122"/>
      <c r="Q299" s="122"/>
      <c r="R299" s="124"/>
      <c r="S299" s="124"/>
      <c r="T299" s="158"/>
      <c r="U299" s="156"/>
      <c r="V299" s="146"/>
      <c r="W299" s="149"/>
      <c r="X299" s="156"/>
      <c r="Y299" s="146"/>
      <c r="Z299" s="149"/>
      <c r="AA299" s="149"/>
      <c r="AB299" s="149"/>
      <c r="AC299" s="152"/>
      <c r="AD299" s="57">
        <f>BIN2DEC($AA297)*3</f>
        <v>3</v>
      </c>
      <c r="AE299" s="57">
        <f>ABS(BIN2DEC($U297)*3-1)</f>
        <v>2</v>
      </c>
      <c r="AF299" s="57">
        <f>ABS( BIN2DEC(V297)*3-BIN2DEC(Z297))</f>
        <v>1</v>
      </c>
      <c r="AG299" s="57">
        <f>BIN2DEC(X297&amp;Y297)+BIN2DEC(W297)*3</f>
        <v>2</v>
      </c>
      <c r="AH299" s="57">
        <f t="shared" ref="AH299:AH301" si="448">AD299+AE299*4+AF299*16</f>
        <v>27</v>
      </c>
    </row>
    <row r="300" spans="1:34" ht="15" customHeight="1">
      <c r="A300" s="134"/>
      <c r="B300" s="136"/>
      <c r="C300" s="43" t="str">
        <f t="shared" si="446"/>
        <v>sar29_slc2</v>
      </c>
      <c r="D300" s="44">
        <v>8</v>
      </c>
      <c r="E300" s="30" t="str">
        <f t="shared" si="447"/>
        <v>15:8</v>
      </c>
      <c r="F300" s="30" t="s">
        <v>133</v>
      </c>
      <c r="G300" s="30" t="s">
        <v>133</v>
      </c>
      <c r="H300" s="45" t="s">
        <v>143</v>
      </c>
      <c r="I300" s="31" t="s">
        <v>68</v>
      </c>
      <c r="J300" s="32" t="s">
        <v>36</v>
      </c>
      <c r="K300" s="33" t="s">
        <v>6</v>
      </c>
      <c r="L300" s="46"/>
      <c r="M300" s="120"/>
      <c r="N300" s="120"/>
      <c r="O300" s="120"/>
      <c r="P300" s="122"/>
      <c r="Q300" s="122"/>
      <c r="R300" s="124"/>
      <c r="S300" s="124"/>
      <c r="T300" s="158"/>
      <c r="U300" s="156"/>
      <c r="V300" s="146"/>
      <c r="W300" s="149"/>
      <c r="X300" s="156"/>
      <c r="Y300" s="146"/>
      <c r="Z300" s="149"/>
      <c r="AA300" s="149"/>
      <c r="AB300" s="149"/>
      <c r="AC300" s="152"/>
      <c r="AD300" s="57">
        <f>ABS(BIN2DEC($AA297)*3-2)</f>
        <v>1</v>
      </c>
      <c r="AE300" s="57">
        <f>ABS(BIN2DEC($U297)*3)</f>
        <v>3</v>
      </c>
      <c r="AF300" s="57">
        <f>ABS( BIN2DEC(V297)*3-BIN2DEC(Z297))</f>
        <v>1</v>
      </c>
      <c r="AG300" s="57">
        <f>BIN2DEC(X297&amp;Y297)+BIN2DEC(W297)*3</f>
        <v>2</v>
      </c>
      <c r="AH300" s="57">
        <f t="shared" si="448"/>
        <v>29</v>
      </c>
    </row>
    <row r="301" spans="1:34" ht="15.75" customHeight="1" thickBot="1">
      <c r="A301" s="134"/>
      <c r="B301" s="136"/>
      <c r="C301" s="43" t="str">
        <f t="shared" si="446"/>
        <v>sar25_slc2</v>
      </c>
      <c r="D301" s="44">
        <v>8</v>
      </c>
      <c r="E301" s="30" t="str">
        <f t="shared" si="447"/>
        <v>7:0</v>
      </c>
      <c r="F301" s="30" t="s">
        <v>133</v>
      </c>
      <c r="G301" s="30" t="s">
        <v>133</v>
      </c>
      <c r="H301" s="45" t="s">
        <v>143</v>
      </c>
      <c r="I301" s="31" t="s">
        <v>68</v>
      </c>
      <c r="J301" s="32" t="s">
        <v>36</v>
      </c>
      <c r="K301" s="33" t="s">
        <v>6</v>
      </c>
      <c r="L301" s="46"/>
      <c r="M301" s="120"/>
      <c r="N301" s="120"/>
      <c r="O301" s="120"/>
      <c r="P301" s="122"/>
      <c r="Q301" s="122"/>
      <c r="R301" s="124"/>
      <c r="S301" s="124"/>
      <c r="T301" s="158"/>
      <c r="U301" s="157"/>
      <c r="V301" s="147"/>
      <c r="W301" s="150"/>
      <c r="X301" s="157"/>
      <c r="Y301" s="147"/>
      <c r="Z301" s="150"/>
      <c r="AA301" s="150"/>
      <c r="AB301" s="150"/>
      <c r="AC301" s="153"/>
      <c r="AD301" s="57">
        <f>ABS(BIN2DEC($AA297)*3-2)</f>
        <v>1</v>
      </c>
      <c r="AE301" s="57">
        <f>ABS(BIN2DEC($U297)*3-1)</f>
        <v>2</v>
      </c>
      <c r="AF301" s="57">
        <f>ABS( BIN2DEC(V297)*3-BIN2DEC(Z297))</f>
        <v>1</v>
      </c>
      <c r="AG301" s="57">
        <f>BIN2DEC(X297&amp;Y297)+BIN2DEC(W297)*3</f>
        <v>2</v>
      </c>
      <c r="AH301" s="57">
        <f t="shared" si="448"/>
        <v>25</v>
      </c>
    </row>
    <row r="302" spans="1:34" ht="15.75" customHeight="1">
      <c r="A302" s="133" t="str">
        <f>AC302</f>
        <v>vofc_dom2_quad0_quad2_sar0_slc3</v>
      </c>
      <c r="B302" s="135" t="str">
        <f>DEC2HEX(P302*4)</f>
        <v>0</v>
      </c>
      <c r="C302" s="56" t="s">
        <v>134</v>
      </c>
      <c r="D302" s="129" t="str">
        <f>bitConcat(F303:F306)</f>
        <v>32'b00000000000000000000000000000000</v>
      </c>
      <c r="E302" s="130"/>
      <c r="F302" s="130"/>
      <c r="G302" s="130"/>
      <c r="H302" s="131" t="s">
        <v>135</v>
      </c>
      <c r="I302" s="131"/>
      <c r="J302" s="131" t="str">
        <f>bitConcat(G303:G306)</f>
        <v>32'b00000000000000000000000000000000</v>
      </c>
      <c r="K302" s="131"/>
      <c r="L302" s="132"/>
      <c r="M302" s="119" t="str">
        <f>DEC2HEX(_xlfn.BITLSHIFT(HEX2DEC(Q302),2))</f>
        <v>140</v>
      </c>
      <c r="N302" s="119"/>
      <c r="O302" s="119">
        <v>2</v>
      </c>
      <c r="P302" s="121">
        <v>0</v>
      </c>
      <c r="Q302" s="121" t="str">
        <f>AB302</f>
        <v>50</v>
      </c>
      <c r="R302" s="123" t="str">
        <f t="shared" ref="R302" si="449">BIN2HEX(LEFT(RIGHT(D302,32),4))&amp;BIN2HEX(LEFT(RIGHT(D302,28),4))&amp;BIN2HEX(LEFT(RIGHT(D302,24),4))&amp;BIN2HEX(LEFT(RIGHT(D302,20),4))&amp;BIN2HEX(LEFT(RIGHT(D302,16),4))&amp;BIN2HEX(LEFT(RIGHT(D302,12),4))&amp;BIN2HEX(LEFT(RIGHT(D302,8),4))&amp;BIN2HEX(LEFT(RIGHT(D302,4),4))</f>
        <v>00000000</v>
      </c>
      <c r="S302" s="123" t="str">
        <f t="shared" ref="S302" si="450">BIN2HEX(LEFT(RIGHT(J302,32),4))&amp;BIN2HEX(LEFT(RIGHT(J302,28),4))&amp;BIN2HEX(LEFT(RIGHT(J302,24),4))&amp;BIN2HEX(LEFT(RIGHT(J302,20),4))&amp;BIN2HEX(LEFT(RIGHT(J302,16),4))&amp;BIN2HEX(LEFT(RIGHT(J302,12),4))&amp;BIN2HEX(LEFT(RIGHT(J302,8),4))&amp;BIN2HEX(LEFT(RIGHT(J302,4),4))</f>
        <v>00000000</v>
      </c>
      <c r="T302" s="158">
        <v>12</v>
      </c>
      <c r="U302" s="155" t="str">
        <f t="shared" ref="U302" si="451">LEFT(DEC2BIN(O302,2))</f>
        <v>1</v>
      </c>
      <c r="V302" s="145" t="str">
        <f t="shared" ref="V302" si="452">RIGHT(DEC2BIN(O302,2),1)</f>
        <v>0</v>
      </c>
      <c r="W302" s="148">
        <v>1</v>
      </c>
      <c r="X302" s="155">
        <v>0</v>
      </c>
      <c r="Y302" s="145">
        <v>0</v>
      </c>
      <c r="Z302" s="148">
        <v>0</v>
      </c>
      <c r="AA302" s="148">
        <v>0</v>
      </c>
      <c r="AB302" s="148" t="str">
        <f t="shared" ref="AB302" si="453">BIN2HEX(U302&amp;V302&amp;W302&amp;X302&amp;Y302&amp;Z302&amp;AA302)</f>
        <v>50</v>
      </c>
      <c r="AC302" s="151" t="str">
        <f>CONCATENATE("vofc_dom",BIN2DEC(U302&amp;V302),"_quad",BIN2DEC(AA302),"_quad",BIN2DEC(AA302)+2,"_sar",ABS( BIN2DEC(V302)*3-BIN2DEC(Z302)),"_slc",BIN2DEC(X302&amp;Y302)+BIN2DEC(W302)*3)</f>
        <v>vofc_dom2_quad0_quad2_sar0_slc3</v>
      </c>
      <c r="AD302" s="57"/>
      <c r="AE302" s="57"/>
      <c r="AF302" s="57"/>
      <c r="AG302" s="57"/>
      <c r="AH302" s="57"/>
    </row>
    <row r="303" spans="1:34" ht="15" customHeight="1">
      <c r="A303" s="134"/>
      <c r="B303" s="136"/>
      <c r="C303" s="43" t="str">
        <f>CONCATENATE("sar",AD303+AE303*4+AF303*16,"_slc",AG303)</f>
        <v>sar12_slc3</v>
      </c>
      <c r="D303" s="44">
        <v>8</v>
      </c>
      <c r="E303" s="29" t="str">
        <f>IF(D303&gt;1,(31)&amp;":"&amp;(31-D303+1),(31-D303+1)&amp;":"&amp;(31-D303+1))</f>
        <v>31:24</v>
      </c>
      <c r="F303" s="30" t="s">
        <v>133</v>
      </c>
      <c r="G303" s="30" t="s">
        <v>133</v>
      </c>
      <c r="H303" s="45" t="s">
        <v>143</v>
      </c>
      <c r="I303" s="31" t="s">
        <v>68</v>
      </c>
      <c r="J303" s="32" t="s">
        <v>36</v>
      </c>
      <c r="K303" s="33" t="s">
        <v>6</v>
      </c>
      <c r="L303" s="46"/>
      <c r="M303" s="120"/>
      <c r="N303" s="120"/>
      <c r="O303" s="120"/>
      <c r="P303" s="122"/>
      <c r="Q303" s="122"/>
      <c r="R303" s="124"/>
      <c r="S303" s="124"/>
      <c r="T303" s="158"/>
      <c r="U303" s="156"/>
      <c r="V303" s="146"/>
      <c r="W303" s="149"/>
      <c r="X303" s="156"/>
      <c r="Y303" s="146"/>
      <c r="Z303" s="149"/>
      <c r="AA303" s="149"/>
      <c r="AB303" s="149"/>
      <c r="AC303" s="152"/>
      <c r="AD303" s="57">
        <f>BIN2DEC($AA302)*3</f>
        <v>0</v>
      </c>
      <c r="AE303" s="57">
        <f>ABS(BIN2DEC($U302)*3)</f>
        <v>3</v>
      </c>
      <c r="AF303" s="57">
        <f>ABS( BIN2DEC(V302)*3-BIN2DEC(Z302))</f>
        <v>0</v>
      </c>
      <c r="AG303" s="57">
        <f>BIN2DEC(X302&amp;Y302)+BIN2DEC(W302)*3</f>
        <v>3</v>
      </c>
      <c r="AH303" s="57">
        <f>AD303+AE303*4+AF303*16</f>
        <v>12</v>
      </c>
    </row>
    <row r="304" spans="1:34" ht="15" customHeight="1">
      <c r="A304" s="134"/>
      <c r="B304" s="136"/>
      <c r="C304" s="43" t="str">
        <f t="shared" ref="C304:C306" si="454">CONCATENATE("sar",AD304+AE304*4+AF304*16,"_slc",AG304)</f>
        <v>sar8_slc3</v>
      </c>
      <c r="D304" s="44">
        <v>8</v>
      </c>
      <c r="E304" s="30" t="str">
        <f t="shared" ref="E304:E306" si="455">(MID(str_cnvt(E303),SEARCH(":",str_cnvt(E303))+1,2)-1) &amp; ":" &amp; (MID(str_cnvt(E303),SEARCH(":",str_cnvt(E303))+1,2)-D304)</f>
        <v>23:16</v>
      </c>
      <c r="F304" s="30" t="s">
        <v>133</v>
      </c>
      <c r="G304" s="30" t="s">
        <v>133</v>
      </c>
      <c r="H304" s="45" t="s">
        <v>143</v>
      </c>
      <c r="I304" s="31" t="s">
        <v>68</v>
      </c>
      <c r="J304" s="32" t="s">
        <v>36</v>
      </c>
      <c r="K304" s="33" t="s">
        <v>6</v>
      </c>
      <c r="L304" s="46"/>
      <c r="M304" s="120"/>
      <c r="N304" s="120"/>
      <c r="O304" s="120"/>
      <c r="P304" s="122"/>
      <c r="Q304" s="122"/>
      <c r="R304" s="124"/>
      <c r="S304" s="124"/>
      <c r="T304" s="158"/>
      <c r="U304" s="156"/>
      <c r="V304" s="146"/>
      <c r="W304" s="149"/>
      <c r="X304" s="156"/>
      <c r="Y304" s="146"/>
      <c r="Z304" s="149"/>
      <c r="AA304" s="149"/>
      <c r="AB304" s="149"/>
      <c r="AC304" s="152"/>
      <c r="AD304" s="57">
        <f>BIN2DEC($AA302)*3</f>
        <v>0</v>
      </c>
      <c r="AE304" s="57">
        <f>ABS(BIN2DEC($U302)*3-1)</f>
        <v>2</v>
      </c>
      <c r="AF304" s="57">
        <f>ABS( BIN2DEC(V302)*3-BIN2DEC(Z302))</f>
        <v>0</v>
      </c>
      <c r="AG304" s="57">
        <f>BIN2DEC(X302&amp;Y302)+BIN2DEC(W302)*3</f>
        <v>3</v>
      </c>
      <c r="AH304" s="57">
        <f t="shared" ref="AH304:AH306" si="456">AD304+AE304*4+AF304*16</f>
        <v>8</v>
      </c>
    </row>
    <row r="305" spans="1:34" ht="15" customHeight="1">
      <c r="A305" s="134"/>
      <c r="B305" s="136"/>
      <c r="C305" s="43" t="str">
        <f t="shared" si="454"/>
        <v>sar14_slc3</v>
      </c>
      <c r="D305" s="44">
        <v>8</v>
      </c>
      <c r="E305" s="30" t="str">
        <f t="shared" si="455"/>
        <v>15:8</v>
      </c>
      <c r="F305" s="30" t="s">
        <v>133</v>
      </c>
      <c r="G305" s="30" t="s">
        <v>133</v>
      </c>
      <c r="H305" s="45" t="s">
        <v>143</v>
      </c>
      <c r="I305" s="31" t="s">
        <v>68</v>
      </c>
      <c r="J305" s="32" t="s">
        <v>36</v>
      </c>
      <c r="K305" s="33" t="s">
        <v>6</v>
      </c>
      <c r="L305" s="46"/>
      <c r="M305" s="120"/>
      <c r="N305" s="120"/>
      <c r="O305" s="120"/>
      <c r="P305" s="122"/>
      <c r="Q305" s="122"/>
      <c r="R305" s="124"/>
      <c r="S305" s="124"/>
      <c r="T305" s="158"/>
      <c r="U305" s="156"/>
      <c r="V305" s="146"/>
      <c r="W305" s="149"/>
      <c r="X305" s="156"/>
      <c r="Y305" s="146"/>
      <c r="Z305" s="149"/>
      <c r="AA305" s="149"/>
      <c r="AB305" s="149"/>
      <c r="AC305" s="152"/>
      <c r="AD305" s="57">
        <f>ABS(BIN2DEC($AA302)*3-2)</f>
        <v>2</v>
      </c>
      <c r="AE305" s="57">
        <f>ABS(BIN2DEC($U302)*3)</f>
        <v>3</v>
      </c>
      <c r="AF305" s="57">
        <f>ABS( BIN2DEC(V302)*3-BIN2DEC(Z302))</f>
        <v>0</v>
      </c>
      <c r="AG305" s="57">
        <f>BIN2DEC(X302&amp;Y302)+BIN2DEC(W302)*3</f>
        <v>3</v>
      </c>
      <c r="AH305" s="57">
        <f t="shared" si="456"/>
        <v>14</v>
      </c>
    </row>
    <row r="306" spans="1:34" ht="15.75" customHeight="1" thickBot="1">
      <c r="A306" s="134"/>
      <c r="B306" s="136"/>
      <c r="C306" s="43" t="str">
        <f t="shared" si="454"/>
        <v>sar10_slc3</v>
      </c>
      <c r="D306" s="44">
        <v>8</v>
      </c>
      <c r="E306" s="30" t="str">
        <f t="shared" si="455"/>
        <v>7:0</v>
      </c>
      <c r="F306" s="30" t="s">
        <v>133</v>
      </c>
      <c r="G306" s="30" t="s">
        <v>133</v>
      </c>
      <c r="H306" s="45" t="s">
        <v>143</v>
      </c>
      <c r="I306" s="31" t="s">
        <v>68</v>
      </c>
      <c r="J306" s="32" t="s">
        <v>36</v>
      </c>
      <c r="K306" s="33" t="s">
        <v>6</v>
      </c>
      <c r="L306" s="46"/>
      <c r="M306" s="120"/>
      <c r="N306" s="120"/>
      <c r="O306" s="120"/>
      <c r="P306" s="122"/>
      <c r="Q306" s="122"/>
      <c r="R306" s="124"/>
      <c r="S306" s="124"/>
      <c r="T306" s="158"/>
      <c r="U306" s="157"/>
      <c r="V306" s="147"/>
      <c r="W306" s="150"/>
      <c r="X306" s="157"/>
      <c r="Y306" s="147"/>
      <c r="Z306" s="150"/>
      <c r="AA306" s="150"/>
      <c r="AB306" s="150"/>
      <c r="AC306" s="153"/>
      <c r="AD306" s="57">
        <f>ABS(BIN2DEC($AA302)*3-2)</f>
        <v>2</v>
      </c>
      <c r="AE306" s="57">
        <f>ABS(BIN2DEC($U302)*3-1)</f>
        <v>2</v>
      </c>
      <c r="AF306" s="57">
        <f>ABS( BIN2DEC(V302)*3-BIN2DEC(Z302))</f>
        <v>0</v>
      </c>
      <c r="AG306" s="57">
        <f>BIN2DEC(X302&amp;Y302)+BIN2DEC(W302)*3</f>
        <v>3</v>
      </c>
      <c r="AH306" s="57">
        <f t="shared" si="456"/>
        <v>10</v>
      </c>
    </row>
    <row r="307" spans="1:34" ht="15.75" customHeight="1">
      <c r="A307" s="133" t="str">
        <f>AC307</f>
        <v>vofc_dom2_quad1_quad3_sar0_slc3</v>
      </c>
      <c r="B307" s="135" t="str">
        <f>DEC2HEX(P307*4)</f>
        <v>0</v>
      </c>
      <c r="C307" s="56" t="s">
        <v>134</v>
      </c>
      <c r="D307" s="129" t="str">
        <f>bitConcat(F308:F311)</f>
        <v>32'b00000000000000000000000000000000</v>
      </c>
      <c r="E307" s="130"/>
      <c r="F307" s="130"/>
      <c r="G307" s="130"/>
      <c r="H307" s="131" t="s">
        <v>135</v>
      </c>
      <c r="I307" s="131"/>
      <c r="J307" s="131" t="str">
        <f>bitConcat(G308:G311)</f>
        <v>32'b00000000000000000000000000000000</v>
      </c>
      <c r="K307" s="131"/>
      <c r="L307" s="132"/>
      <c r="M307" s="119" t="str">
        <f>DEC2HEX(_xlfn.BITLSHIFT(HEX2DEC(Q307),2))</f>
        <v>144</v>
      </c>
      <c r="N307" s="119"/>
      <c r="O307" s="119">
        <v>2</v>
      </c>
      <c r="P307" s="121">
        <v>0</v>
      </c>
      <c r="Q307" s="121" t="str">
        <f>AB307</f>
        <v>51</v>
      </c>
      <c r="R307" s="123" t="str">
        <f t="shared" ref="R307" si="457">BIN2HEX(LEFT(RIGHT(D307,32),4))&amp;BIN2HEX(LEFT(RIGHT(D307,28),4))&amp;BIN2HEX(LEFT(RIGHT(D307,24),4))&amp;BIN2HEX(LEFT(RIGHT(D307,20),4))&amp;BIN2HEX(LEFT(RIGHT(D307,16),4))&amp;BIN2HEX(LEFT(RIGHT(D307,12),4))&amp;BIN2HEX(LEFT(RIGHT(D307,8),4))&amp;BIN2HEX(LEFT(RIGHT(D307,4),4))</f>
        <v>00000000</v>
      </c>
      <c r="S307" s="123" t="str">
        <f t="shared" ref="S307" si="458">BIN2HEX(LEFT(RIGHT(J307,32),4))&amp;BIN2HEX(LEFT(RIGHT(J307,28),4))&amp;BIN2HEX(LEFT(RIGHT(J307,24),4))&amp;BIN2HEX(LEFT(RIGHT(J307,20),4))&amp;BIN2HEX(LEFT(RIGHT(J307,16),4))&amp;BIN2HEX(LEFT(RIGHT(J307,12),4))&amp;BIN2HEX(LEFT(RIGHT(J307,8),4))&amp;BIN2HEX(LEFT(RIGHT(J307,4),4))</f>
        <v>00000000</v>
      </c>
      <c r="T307" s="158">
        <v>13</v>
      </c>
      <c r="U307" s="155" t="str">
        <f t="shared" ref="U307" si="459">LEFT(DEC2BIN(O307,2))</f>
        <v>1</v>
      </c>
      <c r="V307" s="145" t="str">
        <f t="shared" ref="V307" si="460">RIGHT(DEC2BIN(O307,2),1)</f>
        <v>0</v>
      </c>
      <c r="W307" s="148">
        <v>1</v>
      </c>
      <c r="X307" s="155">
        <v>0</v>
      </c>
      <c r="Y307" s="145">
        <v>0</v>
      </c>
      <c r="Z307" s="148">
        <v>0</v>
      </c>
      <c r="AA307" s="148">
        <v>1</v>
      </c>
      <c r="AB307" s="148" t="str">
        <f t="shared" ref="AB307" si="461">BIN2HEX(U307&amp;V307&amp;W307&amp;X307&amp;Y307&amp;Z307&amp;AA307)</f>
        <v>51</v>
      </c>
      <c r="AC307" s="151" t="str">
        <f>CONCATENATE("vofc_dom",BIN2DEC(U307&amp;V307),"_quad",BIN2DEC(AA307),"_quad",BIN2DEC(AA307)+2,"_sar",ABS( BIN2DEC(V307)*3-BIN2DEC(Z307)),"_slc",BIN2DEC(X307&amp;Y307)+BIN2DEC(W307)*3)</f>
        <v>vofc_dom2_quad1_quad3_sar0_slc3</v>
      </c>
      <c r="AD307" s="57"/>
      <c r="AE307" s="57"/>
      <c r="AF307" s="57"/>
      <c r="AG307" s="57"/>
      <c r="AH307" s="57"/>
    </row>
    <row r="308" spans="1:34" ht="15" customHeight="1">
      <c r="A308" s="134"/>
      <c r="B308" s="136"/>
      <c r="C308" s="43" t="str">
        <f>CONCATENATE("sar",AD308+AE308*4+AF308*16,"_slc",AG308)</f>
        <v>sar15_slc3</v>
      </c>
      <c r="D308" s="44">
        <v>8</v>
      </c>
      <c r="E308" s="29" t="str">
        <f>IF(D308&gt;1,(31)&amp;":"&amp;(31-D308+1),(31-D308+1)&amp;":"&amp;(31-D308+1))</f>
        <v>31:24</v>
      </c>
      <c r="F308" s="30" t="s">
        <v>133</v>
      </c>
      <c r="G308" s="30" t="s">
        <v>133</v>
      </c>
      <c r="H308" s="45" t="s">
        <v>143</v>
      </c>
      <c r="I308" s="31" t="s">
        <v>68</v>
      </c>
      <c r="J308" s="32" t="s">
        <v>36</v>
      </c>
      <c r="K308" s="33" t="s">
        <v>6</v>
      </c>
      <c r="L308" s="46"/>
      <c r="M308" s="120"/>
      <c r="N308" s="120"/>
      <c r="O308" s="120"/>
      <c r="P308" s="122"/>
      <c r="Q308" s="122"/>
      <c r="R308" s="124"/>
      <c r="S308" s="124"/>
      <c r="T308" s="158"/>
      <c r="U308" s="156"/>
      <c r="V308" s="146"/>
      <c r="W308" s="149"/>
      <c r="X308" s="156"/>
      <c r="Y308" s="146"/>
      <c r="Z308" s="149"/>
      <c r="AA308" s="149"/>
      <c r="AB308" s="149"/>
      <c r="AC308" s="152"/>
      <c r="AD308" s="57">
        <f>BIN2DEC($AA307)*3</f>
        <v>3</v>
      </c>
      <c r="AE308" s="57">
        <f>ABS(BIN2DEC($U307)*3)</f>
        <v>3</v>
      </c>
      <c r="AF308" s="57">
        <f>ABS( BIN2DEC(V307)*3-BIN2DEC(Z307))</f>
        <v>0</v>
      </c>
      <c r="AG308" s="57">
        <f>BIN2DEC(X307&amp;Y307)+BIN2DEC(W307)*3</f>
        <v>3</v>
      </c>
      <c r="AH308" s="57">
        <f>AD308+AE308*4+AF308*16</f>
        <v>15</v>
      </c>
    </row>
    <row r="309" spans="1:34" ht="15" customHeight="1">
      <c r="A309" s="134"/>
      <c r="B309" s="136"/>
      <c r="C309" s="43" t="str">
        <f t="shared" ref="C309:C311" si="462">CONCATENATE("sar",AD309+AE309*4+AF309*16,"_slc",AG309)</f>
        <v>sar11_slc3</v>
      </c>
      <c r="D309" s="44">
        <v>8</v>
      </c>
      <c r="E309" s="30" t="str">
        <f t="shared" ref="E309:E311" si="463">(MID(str_cnvt(E308),SEARCH(":",str_cnvt(E308))+1,2)-1) &amp; ":" &amp; (MID(str_cnvt(E308),SEARCH(":",str_cnvt(E308))+1,2)-D309)</f>
        <v>23:16</v>
      </c>
      <c r="F309" s="30" t="s">
        <v>133</v>
      </c>
      <c r="G309" s="30" t="s">
        <v>133</v>
      </c>
      <c r="H309" s="45" t="s">
        <v>143</v>
      </c>
      <c r="I309" s="31" t="s">
        <v>68</v>
      </c>
      <c r="J309" s="32" t="s">
        <v>36</v>
      </c>
      <c r="K309" s="33" t="s">
        <v>6</v>
      </c>
      <c r="L309" s="46"/>
      <c r="M309" s="120"/>
      <c r="N309" s="120"/>
      <c r="O309" s="120"/>
      <c r="P309" s="122"/>
      <c r="Q309" s="122"/>
      <c r="R309" s="124"/>
      <c r="S309" s="124"/>
      <c r="T309" s="158"/>
      <c r="U309" s="156"/>
      <c r="V309" s="146"/>
      <c r="W309" s="149"/>
      <c r="X309" s="156"/>
      <c r="Y309" s="146"/>
      <c r="Z309" s="149"/>
      <c r="AA309" s="149"/>
      <c r="AB309" s="149"/>
      <c r="AC309" s="152"/>
      <c r="AD309" s="57">
        <f>BIN2DEC($AA307)*3</f>
        <v>3</v>
      </c>
      <c r="AE309" s="57">
        <f>ABS(BIN2DEC($U307)*3-1)</f>
        <v>2</v>
      </c>
      <c r="AF309" s="57">
        <f>ABS( BIN2DEC(V307)*3-BIN2DEC(Z307))</f>
        <v>0</v>
      </c>
      <c r="AG309" s="57">
        <f>BIN2DEC(X307&amp;Y307)+BIN2DEC(W307)*3</f>
        <v>3</v>
      </c>
      <c r="AH309" s="57">
        <f t="shared" ref="AH309:AH311" si="464">AD309+AE309*4+AF309*16</f>
        <v>11</v>
      </c>
    </row>
    <row r="310" spans="1:34" ht="15" customHeight="1">
      <c r="A310" s="134"/>
      <c r="B310" s="136"/>
      <c r="C310" s="43" t="str">
        <f t="shared" si="462"/>
        <v>sar13_slc3</v>
      </c>
      <c r="D310" s="44">
        <v>8</v>
      </c>
      <c r="E310" s="30" t="str">
        <f t="shared" si="463"/>
        <v>15:8</v>
      </c>
      <c r="F310" s="30" t="s">
        <v>133</v>
      </c>
      <c r="G310" s="30" t="s">
        <v>133</v>
      </c>
      <c r="H310" s="45" t="s">
        <v>143</v>
      </c>
      <c r="I310" s="31" t="s">
        <v>68</v>
      </c>
      <c r="J310" s="32" t="s">
        <v>36</v>
      </c>
      <c r="K310" s="33" t="s">
        <v>6</v>
      </c>
      <c r="L310" s="46"/>
      <c r="M310" s="120"/>
      <c r="N310" s="120"/>
      <c r="O310" s="120"/>
      <c r="P310" s="122"/>
      <c r="Q310" s="122"/>
      <c r="R310" s="124"/>
      <c r="S310" s="124"/>
      <c r="T310" s="158"/>
      <c r="U310" s="156"/>
      <c r="V310" s="146"/>
      <c r="W310" s="149"/>
      <c r="X310" s="156"/>
      <c r="Y310" s="146"/>
      <c r="Z310" s="149"/>
      <c r="AA310" s="149"/>
      <c r="AB310" s="149"/>
      <c r="AC310" s="152"/>
      <c r="AD310" s="57">
        <f>ABS(BIN2DEC($AA307)*3-2)</f>
        <v>1</v>
      </c>
      <c r="AE310" s="57">
        <f>ABS(BIN2DEC($U307)*3)</f>
        <v>3</v>
      </c>
      <c r="AF310" s="57">
        <f>ABS( BIN2DEC(V307)*3-BIN2DEC(Z307))</f>
        <v>0</v>
      </c>
      <c r="AG310" s="57">
        <f>BIN2DEC(X307&amp;Y307)+BIN2DEC(W307)*3</f>
        <v>3</v>
      </c>
      <c r="AH310" s="57">
        <f t="shared" si="464"/>
        <v>13</v>
      </c>
    </row>
    <row r="311" spans="1:34" ht="15.75" customHeight="1" thickBot="1">
      <c r="A311" s="134"/>
      <c r="B311" s="136"/>
      <c r="C311" s="43" t="str">
        <f t="shared" si="462"/>
        <v>sar9_slc3</v>
      </c>
      <c r="D311" s="44">
        <v>8</v>
      </c>
      <c r="E311" s="30" t="str">
        <f t="shared" si="463"/>
        <v>7:0</v>
      </c>
      <c r="F311" s="30" t="s">
        <v>133</v>
      </c>
      <c r="G311" s="30" t="s">
        <v>133</v>
      </c>
      <c r="H311" s="45" t="s">
        <v>143</v>
      </c>
      <c r="I311" s="31" t="s">
        <v>68</v>
      </c>
      <c r="J311" s="32" t="s">
        <v>36</v>
      </c>
      <c r="K311" s="33" t="s">
        <v>6</v>
      </c>
      <c r="L311" s="46"/>
      <c r="M311" s="120"/>
      <c r="N311" s="120"/>
      <c r="O311" s="120"/>
      <c r="P311" s="122"/>
      <c r="Q311" s="122"/>
      <c r="R311" s="124"/>
      <c r="S311" s="124"/>
      <c r="T311" s="158"/>
      <c r="U311" s="157"/>
      <c r="V311" s="147"/>
      <c r="W311" s="150"/>
      <c r="X311" s="157"/>
      <c r="Y311" s="147"/>
      <c r="Z311" s="150"/>
      <c r="AA311" s="150"/>
      <c r="AB311" s="150"/>
      <c r="AC311" s="153"/>
      <c r="AD311" s="57">
        <f>ABS(BIN2DEC($AA307)*3-2)</f>
        <v>1</v>
      </c>
      <c r="AE311" s="57">
        <f>ABS(BIN2DEC($U307)*3-1)</f>
        <v>2</v>
      </c>
      <c r="AF311" s="57">
        <f>ABS( BIN2DEC(V307)*3-BIN2DEC(Z307))</f>
        <v>0</v>
      </c>
      <c r="AG311" s="57">
        <f>BIN2DEC(X307&amp;Y307)+BIN2DEC(W307)*3</f>
        <v>3</v>
      </c>
      <c r="AH311" s="57">
        <f t="shared" si="464"/>
        <v>9</v>
      </c>
    </row>
    <row r="312" spans="1:34" ht="15.75" customHeight="1">
      <c r="A312" s="133" t="str">
        <f>AC312</f>
        <v>vofc_dom2_quad0_quad2_sar1_slc3</v>
      </c>
      <c r="B312" s="135" t="str">
        <f>DEC2HEX(P312*4)</f>
        <v>0</v>
      </c>
      <c r="C312" s="56" t="s">
        <v>134</v>
      </c>
      <c r="D312" s="129" t="str">
        <f>bitConcat(F313:F316)</f>
        <v>32'b00000000000000000000000000000000</v>
      </c>
      <c r="E312" s="130"/>
      <c r="F312" s="130"/>
      <c r="G312" s="130"/>
      <c r="H312" s="131" t="s">
        <v>135</v>
      </c>
      <c r="I312" s="131"/>
      <c r="J312" s="131" t="str">
        <f>bitConcat(G313:G316)</f>
        <v>32'b00000000000000000000000000000000</v>
      </c>
      <c r="K312" s="131"/>
      <c r="L312" s="132"/>
      <c r="M312" s="119" t="str">
        <f>DEC2HEX(_xlfn.BITLSHIFT(HEX2DEC(Q312),2))</f>
        <v>148</v>
      </c>
      <c r="N312" s="119"/>
      <c r="O312" s="119">
        <v>2</v>
      </c>
      <c r="P312" s="121">
        <v>0</v>
      </c>
      <c r="Q312" s="121" t="str">
        <f>AB312</f>
        <v>52</v>
      </c>
      <c r="R312" s="123" t="str">
        <f t="shared" ref="R312" si="465">BIN2HEX(LEFT(RIGHT(D312,32),4))&amp;BIN2HEX(LEFT(RIGHT(D312,28),4))&amp;BIN2HEX(LEFT(RIGHT(D312,24),4))&amp;BIN2HEX(LEFT(RIGHT(D312,20),4))&amp;BIN2HEX(LEFT(RIGHT(D312,16),4))&amp;BIN2HEX(LEFT(RIGHT(D312,12),4))&amp;BIN2HEX(LEFT(RIGHT(D312,8),4))&amp;BIN2HEX(LEFT(RIGHT(D312,4),4))</f>
        <v>00000000</v>
      </c>
      <c r="S312" s="123" t="str">
        <f t="shared" ref="S312" si="466">BIN2HEX(LEFT(RIGHT(J312,32),4))&amp;BIN2HEX(LEFT(RIGHT(J312,28),4))&amp;BIN2HEX(LEFT(RIGHT(J312,24),4))&amp;BIN2HEX(LEFT(RIGHT(J312,20),4))&amp;BIN2HEX(LEFT(RIGHT(J312,16),4))&amp;BIN2HEX(LEFT(RIGHT(J312,12),4))&amp;BIN2HEX(LEFT(RIGHT(J312,8),4))&amp;BIN2HEX(LEFT(RIGHT(J312,4),4))</f>
        <v>00000000</v>
      </c>
      <c r="T312" s="158">
        <v>14</v>
      </c>
      <c r="U312" s="155" t="str">
        <f t="shared" ref="U312" si="467">LEFT(DEC2BIN(O312,2))</f>
        <v>1</v>
      </c>
      <c r="V312" s="145" t="str">
        <f t="shared" ref="V312" si="468">RIGHT(DEC2BIN(O312,2),1)</f>
        <v>0</v>
      </c>
      <c r="W312" s="148">
        <v>1</v>
      </c>
      <c r="X312" s="155">
        <v>0</v>
      </c>
      <c r="Y312" s="145">
        <v>0</v>
      </c>
      <c r="Z312" s="148">
        <v>1</v>
      </c>
      <c r="AA312" s="148">
        <v>0</v>
      </c>
      <c r="AB312" s="148" t="str">
        <f t="shared" ref="AB312" si="469">BIN2HEX(U312&amp;V312&amp;W312&amp;X312&amp;Y312&amp;Z312&amp;AA312)</f>
        <v>52</v>
      </c>
      <c r="AC312" s="151" t="str">
        <f>CONCATENATE("vofc_dom",BIN2DEC(U312&amp;V312),"_quad",BIN2DEC(AA312),"_quad",BIN2DEC(AA312)+2,"_sar",ABS( BIN2DEC(V312)*3-BIN2DEC(Z312)),"_slc",BIN2DEC(X312&amp;Y312)+BIN2DEC(W312)*3)</f>
        <v>vofc_dom2_quad0_quad2_sar1_slc3</v>
      </c>
      <c r="AD312" s="57"/>
      <c r="AE312" s="57"/>
      <c r="AF312" s="57"/>
      <c r="AG312" s="57"/>
      <c r="AH312" s="57"/>
    </row>
    <row r="313" spans="1:34" ht="15" customHeight="1">
      <c r="A313" s="134"/>
      <c r="B313" s="136"/>
      <c r="C313" s="43" t="str">
        <f>CONCATENATE("sar",AD313+AE313*4+AF313*16,"_slc",AG313)</f>
        <v>sar28_slc3</v>
      </c>
      <c r="D313" s="44">
        <v>8</v>
      </c>
      <c r="E313" s="29" t="str">
        <f>IF(D313&gt;1,(31)&amp;":"&amp;(31-D313+1),(31-D313+1)&amp;":"&amp;(31-D313+1))</f>
        <v>31:24</v>
      </c>
      <c r="F313" s="30" t="s">
        <v>133</v>
      </c>
      <c r="G313" s="30" t="s">
        <v>133</v>
      </c>
      <c r="H313" s="45" t="s">
        <v>143</v>
      </c>
      <c r="I313" s="31" t="s">
        <v>68</v>
      </c>
      <c r="J313" s="32" t="s">
        <v>36</v>
      </c>
      <c r="K313" s="33" t="s">
        <v>6</v>
      </c>
      <c r="L313" s="46"/>
      <c r="M313" s="120"/>
      <c r="N313" s="120"/>
      <c r="O313" s="120"/>
      <c r="P313" s="122"/>
      <c r="Q313" s="122"/>
      <c r="R313" s="124"/>
      <c r="S313" s="124"/>
      <c r="T313" s="158"/>
      <c r="U313" s="156"/>
      <c r="V313" s="146"/>
      <c r="W313" s="149"/>
      <c r="X313" s="156"/>
      <c r="Y313" s="146"/>
      <c r="Z313" s="149"/>
      <c r="AA313" s="149"/>
      <c r="AB313" s="149"/>
      <c r="AC313" s="152"/>
      <c r="AD313" s="57">
        <f>BIN2DEC($AA312)*3</f>
        <v>0</v>
      </c>
      <c r="AE313" s="57">
        <f>ABS(BIN2DEC($U312)*3)</f>
        <v>3</v>
      </c>
      <c r="AF313" s="57">
        <f>ABS( BIN2DEC(V312)*3-BIN2DEC(Z312))</f>
        <v>1</v>
      </c>
      <c r="AG313" s="57">
        <f>BIN2DEC(X312&amp;Y312)+BIN2DEC(W312)*3</f>
        <v>3</v>
      </c>
      <c r="AH313" s="57">
        <f>AD313+AE313*4+AF313*16</f>
        <v>28</v>
      </c>
    </row>
    <row r="314" spans="1:34" ht="15" customHeight="1">
      <c r="A314" s="134"/>
      <c r="B314" s="136"/>
      <c r="C314" s="43" t="str">
        <f t="shared" ref="C314:C316" si="470">CONCATENATE("sar",AD314+AE314*4+AF314*16,"_slc",AG314)</f>
        <v>sar24_slc3</v>
      </c>
      <c r="D314" s="44">
        <v>8</v>
      </c>
      <c r="E314" s="30" t="str">
        <f t="shared" ref="E314:E316" si="471">(MID(str_cnvt(E313),SEARCH(":",str_cnvt(E313))+1,2)-1) &amp; ":" &amp; (MID(str_cnvt(E313),SEARCH(":",str_cnvt(E313))+1,2)-D314)</f>
        <v>23:16</v>
      </c>
      <c r="F314" s="30" t="s">
        <v>133</v>
      </c>
      <c r="G314" s="30" t="s">
        <v>133</v>
      </c>
      <c r="H314" s="45" t="s">
        <v>143</v>
      </c>
      <c r="I314" s="31" t="s">
        <v>68</v>
      </c>
      <c r="J314" s="32" t="s">
        <v>36</v>
      </c>
      <c r="K314" s="33" t="s">
        <v>6</v>
      </c>
      <c r="L314" s="46"/>
      <c r="M314" s="120"/>
      <c r="N314" s="120"/>
      <c r="O314" s="120"/>
      <c r="P314" s="122"/>
      <c r="Q314" s="122"/>
      <c r="R314" s="124"/>
      <c r="S314" s="124"/>
      <c r="T314" s="158"/>
      <c r="U314" s="156"/>
      <c r="V314" s="146"/>
      <c r="W314" s="149"/>
      <c r="X314" s="156"/>
      <c r="Y314" s="146"/>
      <c r="Z314" s="149"/>
      <c r="AA314" s="149"/>
      <c r="AB314" s="149"/>
      <c r="AC314" s="152"/>
      <c r="AD314" s="57">
        <f>BIN2DEC($AA312)*3</f>
        <v>0</v>
      </c>
      <c r="AE314" s="57">
        <f>ABS(BIN2DEC($U312)*3-1)</f>
        <v>2</v>
      </c>
      <c r="AF314" s="57">
        <f>ABS( BIN2DEC(V312)*3-BIN2DEC(Z312))</f>
        <v>1</v>
      </c>
      <c r="AG314" s="57">
        <f>BIN2DEC(X312&amp;Y312)+BIN2DEC(W312)*3</f>
        <v>3</v>
      </c>
      <c r="AH314" s="57">
        <f t="shared" ref="AH314:AH316" si="472">AD314+AE314*4+AF314*16</f>
        <v>24</v>
      </c>
    </row>
    <row r="315" spans="1:34" ht="15" customHeight="1">
      <c r="A315" s="134"/>
      <c r="B315" s="136"/>
      <c r="C315" s="43" t="str">
        <f t="shared" si="470"/>
        <v>sar30_slc3</v>
      </c>
      <c r="D315" s="44">
        <v>8</v>
      </c>
      <c r="E315" s="30" t="str">
        <f t="shared" si="471"/>
        <v>15:8</v>
      </c>
      <c r="F315" s="30" t="s">
        <v>133</v>
      </c>
      <c r="G315" s="30" t="s">
        <v>133</v>
      </c>
      <c r="H315" s="45" t="s">
        <v>143</v>
      </c>
      <c r="I315" s="31" t="s">
        <v>68</v>
      </c>
      <c r="J315" s="32" t="s">
        <v>36</v>
      </c>
      <c r="K315" s="33" t="s">
        <v>6</v>
      </c>
      <c r="L315" s="46"/>
      <c r="M315" s="120"/>
      <c r="N315" s="120"/>
      <c r="O315" s="120"/>
      <c r="P315" s="122"/>
      <c r="Q315" s="122"/>
      <c r="R315" s="124"/>
      <c r="S315" s="124"/>
      <c r="T315" s="158"/>
      <c r="U315" s="156"/>
      <c r="V315" s="146"/>
      <c r="W315" s="149"/>
      <c r="X315" s="156"/>
      <c r="Y315" s="146"/>
      <c r="Z315" s="149"/>
      <c r="AA315" s="149"/>
      <c r="AB315" s="149"/>
      <c r="AC315" s="152"/>
      <c r="AD315" s="57">
        <f>ABS(BIN2DEC($AA312)*3-2)</f>
        <v>2</v>
      </c>
      <c r="AE315" s="57">
        <f>ABS(BIN2DEC($U312)*3)</f>
        <v>3</v>
      </c>
      <c r="AF315" s="57">
        <f>ABS( BIN2DEC(V312)*3-BIN2DEC(Z312))</f>
        <v>1</v>
      </c>
      <c r="AG315" s="57">
        <f>BIN2DEC(X312&amp;Y312)+BIN2DEC(W312)*3</f>
        <v>3</v>
      </c>
      <c r="AH315" s="57">
        <f t="shared" si="472"/>
        <v>30</v>
      </c>
    </row>
    <row r="316" spans="1:34" ht="15.75" customHeight="1" thickBot="1">
      <c r="A316" s="134"/>
      <c r="B316" s="136"/>
      <c r="C316" s="43" t="str">
        <f t="shared" si="470"/>
        <v>sar26_slc3</v>
      </c>
      <c r="D316" s="44">
        <v>8</v>
      </c>
      <c r="E316" s="30" t="str">
        <f t="shared" si="471"/>
        <v>7:0</v>
      </c>
      <c r="F316" s="30" t="s">
        <v>133</v>
      </c>
      <c r="G316" s="30" t="s">
        <v>133</v>
      </c>
      <c r="H316" s="45" t="s">
        <v>143</v>
      </c>
      <c r="I316" s="31" t="s">
        <v>68</v>
      </c>
      <c r="J316" s="32" t="s">
        <v>36</v>
      </c>
      <c r="K316" s="33" t="s">
        <v>6</v>
      </c>
      <c r="L316" s="46"/>
      <c r="M316" s="120"/>
      <c r="N316" s="120"/>
      <c r="O316" s="120"/>
      <c r="P316" s="122"/>
      <c r="Q316" s="122"/>
      <c r="R316" s="124"/>
      <c r="S316" s="124"/>
      <c r="T316" s="158"/>
      <c r="U316" s="157"/>
      <c r="V316" s="147"/>
      <c r="W316" s="150"/>
      <c r="X316" s="157"/>
      <c r="Y316" s="147"/>
      <c r="Z316" s="150"/>
      <c r="AA316" s="150"/>
      <c r="AB316" s="150"/>
      <c r="AC316" s="153"/>
      <c r="AD316" s="57">
        <f>ABS(BIN2DEC($AA312)*3-2)</f>
        <v>2</v>
      </c>
      <c r="AE316" s="57">
        <f>ABS(BIN2DEC($U312)*3-1)</f>
        <v>2</v>
      </c>
      <c r="AF316" s="57">
        <f>ABS( BIN2DEC(V312)*3-BIN2DEC(Z312))</f>
        <v>1</v>
      </c>
      <c r="AG316" s="57">
        <f>BIN2DEC(X312&amp;Y312)+BIN2DEC(W312)*3</f>
        <v>3</v>
      </c>
      <c r="AH316" s="57">
        <f t="shared" si="472"/>
        <v>26</v>
      </c>
    </row>
    <row r="317" spans="1:34" ht="15.75" customHeight="1">
      <c r="A317" s="133" t="str">
        <f>AC317</f>
        <v>vofc_dom2_quad1_quad3_sar1_slc3</v>
      </c>
      <c r="B317" s="135" t="str">
        <f>DEC2HEX(P317*4)</f>
        <v>0</v>
      </c>
      <c r="C317" s="56" t="s">
        <v>134</v>
      </c>
      <c r="D317" s="129" t="str">
        <f>bitConcat(F318:F321)</f>
        <v>32'b00000000000000000000000000000000</v>
      </c>
      <c r="E317" s="130"/>
      <c r="F317" s="130"/>
      <c r="G317" s="130"/>
      <c r="H317" s="131" t="s">
        <v>135</v>
      </c>
      <c r="I317" s="131"/>
      <c r="J317" s="131" t="str">
        <f>bitConcat(G318:G321)</f>
        <v>32'b00000000000000000000000000000000</v>
      </c>
      <c r="K317" s="131"/>
      <c r="L317" s="132"/>
      <c r="M317" s="119" t="str">
        <f>DEC2HEX(_xlfn.BITLSHIFT(HEX2DEC(Q317),2))</f>
        <v>14C</v>
      </c>
      <c r="N317" s="119"/>
      <c r="O317" s="119">
        <v>2</v>
      </c>
      <c r="P317" s="121">
        <v>0</v>
      </c>
      <c r="Q317" s="121" t="str">
        <f>AB317</f>
        <v>53</v>
      </c>
      <c r="R317" s="123" t="str">
        <f t="shared" ref="R317" si="473">BIN2HEX(LEFT(RIGHT(D317,32),4))&amp;BIN2HEX(LEFT(RIGHT(D317,28),4))&amp;BIN2HEX(LEFT(RIGHT(D317,24),4))&amp;BIN2HEX(LEFT(RIGHT(D317,20),4))&amp;BIN2HEX(LEFT(RIGHT(D317,16),4))&amp;BIN2HEX(LEFT(RIGHT(D317,12),4))&amp;BIN2HEX(LEFT(RIGHT(D317,8),4))&amp;BIN2HEX(LEFT(RIGHT(D317,4),4))</f>
        <v>00000000</v>
      </c>
      <c r="S317" s="123" t="str">
        <f t="shared" ref="S317" si="474">BIN2HEX(LEFT(RIGHT(J317,32),4))&amp;BIN2HEX(LEFT(RIGHT(J317,28),4))&amp;BIN2HEX(LEFT(RIGHT(J317,24),4))&amp;BIN2HEX(LEFT(RIGHT(J317,20),4))&amp;BIN2HEX(LEFT(RIGHT(J317,16),4))&amp;BIN2HEX(LEFT(RIGHT(J317,12),4))&amp;BIN2HEX(LEFT(RIGHT(J317,8),4))&amp;BIN2HEX(LEFT(RIGHT(J317,4),4))</f>
        <v>00000000</v>
      </c>
      <c r="T317" s="158">
        <v>15</v>
      </c>
      <c r="U317" s="155" t="str">
        <f t="shared" ref="U317" si="475">LEFT(DEC2BIN(O317,2))</f>
        <v>1</v>
      </c>
      <c r="V317" s="145" t="str">
        <f t="shared" ref="V317" si="476">RIGHT(DEC2BIN(O317,2),1)</f>
        <v>0</v>
      </c>
      <c r="W317" s="148">
        <v>1</v>
      </c>
      <c r="X317" s="155">
        <v>0</v>
      </c>
      <c r="Y317" s="145">
        <v>0</v>
      </c>
      <c r="Z317" s="148">
        <v>1</v>
      </c>
      <c r="AA317" s="148">
        <v>1</v>
      </c>
      <c r="AB317" s="148" t="str">
        <f t="shared" ref="AB317" si="477">BIN2HEX(U317&amp;V317&amp;W317&amp;X317&amp;Y317&amp;Z317&amp;AA317)</f>
        <v>53</v>
      </c>
      <c r="AC317" s="151" t="str">
        <f>CONCATENATE("vofc_dom",BIN2DEC(U317&amp;V317),"_quad",BIN2DEC(AA317),"_quad",BIN2DEC(AA317)+2,"_sar",ABS( BIN2DEC(V317)*3-BIN2DEC(Z317)),"_slc",BIN2DEC(X317&amp;Y317)+BIN2DEC(W317)*3)</f>
        <v>vofc_dom2_quad1_quad3_sar1_slc3</v>
      </c>
      <c r="AD317" s="57"/>
      <c r="AE317" s="57"/>
      <c r="AF317" s="57"/>
      <c r="AG317" s="57"/>
      <c r="AH317" s="57"/>
    </row>
    <row r="318" spans="1:34" ht="15" customHeight="1">
      <c r="A318" s="134"/>
      <c r="B318" s="136"/>
      <c r="C318" s="43" t="str">
        <f>CONCATENATE("sar",AD318+AE318*4+AF318*16,"_slc",AG318)</f>
        <v>sar31_slc3</v>
      </c>
      <c r="D318" s="44">
        <v>8</v>
      </c>
      <c r="E318" s="29" t="str">
        <f>IF(D318&gt;1,(31)&amp;":"&amp;(31-D318+1),(31-D318+1)&amp;":"&amp;(31-D318+1))</f>
        <v>31:24</v>
      </c>
      <c r="F318" s="30" t="s">
        <v>133</v>
      </c>
      <c r="G318" s="30" t="s">
        <v>133</v>
      </c>
      <c r="H318" s="45" t="s">
        <v>143</v>
      </c>
      <c r="I318" s="31" t="s">
        <v>68</v>
      </c>
      <c r="J318" s="32" t="s">
        <v>36</v>
      </c>
      <c r="K318" s="33" t="s">
        <v>6</v>
      </c>
      <c r="L318" s="46"/>
      <c r="M318" s="120"/>
      <c r="N318" s="120"/>
      <c r="O318" s="120"/>
      <c r="P318" s="122"/>
      <c r="Q318" s="122"/>
      <c r="R318" s="124"/>
      <c r="S318" s="124"/>
      <c r="T318" s="158"/>
      <c r="U318" s="156"/>
      <c r="V318" s="146"/>
      <c r="W318" s="149"/>
      <c r="X318" s="156"/>
      <c r="Y318" s="146"/>
      <c r="Z318" s="149"/>
      <c r="AA318" s="149"/>
      <c r="AB318" s="149"/>
      <c r="AC318" s="152"/>
      <c r="AD318" s="57">
        <f>BIN2DEC($AA317)*3</f>
        <v>3</v>
      </c>
      <c r="AE318" s="57">
        <f>ABS(BIN2DEC($U317)*3)</f>
        <v>3</v>
      </c>
      <c r="AF318" s="57">
        <f>ABS( BIN2DEC(V317)*3-BIN2DEC(Z317))</f>
        <v>1</v>
      </c>
      <c r="AG318" s="57">
        <f>BIN2DEC(X317&amp;Y317)+BIN2DEC(W317)*3</f>
        <v>3</v>
      </c>
      <c r="AH318" s="57">
        <f>AD318+AE318*4+AF318*16</f>
        <v>31</v>
      </c>
    </row>
    <row r="319" spans="1:34" ht="15" customHeight="1">
      <c r="A319" s="134"/>
      <c r="B319" s="136"/>
      <c r="C319" s="43" t="str">
        <f t="shared" ref="C319:C321" si="478">CONCATENATE("sar",AD319+AE319*4+AF319*16,"_slc",AG319)</f>
        <v>sar27_slc3</v>
      </c>
      <c r="D319" s="44">
        <v>8</v>
      </c>
      <c r="E319" s="30" t="str">
        <f t="shared" ref="E319:E321" si="479">(MID(str_cnvt(E318),SEARCH(":",str_cnvt(E318))+1,2)-1) &amp; ":" &amp; (MID(str_cnvt(E318),SEARCH(":",str_cnvt(E318))+1,2)-D319)</f>
        <v>23:16</v>
      </c>
      <c r="F319" s="30" t="s">
        <v>133</v>
      </c>
      <c r="G319" s="30" t="s">
        <v>133</v>
      </c>
      <c r="H319" s="45" t="s">
        <v>143</v>
      </c>
      <c r="I319" s="31" t="s">
        <v>68</v>
      </c>
      <c r="J319" s="32" t="s">
        <v>36</v>
      </c>
      <c r="K319" s="33" t="s">
        <v>6</v>
      </c>
      <c r="L319" s="46"/>
      <c r="M319" s="120"/>
      <c r="N319" s="120"/>
      <c r="O319" s="120"/>
      <c r="P319" s="122"/>
      <c r="Q319" s="122"/>
      <c r="R319" s="124"/>
      <c r="S319" s="124"/>
      <c r="T319" s="158"/>
      <c r="U319" s="156"/>
      <c r="V319" s="146"/>
      <c r="W319" s="149"/>
      <c r="X319" s="156"/>
      <c r="Y319" s="146"/>
      <c r="Z319" s="149"/>
      <c r="AA319" s="149"/>
      <c r="AB319" s="149"/>
      <c r="AC319" s="152"/>
      <c r="AD319" s="57">
        <f>BIN2DEC($AA317)*3</f>
        <v>3</v>
      </c>
      <c r="AE319" s="57">
        <f>ABS(BIN2DEC($U317)*3-1)</f>
        <v>2</v>
      </c>
      <c r="AF319" s="57">
        <f>ABS( BIN2DEC(V317)*3-BIN2DEC(Z317))</f>
        <v>1</v>
      </c>
      <c r="AG319" s="57">
        <f>BIN2DEC(X317&amp;Y317)+BIN2DEC(W317)*3</f>
        <v>3</v>
      </c>
      <c r="AH319" s="57">
        <f t="shared" ref="AH319:AH321" si="480">AD319+AE319*4+AF319*16</f>
        <v>27</v>
      </c>
    </row>
    <row r="320" spans="1:34" ht="15" customHeight="1">
      <c r="A320" s="134"/>
      <c r="B320" s="136"/>
      <c r="C320" s="43" t="str">
        <f t="shared" si="478"/>
        <v>sar29_slc3</v>
      </c>
      <c r="D320" s="44">
        <v>8</v>
      </c>
      <c r="E320" s="30" t="str">
        <f t="shared" si="479"/>
        <v>15:8</v>
      </c>
      <c r="F320" s="30" t="s">
        <v>133</v>
      </c>
      <c r="G320" s="30" t="s">
        <v>133</v>
      </c>
      <c r="H320" s="45" t="s">
        <v>143</v>
      </c>
      <c r="I320" s="31" t="s">
        <v>68</v>
      </c>
      <c r="J320" s="32" t="s">
        <v>36</v>
      </c>
      <c r="K320" s="33" t="s">
        <v>6</v>
      </c>
      <c r="L320" s="46"/>
      <c r="M320" s="120"/>
      <c r="N320" s="120"/>
      <c r="O320" s="120"/>
      <c r="P320" s="122"/>
      <c r="Q320" s="122"/>
      <c r="R320" s="124"/>
      <c r="S320" s="124"/>
      <c r="T320" s="158"/>
      <c r="U320" s="156"/>
      <c r="V320" s="146"/>
      <c r="W320" s="149"/>
      <c r="X320" s="156"/>
      <c r="Y320" s="146"/>
      <c r="Z320" s="149"/>
      <c r="AA320" s="149"/>
      <c r="AB320" s="149"/>
      <c r="AC320" s="152"/>
      <c r="AD320" s="57">
        <f>ABS(BIN2DEC($AA317)*3-2)</f>
        <v>1</v>
      </c>
      <c r="AE320" s="57">
        <f>ABS(BIN2DEC($U317)*3)</f>
        <v>3</v>
      </c>
      <c r="AF320" s="57">
        <f>ABS( BIN2DEC(V317)*3-BIN2DEC(Z317))</f>
        <v>1</v>
      </c>
      <c r="AG320" s="57">
        <f>BIN2DEC(X317&amp;Y317)+BIN2DEC(W317)*3</f>
        <v>3</v>
      </c>
      <c r="AH320" s="57">
        <f t="shared" si="480"/>
        <v>29</v>
      </c>
    </row>
    <row r="321" spans="1:34" ht="15.75" customHeight="1" thickBot="1">
      <c r="A321" s="134"/>
      <c r="B321" s="136"/>
      <c r="C321" s="43" t="str">
        <f t="shared" si="478"/>
        <v>sar25_slc3</v>
      </c>
      <c r="D321" s="44">
        <v>8</v>
      </c>
      <c r="E321" s="30" t="str">
        <f t="shared" si="479"/>
        <v>7:0</v>
      </c>
      <c r="F321" s="30" t="s">
        <v>133</v>
      </c>
      <c r="G321" s="30" t="s">
        <v>133</v>
      </c>
      <c r="H321" s="45" t="s">
        <v>143</v>
      </c>
      <c r="I321" s="31" t="s">
        <v>68</v>
      </c>
      <c r="J321" s="32" t="s">
        <v>36</v>
      </c>
      <c r="K321" s="33" t="s">
        <v>6</v>
      </c>
      <c r="L321" s="46"/>
      <c r="M321" s="120"/>
      <c r="N321" s="120"/>
      <c r="O321" s="120"/>
      <c r="P321" s="122"/>
      <c r="Q321" s="122"/>
      <c r="R321" s="124"/>
      <c r="S321" s="124"/>
      <c r="T321" s="158"/>
      <c r="U321" s="157"/>
      <c r="V321" s="147"/>
      <c r="W321" s="150"/>
      <c r="X321" s="157"/>
      <c r="Y321" s="147"/>
      <c r="Z321" s="150"/>
      <c r="AA321" s="150"/>
      <c r="AB321" s="150"/>
      <c r="AC321" s="153"/>
      <c r="AD321" s="57">
        <f>ABS(BIN2DEC($AA317)*3-2)</f>
        <v>1</v>
      </c>
      <c r="AE321" s="57">
        <f>ABS(BIN2DEC($U317)*3-1)</f>
        <v>2</v>
      </c>
      <c r="AF321" s="57">
        <f>ABS( BIN2DEC(V317)*3-BIN2DEC(Z317))</f>
        <v>1</v>
      </c>
      <c r="AG321" s="57">
        <f>BIN2DEC(X317&amp;Y317)+BIN2DEC(W317)*3</f>
        <v>3</v>
      </c>
      <c r="AH321" s="57">
        <f t="shared" si="480"/>
        <v>25</v>
      </c>
    </row>
    <row r="322" spans="1:34" ht="15.75" customHeight="1">
      <c r="A322" s="133" t="str">
        <f>AC322</f>
        <v>vofc_dom2_quad0_quad2_sar0_slc4</v>
      </c>
      <c r="B322" s="135" t="str">
        <f>DEC2HEX(P322*4)</f>
        <v>0</v>
      </c>
      <c r="C322" s="56" t="s">
        <v>134</v>
      </c>
      <c r="D322" s="129" t="str">
        <f>bitConcat(F323:F326)</f>
        <v>32'b00000000000000000000000000000000</v>
      </c>
      <c r="E322" s="130"/>
      <c r="F322" s="130"/>
      <c r="G322" s="130"/>
      <c r="H322" s="131" t="s">
        <v>135</v>
      </c>
      <c r="I322" s="131"/>
      <c r="J322" s="131" t="str">
        <f>bitConcat(G323:G326)</f>
        <v>32'b00000000000000000000000000000000</v>
      </c>
      <c r="K322" s="131"/>
      <c r="L322" s="132"/>
      <c r="M322" s="119" t="str">
        <f>DEC2HEX(_xlfn.BITLSHIFT(HEX2DEC(Q322),2))</f>
        <v>150</v>
      </c>
      <c r="N322" s="119"/>
      <c r="O322" s="119">
        <v>2</v>
      </c>
      <c r="P322" s="121">
        <v>0</v>
      </c>
      <c r="Q322" s="121" t="str">
        <f>AB322</f>
        <v>54</v>
      </c>
      <c r="R322" s="123" t="str">
        <f t="shared" ref="R322" si="481">BIN2HEX(LEFT(RIGHT(D322,32),4))&amp;BIN2HEX(LEFT(RIGHT(D322,28),4))&amp;BIN2HEX(LEFT(RIGHT(D322,24),4))&amp;BIN2HEX(LEFT(RIGHT(D322,20),4))&amp;BIN2HEX(LEFT(RIGHT(D322,16),4))&amp;BIN2HEX(LEFT(RIGHT(D322,12),4))&amp;BIN2HEX(LEFT(RIGHT(D322,8),4))&amp;BIN2HEX(LEFT(RIGHT(D322,4),4))</f>
        <v>00000000</v>
      </c>
      <c r="S322" s="123" t="str">
        <f t="shared" ref="S322" si="482">BIN2HEX(LEFT(RIGHT(J322,32),4))&amp;BIN2HEX(LEFT(RIGHT(J322,28),4))&amp;BIN2HEX(LEFT(RIGHT(J322,24),4))&amp;BIN2HEX(LEFT(RIGHT(J322,20),4))&amp;BIN2HEX(LEFT(RIGHT(J322,16),4))&amp;BIN2HEX(LEFT(RIGHT(J322,12),4))&amp;BIN2HEX(LEFT(RIGHT(J322,8),4))&amp;BIN2HEX(LEFT(RIGHT(J322,4),4))</f>
        <v>00000000</v>
      </c>
      <c r="T322" s="158">
        <v>16</v>
      </c>
      <c r="U322" s="155" t="str">
        <f t="shared" ref="U322" si="483">LEFT(DEC2BIN(O322,2))</f>
        <v>1</v>
      </c>
      <c r="V322" s="145" t="str">
        <f t="shared" ref="V322" si="484">RIGHT(DEC2BIN(O322,2),1)</f>
        <v>0</v>
      </c>
      <c r="W322" s="148">
        <v>1</v>
      </c>
      <c r="X322" s="155">
        <v>0</v>
      </c>
      <c r="Y322" s="145">
        <v>1</v>
      </c>
      <c r="Z322" s="148">
        <v>0</v>
      </c>
      <c r="AA322" s="148">
        <v>0</v>
      </c>
      <c r="AB322" s="148" t="str">
        <f t="shared" ref="AB322" si="485">BIN2HEX(U322&amp;V322&amp;W322&amp;X322&amp;Y322&amp;Z322&amp;AA322)</f>
        <v>54</v>
      </c>
      <c r="AC322" s="151" t="str">
        <f>CONCATENATE("vofc_dom",BIN2DEC(U322&amp;V322),"_quad",BIN2DEC(AA322),"_quad",BIN2DEC(AA322)+2,"_sar",ABS( BIN2DEC(V322)*3-BIN2DEC(Z322)),"_slc",BIN2DEC(X322&amp;Y322)+BIN2DEC(W322)*3)</f>
        <v>vofc_dom2_quad0_quad2_sar0_slc4</v>
      </c>
      <c r="AD322" s="57"/>
      <c r="AE322" s="57"/>
      <c r="AF322" s="57"/>
      <c r="AG322" s="57"/>
      <c r="AH322" s="57"/>
    </row>
    <row r="323" spans="1:34" ht="15" customHeight="1">
      <c r="A323" s="134"/>
      <c r="B323" s="136"/>
      <c r="C323" s="43" t="str">
        <f>CONCATENATE("sar",AD323+AE323*4+AF323*16,"_slc",AG323)</f>
        <v>sar12_slc4</v>
      </c>
      <c r="D323" s="44">
        <v>8</v>
      </c>
      <c r="E323" s="29" t="str">
        <f>IF(D323&gt;1,(31)&amp;":"&amp;(31-D323+1),(31-D323+1)&amp;":"&amp;(31-D323+1))</f>
        <v>31:24</v>
      </c>
      <c r="F323" s="30" t="s">
        <v>133</v>
      </c>
      <c r="G323" s="30" t="s">
        <v>133</v>
      </c>
      <c r="H323" s="45" t="s">
        <v>143</v>
      </c>
      <c r="I323" s="31" t="s">
        <v>68</v>
      </c>
      <c r="J323" s="32" t="s">
        <v>36</v>
      </c>
      <c r="K323" s="33" t="s">
        <v>6</v>
      </c>
      <c r="L323" s="46"/>
      <c r="M323" s="120"/>
      <c r="N323" s="120"/>
      <c r="O323" s="120"/>
      <c r="P323" s="122"/>
      <c r="Q323" s="122"/>
      <c r="R323" s="124"/>
      <c r="S323" s="124"/>
      <c r="T323" s="158"/>
      <c r="U323" s="156"/>
      <c r="V323" s="146"/>
      <c r="W323" s="149"/>
      <c r="X323" s="156"/>
      <c r="Y323" s="146"/>
      <c r="Z323" s="149"/>
      <c r="AA323" s="149"/>
      <c r="AB323" s="149"/>
      <c r="AC323" s="152"/>
      <c r="AD323" s="57">
        <f>BIN2DEC($AA322)*3</f>
        <v>0</v>
      </c>
      <c r="AE323" s="57">
        <f>ABS(BIN2DEC($U322)*3)</f>
        <v>3</v>
      </c>
      <c r="AF323" s="57">
        <f>ABS( BIN2DEC(V322)*3-BIN2DEC(Z322))</f>
        <v>0</v>
      </c>
      <c r="AG323" s="57">
        <f>BIN2DEC(X322&amp;Y322)+BIN2DEC(W322)*3</f>
        <v>4</v>
      </c>
      <c r="AH323" s="57">
        <f>AD323+AE323*4+AF323*16</f>
        <v>12</v>
      </c>
    </row>
    <row r="324" spans="1:34" ht="15" customHeight="1">
      <c r="A324" s="134"/>
      <c r="B324" s="136"/>
      <c r="C324" s="43" t="str">
        <f t="shared" ref="C324:C326" si="486">CONCATENATE("sar",AD324+AE324*4+AF324*16,"_slc",AG324)</f>
        <v>sar8_slc4</v>
      </c>
      <c r="D324" s="44">
        <v>8</v>
      </c>
      <c r="E324" s="30" t="str">
        <f t="shared" ref="E324:E326" si="487">(MID(str_cnvt(E323),SEARCH(":",str_cnvt(E323))+1,2)-1) &amp; ":" &amp; (MID(str_cnvt(E323),SEARCH(":",str_cnvt(E323))+1,2)-D324)</f>
        <v>23:16</v>
      </c>
      <c r="F324" s="30" t="s">
        <v>133</v>
      </c>
      <c r="G324" s="30" t="s">
        <v>133</v>
      </c>
      <c r="H324" s="45" t="s">
        <v>143</v>
      </c>
      <c r="I324" s="31" t="s">
        <v>68</v>
      </c>
      <c r="J324" s="32" t="s">
        <v>36</v>
      </c>
      <c r="K324" s="33" t="s">
        <v>6</v>
      </c>
      <c r="L324" s="46"/>
      <c r="M324" s="120"/>
      <c r="N324" s="120"/>
      <c r="O324" s="120"/>
      <c r="P324" s="122"/>
      <c r="Q324" s="122"/>
      <c r="R324" s="124"/>
      <c r="S324" s="124"/>
      <c r="T324" s="158"/>
      <c r="U324" s="156"/>
      <c r="V324" s="146"/>
      <c r="W324" s="149"/>
      <c r="X324" s="156"/>
      <c r="Y324" s="146"/>
      <c r="Z324" s="149"/>
      <c r="AA324" s="149"/>
      <c r="AB324" s="149"/>
      <c r="AC324" s="152"/>
      <c r="AD324" s="57">
        <f>BIN2DEC($AA322)*3</f>
        <v>0</v>
      </c>
      <c r="AE324" s="57">
        <f>ABS(BIN2DEC($U322)*3-1)</f>
        <v>2</v>
      </c>
      <c r="AF324" s="57">
        <f>ABS( BIN2DEC(V322)*3-BIN2DEC(Z322))</f>
        <v>0</v>
      </c>
      <c r="AG324" s="57">
        <f>BIN2DEC(X322&amp;Y322)+BIN2DEC(W322)*3</f>
        <v>4</v>
      </c>
      <c r="AH324" s="57">
        <f t="shared" ref="AH324:AH326" si="488">AD324+AE324*4+AF324*16</f>
        <v>8</v>
      </c>
    </row>
    <row r="325" spans="1:34" ht="15" customHeight="1">
      <c r="A325" s="134"/>
      <c r="B325" s="136"/>
      <c r="C325" s="43" t="str">
        <f t="shared" si="486"/>
        <v>sar14_slc4</v>
      </c>
      <c r="D325" s="44">
        <v>8</v>
      </c>
      <c r="E325" s="30" t="str">
        <f t="shared" si="487"/>
        <v>15:8</v>
      </c>
      <c r="F325" s="30" t="s">
        <v>133</v>
      </c>
      <c r="G325" s="30" t="s">
        <v>133</v>
      </c>
      <c r="H325" s="45" t="s">
        <v>143</v>
      </c>
      <c r="I325" s="31" t="s">
        <v>68</v>
      </c>
      <c r="J325" s="32" t="s">
        <v>36</v>
      </c>
      <c r="K325" s="33" t="s">
        <v>6</v>
      </c>
      <c r="L325" s="46"/>
      <c r="M325" s="120"/>
      <c r="N325" s="120"/>
      <c r="O325" s="120"/>
      <c r="P325" s="122"/>
      <c r="Q325" s="122"/>
      <c r="R325" s="124"/>
      <c r="S325" s="124"/>
      <c r="T325" s="158"/>
      <c r="U325" s="156"/>
      <c r="V325" s="146"/>
      <c r="W325" s="149"/>
      <c r="X325" s="156"/>
      <c r="Y325" s="146"/>
      <c r="Z325" s="149"/>
      <c r="AA325" s="149"/>
      <c r="AB325" s="149"/>
      <c r="AC325" s="152"/>
      <c r="AD325" s="57">
        <f>ABS(BIN2DEC($AA322)*3-2)</f>
        <v>2</v>
      </c>
      <c r="AE325" s="57">
        <f>ABS(BIN2DEC($U322)*3)</f>
        <v>3</v>
      </c>
      <c r="AF325" s="57">
        <f>ABS( BIN2DEC(V322)*3-BIN2DEC(Z322))</f>
        <v>0</v>
      </c>
      <c r="AG325" s="57">
        <f>BIN2DEC(X322&amp;Y322)+BIN2DEC(W322)*3</f>
        <v>4</v>
      </c>
      <c r="AH325" s="57">
        <f t="shared" si="488"/>
        <v>14</v>
      </c>
    </row>
    <row r="326" spans="1:34" ht="15.75" customHeight="1" thickBot="1">
      <c r="A326" s="134"/>
      <c r="B326" s="136"/>
      <c r="C326" s="43" t="str">
        <f t="shared" si="486"/>
        <v>sar10_slc4</v>
      </c>
      <c r="D326" s="44">
        <v>8</v>
      </c>
      <c r="E326" s="30" t="str">
        <f t="shared" si="487"/>
        <v>7:0</v>
      </c>
      <c r="F326" s="30" t="s">
        <v>133</v>
      </c>
      <c r="G326" s="30" t="s">
        <v>133</v>
      </c>
      <c r="H326" s="45" t="s">
        <v>143</v>
      </c>
      <c r="I326" s="31" t="s">
        <v>68</v>
      </c>
      <c r="J326" s="32" t="s">
        <v>36</v>
      </c>
      <c r="K326" s="33" t="s">
        <v>6</v>
      </c>
      <c r="L326" s="46"/>
      <c r="M326" s="120"/>
      <c r="N326" s="120"/>
      <c r="O326" s="120"/>
      <c r="P326" s="122"/>
      <c r="Q326" s="122"/>
      <c r="R326" s="124"/>
      <c r="S326" s="124"/>
      <c r="T326" s="158"/>
      <c r="U326" s="157"/>
      <c r="V326" s="147"/>
      <c r="W326" s="150"/>
      <c r="X326" s="157"/>
      <c r="Y326" s="147"/>
      <c r="Z326" s="150"/>
      <c r="AA326" s="150"/>
      <c r="AB326" s="150"/>
      <c r="AC326" s="153"/>
      <c r="AD326" s="57">
        <f>ABS(BIN2DEC($AA322)*3-2)</f>
        <v>2</v>
      </c>
      <c r="AE326" s="57">
        <f>ABS(BIN2DEC($U322)*3-1)</f>
        <v>2</v>
      </c>
      <c r="AF326" s="57">
        <f>ABS( BIN2DEC(V322)*3-BIN2DEC(Z322))</f>
        <v>0</v>
      </c>
      <c r="AG326" s="57">
        <f>BIN2DEC(X322&amp;Y322)+BIN2DEC(W322)*3</f>
        <v>4</v>
      </c>
      <c r="AH326" s="57">
        <f t="shared" si="488"/>
        <v>10</v>
      </c>
    </row>
    <row r="327" spans="1:34" ht="15.75" customHeight="1">
      <c r="A327" s="133" t="str">
        <f>AC327</f>
        <v>vofc_dom2_quad1_quad3_sar0_slc4</v>
      </c>
      <c r="B327" s="135" t="str">
        <f>DEC2HEX(P327*4)</f>
        <v>0</v>
      </c>
      <c r="C327" s="56" t="s">
        <v>134</v>
      </c>
      <c r="D327" s="129" t="str">
        <f>bitConcat(F328:F331)</f>
        <v>32'b00000000000000000000000000000000</v>
      </c>
      <c r="E327" s="130"/>
      <c r="F327" s="130"/>
      <c r="G327" s="130"/>
      <c r="H327" s="131" t="s">
        <v>135</v>
      </c>
      <c r="I327" s="131"/>
      <c r="J327" s="131" t="str">
        <f>bitConcat(G328:G331)</f>
        <v>32'b00000000000000000000000000000000</v>
      </c>
      <c r="K327" s="131"/>
      <c r="L327" s="132"/>
      <c r="M327" s="119" t="str">
        <f>DEC2HEX(_xlfn.BITLSHIFT(HEX2DEC(Q327),2))</f>
        <v>154</v>
      </c>
      <c r="N327" s="119"/>
      <c r="O327" s="119">
        <v>2</v>
      </c>
      <c r="P327" s="121">
        <v>0</v>
      </c>
      <c r="Q327" s="121" t="str">
        <f>AB327</f>
        <v>55</v>
      </c>
      <c r="R327" s="123" t="str">
        <f t="shared" ref="R327" si="489">BIN2HEX(LEFT(RIGHT(D327,32),4))&amp;BIN2HEX(LEFT(RIGHT(D327,28),4))&amp;BIN2HEX(LEFT(RIGHT(D327,24),4))&amp;BIN2HEX(LEFT(RIGHT(D327,20),4))&amp;BIN2HEX(LEFT(RIGHT(D327,16),4))&amp;BIN2HEX(LEFT(RIGHT(D327,12),4))&amp;BIN2HEX(LEFT(RIGHT(D327,8),4))&amp;BIN2HEX(LEFT(RIGHT(D327,4),4))</f>
        <v>00000000</v>
      </c>
      <c r="S327" s="123" t="str">
        <f t="shared" ref="S327" si="490">BIN2HEX(LEFT(RIGHT(J327,32),4))&amp;BIN2HEX(LEFT(RIGHT(J327,28),4))&amp;BIN2HEX(LEFT(RIGHT(J327,24),4))&amp;BIN2HEX(LEFT(RIGHT(J327,20),4))&amp;BIN2HEX(LEFT(RIGHT(J327,16),4))&amp;BIN2HEX(LEFT(RIGHT(J327,12),4))&amp;BIN2HEX(LEFT(RIGHT(J327,8),4))&amp;BIN2HEX(LEFT(RIGHT(J327,4),4))</f>
        <v>00000000</v>
      </c>
      <c r="T327" s="158">
        <v>17</v>
      </c>
      <c r="U327" s="155" t="str">
        <f t="shared" ref="U327" si="491">LEFT(DEC2BIN(O327,2))</f>
        <v>1</v>
      </c>
      <c r="V327" s="145" t="str">
        <f t="shared" ref="V327" si="492">RIGHT(DEC2BIN(O327,2),1)</f>
        <v>0</v>
      </c>
      <c r="W327" s="148">
        <v>1</v>
      </c>
      <c r="X327" s="155">
        <v>0</v>
      </c>
      <c r="Y327" s="145">
        <v>1</v>
      </c>
      <c r="Z327" s="148">
        <v>0</v>
      </c>
      <c r="AA327" s="148">
        <v>1</v>
      </c>
      <c r="AB327" s="148" t="str">
        <f t="shared" ref="AB327" si="493">BIN2HEX(U327&amp;V327&amp;W327&amp;X327&amp;Y327&amp;Z327&amp;AA327)</f>
        <v>55</v>
      </c>
      <c r="AC327" s="151" t="str">
        <f>CONCATENATE("vofc_dom",BIN2DEC(U327&amp;V327),"_quad",BIN2DEC(AA327),"_quad",BIN2DEC(AA327)+2,"_sar",ABS( BIN2DEC(V327)*3-BIN2DEC(Z327)),"_slc",BIN2DEC(X327&amp;Y327)+BIN2DEC(W327)*3)</f>
        <v>vofc_dom2_quad1_quad3_sar0_slc4</v>
      </c>
      <c r="AD327" s="57"/>
      <c r="AE327" s="57"/>
      <c r="AF327" s="57"/>
      <c r="AG327" s="57"/>
      <c r="AH327" s="57"/>
    </row>
    <row r="328" spans="1:34" ht="15" customHeight="1">
      <c r="A328" s="134"/>
      <c r="B328" s="136"/>
      <c r="C328" s="43" t="str">
        <f>CONCATENATE("sar",AD328+AE328*4+AF328*16,"_slc",AG328)</f>
        <v>sar15_slc4</v>
      </c>
      <c r="D328" s="44">
        <v>8</v>
      </c>
      <c r="E328" s="29" t="str">
        <f>IF(D328&gt;1,(31)&amp;":"&amp;(31-D328+1),(31-D328+1)&amp;":"&amp;(31-D328+1))</f>
        <v>31:24</v>
      </c>
      <c r="F328" s="30" t="s">
        <v>133</v>
      </c>
      <c r="G328" s="30" t="s">
        <v>133</v>
      </c>
      <c r="H328" s="45" t="s">
        <v>143</v>
      </c>
      <c r="I328" s="31" t="s">
        <v>68</v>
      </c>
      <c r="J328" s="32" t="s">
        <v>36</v>
      </c>
      <c r="K328" s="33" t="s">
        <v>6</v>
      </c>
      <c r="L328" s="46"/>
      <c r="M328" s="120"/>
      <c r="N328" s="120"/>
      <c r="O328" s="120"/>
      <c r="P328" s="122"/>
      <c r="Q328" s="122"/>
      <c r="R328" s="124"/>
      <c r="S328" s="124"/>
      <c r="T328" s="158"/>
      <c r="U328" s="156"/>
      <c r="V328" s="146"/>
      <c r="W328" s="149"/>
      <c r="X328" s="156"/>
      <c r="Y328" s="146"/>
      <c r="Z328" s="149"/>
      <c r="AA328" s="149"/>
      <c r="AB328" s="149"/>
      <c r="AC328" s="152"/>
      <c r="AD328" s="57">
        <f>BIN2DEC($AA327)*3</f>
        <v>3</v>
      </c>
      <c r="AE328" s="57">
        <f>ABS(BIN2DEC($U327)*3)</f>
        <v>3</v>
      </c>
      <c r="AF328" s="57">
        <f>ABS( BIN2DEC(V327)*3-BIN2DEC(Z327))</f>
        <v>0</v>
      </c>
      <c r="AG328" s="57">
        <f>BIN2DEC(X327&amp;Y327)+BIN2DEC(W327)*3</f>
        <v>4</v>
      </c>
      <c r="AH328" s="57">
        <f>AD328+AE328*4+AF328*16</f>
        <v>15</v>
      </c>
    </row>
    <row r="329" spans="1:34" ht="15" customHeight="1">
      <c r="A329" s="134"/>
      <c r="B329" s="136"/>
      <c r="C329" s="43" t="str">
        <f t="shared" ref="C329:C331" si="494">CONCATENATE("sar",AD329+AE329*4+AF329*16,"_slc",AG329)</f>
        <v>sar11_slc4</v>
      </c>
      <c r="D329" s="44">
        <v>8</v>
      </c>
      <c r="E329" s="30" t="str">
        <f t="shared" ref="E329:E331" si="495">(MID(str_cnvt(E328),SEARCH(":",str_cnvt(E328))+1,2)-1) &amp; ":" &amp; (MID(str_cnvt(E328),SEARCH(":",str_cnvt(E328))+1,2)-D329)</f>
        <v>23:16</v>
      </c>
      <c r="F329" s="30" t="s">
        <v>133</v>
      </c>
      <c r="G329" s="30" t="s">
        <v>133</v>
      </c>
      <c r="H329" s="45" t="s">
        <v>143</v>
      </c>
      <c r="I329" s="31" t="s">
        <v>68</v>
      </c>
      <c r="J329" s="32" t="s">
        <v>36</v>
      </c>
      <c r="K329" s="33" t="s">
        <v>6</v>
      </c>
      <c r="L329" s="46"/>
      <c r="M329" s="120"/>
      <c r="N329" s="120"/>
      <c r="O329" s="120"/>
      <c r="P329" s="122"/>
      <c r="Q329" s="122"/>
      <c r="R329" s="124"/>
      <c r="S329" s="124"/>
      <c r="T329" s="158"/>
      <c r="U329" s="156"/>
      <c r="V329" s="146"/>
      <c r="W329" s="149"/>
      <c r="X329" s="156"/>
      <c r="Y329" s="146"/>
      <c r="Z329" s="149"/>
      <c r="AA329" s="149"/>
      <c r="AB329" s="149"/>
      <c r="AC329" s="152"/>
      <c r="AD329" s="57">
        <f>BIN2DEC($AA327)*3</f>
        <v>3</v>
      </c>
      <c r="AE329" s="57">
        <f>ABS(BIN2DEC($U327)*3-1)</f>
        <v>2</v>
      </c>
      <c r="AF329" s="57">
        <f>ABS( BIN2DEC(V327)*3-BIN2DEC(Z327))</f>
        <v>0</v>
      </c>
      <c r="AG329" s="57">
        <f>BIN2DEC(X327&amp;Y327)+BIN2DEC(W327)*3</f>
        <v>4</v>
      </c>
      <c r="AH329" s="57">
        <f t="shared" ref="AH329:AH331" si="496">AD329+AE329*4+AF329*16</f>
        <v>11</v>
      </c>
    </row>
    <row r="330" spans="1:34" ht="15" customHeight="1">
      <c r="A330" s="134"/>
      <c r="B330" s="136"/>
      <c r="C330" s="43" t="str">
        <f t="shared" si="494"/>
        <v>sar13_slc4</v>
      </c>
      <c r="D330" s="44">
        <v>8</v>
      </c>
      <c r="E330" s="30" t="str">
        <f t="shared" si="495"/>
        <v>15:8</v>
      </c>
      <c r="F330" s="30" t="s">
        <v>133</v>
      </c>
      <c r="G330" s="30" t="s">
        <v>133</v>
      </c>
      <c r="H330" s="45" t="s">
        <v>143</v>
      </c>
      <c r="I330" s="31" t="s">
        <v>68</v>
      </c>
      <c r="J330" s="32" t="s">
        <v>36</v>
      </c>
      <c r="K330" s="33" t="s">
        <v>6</v>
      </c>
      <c r="L330" s="46"/>
      <c r="M330" s="120"/>
      <c r="N330" s="120"/>
      <c r="O330" s="120"/>
      <c r="P330" s="122"/>
      <c r="Q330" s="122"/>
      <c r="R330" s="124"/>
      <c r="S330" s="124"/>
      <c r="T330" s="158"/>
      <c r="U330" s="156"/>
      <c r="V330" s="146"/>
      <c r="W330" s="149"/>
      <c r="X330" s="156"/>
      <c r="Y330" s="146"/>
      <c r="Z330" s="149"/>
      <c r="AA330" s="149"/>
      <c r="AB330" s="149"/>
      <c r="AC330" s="152"/>
      <c r="AD330" s="57">
        <f>ABS(BIN2DEC($AA327)*3-2)</f>
        <v>1</v>
      </c>
      <c r="AE330" s="57">
        <f>ABS(BIN2DEC($U327)*3)</f>
        <v>3</v>
      </c>
      <c r="AF330" s="57">
        <f>ABS( BIN2DEC(V327)*3-BIN2DEC(Z327))</f>
        <v>0</v>
      </c>
      <c r="AG330" s="57">
        <f>BIN2DEC(X327&amp;Y327)+BIN2DEC(W327)*3</f>
        <v>4</v>
      </c>
      <c r="AH330" s="57">
        <f t="shared" si="496"/>
        <v>13</v>
      </c>
    </row>
    <row r="331" spans="1:34" ht="15.75" customHeight="1" thickBot="1">
      <c r="A331" s="134"/>
      <c r="B331" s="136"/>
      <c r="C331" s="43" t="str">
        <f t="shared" si="494"/>
        <v>sar9_slc4</v>
      </c>
      <c r="D331" s="44">
        <v>8</v>
      </c>
      <c r="E331" s="30" t="str">
        <f t="shared" si="495"/>
        <v>7:0</v>
      </c>
      <c r="F331" s="30" t="s">
        <v>133</v>
      </c>
      <c r="G331" s="30" t="s">
        <v>133</v>
      </c>
      <c r="H331" s="45" t="s">
        <v>143</v>
      </c>
      <c r="I331" s="31" t="s">
        <v>68</v>
      </c>
      <c r="J331" s="32" t="s">
        <v>36</v>
      </c>
      <c r="K331" s="33" t="s">
        <v>6</v>
      </c>
      <c r="L331" s="46"/>
      <c r="M331" s="120"/>
      <c r="N331" s="120"/>
      <c r="O331" s="120"/>
      <c r="P331" s="122"/>
      <c r="Q331" s="122"/>
      <c r="R331" s="124"/>
      <c r="S331" s="124"/>
      <c r="T331" s="158"/>
      <c r="U331" s="157"/>
      <c r="V331" s="147"/>
      <c r="W331" s="150"/>
      <c r="X331" s="157"/>
      <c r="Y331" s="147"/>
      <c r="Z331" s="150"/>
      <c r="AA331" s="150"/>
      <c r="AB331" s="150"/>
      <c r="AC331" s="153"/>
      <c r="AD331" s="57">
        <f>ABS(BIN2DEC($AA327)*3-2)</f>
        <v>1</v>
      </c>
      <c r="AE331" s="57">
        <f>ABS(BIN2DEC($U327)*3-1)</f>
        <v>2</v>
      </c>
      <c r="AF331" s="57">
        <f>ABS( BIN2DEC(V327)*3-BIN2DEC(Z327))</f>
        <v>0</v>
      </c>
      <c r="AG331" s="57">
        <f>BIN2DEC(X327&amp;Y327)+BIN2DEC(W327)*3</f>
        <v>4</v>
      </c>
      <c r="AH331" s="57">
        <f t="shared" si="496"/>
        <v>9</v>
      </c>
    </row>
    <row r="332" spans="1:34" ht="15.75" customHeight="1">
      <c r="A332" s="133" t="str">
        <f>AC332</f>
        <v>vofc_dom2_quad0_quad2_sar1_slc4</v>
      </c>
      <c r="B332" s="135" t="str">
        <f>DEC2HEX(P332*4)</f>
        <v>0</v>
      </c>
      <c r="C332" s="56" t="s">
        <v>134</v>
      </c>
      <c r="D332" s="129" t="str">
        <f>bitConcat(F333:F336)</f>
        <v>32'b00000000000000000000000000000000</v>
      </c>
      <c r="E332" s="130"/>
      <c r="F332" s="130"/>
      <c r="G332" s="130"/>
      <c r="H332" s="131" t="s">
        <v>135</v>
      </c>
      <c r="I332" s="131"/>
      <c r="J332" s="131" t="str">
        <f>bitConcat(G333:G336)</f>
        <v>32'b00000000000000000000000000000000</v>
      </c>
      <c r="K332" s="131"/>
      <c r="L332" s="132"/>
      <c r="M332" s="119" t="str">
        <f>DEC2HEX(_xlfn.BITLSHIFT(HEX2DEC(Q332),2))</f>
        <v>158</v>
      </c>
      <c r="N332" s="119"/>
      <c r="O332" s="119">
        <v>2</v>
      </c>
      <c r="P332" s="121">
        <v>0</v>
      </c>
      <c r="Q332" s="121" t="str">
        <f>AB332</f>
        <v>56</v>
      </c>
      <c r="R332" s="123" t="str">
        <f t="shared" ref="R332" si="497">BIN2HEX(LEFT(RIGHT(D332,32),4))&amp;BIN2HEX(LEFT(RIGHT(D332,28),4))&amp;BIN2HEX(LEFT(RIGHT(D332,24),4))&amp;BIN2HEX(LEFT(RIGHT(D332,20),4))&amp;BIN2HEX(LEFT(RIGHT(D332,16),4))&amp;BIN2HEX(LEFT(RIGHT(D332,12),4))&amp;BIN2HEX(LEFT(RIGHT(D332,8),4))&amp;BIN2HEX(LEFT(RIGHT(D332,4),4))</f>
        <v>00000000</v>
      </c>
      <c r="S332" s="123" t="str">
        <f t="shared" ref="S332" si="498">BIN2HEX(LEFT(RIGHT(J332,32),4))&amp;BIN2HEX(LEFT(RIGHT(J332,28),4))&amp;BIN2HEX(LEFT(RIGHT(J332,24),4))&amp;BIN2HEX(LEFT(RIGHT(J332,20),4))&amp;BIN2HEX(LEFT(RIGHT(J332,16),4))&amp;BIN2HEX(LEFT(RIGHT(J332,12),4))&amp;BIN2HEX(LEFT(RIGHT(J332,8),4))&amp;BIN2HEX(LEFT(RIGHT(J332,4),4))</f>
        <v>00000000</v>
      </c>
      <c r="T332" s="158">
        <v>18</v>
      </c>
      <c r="U332" s="155" t="str">
        <f t="shared" ref="U332" si="499">LEFT(DEC2BIN(O332,2))</f>
        <v>1</v>
      </c>
      <c r="V332" s="145" t="str">
        <f t="shared" ref="V332" si="500">RIGHT(DEC2BIN(O332,2),1)</f>
        <v>0</v>
      </c>
      <c r="W332" s="148">
        <v>1</v>
      </c>
      <c r="X332" s="155">
        <v>0</v>
      </c>
      <c r="Y332" s="145">
        <v>1</v>
      </c>
      <c r="Z332" s="148">
        <v>1</v>
      </c>
      <c r="AA332" s="148">
        <v>0</v>
      </c>
      <c r="AB332" s="148" t="str">
        <f t="shared" ref="AB332" si="501">BIN2HEX(U332&amp;V332&amp;W332&amp;X332&amp;Y332&amp;Z332&amp;AA332)</f>
        <v>56</v>
      </c>
      <c r="AC332" s="151" t="str">
        <f>CONCATENATE("vofc_dom",BIN2DEC(U332&amp;V332),"_quad",BIN2DEC(AA332),"_quad",BIN2DEC(AA332)+2,"_sar",ABS( BIN2DEC(V332)*3-BIN2DEC(Z332)),"_slc",BIN2DEC(X332&amp;Y332)+BIN2DEC(W332)*3)</f>
        <v>vofc_dom2_quad0_quad2_sar1_slc4</v>
      </c>
      <c r="AD332" s="57"/>
      <c r="AE332" s="57"/>
      <c r="AF332" s="57"/>
      <c r="AG332" s="57"/>
      <c r="AH332" s="57"/>
    </row>
    <row r="333" spans="1:34" ht="15" customHeight="1">
      <c r="A333" s="134"/>
      <c r="B333" s="136"/>
      <c r="C333" s="43" t="str">
        <f>CONCATENATE("sar",AD333+AE333*4+AF333*16,"_slc",AG333)</f>
        <v>sar28_slc4</v>
      </c>
      <c r="D333" s="44">
        <v>8</v>
      </c>
      <c r="E333" s="29" t="str">
        <f>IF(D333&gt;1,(31)&amp;":"&amp;(31-D333+1),(31-D333+1)&amp;":"&amp;(31-D333+1))</f>
        <v>31:24</v>
      </c>
      <c r="F333" s="30" t="s">
        <v>133</v>
      </c>
      <c r="G333" s="30" t="s">
        <v>133</v>
      </c>
      <c r="H333" s="45" t="s">
        <v>143</v>
      </c>
      <c r="I333" s="31" t="s">
        <v>68</v>
      </c>
      <c r="J333" s="32" t="s">
        <v>36</v>
      </c>
      <c r="K333" s="33" t="s">
        <v>6</v>
      </c>
      <c r="L333" s="46"/>
      <c r="M333" s="120"/>
      <c r="N333" s="120"/>
      <c r="O333" s="120"/>
      <c r="P333" s="122"/>
      <c r="Q333" s="122"/>
      <c r="R333" s="124"/>
      <c r="S333" s="124"/>
      <c r="T333" s="158"/>
      <c r="U333" s="156"/>
      <c r="V333" s="146"/>
      <c r="W333" s="149"/>
      <c r="X333" s="156"/>
      <c r="Y333" s="146"/>
      <c r="Z333" s="149"/>
      <c r="AA333" s="149"/>
      <c r="AB333" s="149"/>
      <c r="AC333" s="152"/>
      <c r="AD333" s="57">
        <f>BIN2DEC($AA332)*3</f>
        <v>0</v>
      </c>
      <c r="AE333" s="57">
        <f>ABS(BIN2DEC($U332)*3)</f>
        <v>3</v>
      </c>
      <c r="AF333" s="57">
        <f>ABS( BIN2DEC(V332)*3-BIN2DEC(Z332))</f>
        <v>1</v>
      </c>
      <c r="AG333" s="57">
        <f>BIN2DEC(X332&amp;Y332)+BIN2DEC(W332)*3</f>
        <v>4</v>
      </c>
      <c r="AH333" s="57">
        <f>AD333+AE333*4+AF333*16</f>
        <v>28</v>
      </c>
    </row>
    <row r="334" spans="1:34" ht="15" customHeight="1">
      <c r="A334" s="134"/>
      <c r="B334" s="136"/>
      <c r="C334" s="43" t="str">
        <f t="shared" ref="C334:C336" si="502">CONCATENATE("sar",AD334+AE334*4+AF334*16,"_slc",AG334)</f>
        <v>sar24_slc4</v>
      </c>
      <c r="D334" s="44">
        <v>8</v>
      </c>
      <c r="E334" s="30" t="str">
        <f t="shared" ref="E334:E336" si="503">(MID(str_cnvt(E333),SEARCH(":",str_cnvt(E333))+1,2)-1) &amp; ":" &amp; (MID(str_cnvt(E333),SEARCH(":",str_cnvt(E333))+1,2)-D334)</f>
        <v>23:16</v>
      </c>
      <c r="F334" s="30" t="s">
        <v>133</v>
      </c>
      <c r="G334" s="30" t="s">
        <v>133</v>
      </c>
      <c r="H334" s="45" t="s">
        <v>143</v>
      </c>
      <c r="I334" s="31" t="s">
        <v>68</v>
      </c>
      <c r="J334" s="32" t="s">
        <v>36</v>
      </c>
      <c r="K334" s="33" t="s">
        <v>6</v>
      </c>
      <c r="L334" s="46"/>
      <c r="M334" s="120"/>
      <c r="N334" s="120"/>
      <c r="O334" s="120"/>
      <c r="P334" s="122"/>
      <c r="Q334" s="122"/>
      <c r="R334" s="124"/>
      <c r="S334" s="124"/>
      <c r="T334" s="158"/>
      <c r="U334" s="156"/>
      <c r="V334" s="146"/>
      <c r="W334" s="149"/>
      <c r="X334" s="156"/>
      <c r="Y334" s="146"/>
      <c r="Z334" s="149"/>
      <c r="AA334" s="149"/>
      <c r="AB334" s="149"/>
      <c r="AC334" s="152"/>
      <c r="AD334" s="57">
        <f>BIN2DEC($AA332)*3</f>
        <v>0</v>
      </c>
      <c r="AE334" s="57">
        <f>ABS(BIN2DEC($U332)*3-1)</f>
        <v>2</v>
      </c>
      <c r="AF334" s="57">
        <f>ABS( BIN2DEC(V332)*3-BIN2DEC(Z332))</f>
        <v>1</v>
      </c>
      <c r="AG334" s="57">
        <f>BIN2DEC(X332&amp;Y332)+BIN2DEC(W332)*3</f>
        <v>4</v>
      </c>
      <c r="AH334" s="57">
        <f t="shared" ref="AH334:AH336" si="504">AD334+AE334*4+AF334*16</f>
        <v>24</v>
      </c>
    </row>
    <row r="335" spans="1:34" ht="15" customHeight="1">
      <c r="A335" s="134"/>
      <c r="B335" s="136"/>
      <c r="C335" s="43" t="str">
        <f t="shared" si="502"/>
        <v>sar30_slc4</v>
      </c>
      <c r="D335" s="44">
        <v>8</v>
      </c>
      <c r="E335" s="30" t="str">
        <f t="shared" si="503"/>
        <v>15:8</v>
      </c>
      <c r="F335" s="30" t="s">
        <v>133</v>
      </c>
      <c r="G335" s="30" t="s">
        <v>133</v>
      </c>
      <c r="H335" s="45" t="s">
        <v>143</v>
      </c>
      <c r="I335" s="31" t="s">
        <v>68</v>
      </c>
      <c r="J335" s="32" t="s">
        <v>36</v>
      </c>
      <c r="K335" s="33" t="s">
        <v>6</v>
      </c>
      <c r="L335" s="46"/>
      <c r="M335" s="120"/>
      <c r="N335" s="120"/>
      <c r="O335" s="120"/>
      <c r="P335" s="122"/>
      <c r="Q335" s="122"/>
      <c r="R335" s="124"/>
      <c r="S335" s="124"/>
      <c r="T335" s="158"/>
      <c r="U335" s="156"/>
      <c r="V335" s="146"/>
      <c r="W335" s="149"/>
      <c r="X335" s="156"/>
      <c r="Y335" s="146"/>
      <c r="Z335" s="149"/>
      <c r="AA335" s="149"/>
      <c r="AB335" s="149"/>
      <c r="AC335" s="152"/>
      <c r="AD335" s="57">
        <f>ABS(BIN2DEC($AA332)*3-2)</f>
        <v>2</v>
      </c>
      <c r="AE335" s="57">
        <f>ABS(BIN2DEC($U332)*3)</f>
        <v>3</v>
      </c>
      <c r="AF335" s="57">
        <f>ABS( BIN2DEC(V332)*3-BIN2DEC(Z332))</f>
        <v>1</v>
      </c>
      <c r="AG335" s="57">
        <f>BIN2DEC(X332&amp;Y332)+BIN2DEC(W332)*3</f>
        <v>4</v>
      </c>
      <c r="AH335" s="57">
        <f t="shared" si="504"/>
        <v>30</v>
      </c>
    </row>
    <row r="336" spans="1:34" ht="15.75" customHeight="1" thickBot="1">
      <c r="A336" s="134"/>
      <c r="B336" s="136"/>
      <c r="C336" s="43" t="str">
        <f t="shared" si="502"/>
        <v>sar26_slc4</v>
      </c>
      <c r="D336" s="44">
        <v>8</v>
      </c>
      <c r="E336" s="30" t="str">
        <f t="shared" si="503"/>
        <v>7:0</v>
      </c>
      <c r="F336" s="30" t="s">
        <v>133</v>
      </c>
      <c r="G336" s="30" t="s">
        <v>133</v>
      </c>
      <c r="H336" s="45" t="s">
        <v>143</v>
      </c>
      <c r="I336" s="31" t="s">
        <v>68</v>
      </c>
      <c r="J336" s="32" t="s">
        <v>36</v>
      </c>
      <c r="K336" s="33" t="s">
        <v>6</v>
      </c>
      <c r="L336" s="46"/>
      <c r="M336" s="120"/>
      <c r="N336" s="120"/>
      <c r="O336" s="120"/>
      <c r="P336" s="122"/>
      <c r="Q336" s="122"/>
      <c r="R336" s="124"/>
      <c r="S336" s="124"/>
      <c r="T336" s="158"/>
      <c r="U336" s="157"/>
      <c r="V336" s="147"/>
      <c r="W336" s="150"/>
      <c r="X336" s="157"/>
      <c r="Y336" s="147"/>
      <c r="Z336" s="150"/>
      <c r="AA336" s="150"/>
      <c r="AB336" s="150"/>
      <c r="AC336" s="153"/>
      <c r="AD336" s="57">
        <f>ABS(BIN2DEC($AA332)*3-2)</f>
        <v>2</v>
      </c>
      <c r="AE336" s="57">
        <f>ABS(BIN2DEC($U332)*3-1)</f>
        <v>2</v>
      </c>
      <c r="AF336" s="57">
        <f>ABS( BIN2DEC(V332)*3-BIN2DEC(Z332))</f>
        <v>1</v>
      </c>
      <c r="AG336" s="57">
        <f>BIN2DEC(X332&amp;Y332)+BIN2DEC(W332)*3</f>
        <v>4</v>
      </c>
      <c r="AH336" s="57">
        <f t="shared" si="504"/>
        <v>26</v>
      </c>
    </row>
    <row r="337" spans="1:34" ht="15.75" customHeight="1">
      <c r="A337" s="133" t="str">
        <f>AC337</f>
        <v>vofc_dom2_quad1_quad3_sar1_slc4</v>
      </c>
      <c r="B337" s="135" t="str">
        <f>DEC2HEX(P337*4)</f>
        <v>0</v>
      </c>
      <c r="C337" s="56" t="s">
        <v>134</v>
      </c>
      <c r="D337" s="129" t="str">
        <f>bitConcat(F338:F341)</f>
        <v>32'b00000000000000000000000000000000</v>
      </c>
      <c r="E337" s="130"/>
      <c r="F337" s="130"/>
      <c r="G337" s="130"/>
      <c r="H337" s="131" t="s">
        <v>135</v>
      </c>
      <c r="I337" s="131"/>
      <c r="J337" s="131" t="str">
        <f>bitConcat(G338:G341)</f>
        <v>32'b00000000000000000000000000000000</v>
      </c>
      <c r="K337" s="131"/>
      <c r="L337" s="132"/>
      <c r="M337" s="119" t="str">
        <f>DEC2HEX(_xlfn.BITLSHIFT(HEX2DEC(Q337),2))</f>
        <v>15C</v>
      </c>
      <c r="N337" s="119"/>
      <c r="O337" s="119">
        <v>2</v>
      </c>
      <c r="P337" s="121">
        <v>0</v>
      </c>
      <c r="Q337" s="121" t="str">
        <f>AB337</f>
        <v>57</v>
      </c>
      <c r="R337" s="123" t="str">
        <f t="shared" ref="R337" si="505">BIN2HEX(LEFT(RIGHT(D337,32),4))&amp;BIN2HEX(LEFT(RIGHT(D337,28),4))&amp;BIN2HEX(LEFT(RIGHT(D337,24),4))&amp;BIN2HEX(LEFT(RIGHT(D337,20),4))&amp;BIN2HEX(LEFT(RIGHT(D337,16),4))&amp;BIN2HEX(LEFT(RIGHT(D337,12),4))&amp;BIN2HEX(LEFT(RIGHT(D337,8),4))&amp;BIN2HEX(LEFT(RIGHT(D337,4),4))</f>
        <v>00000000</v>
      </c>
      <c r="S337" s="123" t="str">
        <f t="shared" ref="S337" si="506">BIN2HEX(LEFT(RIGHT(J337,32),4))&amp;BIN2HEX(LEFT(RIGHT(J337,28),4))&amp;BIN2HEX(LEFT(RIGHT(J337,24),4))&amp;BIN2HEX(LEFT(RIGHT(J337,20),4))&amp;BIN2HEX(LEFT(RIGHT(J337,16),4))&amp;BIN2HEX(LEFT(RIGHT(J337,12),4))&amp;BIN2HEX(LEFT(RIGHT(J337,8),4))&amp;BIN2HEX(LEFT(RIGHT(J337,4),4))</f>
        <v>00000000</v>
      </c>
      <c r="T337" s="158">
        <v>19</v>
      </c>
      <c r="U337" s="155" t="str">
        <f t="shared" ref="U337" si="507">LEFT(DEC2BIN(O337,2))</f>
        <v>1</v>
      </c>
      <c r="V337" s="145" t="str">
        <f t="shared" ref="V337" si="508">RIGHT(DEC2BIN(O337,2),1)</f>
        <v>0</v>
      </c>
      <c r="W337" s="148">
        <v>1</v>
      </c>
      <c r="X337" s="155">
        <v>0</v>
      </c>
      <c r="Y337" s="145">
        <v>1</v>
      </c>
      <c r="Z337" s="148">
        <v>1</v>
      </c>
      <c r="AA337" s="148">
        <v>1</v>
      </c>
      <c r="AB337" s="148" t="str">
        <f t="shared" ref="AB337" si="509">BIN2HEX(U337&amp;V337&amp;W337&amp;X337&amp;Y337&amp;Z337&amp;AA337)</f>
        <v>57</v>
      </c>
      <c r="AC337" s="151" t="str">
        <f>CONCATENATE("vofc_dom",BIN2DEC(U337&amp;V337),"_quad",BIN2DEC(AA337),"_quad",BIN2DEC(AA337)+2,"_sar",ABS( BIN2DEC(V337)*3-BIN2DEC(Z337)),"_slc",BIN2DEC(X337&amp;Y337)+BIN2DEC(W337)*3)</f>
        <v>vofc_dom2_quad1_quad3_sar1_slc4</v>
      </c>
      <c r="AD337" s="57"/>
      <c r="AE337" s="57"/>
      <c r="AF337" s="57"/>
      <c r="AG337" s="57"/>
      <c r="AH337" s="57"/>
    </row>
    <row r="338" spans="1:34" ht="15" customHeight="1">
      <c r="A338" s="134"/>
      <c r="B338" s="136"/>
      <c r="C338" s="43" t="str">
        <f>CONCATENATE("sar",AD338+AE338*4+AF338*16,"_slc",AG338)</f>
        <v>sar31_slc4</v>
      </c>
      <c r="D338" s="44">
        <v>8</v>
      </c>
      <c r="E338" s="29" t="str">
        <f>IF(D338&gt;1,(31)&amp;":"&amp;(31-D338+1),(31-D338+1)&amp;":"&amp;(31-D338+1))</f>
        <v>31:24</v>
      </c>
      <c r="F338" s="30" t="s">
        <v>133</v>
      </c>
      <c r="G338" s="30" t="s">
        <v>133</v>
      </c>
      <c r="H338" s="45" t="s">
        <v>143</v>
      </c>
      <c r="I338" s="31" t="s">
        <v>68</v>
      </c>
      <c r="J338" s="32" t="s">
        <v>36</v>
      </c>
      <c r="K338" s="33" t="s">
        <v>6</v>
      </c>
      <c r="L338" s="46"/>
      <c r="M338" s="120"/>
      <c r="N338" s="120"/>
      <c r="O338" s="120"/>
      <c r="P338" s="122"/>
      <c r="Q338" s="122"/>
      <c r="R338" s="124"/>
      <c r="S338" s="124"/>
      <c r="T338" s="158"/>
      <c r="U338" s="156"/>
      <c r="V338" s="146"/>
      <c r="W338" s="149"/>
      <c r="X338" s="156"/>
      <c r="Y338" s="146"/>
      <c r="Z338" s="149"/>
      <c r="AA338" s="149"/>
      <c r="AB338" s="149"/>
      <c r="AC338" s="152"/>
      <c r="AD338" s="57">
        <f>BIN2DEC($AA337)*3</f>
        <v>3</v>
      </c>
      <c r="AE338" s="57">
        <f>ABS(BIN2DEC($U337)*3)</f>
        <v>3</v>
      </c>
      <c r="AF338" s="57">
        <f>ABS( BIN2DEC(V337)*3-BIN2DEC(Z337))</f>
        <v>1</v>
      </c>
      <c r="AG338" s="57">
        <f>BIN2DEC(X337&amp;Y337)+BIN2DEC(W337)*3</f>
        <v>4</v>
      </c>
      <c r="AH338" s="57">
        <f>AD338+AE338*4+AF338*16</f>
        <v>31</v>
      </c>
    </row>
    <row r="339" spans="1:34" ht="15" customHeight="1">
      <c r="A339" s="134"/>
      <c r="B339" s="136"/>
      <c r="C339" s="43" t="str">
        <f t="shared" ref="C339:C341" si="510">CONCATENATE("sar",AD339+AE339*4+AF339*16,"_slc",AG339)</f>
        <v>sar27_slc4</v>
      </c>
      <c r="D339" s="44">
        <v>8</v>
      </c>
      <c r="E339" s="30" t="str">
        <f t="shared" ref="E339:E341" si="511">(MID(str_cnvt(E338),SEARCH(":",str_cnvt(E338))+1,2)-1) &amp; ":" &amp; (MID(str_cnvt(E338),SEARCH(":",str_cnvt(E338))+1,2)-D339)</f>
        <v>23:16</v>
      </c>
      <c r="F339" s="30" t="s">
        <v>133</v>
      </c>
      <c r="G339" s="30" t="s">
        <v>133</v>
      </c>
      <c r="H339" s="45" t="s">
        <v>143</v>
      </c>
      <c r="I339" s="31" t="s">
        <v>68</v>
      </c>
      <c r="J339" s="32" t="s">
        <v>36</v>
      </c>
      <c r="K339" s="33" t="s">
        <v>6</v>
      </c>
      <c r="L339" s="46"/>
      <c r="M339" s="120"/>
      <c r="N339" s="120"/>
      <c r="O339" s="120"/>
      <c r="P339" s="122"/>
      <c r="Q339" s="122"/>
      <c r="R339" s="124"/>
      <c r="S339" s="124"/>
      <c r="T339" s="158"/>
      <c r="U339" s="156"/>
      <c r="V339" s="146"/>
      <c r="W339" s="149"/>
      <c r="X339" s="156"/>
      <c r="Y339" s="146"/>
      <c r="Z339" s="149"/>
      <c r="AA339" s="149"/>
      <c r="AB339" s="149"/>
      <c r="AC339" s="152"/>
      <c r="AD339" s="57">
        <f>BIN2DEC($AA337)*3</f>
        <v>3</v>
      </c>
      <c r="AE339" s="57">
        <f>ABS(BIN2DEC($U337)*3-1)</f>
        <v>2</v>
      </c>
      <c r="AF339" s="57">
        <f>ABS( BIN2DEC(V337)*3-BIN2DEC(Z337))</f>
        <v>1</v>
      </c>
      <c r="AG339" s="57">
        <f>BIN2DEC(X337&amp;Y337)+BIN2DEC(W337)*3</f>
        <v>4</v>
      </c>
      <c r="AH339" s="57">
        <f t="shared" ref="AH339:AH341" si="512">AD339+AE339*4+AF339*16</f>
        <v>27</v>
      </c>
    </row>
    <row r="340" spans="1:34" ht="15" customHeight="1">
      <c r="A340" s="134"/>
      <c r="B340" s="136"/>
      <c r="C340" s="43" t="str">
        <f t="shared" si="510"/>
        <v>sar29_slc4</v>
      </c>
      <c r="D340" s="44">
        <v>8</v>
      </c>
      <c r="E340" s="30" t="str">
        <f t="shared" si="511"/>
        <v>15:8</v>
      </c>
      <c r="F340" s="30" t="s">
        <v>133</v>
      </c>
      <c r="G340" s="30" t="s">
        <v>133</v>
      </c>
      <c r="H340" s="45" t="s">
        <v>143</v>
      </c>
      <c r="I340" s="31" t="s">
        <v>68</v>
      </c>
      <c r="J340" s="32" t="s">
        <v>36</v>
      </c>
      <c r="K340" s="33" t="s">
        <v>6</v>
      </c>
      <c r="L340" s="46"/>
      <c r="M340" s="120"/>
      <c r="N340" s="120"/>
      <c r="O340" s="120"/>
      <c r="P340" s="122"/>
      <c r="Q340" s="122"/>
      <c r="R340" s="124"/>
      <c r="S340" s="124"/>
      <c r="T340" s="158"/>
      <c r="U340" s="156"/>
      <c r="V340" s="146"/>
      <c r="W340" s="149"/>
      <c r="X340" s="156"/>
      <c r="Y340" s="146"/>
      <c r="Z340" s="149"/>
      <c r="AA340" s="149"/>
      <c r="AB340" s="149"/>
      <c r="AC340" s="152"/>
      <c r="AD340" s="57">
        <f>ABS(BIN2DEC($AA337)*3-2)</f>
        <v>1</v>
      </c>
      <c r="AE340" s="57">
        <f>ABS(BIN2DEC($U337)*3)</f>
        <v>3</v>
      </c>
      <c r="AF340" s="57">
        <f>ABS( BIN2DEC(V337)*3-BIN2DEC(Z337))</f>
        <v>1</v>
      </c>
      <c r="AG340" s="57">
        <f>BIN2DEC(X337&amp;Y337)+BIN2DEC(W337)*3</f>
        <v>4</v>
      </c>
      <c r="AH340" s="57">
        <f t="shared" si="512"/>
        <v>29</v>
      </c>
    </row>
    <row r="341" spans="1:34" ht="15.75" customHeight="1" thickBot="1">
      <c r="A341" s="134"/>
      <c r="B341" s="136"/>
      <c r="C341" s="43" t="str">
        <f t="shared" si="510"/>
        <v>sar25_slc4</v>
      </c>
      <c r="D341" s="44">
        <v>8</v>
      </c>
      <c r="E341" s="30" t="str">
        <f t="shared" si="511"/>
        <v>7:0</v>
      </c>
      <c r="F341" s="30" t="s">
        <v>133</v>
      </c>
      <c r="G341" s="30" t="s">
        <v>133</v>
      </c>
      <c r="H341" s="45" t="s">
        <v>143</v>
      </c>
      <c r="I341" s="31" t="s">
        <v>68</v>
      </c>
      <c r="J341" s="32" t="s">
        <v>36</v>
      </c>
      <c r="K341" s="33" t="s">
        <v>6</v>
      </c>
      <c r="L341" s="46"/>
      <c r="M341" s="120"/>
      <c r="N341" s="120"/>
      <c r="O341" s="120"/>
      <c r="P341" s="122"/>
      <c r="Q341" s="122"/>
      <c r="R341" s="124"/>
      <c r="S341" s="124"/>
      <c r="T341" s="158"/>
      <c r="U341" s="157"/>
      <c r="V341" s="147"/>
      <c r="W341" s="150"/>
      <c r="X341" s="157"/>
      <c r="Y341" s="147"/>
      <c r="Z341" s="150"/>
      <c r="AA341" s="150"/>
      <c r="AB341" s="150"/>
      <c r="AC341" s="153"/>
      <c r="AD341" s="57">
        <f>ABS(BIN2DEC($AA337)*3-2)</f>
        <v>1</v>
      </c>
      <c r="AE341" s="57">
        <f>ABS(BIN2DEC($U337)*3-1)</f>
        <v>2</v>
      </c>
      <c r="AF341" s="57">
        <f>ABS( BIN2DEC(V337)*3-BIN2DEC(Z337))</f>
        <v>1</v>
      </c>
      <c r="AG341" s="57">
        <f>BIN2DEC(X337&amp;Y337)+BIN2DEC(W337)*3</f>
        <v>4</v>
      </c>
      <c r="AH341" s="57">
        <f t="shared" si="512"/>
        <v>25</v>
      </c>
    </row>
    <row r="342" spans="1:34" ht="15.75" customHeight="1">
      <c r="A342" s="133" t="str">
        <f>AC342</f>
        <v>vofc_dom2_quad0_quad2_sar0_slc5</v>
      </c>
      <c r="B342" s="135" t="str">
        <f>DEC2HEX(P342*4)</f>
        <v>0</v>
      </c>
      <c r="C342" s="56" t="s">
        <v>134</v>
      </c>
      <c r="D342" s="129" t="str">
        <f>bitConcat(F343:F346)</f>
        <v>32'b00000000000000000000000000000000</v>
      </c>
      <c r="E342" s="130"/>
      <c r="F342" s="130"/>
      <c r="G342" s="130"/>
      <c r="H342" s="131" t="s">
        <v>135</v>
      </c>
      <c r="I342" s="131"/>
      <c r="J342" s="131" t="str">
        <f>bitConcat(G343:G346)</f>
        <v>32'b00000000000000000000000000000000</v>
      </c>
      <c r="K342" s="131"/>
      <c r="L342" s="132"/>
      <c r="M342" s="119" t="str">
        <f>DEC2HEX(_xlfn.BITLSHIFT(HEX2DEC(Q342),2))</f>
        <v>160</v>
      </c>
      <c r="N342" s="119"/>
      <c r="O342" s="119">
        <v>2</v>
      </c>
      <c r="P342" s="121">
        <v>0</v>
      </c>
      <c r="Q342" s="121" t="str">
        <f>AB342</f>
        <v>58</v>
      </c>
      <c r="R342" s="123" t="str">
        <f t="shared" ref="R342" si="513">BIN2HEX(LEFT(RIGHT(D342,32),4))&amp;BIN2HEX(LEFT(RIGHT(D342,28),4))&amp;BIN2HEX(LEFT(RIGHT(D342,24),4))&amp;BIN2HEX(LEFT(RIGHT(D342,20),4))&amp;BIN2HEX(LEFT(RIGHT(D342,16),4))&amp;BIN2HEX(LEFT(RIGHT(D342,12),4))&amp;BIN2HEX(LEFT(RIGHT(D342,8),4))&amp;BIN2HEX(LEFT(RIGHT(D342,4),4))</f>
        <v>00000000</v>
      </c>
      <c r="S342" s="123" t="str">
        <f t="shared" ref="S342" si="514">BIN2HEX(LEFT(RIGHT(J342,32),4))&amp;BIN2HEX(LEFT(RIGHT(J342,28),4))&amp;BIN2HEX(LEFT(RIGHT(J342,24),4))&amp;BIN2HEX(LEFT(RIGHT(J342,20),4))&amp;BIN2HEX(LEFT(RIGHT(J342,16),4))&amp;BIN2HEX(LEFT(RIGHT(J342,12),4))&amp;BIN2HEX(LEFT(RIGHT(J342,8),4))&amp;BIN2HEX(LEFT(RIGHT(J342,4),4))</f>
        <v>00000000</v>
      </c>
      <c r="T342" s="158">
        <v>20</v>
      </c>
      <c r="U342" s="155" t="str">
        <f t="shared" ref="U342" si="515">LEFT(DEC2BIN(O342,2))</f>
        <v>1</v>
      </c>
      <c r="V342" s="145" t="str">
        <f t="shared" ref="V342" si="516">RIGHT(DEC2BIN(O342,2),1)</f>
        <v>0</v>
      </c>
      <c r="W342" s="148">
        <v>1</v>
      </c>
      <c r="X342" s="155">
        <v>1</v>
      </c>
      <c r="Y342" s="145">
        <v>0</v>
      </c>
      <c r="Z342" s="148">
        <v>0</v>
      </c>
      <c r="AA342" s="148">
        <v>0</v>
      </c>
      <c r="AB342" s="148" t="str">
        <f t="shared" ref="AB342" si="517">BIN2HEX(U342&amp;V342&amp;W342&amp;X342&amp;Y342&amp;Z342&amp;AA342)</f>
        <v>58</v>
      </c>
      <c r="AC342" s="151" t="str">
        <f>CONCATENATE("vofc_dom",BIN2DEC(U342&amp;V342),"_quad",BIN2DEC(AA342),"_quad",BIN2DEC(AA342)+2,"_sar",ABS( BIN2DEC(V342)*3-BIN2DEC(Z342)),"_slc",BIN2DEC(X342&amp;Y342)+BIN2DEC(W342)*3)</f>
        <v>vofc_dom2_quad0_quad2_sar0_slc5</v>
      </c>
      <c r="AD342" s="57"/>
      <c r="AE342" s="57"/>
      <c r="AF342" s="57"/>
      <c r="AG342" s="57"/>
      <c r="AH342" s="57"/>
    </row>
    <row r="343" spans="1:34" ht="15" customHeight="1">
      <c r="A343" s="134"/>
      <c r="B343" s="136"/>
      <c r="C343" s="43" t="str">
        <f>CONCATENATE("sar",AD343+AE343*4+AF343*16,"_slc",AG343)</f>
        <v>sar12_slc5</v>
      </c>
      <c r="D343" s="44">
        <v>8</v>
      </c>
      <c r="E343" s="29" t="str">
        <f>IF(D343&gt;1,(31)&amp;":"&amp;(31-D343+1),(31-D343+1)&amp;":"&amp;(31-D343+1))</f>
        <v>31:24</v>
      </c>
      <c r="F343" s="30" t="s">
        <v>133</v>
      </c>
      <c r="G343" s="30" t="s">
        <v>133</v>
      </c>
      <c r="H343" s="45" t="s">
        <v>143</v>
      </c>
      <c r="I343" s="31" t="s">
        <v>68</v>
      </c>
      <c r="J343" s="32" t="s">
        <v>36</v>
      </c>
      <c r="K343" s="33" t="s">
        <v>6</v>
      </c>
      <c r="L343" s="46"/>
      <c r="M343" s="120"/>
      <c r="N343" s="120"/>
      <c r="O343" s="120"/>
      <c r="P343" s="122"/>
      <c r="Q343" s="122"/>
      <c r="R343" s="124"/>
      <c r="S343" s="124"/>
      <c r="T343" s="158"/>
      <c r="U343" s="156"/>
      <c r="V343" s="146"/>
      <c r="W343" s="149"/>
      <c r="X343" s="156"/>
      <c r="Y343" s="146"/>
      <c r="Z343" s="149"/>
      <c r="AA343" s="149"/>
      <c r="AB343" s="149"/>
      <c r="AC343" s="152"/>
      <c r="AD343" s="57">
        <f>BIN2DEC($AA342)*3</f>
        <v>0</v>
      </c>
      <c r="AE343" s="57">
        <f>ABS(BIN2DEC($U342)*3)</f>
        <v>3</v>
      </c>
      <c r="AF343" s="57">
        <f>ABS( BIN2DEC(V342)*3-BIN2DEC(Z342))</f>
        <v>0</v>
      </c>
      <c r="AG343" s="57">
        <f>BIN2DEC(X342&amp;Y342)+BIN2DEC(W342)*3</f>
        <v>5</v>
      </c>
      <c r="AH343" s="57">
        <f>AD343+AE343*4+AF343*16</f>
        <v>12</v>
      </c>
    </row>
    <row r="344" spans="1:34" ht="15" customHeight="1">
      <c r="A344" s="134"/>
      <c r="B344" s="136"/>
      <c r="C344" s="43" t="str">
        <f t="shared" ref="C344:C346" si="518">CONCATENATE("sar",AD344+AE344*4+AF344*16,"_slc",AG344)</f>
        <v>sar8_slc5</v>
      </c>
      <c r="D344" s="44">
        <v>8</v>
      </c>
      <c r="E344" s="30" t="str">
        <f t="shared" ref="E344:E346" si="519">(MID(str_cnvt(E343),SEARCH(":",str_cnvt(E343))+1,2)-1) &amp; ":" &amp; (MID(str_cnvt(E343),SEARCH(":",str_cnvt(E343))+1,2)-D344)</f>
        <v>23:16</v>
      </c>
      <c r="F344" s="30" t="s">
        <v>133</v>
      </c>
      <c r="G344" s="30" t="s">
        <v>133</v>
      </c>
      <c r="H344" s="45" t="s">
        <v>143</v>
      </c>
      <c r="I344" s="31" t="s">
        <v>68</v>
      </c>
      <c r="J344" s="32" t="s">
        <v>36</v>
      </c>
      <c r="K344" s="33" t="s">
        <v>6</v>
      </c>
      <c r="L344" s="46"/>
      <c r="M344" s="120"/>
      <c r="N344" s="120"/>
      <c r="O344" s="120"/>
      <c r="P344" s="122"/>
      <c r="Q344" s="122"/>
      <c r="R344" s="124"/>
      <c r="S344" s="124"/>
      <c r="T344" s="158"/>
      <c r="U344" s="156"/>
      <c r="V344" s="146"/>
      <c r="W344" s="149"/>
      <c r="X344" s="156"/>
      <c r="Y344" s="146"/>
      <c r="Z344" s="149"/>
      <c r="AA344" s="149"/>
      <c r="AB344" s="149"/>
      <c r="AC344" s="152"/>
      <c r="AD344" s="57">
        <f>BIN2DEC($AA342)*3</f>
        <v>0</v>
      </c>
      <c r="AE344" s="57">
        <f>ABS(BIN2DEC($U342)*3-1)</f>
        <v>2</v>
      </c>
      <c r="AF344" s="57">
        <f>ABS( BIN2DEC(V342)*3-BIN2DEC(Z342))</f>
        <v>0</v>
      </c>
      <c r="AG344" s="57">
        <f>BIN2DEC(X342&amp;Y342)+BIN2DEC(W342)*3</f>
        <v>5</v>
      </c>
      <c r="AH344" s="57">
        <f t="shared" ref="AH344:AH346" si="520">AD344+AE344*4+AF344*16</f>
        <v>8</v>
      </c>
    </row>
    <row r="345" spans="1:34" ht="15" customHeight="1">
      <c r="A345" s="134"/>
      <c r="B345" s="136"/>
      <c r="C345" s="43" t="str">
        <f t="shared" si="518"/>
        <v>sar14_slc5</v>
      </c>
      <c r="D345" s="44">
        <v>8</v>
      </c>
      <c r="E345" s="30" t="str">
        <f t="shared" si="519"/>
        <v>15:8</v>
      </c>
      <c r="F345" s="30" t="s">
        <v>133</v>
      </c>
      <c r="G345" s="30" t="s">
        <v>133</v>
      </c>
      <c r="H345" s="45" t="s">
        <v>143</v>
      </c>
      <c r="I345" s="31" t="s">
        <v>68</v>
      </c>
      <c r="J345" s="32" t="s">
        <v>36</v>
      </c>
      <c r="K345" s="33" t="s">
        <v>6</v>
      </c>
      <c r="L345" s="46"/>
      <c r="M345" s="120"/>
      <c r="N345" s="120"/>
      <c r="O345" s="120"/>
      <c r="P345" s="122"/>
      <c r="Q345" s="122"/>
      <c r="R345" s="124"/>
      <c r="S345" s="124"/>
      <c r="T345" s="158"/>
      <c r="U345" s="156"/>
      <c r="V345" s="146"/>
      <c r="W345" s="149"/>
      <c r="X345" s="156"/>
      <c r="Y345" s="146"/>
      <c r="Z345" s="149"/>
      <c r="AA345" s="149"/>
      <c r="AB345" s="149"/>
      <c r="AC345" s="152"/>
      <c r="AD345" s="57">
        <f>ABS(BIN2DEC($AA342)*3-2)</f>
        <v>2</v>
      </c>
      <c r="AE345" s="57">
        <f>ABS(BIN2DEC($U342)*3)</f>
        <v>3</v>
      </c>
      <c r="AF345" s="57">
        <f>ABS( BIN2DEC(V342)*3-BIN2DEC(Z342))</f>
        <v>0</v>
      </c>
      <c r="AG345" s="57">
        <f>BIN2DEC(X342&amp;Y342)+BIN2DEC(W342)*3</f>
        <v>5</v>
      </c>
      <c r="AH345" s="57">
        <f t="shared" si="520"/>
        <v>14</v>
      </c>
    </row>
    <row r="346" spans="1:34" ht="15.75" customHeight="1" thickBot="1">
      <c r="A346" s="134"/>
      <c r="B346" s="136"/>
      <c r="C346" s="43" t="str">
        <f t="shared" si="518"/>
        <v>sar10_slc5</v>
      </c>
      <c r="D346" s="44">
        <v>8</v>
      </c>
      <c r="E346" s="30" t="str">
        <f t="shared" si="519"/>
        <v>7:0</v>
      </c>
      <c r="F346" s="30" t="s">
        <v>133</v>
      </c>
      <c r="G346" s="30" t="s">
        <v>133</v>
      </c>
      <c r="H346" s="45" t="s">
        <v>143</v>
      </c>
      <c r="I346" s="31" t="s">
        <v>68</v>
      </c>
      <c r="J346" s="32" t="s">
        <v>36</v>
      </c>
      <c r="K346" s="33" t="s">
        <v>6</v>
      </c>
      <c r="L346" s="46"/>
      <c r="M346" s="120"/>
      <c r="N346" s="120"/>
      <c r="O346" s="120"/>
      <c r="P346" s="122"/>
      <c r="Q346" s="122"/>
      <c r="R346" s="124"/>
      <c r="S346" s="124"/>
      <c r="T346" s="158"/>
      <c r="U346" s="157"/>
      <c r="V346" s="147"/>
      <c r="W346" s="150"/>
      <c r="X346" s="157"/>
      <c r="Y346" s="147"/>
      <c r="Z346" s="150"/>
      <c r="AA346" s="150"/>
      <c r="AB346" s="150"/>
      <c r="AC346" s="153"/>
      <c r="AD346" s="57">
        <f>ABS(BIN2DEC($AA342)*3-2)</f>
        <v>2</v>
      </c>
      <c r="AE346" s="57">
        <f>ABS(BIN2DEC($U342)*3-1)</f>
        <v>2</v>
      </c>
      <c r="AF346" s="57">
        <f>ABS( BIN2DEC(V342)*3-BIN2DEC(Z342))</f>
        <v>0</v>
      </c>
      <c r="AG346" s="57">
        <f>BIN2DEC(X342&amp;Y342)+BIN2DEC(W342)*3</f>
        <v>5</v>
      </c>
      <c r="AH346" s="57">
        <f t="shared" si="520"/>
        <v>10</v>
      </c>
    </row>
    <row r="347" spans="1:34" ht="15.75" customHeight="1">
      <c r="A347" s="133" t="str">
        <f>AC347</f>
        <v>vofc_dom2_quad1_quad3_sar0_slc5</v>
      </c>
      <c r="B347" s="135" t="str">
        <f>DEC2HEX(P347*4)</f>
        <v>0</v>
      </c>
      <c r="C347" s="56" t="s">
        <v>134</v>
      </c>
      <c r="D347" s="129" t="str">
        <f>bitConcat(F348:F351)</f>
        <v>32'b00000000000000000000000000000000</v>
      </c>
      <c r="E347" s="130"/>
      <c r="F347" s="130"/>
      <c r="G347" s="130"/>
      <c r="H347" s="131" t="s">
        <v>135</v>
      </c>
      <c r="I347" s="131"/>
      <c r="J347" s="131" t="str">
        <f>bitConcat(G348:G351)</f>
        <v>32'b00000000000000000000000000000000</v>
      </c>
      <c r="K347" s="131"/>
      <c r="L347" s="132"/>
      <c r="M347" s="119" t="str">
        <f>DEC2HEX(_xlfn.BITLSHIFT(HEX2DEC(Q347),2))</f>
        <v>164</v>
      </c>
      <c r="N347" s="119"/>
      <c r="O347" s="119">
        <v>2</v>
      </c>
      <c r="P347" s="121">
        <v>0</v>
      </c>
      <c r="Q347" s="121" t="str">
        <f>AB347</f>
        <v>59</v>
      </c>
      <c r="R347" s="123" t="str">
        <f t="shared" ref="R347" si="521">BIN2HEX(LEFT(RIGHT(D347,32),4))&amp;BIN2HEX(LEFT(RIGHT(D347,28),4))&amp;BIN2HEX(LEFT(RIGHT(D347,24),4))&amp;BIN2HEX(LEFT(RIGHT(D347,20),4))&amp;BIN2HEX(LEFT(RIGHT(D347,16),4))&amp;BIN2HEX(LEFT(RIGHT(D347,12),4))&amp;BIN2HEX(LEFT(RIGHT(D347,8),4))&amp;BIN2HEX(LEFT(RIGHT(D347,4),4))</f>
        <v>00000000</v>
      </c>
      <c r="S347" s="123" t="str">
        <f t="shared" ref="S347" si="522">BIN2HEX(LEFT(RIGHT(J347,32),4))&amp;BIN2HEX(LEFT(RIGHT(J347,28),4))&amp;BIN2HEX(LEFT(RIGHT(J347,24),4))&amp;BIN2HEX(LEFT(RIGHT(J347,20),4))&amp;BIN2HEX(LEFT(RIGHT(J347,16),4))&amp;BIN2HEX(LEFT(RIGHT(J347,12),4))&amp;BIN2HEX(LEFT(RIGHT(J347,8),4))&amp;BIN2HEX(LEFT(RIGHT(J347,4),4))</f>
        <v>00000000</v>
      </c>
      <c r="T347" s="158">
        <v>21</v>
      </c>
      <c r="U347" s="155" t="str">
        <f t="shared" ref="U347" si="523">LEFT(DEC2BIN(O347,2))</f>
        <v>1</v>
      </c>
      <c r="V347" s="145" t="str">
        <f t="shared" ref="V347" si="524">RIGHT(DEC2BIN(O347,2),1)</f>
        <v>0</v>
      </c>
      <c r="W347" s="148">
        <v>1</v>
      </c>
      <c r="X347" s="155">
        <v>1</v>
      </c>
      <c r="Y347" s="145">
        <v>0</v>
      </c>
      <c r="Z347" s="148">
        <v>0</v>
      </c>
      <c r="AA347" s="148">
        <v>1</v>
      </c>
      <c r="AB347" s="148" t="str">
        <f t="shared" ref="AB347" si="525">BIN2HEX(U347&amp;V347&amp;W347&amp;X347&amp;Y347&amp;Z347&amp;AA347)</f>
        <v>59</v>
      </c>
      <c r="AC347" s="151" t="str">
        <f>CONCATENATE("vofc_dom",BIN2DEC(U347&amp;V347),"_quad",BIN2DEC(AA347),"_quad",BIN2DEC(AA347)+2,"_sar",ABS( BIN2DEC(V347)*3-BIN2DEC(Z347)),"_slc",BIN2DEC(X347&amp;Y347)+BIN2DEC(W347)*3)</f>
        <v>vofc_dom2_quad1_quad3_sar0_slc5</v>
      </c>
      <c r="AD347" s="57"/>
      <c r="AE347" s="57"/>
      <c r="AF347" s="57"/>
      <c r="AG347" s="57"/>
      <c r="AH347" s="57"/>
    </row>
    <row r="348" spans="1:34" ht="15" customHeight="1">
      <c r="A348" s="134"/>
      <c r="B348" s="136"/>
      <c r="C348" s="43" t="str">
        <f>CONCATENATE("sar",AD348+AE348*4+AF348*16,"_slc",AG348)</f>
        <v>sar15_slc5</v>
      </c>
      <c r="D348" s="44">
        <v>8</v>
      </c>
      <c r="E348" s="29" t="str">
        <f>IF(D348&gt;1,(31)&amp;":"&amp;(31-D348+1),(31-D348+1)&amp;":"&amp;(31-D348+1))</f>
        <v>31:24</v>
      </c>
      <c r="F348" s="30" t="s">
        <v>133</v>
      </c>
      <c r="G348" s="30" t="s">
        <v>133</v>
      </c>
      <c r="H348" s="45" t="s">
        <v>143</v>
      </c>
      <c r="I348" s="31" t="s">
        <v>68</v>
      </c>
      <c r="J348" s="32" t="s">
        <v>36</v>
      </c>
      <c r="K348" s="33" t="s">
        <v>6</v>
      </c>
      <c r="L348" s="46"/>
      <c r="M348" s="120"/>
      <c r="N348" s="120"/>
      <c r="O348" s="120"/>
      <c r="P348" s="122"/>
      <c r="Q348" s="122"/>
      <c r="R348" s="124"/>
      <c r="S348" s="124"/>
      <c r="T348" s="158"/>
      <c r="U348" s="156"/>
      <c r="V348" s="146"/>
      <c r="W348" s="149"/>
      <c r="X348" s="156"/>
      <c r="Y348" s="146"/>
      <c r="Z348" s="149"/>
      <c r="AA348" s="149"/>
      <c r="AB348" s="149"/>
      <c r="AC348" s="152"/>
      <c r="AD348" s="57">
        <f>BIN2DEC($AA347)*3</f>
        <v>3</v>
      </c>
      <c r="AE348" s="57">
        <f>ABS(BIN2DEC($U347)*3)</f>
        <v>3</v>
      </c>
      <c r="AF348" s="57">
        <f>ABS( BIN2DEC(V347)*3-BIN2DEC(Z347))</f>
        <v>0</v>
      </c>
      <c r="AG348" s="57">
        <f>BIN2DEC(X347&amp;Y347)+BIN2DEC(W347)*3</f>
        <v>5</v>
      </c>
      <c r="AH348" s="57">
        <f>AD348+AE348*4+AF348*16</f>
        <v>15</v>
      </c>
    </row>
    <row r="349" spans="1:34" ht="15" customHeight="1">
      <c r="A349" s="134"/>
      <c r="B349" s="136"/>
      <c r="C349" s="43" t="str">
        <f t="shared" ref="C349:C351" si="526">CONCATENATE("sar",AD349+AE349*4+AF349*16,"_slc",AG349)</f>
        <v>sar11_slc5</v>
      </c>
      <c r="D349" s="44">
        <v>8</v>
      </c>
      <c r="E349" s="30" t="str">
        <f t="shared" ref="E349:E351" si="527">(MID(str_cnvt(E348),SEARCH(":",str_cnvt(E348))+1,2)-1) &amp; ":" &amp; (MID(str_cnvt(E348),SEARCH(":",str_cnvt(E348))+1,2)-D349)</f>
        <v>23:16</v>
      </c>
      <c r="F349" s="30" t="s">
        <v>133</v>
      </c>
      <c r="G349" s="30" t="s">
        <v>133</v>
      </c>
      <c r="H349" s="45" t="s">
        <v>143</v>
      </c>
      <c r="I349" s="31" t="s">
        <v>68</v>
      </c>
      <c r="J349" s="32" t="s">
        <v>36</v>
      </c>
      <c r="K349" s="33" t="s">
        <v>6</v>
      </c>
      <c r="L349" s="46"/>
      <c r="M349" s="120"/>
      <c r="N349" s="120"/>
      <c r="O349" s="120"/>
      <c r="P349" s="122"/>
      <c r="Q349" s="122"/>
      <c r="R349" s="124"/>
      <c r="S349" s="124"/>
      <c r="T349" s="158"/>
      <c r="U349" s="156"/>
      <c r="V349" s="146"/>
      <c r="W349" s="149"/>
      <c r="X349" s="156"/>
      <c r="Y349" s="146"/>
      <c r="Z349" s="149"/>
      <c r="AA349" s="149"/>
      <c r="AB349" s="149"/>
      <c r="AC349" s="152"/>
      <c r="AD349" s="57">
        <f>BIN2DEC($AA347)*3</f>
        <v>3</v>
      </c>
      <c r="AE349" s="57">
        <f>ABS(BIN2DEC($U347)*3-1)</f>
        <v>2</v>
      </c>
      <c r="AF349" s="57">
        <f>ABS( BIN2DEC(V347)*3-BIN2DEC(Z347))</f>
        <v>0</v>
      </c>
      <c r="AG349" s="57">
        <f>BIN2DEC(X347&amp;Y347)+BIN2DEC(W347)*3</f>
        <v>5</v>
      </c>
      <c r="AH349" s="57">
        <f t="shared" ref="AH349:AH351" si="528">AD349+AE349*4+AF349*16</f>
        <v>11</v>
      </c>
    </row>
    <row r="350" spans="1:34" ht="15" customHeight="1">
      <c r="A350" s="134"/>
      <c r="B350" s="136"/>
      <c r="C350" s="43" t="str">
        <f t="shared" si="526"/>
        <v>sar13_slc5</v>
      </c>
      <c r="D350" s="44">
        <v>8</v>
      </c>
      <c r="E350" s="30" t="str">
        <f t="shared" si="527"/>
        <v>15:8</v>
      </c>
      <c r="F350" s="30" t="s">
        <v>133</v>
      </c>
      <c r="G350" s="30" t="s">
        <v>133</v>
      </c>
      <c r="H350" s="45" t="s">
        <v>143</v>
      </c>
      <c r="I350" s="31" t="s">
        <v>68</v>
      </c>
      <c r="J350" s="32" t="s">
        <v>36</v>
      </c>
      <c r="K350" s="33" t="s">
        <v>6</v>
      </c>
      <c r="L350" s="46"/>
      <c r="M350" s="120"/>
      <c r="N350" s="120"/>
      <c r="O350" s="120"/>
      <c r="P350" s="122"/>
      <c r="Q350" s="122"/>
      <c r="R350" s="124"/>
      <c r="S350" s="124"/>
      <c r="T350" s="158"/>
      <c r="U350" s="156"/>
      <c r="V350" s="146"/>
      <c r="W350" s="149"/>
      <c r="X350" s="156"/>
      <c r="Y350" s="146"/>
      <c r="Z350" s="149"/>
      <c r="AA350" s="149"/>
      <c r="AB350" s="149"/>
      <c r="AC350" s="152"/>
      <c r="AD350" s="57">
        <f>ABS(BIN2DEC($AA347)*3-2)</f>
        <v>1</v>
      </c>
      <c r="AE350" s="57">
        <f>ABS(BIN2DEC($U347)*3)</f>
        <v>3</v>
      </c>
      <c r="AF350" s="57">
        <f>ABS( BIN2DEC(V347)*3-BIN2DEC(Z347))</f>
        <v>0</v>
      </c>
      <c r="AG350" s="57">
        <f>BIN2DEC(X347&amp;Y347)+BIN2DEC(W347)*3</f>
        <v>5</v>
      </c>
      <c r="AH350" s="57">
        <f t="shared" si="528"/>
        <v>13</v>
      </c>
    </row>
    <row r="351" spans="1:34" ht="15.75" customHeight="1" thickBot="1">
      <c r="A351" s="134"/>
      <c r="B351" s="136"/>
      <c r="C351" s="43" t="str">
        <f t="shared" si="526"/>
        <v>sar9_slc5</v>
      </c>
      <c r="D351" s="44">
        <v>8</v>
      </c>
      <c r="E351" s="30" t="str">
        <f t="shared" si="527"/>
        <v>7:0</v>
      </c>
      <c r="F351" s="30" t="s">
        <v>133</v>
      </c>
      <c r="G351" s="30" t="s">
        <v>133</v>
      </c>
      <c r="H351" s="45" t="s">
        <v>143</v>
      </c>
      <c r="I351" s="31" t="s">
        <v>68</v>
      </c>
      <c r="J351" s="32" t="s">
        <v>36</v>
      </c>
      <c r="K351" s="33" t="s">
        <v>6</v>
      </c>
      <c r="L351" s="46"/>
      <c r="M351" s="120"/>
      <c r="N351" s="120"/>
      <c r="O351" s="120"/>
      <c r="P351" s="122"/>
      <c r="Q351" s="122"/>
      <c r="R351" s="124"/>
      <c r="S351" s="124"/>
      <c r="T351" s="158"/>
      <c r="U351" s="157"/>
      <c r="V351" s="147"/>
      <c r="W351" s="150"/>
      <c r="X351" s="157"/>
      <c r="Y351" s="147"/>
      <c r="Z351" s="150"/>
      <c r="AA351" s="150"/>
      <c r="AB351" s="150"/>
      <c r="AC351" s="153"/>
      <c r="AD351" s="57">
        <f>ABS(BIN2DEC($AA347)*3-2)</f>
        <v>1</v>
      </c>
      <c r="AE351" s="57">
        <f>ABS(BIN2DEC($U347)*3-1)</f>
        <v>2</v>
      </c>
      <c r="AF351" s="57">
        <f>ABS( BIN2DEC(V347)*3-BIN2DEC(Z347))</f>
        <v>0</v>
      </c>
      <c r="AG351" s="57">
        <f>BIN2DEC(X347&amp;Y347)+BIN2DEC(W347)*3</f>
        <v>5</v>
      </c>
      <c r="AH351" s="57">
        <f t="shared" si="528"/>
        <v>9</v>
      </c>
    </row>
    <row r="352" spans="1:34" ht="15.75" customHeight="1">
      <c r="A352" s="133" t="str">
        <f>AC352</f>
        <v>vofc_dom2_quad0_quad2_sar1_slc5</v>
      </c>
      <c r="B352" s="135" t="str">
        <f>DEC2HEX(P352*4)</f>
        <v>0</v>
      </c>
      <c r="C352" s="56" t="s">
        <v>134</v>
      </c>
      <c r="D352" s="129" t="str">
        <f>bitConcat(F353:F356)</f>
        <v>32'b00000000000000000000000000000000</v>
      </c>
      <c r="E352" s="130"/>
      <c r="F352" s="130"/>
      <c r="G352" s="130"/>
      <c r="H352" s="131" t="s">
        <v>135</v>
      </c>
      <c r="I352" s="131"/>
      <c r="J352" s="131" t="str">
        <f>bitConcat(G353:G356)</f>
        <v>32'b00000000000000000000000000000000</v>
      </c>
      <c r="K352" s="131"/>
      <c r="L352" s="132"/>
      <c r="M352" s="119" t="str">
        <f>DEC2HEX(_xlfn.BITLSHIFT(HEX2DEC(Q352),2))</f>
        <v>168</v>
      </c>
      <c r="N352" s="119"/>
      <c r="O352" s="119">
        <v>2</v>
      </c>
      <c r="P352" s="121">
        <v>0</v>
      </c>
      <c r="Q352" s="121" t="str">
        <f>AB352</f>
        <v>5A</v>
      </c>
      <c r="R352" s="123" t="str">
        <f t="shared" ref="R352" si="529">BIN2HEX(LEFT(RIGHT(D352,32),4))&amp;BIN2HEX(LEFT(RIGHT(D352,28),4))&amp;BIN2HEX(LEFT(RIGHT(D352,24),4))&amp;BIN2HEX(LEFT(RIGHT(D352,20),4))&amp;BIN2HEX(LEFT(RIGHT(D352,16),4))&amp;BIN2HEX(LEFT(RIGHT(D352,12),4))&amp;BIN2HEX(LEFT(RIGHT(D352,8),4))&amp;BIN2HEX(LEFT(RIGHT(D352,4),4))</f>
        <v>00000000</v>
      </c>
      <c r="S352" s="123" t="str">
        <f t="shared" ref="S352" si="530">BIN2HEX(LEFT(RIGHT(J352,32),4))&amp;BIN2HEX(LEFT(RIGHT(J352,28),4))&amp;BIN2HEX(LEFT(RIGHT(J352,24),4))&amp;BIN2HEX(LEFT(RIGHT(J352,20),4))&amp;BIN2HEX(LEFT(RIGHT(J352,16),4))&amp;BIN2HEX(LEFT(RIGHT(J352,12),4))&amp;BIN2HEX(LEFT(RIGHT(J352,8),4))&amp;BIN2HEX(LEFT(RIGHT(J352,4),4))</f>
        <v>00000000</v>
      </c>
      <c r="T352" s="158">
        <v>22</v>
      </c>
      <c r="U352" s="155" t="str">
        <f t="shared" ref="U352" si="531">LEFT(DEC2BIN(O352,2))</f>
        <v>1</v>
      </c>
      <c r="V352" s="145" t="str">
        <f t="shared" ref="V352" si="532">RIGHT(DEC2BIN(O352,2),1)</f>
        <v>0</v>
      </c>
      <c r="W352" s="148">
        <v>1</v>
      </c>
      <c r="X352" s="155">
        <v>1</v>
      </c>
      <c r="Y352" s="145">
        <v>0</v>
      </c>
      <c r="Z352" s="148">
        <v>1</v>
      </c>
      <c r="AA352" s="148">
        <v>0</v>
      </c>
      <c r="AB352" s="148" t="str">
        <f t="shared" ref="AB352" si="533">BIN2HEX(U352&amp;V352&amp;W352&amp;X352&amp;Y352&amp;Z352&amp;AA352)</f>
        <v>5A</v>
      </c>
      <c r="AC352" s="151" t="str">
        <f>CONCATENATE("vofc_dom",BIN2DEC(U352&amp;V352),"_quad",BIN2DEC(AA352),"_quad",BIN2DEC(AA352)+2,"_sar",ABS( BIN2DEC(V352)*3-BIN2DEC(Z352)),"_slc",BIN2DEC(X352&amp;Y352)+BIN2DEC(W352)*3)</f>
        <v>vofc_dom2_quad0_quad2_sar1_slc5</v>
      </c>
      <c r="AD352" s="57"/>
      <c r="AE352" s="57"/>
      <c r="AF352" s="57"/>
      <c r="AG352" s="57"/>
      <c r="AH352" s="57"/>
    </row>
    <row r="353" spans="1:34" ht="15" customHeight="1">
      <c r="A353" s="134"/>
      <c r="B353" s="136"/>
      <c r="C353" s="43" t="str">
        <f>CONCATENATE("sar",AD353+AE353*4+AF353*16,"_slc",AG353)</f>
        <v>sar28_slc5</v>
      </c>
      <c r="D353" s="44">
        <v>8</v>
      </c>
      <c r="E353" s="29" t="str">
        <f>IF(D353&gt;1,(31)&amp;":"&amp;(31-D353+1),(31-D353+1)&amp;":"&amp;(31-D353+1))</f>
        <v>31:24</v>
      </c>
      <c r="F353" s="30" t="s">
        <v>133</v>
      </c>
      <c r="G353" s="30" t="s">
        <v>133</v>
      </c>
      <c r="H353" s="45" t="s">
        <v>143</v>
      </c>
      <c r="I353" s="31" t="s">
        <v>68</v>
      </c>
      <c r="J353" s="32" t="s">
        <v>36</v>
      </c>
      <c r="K353" s="33" t="s">
        <v>6</v>
      </c>
      <c r="L353" s="46"/>
      <c r="M353" s="120"/>
      <c r="N353" s="120"/>
      <c r="O353" s="120"/>
      <c r="P353" s="122"/>
      <c r="Q353" s="122"/>
      <c r="R353" s="124"/>
      <c r="S353" s="124"/>
      <c r="T353" s="158"/>
      <c r="U353" s="156"/>
      <c r="V353" s="146"/>
      <c r="W353" s="149"/>
      <c r="X353" s="156"/>
      <c r="Y353" s="146"/>
      <c r="Z353" s="149"/>
      <c r="AA353" s="149"/>
      <c r="AB353" s="149"/>
      <c r="AC353" s="152"/>
      <c r="AD353" s="57">
        <f>BIN2DEC($AA352)*3</f>
        <v>0</v>
      </c>
      <c r="AE353" s="57">
        <f>ABS(BIN2DEC($U352)*3)</f>
        <v>3</v>
      </c>
      <c r="AF353" s="57">
        <f>ABS( BIN2DEC(V352)*3-BIN2DEC(Z352))</f>
        <v>1</v>
      </c>
      <c r="AG353" s="57">
        <f>BIN2DEC(X352&amp;Y352)+BIN2DEC(W352)*3</f>
        <v>5</v>
      </c>
      <c r="AH353" s="57">
        <f>AD353+AE353*4+AF353*16</f>
        <v>28</v>
      </c>
    </row>
    <row r="354" spans="1:34" ht="15" customHeight="1">
      <c r="A354" s="134"/>
      <c r="B354" s="136"/>
      <c r="C354" s="43" t="str">
        <f t="shared" ref="C354:C356" si="534">CONCATENATE("sar",AD354+AE354*4+AF354*16,"_slc",AG354)</f>
        <v>sar24_slc5</v>
      </c>
      <c r="D354" s="44">
        <v>8</v>
      </c>
      <c r="E354" s="30" t="str">
        <f t="shared" ref="E354:E356" si="535">(MID(str_cnvt(E353),SEARCH(":",str_cnvt(E353))+1,2)-1) &amp; ":" &amp; (MID(str_cnvt(E353),SEARCH(":",str_cnvt(E353))+1,2)-D354)</f>
        <v>23:16</v>
      </c>
      <c r="F354" s="30" t="s">
        <v>133</v>
      </c>
      <c r="G354" s="30" t="s">
        <v>133</v>
      </c>
      <c r="H354" s="45" t="s">
        <v>143</v>
      </c>
      <c r="I354" s="31" t="s">
        <v>68</v>
      </c>
      <c r="J354" s="32" t="s">
        <v>36</v>
      </c>
      <c r="K354" s="33" t="s">
        <v>6</v>
      </c>
      <c r="L354" s="46"/>
      <c r="M354" s="120"/>
      <c r="N354" s="120"/>
      <c r="O354" s="120"/>
      <c r="P354" s="122"/>
      <c r="Q354" s="122"/>
      <c r="R354" s="124"/>
      <c r="S354" s="124"/>
      <c r="T354" s="158"/>
      <c r="U354" s="156"/>
      <c r="V354" s="146"/>
      <c r="W354" s="149"/>
      <c r="X354" s="156"/>
      <c r="Y354" s="146"/>
      <c r="Z354" s="149"/>
      <c r="AA354" s="149"/>
      <c r="AB354" s="149"/>
      <c r="AC354" s="152"/>
      <c r="AD354" s="57">
        <f>BIN2DEC($AA352)*3</f>
        <v>0</v>
      </c>
      <c r="AE354" s="57">
        <f>ABS(BIN2DEC($U352)*3-1)</f>
        <v>2</v>
      </c>
      <c r="AF354" s="57">
        <f>ABS( BIN2DEC(V352)*3-BIN2DEC(Z352))</f>
        <v>1</v>
      </c>
      <c r="AG354" s="57">
        <f>BIN2DEC(X352&amp;Y352)+BIN2DEC(W352)*3</f>
        <v>5</v>
      </c>
      <c r="AH354" s="57">
        <f t="shared" ref="AH354:AH356" si="536">AD354+AE354*4+AF354*16</f>
        <v>24</v>
      </c>
    </row>
    <row r="355" spans="1:34" ht="15" customHeight="1">
      <c r="A355" s="134"/>
      <c r="B355" s="136"/>
      <c r="C355" s="43" t="str">
        <f t="shared" si="534"/>
        <v>sar30_slc5</v>
      </c>
      <c r="D355" s="44">
        <v>8</v>
      </c>
      <c r="E355" s="30" t="str">
        <f t="shared" si="535"/>
        <v>15:8</v>
      </c>
      <c r="F355" s="30" t="s">
        <v>133</v>
      </c>
      <c r="G355" s="30" t="s">
        <v>133</v>
      </c>
      <c r="H355" s="45" t="s">
        <v>143</v>
      </c>
      <c r="I355" s="31" t="s">
        <v>68</v>
      </c>
      <c r="J355" s="32" t="s">
        <v>36</v>
      </c>
      <c r="K355" s="33" t="s">
        <v>6</v>
      </c>
      <c r="L355" s="46"/>
      <c r="M355" s="120"/>
      <c r="N355" s="120"/>
      <c r="O355" s="120"/>
      <c r="P355" s="122"/>
      <c r="Q355" s="122"/>
      <c r="R355" s="124"/>
      <c r="S355" s="124"/>
      <c r="T355" s="158"/>
      <c r="U355" s="156"/>
      <c r="V355" s="146"/>
      <c r="W355" s="149"/>
      <c r="X355" s="156"/>
      <c r="Y355" s="146"/>
      <c r="Z355" s="149"/>
      <c r="AA355" s="149"/>
      <c r="AB355" s="149"/>
      <c r="AC355" s="152"/>
      <c r="AD355" s="57">
        <f>ABS(BIN2DEC($AA352)*3-2)</f>
        <v>2</v>
      </c>
      <c r="AE355" s="57">
        <f>ABS(BIN2DEC($U352)*3)</f>
        <v>3</v>
      </c>
      <c r="AF355" s="57">
        <f>ABS( BIN2DEC(V352)*3-BIN2DEC(Z352))</f>
        <v>1</v>
      </c>
      <c r="AG355" s="57">
        <f>BIN2DEC(X352&amp;Y352)+BIN2DEC(W352)*3</f>
        <v>5</v>
      </c>
      <c r="AH355" s="57">
        <f t="shared" si="536"/>
        <v>30</v>
      </c>
    </row>
    <row r="356" spans="1:34" ht="15.75" customHeight="1" thickBot="1">
      <c r="A356" s="134"/>
      <c r="B356" s="136"/>
      <c r="C356" s="43" t="str">
        <f t="shared" si="534"/>
        <v>sar26_slc5</v>
      </c>
      <c r="D356" s="44">
        <v>8</v>
      </c>
      <c r="E356" s="30" t="str">
        <f t="shared" si="535"/>
        <v>7:0</v>
      </c>
      <c r="F356" s="30" t="s">
        <v>133</v>
      </c>
      <c r="G356" s="30" t="s">
        <v>133</v>
      </c>
      <c r="H356" s="45" t="s">
        <v>143</v>
      </c>
      <c r="I356" s="31" t="s">
        <v>68</v>
      </c>
      <c r="J356" s="32" t="s">
        <v>36</v>
      </c>
      <c r="K356" s="33" t="s">
        <v>6</v>
      </c>
      <c r="L356" s="46"/>
      <c r="M356" s="120"/>
      <c r="N356" s="120"/>
      <c r="O356" s="120"/>
      <c r="P356" s="122"/>
      <c r="Q356" s="122"/>
      <c r="R356" s="124"/>
      <c r="S356" s="124"/>
      <c r="T356" s="158"/>
      <c r="U356" s="157"/>
      <c r="V356" s="147"/>
      <c r="W356" s="150"/>
      <c r="X356" s="157"/>
      <c r="Y356" s="147"/>
      <c r="Z356" s="150"/>
      <c r="AA356" s="150"/>
      <c r="AB356" s="150"/>
      <c r="AC356" s="153"/>
      <c r="AD356" s="57">
        <f>ABS(BIN2DEC($AA352)*3-2)</f>
        <v>2</v>
      </c>
      <c r="AE356" s="57">
        <f>ABS(BIN2DEC($U352)*3-1)</f>
        <v>2</v>
      </c>
      <c r="AF356" s="57">
        <f>ABS( BIN2DEC(V352)*3-BIN2DEC(Z352))</f>
        <v>1</v>
      </c>
      <c r="AG356" s="57">
        <f>BIN2DEC(X352&amp;Y352)+BIN2DEC(W352)*3</f>
        <v>5</v>
      </c>
      <c r="AH356" s="57">
        <f t="shared" si="536"/>
        <v>26</v>
      </c>
    </row>
    <row r="357" spans="1:34" ht="15.75" customHeight="1">
      <c r="A357" s="133" t="str">
        <f>AC357</f>
        <v>vofc_dom2_quad1_quad3_sar1_slc5</v>
      </c>
      <c r="B357" s="135" t="str">
        <f>DEC2HEX(P357*4)</f>
        <v>0</v>
      </c>
      <c r="C357" s="56" t="s">
        <v>134</v>
      </c>
      <c r="D357" s="129" t="str">
        <f>bitConcat(F358:F361)</f>
        <v>32'b00000000000000000000000000000000</v>
      </c>
      <c r="E357" s="130"/>
      <c r="F357" s="130"/>
      <c r="G357" s="130"/>
      <c r="H357" s="131" t="s">
        <v>135</v>
      </c>
      <c r="I357" s="131"/>
      <c r="J357" s="131" t="str">
        <f>bitConcat(G358:G361)</f>
        <v>32'b00000000000000000000000000000000</v>
      </c>
      <c r="K357" s="131"/>
      <c r="L357" s="132"/>
      <c r="M357" s="119" t="str">
        <f>DEC2HEX(_xlfn.BITLSHIFT(HEX2DEC(Q357),2))</f>
        <v>16C</v>
      </c>
      <c r="N357" s="119"/>
      <c r="O357" s="119">
        <v>2</v>
      </c>
      <c r="P357" s="121">
        <v>0</v>
      </c>
      <c r="Q357" s="121" t="str">
        <f>AB357</f>
        <v>5B</v>
      </c>
      <c r="R357" s="123" t="str">
        <f t="shared" ref="R357" si="537">BIN2HEX(LEFT(RIGHT(D357,32),4))&amp;BIN2HEX(LEFT(RIGHT(D357,28),4))&amp;BIN2HEX(LEFT(RIGHT(D357,24),4))&amp;BIN2HEX(LEFT(RIGHT(D357,20),4))&amp;BIN2HEX(LEFT(RIGHT(D357,16),4))&amp;BIN2HEX(LEFT(RIGHT(D357,12),4))&amp;BIN2HEX(LEFT(RIGHT(D357,8),4))&amp;BIN2HEX(LEFT(RIGHT(D357,4),4))</f>
        <v>00000000</v>
      </c>
      <c r="S357" s="123" t="str">
        <f t="shared" ref="S357" si="538">BIN2HEX(LEFT(RIGHT(J357,32),4))&amp;BIN2HEX(LEFT(RIGHT(J357,28),4))&amp;BIN2HEX(LEFT(RIGHT(J357,24),4))&amp;BIN2HEX(LEFT(RIGHT(J357,20),4))&amp;BIN2HEX(LEFT(RIGHT(J357,16),4))&amp;BIN2HEX(LEFT(RIGHT(J357,12),4))&amp;BIN2HEX(LEFT(RIGHT(J357,8),4))&amp;BIN2HEX(LEFT(RIGHT(J357,4),4))</f>
        <v>00000000</v>
      </c>
      <c r="T357" s="158">
        <v>23</v>
      </c>
      <c r="U357" s="155" t="str">
        <f t="shared" ref="U357" si="539">LEFT(DEC2BIN(O357,2))</f>
        <v>1</v>
      </c>
      <c r="V357" s="145" t="str">
        <f t="shared" ref="V357" si="540">RIGHT(DEC2BIN(O357,2),1)</f>
        <v>0</v>
      </c>
      <c r="W357" s="148">
        <v>1</v>
      </c>
      <c r="X357" s="155">
        <v>1</v>
      </c>
      <c r="Y357" s="145">
        <v>0</v>
      </c>
      <c r="Z357" s="148">
        <v>1</v>
      </c>
      <c r="AA357" s="148">
        <v>1</v>
      </c>
      <c r="AB357" s="148" t="str">
        <f t="shared" ref="AB357" si="541">BIN2HEX(U357&amp;V357&amp;W357&amp;X357&amp;Y357&amp;Z357&amp;AA357)</f>
        <v>5B</v>
      </c>
      <c r="AC357" s="151" t="str">
        <f>CONCATENATE("vofc_dom",BIN2DEC(U357&amp;V357),"_quad",BIN2DEC(AA357),"_quad",BIN2DEC(AA357)+2,"_sar",ABS( BIN2DEC(V357)*3-BIN2DEC(Z357)),"_slc",BIN2DEC(X357&amp;Y357)+BIN2DEC(W357)*3)</f>
        <v>vofc_dom2_quad1_quad3_sar1_slc5</v>
      </c>
      <c r="AD357" s="57"/>
      <c r="AE357" s="57"/>
      <c r="AF357" s="57"/>
      <c r="AG357" s="57"/>
      <c r="AH357" s="57"/>
    </row>
    <row r="358" spans="1:34" ht="15" customHeight="1">
      <c r="A358" s="134"/>
      <c r="B358" s="136"/>
      <c r="C358" s="43" t="str">
        <f>CONCATENATE("sar",AD358+AE358*4+AF358*16,"_slc",AG358)</f>
        <v>sar31_slc5</v>
      </c>
      <c r="D358" s="44">
        <v>8</v>
      </c>
      <c r="E358" s="29" t="str">
        <f>IF(D358&gt;1,(31)&amp;":"&amp;(31-D358+1),(31-D358+1)&amp;":"&amp;(31-D358+1))</f>
        <v>31:24</v>
      </c>
      <c r="F358" s="30" t="s">
        <v>133</v>
      </c>
      <c r="G358" s="30" t="s">
        <v>133</v>
      </c>
      <c r="H358" s="45" t="s">
        <v>143</v>
      </c>
      <c r="I358" s="31" t="s">
        <v>68</v>
      </c>
      <c r="J358" s="32" t="s">
        <v>36</v>
      </c>
      <c r="K358" s="33" t="s">
        <v>6</v>
      </c>
      <c r="L358" s="46"/>
      <c r="M358" s="120"/>
      <c r="N358" s="120"/>
      <c r="O358" s="120"/>
      <c r="P358" s="122"/>
      <c r="Q358" s="122"/>
      <c r="R358" s="124"/>
      <c r="S358" s="124"/>
      <c r="T358" s="158"/>
      <c r="U358" s="156"/>
      <c r="V358" s="146"/>
      <c r="W358" s="149"/>
      <c r="X358" s="156"/>
      <c r="Y358" s="146"/>
      <c r="Z358" s="149"/>
      <c r="AA358" s="149"/>
      <c r="AB358" s="149"/>
      <c r="AC358" s="152"/>
      <c r="AD358" s="57">
        <f>BIN2DEC($AA357)*3</f>
        <v>3</v>
      </c>
      <c r="AE358" s="57">
        <f>ABS(BIN2DEC($U357)*3)</f>
        <v>3</v>
      </c>
      <c r="AF358" s="57">
        <f>ABS( BIN2DEC(V357)*3-BIN2DEC(Z357))</f>
        <v>1</v>
      </c>
      <c r="AG358" s="57">
        <f>BIN2DEC(X357&amp;Y357)+BIN2DEC(W357)*3</f>
        <v>5</v>
      </c>
      <c r="AH358" s="57">
        <f>AD358+AE358*4+AF358*16</f>
        <v>31</v>
      </c>
    </row>
    <row r="359" spans="1:34" ht="15" customHeight="1">
      <c r="A359" s="134"/>
      <c r="B359" s="136"/>
      <c r="C359" s="43" t="str">
        <f t="shared" ref="C359:C361" si="542">CONCATENATE("sar",AD359+AE359*4+AF359*16,"_slc",AG359)</f>
        <v>sar27_slc5</v>
      </c>
      <c r="D359" s="44">
        <v>8</v>
      </c>
      <c r="E359" s="30" t="str">
        <f t="shared" ref="E359:E361" si="543">(MID(str_cnvt(E358),SEARCH(":",str_cnvt(E358))+1,2)-1) &amp; ":" &amp; (MID(str_cnvt(E358),SEARCH(":",str_cnvt(E358))+1,2)-D359)</f>
        <v>23:16</v>
      </c>
      <c r="F359" s="30" t="s">
        <v>133</v>
      </c>
      <c r="G359" s="30" t="s">
        <v>133</v>
      </c>
      <c r="H359" s="45" t="s">
        <v>143</v>
      </c>
      <c r="I359" s="31" t="s">
        <v>68</v>
      </c>
      <c r="J359" s="32" t="s">
        <v>36</v>
      </c>
      <c r="K359" s="33" t="s">
        <v>6</v>
      </c>
      <c r="L359" s="46"/>
      <c r="M359" s="120"/>
      <c r="N359" s="120"/>
      <c r="O359" s="120"/>
      <c r="P359" s="122"/>
      <c r="Q359" s="122"/>
      <c r="R359" s="124"/>
      <c r="S359" s="124"/>
      <c r="T359" s="158"/>
      <c r="U359" s="156"/>
      <c r="V359" s="146"/>
      <c r="W359" s="149"/>
      <c r="X359" s="156"/>
      <c r="Y359" s="146"/>
      <c r="Z359" s="149"/>
      <c r="AA359" s="149"/>
      <c r="AB359" s="149"/>
      <c r="AC359" s="152"/>
      <c r="AD359" s="57">
        <f>BIN2DEC($AA357)*3</f>
        <v>3</v>
      </c>
      <c r="AE359" s="57">
        <f>ABS(BIN2DEC($U357)*3-1)</f>
        <v>2</v>
      </c>
      <c r="AF359" s="57">
        <f>ABS( BIN2DEC(V357)*3-BIN2DEC(Z357))</f>
        <v>1</v>
      </c>
      <c r="AG359" s="57">
        <f>BIN2DEC(X357&amp;Y357)+BIN2DEC(W357)*3</f>
        <v>5</v>
      </c>
      <c r="AH359" s="57">
        <f t="shared" ref="AH359:AH361" si="544">AD359+AE359*4+AF359*16</f>
        <v>27</v>
      </c>
    </row>
    <row r="360" spans="1:34" ht="15" customHeight="1">
      <c r="A360" s="134"/>
      <c r="B360" s="136"/>
      <c r="C360" s="43" t="str">
        <f t="shared" si="542"/>
        <v>sar29_slc5</v>
      </c>
      <c r="D360" s="44">
        <v>8</v>
      </c>
      <c r="E360" s="30" t="str">
        <f t="shared" si="543"/>
        <v>15:8</v>
      </c>
      <c r="F360" s="30" t="s">
        <v>133</v>
      </c>
      <c r="G360" s="30" t="s">
        <v>133</v>
      </c>
      <c r="H360" s="45" t="s">
        <v>143</v>
      </c>
      <c r="I360" s="31" t="s">
        <v>68</v>
      </c>
      <c r="J360" s="32" t="s">
        <v>36</v>
      </c>
      <c r="K360" s="33" t="s">
        <v>6</v>
      </c>
      <c r="L360" s="46"/>
      <c r="M360" s="120"/>
      <c r="N360" s="120"/>
      <c r="O360" s="120"/>
      <c r="P360" s="122"/>
      <c r="Q360" s="122"/>
      <c r="R360" s="124"/>
      <c r="S360" s="124"/>
      <c r="T360" s="158"/>
      <c r="U360" s="156"/>
      <c r="V360" s="146"/>
      <c r="W360" s="149"/>
      <c r="X360" s="156"/>
      <c r="Y360" s="146"/>
      <c r="Z360" s="149"/>
      <c r="AA360" s="149"/>
      <c r="AB360" s="149"/>
      <c r="AC360" s="152"/>
      <c r="AD360" s="57">
        <f>ABS(BIN2DEC($AA357)*3-2)</f>
        <v>1</v>
      </c>
      <c r="AE360" s="57">
        <f>ABS(BIN2DEC($U357)*3)</f>
        <v>3</v>
      </c>
      <c r="AF360" s="57">
        <f>ABS( BIN2DEC(V357)*3-BIN2DEC(Z357))</f>
        <v>1</v>
      </c>
      <c r="AG360" s="57">
        <f>BIN2DEC(X357&amp;Y357)+BIN2DEC(W357)*3</f>
        <v>5</v>
      </c>
      <c r="AH360" s="57">
        <f t="shared" si="544"/>
        <v>29</v>
      </c>
    </row>
    <row r="361" spans="1:34" ht="15.75" customHeight="1" thickBot="1">
      <c r="A361" s="134"/>
      <c r="B361" s="136"/>
      <c r="C361" s="43" t="str">
        <f t="shared" si="542"/>
        <v>sar25_slc5</v>
      </c>
      <c r="D361" s="44">
        <v>8</v>
      </c>
      <c r="E361" s="30" t="str">
        <f t="shared" si="543"/>
        <v>7:0</v>
      </c>
      <c r="F361" s="30" t="s">
        <v>133</v>
      </c>
      <c r="G361" s="30" t="s">
        <v>133</v>
      </c>
      <c r="H361" s="45" t="s">
        <v>143</v>
      </c>
      <c r="I361" s="31" t="s">
        <v>68</v>
      </c>
      <c r="J361" s="32" t="s">
        <v>36</v>
      </c>
      <c r="K361" s="33" t="s">
        <v>6</v>
      </c>
      <c r="L361" s="46"/>
      <c r="M361" s="120"/>
      <c r="N361" s="120"/>
      <c r="O361" s="120"/>
      <c r="P361" s="122"/>
      <c r="Q361" s="122"/>
      <c r="R361" s="124"/>
      <c r="S361" s="124"/>
      <c r="T361" s="158"/>
      <c r="U361" s="157"/>
      <c r="V361" s="147"/>
      <c r="W361" s="150"/>
      <c r="X361" s="157"/>
      <c r="Y361" s="147"/>
      <c r="Z361" s="150"/>
      <c r="AA361" s="150"/>
      <c r="AB361" s="150"/>
      <c r="AC361" s="153"/>
      <c r="AD361" s="57">
        <f>ABS(BIN2DEC($AA357)*3-2)</f>
        <v>1</v>
      </c>
      <c r="AE361" s="57">
        <f>ABS(BIN2DEC($U357)*3-1)</f>
        <v>2</v>
      </c>
      <c r="AF361" s="57">
        <f>ABS( BIN2DEC(V357)*3-BIN2DEC(Z357))</f>
        <v>1</v>
      </c>
      <c r="AG361" s="57">
        <f>BIN2DEC(X357&amp;Y357)+BIN2DEC(W357)*3</f>
        <v>5</v>
      </c>
      <c r="AH361" s="57">
        <f t="shared" si="544"/>
        <v>25</v>
      </c>
    </row>
    <row r="362" spans="1:34" ht="15.75" customHeight="1">
      <c r="A362" s="125" t="str">
        <f>AC362</f>
        <v>vofc_dom3_quad0_quad2_sar3_slc0</v>
      </c>
      <c r="B362" s="127" t="str">
        <f>DEC2HEX(P362*4)</f>
        <v>0</v>
      </c>
      <c r="C362" s="56" t="s">
        <v>134</v>
      </c>
      <c r="D362" s="129" t="str">
        <f>bitConcat(F363:F366)</f>
        <v>32'b00000000000000000000000000000000</v>
      </c>
      <c r="E362" s="130"/>
      <c r="F362" s="130"/>
      <c r="G362" s="130"/>
      <c r="H362" s="131" t="s">
        <v>135</v>
      </c>
      <c r="I362" s="131"/>
      <c r="J362" s="131" t="str">
        <f>bitConcat(G363:G366)</f>
        <v>32'b00000000000000000000000000000000</v>
      </c>
      <c r="K362" s="131"/>
      <c r="L362" s="132"/>
      <c r="M362" s="119" t="str">
        <f>DEC2HEX(_xlfn.BITLSHIFT(HEX2DEC(Q362),2))</f>
        <v>180</v>
      </c>
      <c r="N362" s="119"/>
      <c r="O362" s="119">
        <v>3</v>
      </c>
      <c r="P362" s="121">
        <v>0</v>
      </c>
      <c r="Q362" s="121" t="str">
        <f>AB362</f>
        <v>60</v>
      </c>
      <c r="R362" s="123" t="str">
        <f t="shared" ref="R362" si="545">BIN2HEX(LEFT(RIGHT(D362,32),4))&amp;BIN2HEX(LEFT(RIGHT(D362,28),4))&amp;BIN2HEX(LEFT(RIGHT(D362,24),4))&amp;BIN2HEX(LEFT(RIGHT(D362,20),4))&amp;BIN2HEX(LEFT(RIGHT(D362,16),4))&amp;BIN2HEX(LEFT(RIGHT(D362,12),4))&amp;BIN2HEX(LEFT(RIGHT(D362,8),4))&amp;BIN2HEX(LEFT(RIGHT(D362,4),4))</f>
        <v>00000000</v>
      </c>
      <c r="S362" s="123" t="str">
        <f t="shared" ref="S362" si="546">BIN2HEX(LEFT(RIGHT(J362,32),4))&amp;BIN2HEX(LEFT(RIGHT(J362,28),4))&amp;BIN2HEX(LEFT(RIGHT(J362,24),4))&amp;BIN2HEX(LEFT(RIGHT(J362,20),4))&amp;BIN2HEX(LEFT(RIGHT(J362,16),4))&amp;BIN2HEX(LEFT(RIGHT(J362,12),4))&amp;BIN2HEX(LEFT(RIGHT(J362,8),4))&amp;BIN2HEX(LEFT(RIGHT(J362,4),4))</f>
        <v>00000000</v>
      </c>
      <c r="T362" s="154">
        <v>0</v>
      </c>
      <c r="U362" s="155" t="str">
        <f t="shared" ref="U362" si="547">LEFT(DEC2BIN(O362,2))</f>
        <v>1</v>
      </c>
      <c r="V362" s="145" t="str">
        <f t="shared" ref="V362" si="548">RIGHT(DEC2BIN(O362,2),1)</f>
        <v>1</v>
      </c>
      <c r="W362" s="148">
        <v>0</v>
      </c>
      <c r="X362" s="155">
        <v>0</v>
      </c>
      <c r="Y362" s="145">
        <v>0</v>
      </c>
      <c r="Z362" s="148">
        <v>0</v>
      </c>
      <c r="AA362" s="148">
        <v>0</v>
      </c>
      <c r="AB362" s="148" t="str">
        <f t="shared" ref="AB362" si="549">BIN2HEX(U362&amp;V362&amp;W362&amp;X362&amp;Y362&amp;Z362&amp;AA362)</f>
        <v>60</v>
      </c>
      <c r="AC362" s="151" t="str">
        <f>CONCATENATE("vofc_dom",BIN2DEC(U362&amp;V362),"_quad",BIN2DEC(AA362),"_quad",BIN2DEC(AA362)+2,"_sar",ABS( BIN2DEC(V362)*3-BIN2DEC(Z362)),"_slc",BIN2DEC(X362&amp;Y362)+BIN2DEC(W362)*3)</f>
        <v>vofc_dom3_quad0_quad2_sar3_slc0</v>
      </c>
      <c r="AD362" s="57"/>
      <c r="AE362" s="57"/>
      <c r="AF362" s="57"/>
      <c r="AG362" s="57"/>
      <c r="AH362" s="57"/>
    </row>
    <row r="363" spans="1:34" ht="15" customHeight="1">
      <c r="A363" s="126"/>
      <c r="B363" s="128"/>
      <c r="C363" s="43" t="str">
        <f>CONCATENATE("sar",AD363+AE363*4+AF363*16,"_slc",AG363)</f>
        <v>sar60_slc0</v>
      </c>
      <c r="D363" s="44">
        <v>8</v>
      </c>
      <c r="E363" s="29" t="str">
        <f>IF(D363&gt;1,(31)&amp;":"&amp;(31-D363+1),(31-D363+1)&amp;":"&amp;(31-D363+1))</f>
        <v>31:24</v>
      </c>
      <c r="F363" s="30" t="s">
        <v>133</v>
      </c>
      <c r="G363" s="30" t="s">
        <v>133</v>
      </c>
      <c r="H363" s="45" t="s">
        <v>143</v>
      </c>
      <c r="I363" s="31" t="s">
        <v>68</v>
      </c>
      <c r="J363" s="32" t="s">
        <v>36</v>
      </c>
      <c r="K363" s="33" t="s">
        <v>6</v>
      </c>
      <c r="L363" s="46"/>
      <c r="M363" s="120"/>
      <c r="N363" s="120"/>
      <c r="O363" s="120"/>
      <c r="P363" s="122"/>
      <c r="Q363" s="122"/>
      <c r="R363" s="124"/>
      <c r="S363" s="124"/>
      <c r="T363" s="154"/>
      <c r="U363" s="156"/>
      <c r="V363" s="146"/>
      <c r="W363" s="149"/>
      <c r="X363" s="156"/>
      <c r="Y363" s="146"/>
      <c r="Z363" s="149"/>
      <c r="AA363" s="149"/>
      <c r="AB363" s="149"/>
      <c r="AC363" s="152"/>
      <c r="AD363" s="57">
        <f>BIN2DEC($AA362)*3</f>
        <v>0</v>
      </c>
      <c r="AE363" s="57">
        <f>ABS(BIN2DEC($U362)*3)</f>
        <v>3</v>
      </c>
      <c r="AF363" s="57">
        <f>ABS( BIN2DEC(V362)*3-BIN2DEC(Z362))</f>
        <v>3</v>
      </c>
      <c r="AG363" s="57">
        <f>BIN2DEC(X362&amp;Y362)+BIN2DEC(W362)*3</f>
        <v>0</v>
      </c>
      <c r="AH363" s="57">
        <f>AD363+AE363*4+AF363*16</f>
        <v>60</v>
      </c>
    </row>
    <row r="364" spans="1:34" ht="15" customHeight="1">
      <c r="A364" s="126"/>
      <c r="B364" s="128"/>
      <c r="C364" s="43" t="str">
        <f t="shared" ref="C364:C366" si="550">CONCATENATE("sar",AD364+AE364*4+AF364*16,"_slc",AG364)</f>
        <v>sar56_slc0</v>
      </c>
      <c r="D364" s="44">
        <v>8</v>
      </c>
      <c r="E364" s="30" t="str">
        <f t="shared" ref="E364:E366" si="551">(MID(str_cnvt(E363),SEARCH(":",str_cnvt(E363))+1,2)-1) &amp; ":" &amp; (MID(str_cnvt(E363),SEARCH(":",str_cnvt(E363))+1,2)-D364)</f>
        <v>23:16</v>
      </c>
      <c r="F364" s="30" t="s">
        <v>133</v>
      </c>
      <c r="G364" s="30" t="s">
        <v>133</v>
      </c>
      <c r="H364" s="45" t="s">
        <v>143</v>
      </c>
      <c r="I364" s="31" t="s">
        <v>68</v>
      </c>
      <c r="J364" s="32" t="s">
        <v>36</v>
      </c>
      <c r="K364" s="33" t="s">
        <v>6</v>
      </c>
      <c r="L364" s="46"/>
      <c r="M364" s="120"/>
      <c r="N364" s="120"/>
      <c r="O364" s="120"/>
      <c r="P364" s="122"/>
      <c r="Q364" s="122"/>
      <c r="R364" s="124"/>
      <c r="S364" s="124"/>
      <c r="T364" s="154"/>
      <c r="U364" s="156"/>
      <c r="V364" s="146"/>
      <c r="W364" s="149"/>
      <c r="X364" s="156"/>
      <c r="Y364" s="146"/>
      <c r="Z364" s="149"/>
      <c r="AA364" s="149"/>
      <c r="AB364" s="149"/>
      <c r="AC364" s="152"/>
      <c r="AD364" s="57">
        <f>BIN2DEC($AA362)*3</f>
        <v>0</v>
      </c>
      <c r="AE364" s="57">
        <f>ABS(BIN2DEC($U362)*3-1)</f>
        <v>2</v>
      </c>
      <c r="AF364" s="57">
        <f>ABS( BIN2DEC(V362)*3-BIN2DEC(Z362))</f>
        <v>3</v>
      </c>
      <c r="AG364" s="57">
        <f>BIN2DEC(X362&amp;Y362)+BIN2DEC(W362)*3</f>
        <v>0</v>
      </c>
      <c r="AH364" s="57">
        <f t="shared" ref="AH364:AH366" si="552">AD364+AE364*4+AF364*16</f>
        <v>56</v>
      </c>
    </row>
    <row r="365" spans="1:34" ht="15" customHeight="1">
      <c r="A365" s="126"/>
      <c r="B365" s="128"/>
      <c r="C365" s="43" t="str">
        <f t="shared" si="550"/>
        <v>sar62_slc0</v>
      </c>
      <c r="D365" s="44">
        <v>8</v>
      </c>
      <c r="E365" s="30" t="str">
        <f t="shared" si="551"/>
        <v>15:8</v>
      </c>
      <c r="F365" s="30" t="s">
        <v>133</v>
      </c>
      <c r="G365" s="30" t="s">
        <v>133</v>
      </c>
      <c r="H365" s="45" t="s">
        <v>143</v>
      </c>
      <c r="I365" s="31" t="s">
        <v>68</v>
      </c>
      <c r="J365" s="32" t="s">
        <v>36</v>
      </c>
      <c r="K365" s="33" t="s">
        <v>6</v>
      </c>
      <c r="L365" s="46"/>
      <c r="M365" s="120"/>
      <c r="N365" s="120"/>
      <c r="O365" s="120"/>
      <c r="P365" s="122"/>
      <c r="Q365" s="122"/>
      <c r="R365" s="124"/>
      <c r="S365" s="124"/>
      <c r="T365" s="154"/>
      <c r="U365" s="156"/>
      <c r="V365" s="146"/>
      <c r="W365" s="149"/>
      <c r="X365" s="156"/>
      <c r="Y365" s="146"/>
      <c r="Z365" s="149"/>
      <c r="AA365" s="149"/>
      <c r="AB365" s="149"/>
      <c r="AC365" s="152"/>
      <c r="AD365" s="57">
        <f>ABS(BIN2DEC($AA362)*3-2)</f>
        <v>2</v>
      </c>
      <c r="AE365" s="57">
        <f>ABS(BIN2DEC($U362)*3)</f>
        <v>3</v>
      </c>
      <c r="AF365" s="57">
        <f>ABS( BIN2DEC(V362)*3-BIN2DEC(Z362))</f>
        <v>3</v>
      </c>
      <c r="AG365" s="57">
        <f>BIN2DEC(X362&amp;Y362)+BIN2DEC(W362)*3</f>
        <v>0</v>
      </c>
      <c r="AH365" s="57">
        <f t="shared" si="552"/>
        <v>62</v>
      </c>
    </row>
    <row r="366" spans="1:34" ht="15.75" customHeight="1" thickBot="1">
      <c r="A366" s="126"/>
      <c r="B366" s="128"/>
      <c r="C366" s="43" t="str">
        <f t="shared" si="550"/>
        <v>sar58_slc0</v>
      </c>
      <c r="D366" s="44">
        <v>8</v>
      </c>
      <c r="E366" s="30" t="str">
        <f t="shared" si="551"/>
        <v>7:0</v>
      </c>
      <c r="F366" s="30" t="s">
        <v>133</v>
      </c>
      <c r="G366" s="30" t="s">
        <v>133</v>
      </c>
      <c r="H366" s="45" t="s">
        <v>143</v>
      </c>
      <c r="I366" s="31" t="s">
        <v>68</v>
      </c>
      <c r="J366" s="32" t="s">
        <v>36</v>
      </c>
      <c r="K366" s="33" t="s">
        <v>6</v>
      </c>
      <c r="L366" s="46"/>
      <c r="M366" s="120"/>
      <c r="N366" s="120"/>
      <c r="O366" s="120"/>
      <c r="P366" s="122"/>
      <c r="Q366" s="122"/>
      <c r="R366" s="124"/>
      <c r="S366" s="124"/>
      <c r="T366" s="154"/>
      <c r="U366" s="157"/>
      <c r="V366" s="147"/>
      <c r="W366" s="150"/>
      <c r="X366" s="157"/>
      <c r="Y366" s="147"/>
      <c r="Z366" s="150"/>
      <c r="AA366" s="150"/>
      <c r="AB366" s="150"/>
      <c r="AC366" s="153"/>
      <c r="AD366" s="57">
        <f>ABS(BIN2DEC($AA362)*3-2)</f>
        <v>2</v>
      </c>
      <c r="AE366" s="57">
        <f>ABS(BIN2DEC($U362)*3-1)</f>
        <v>2</v>
      </c>
      <c r="AF366" s="57">
        <f>ABS( BIN2DEC(V362)*3-BIN2DEC(Z362))</f>
        <v>3</v>
      </c>
      <c r="AG366" s="57">
        <f>BIN2DEC(X362&amp;Y362)+BIN2DEC(W362)*3</f>
        <v>0</v>
      </c>
      <c r="AH366" s="57">
        <f t="shared" si="552"/>
        <v>58</v>
      </c>
    </row>
    <row r="367" spans="1:34" ht="15.75" customHeight="1">
      <c r="A367" s="125" t="str">
        <f>AC367</f>
        <v>vofc_dom3_quad1_quad3_sar3_slc0</v>
      </c>
      <c r="B367" s="127" t="str">
        <f>DEC2HEX(P367*4)</f>
        <v>0</v>
      </c>
      <c r="C367" s="56" t="s">
        <v>134</v>
      </c>
      <c r="D367" s="129" t="str">
        <f>bitConcat(F368:F371)</f>
        <v>32'b00000000000000000000000000000000</v>
      </c>
      <c r="E367" s="130"/>
      <c r="F367" s="130"/>
      <c r="G367" s="130"/>
      <c r="H367" s="131" t="s">
        <v>135</v>
      </c>
      <c r="I367" s="131"/>
      <c r="J367" s="131" t="str">
        <f>bitConcat(G368:G371)</f>
        <v>32'b00000000000000000000000000000000</v>
      </c>
      <c r="K367" s="131"/>
      <c r="L367" s="132"/>
      <c r="M367" s="119" t="str">
        <f>DEC2HEX(_xlfn.BITLSHIFT(HEX2DEC(Q367),2))</f>
        <v>184</v>
      </c>
      <c r="N367" s="119"/>
      <c r="O367" s="119">
        <v>3</v>
      </c>
      <c r="P367" s="121">
        <v>0</v>
      </c>
      <c r="Q367" s="121" t="str">
        <f>AB367</f>
        <v>61</v>
      </c>
      <c r="R367" s="123" t="str">
        <f t="shared" ref="R367" si="553">BIN2HEX(LEFT(RIGHT(D367,32),4))&amp;BIN2HEX(LEFT(RIGHT(D367,28),4))&amp;BIN2HEX(LEFT(RIGHT(D367,24),4))&amp;BIN2HEX(LEFT(RIGHT(D367,20),4))&amp;BIN2HEX(LEFT(RIGHT(D367,16),4))&amp;BIN2HEX(LEFT(RIGHT(D367,12),4))&amp;BIN2HEX(LEFT(RIGHT(D367,8),4))&amp;BIN2HEX(LEFT(RIGHT(D367,4),4))</f>
        <v>00000000</v>
      </c>
      <c r="S367" s="123" t="str">
        <f t="shared" ref="S367" si="554">BIN2HEX(LEFT(RIGHT(J367,32),4))&amp;BIN2HEX(LEFT(RIGHT(J367,28),4))&amp;BIN2HEX(LEFT(RIGHT(J367,24),4))&amp;BIN2HEX(LEFT(RIGHT(J367,20),4))&amp;BIN2HEX(LEFT(RIGHT(J367,16),4))&amp;BIN2HEX(LEFT(RIGHT(J367,12),4))&amp;BIN2HEX(LEFT(RIGHT(J367,8),4))&amp;BIN2HEX(LEFT(RIGHT(J367,4),4))</f>
        <v>00000000</v>
      </c>
      <c r="T367" s="154">
        <v>1</v>
      </c>
      <c r="U367" s="155" t="str">
        <f t="shared" ref="U367" si="555">LEFT(DEC2BIN(O367,2))</f>
        <v>1</v>
      </c>
      <c r="V367" s="145" t="str">
        <f t="shared" ref="V367" si="556">RIGHT(DEC2BIN(O367,2),1)</f>
        <v>1</v>
      </c>
      <c r="W367" s="148">
        <v>0</v>
      </c>
      <c r="X367" s="155">
        <v>0</v>
      </c>
      <c r="Y367" s="145">
        <v>0</v>
      </c>
      <c r="Z367" s="148">
        <v>0</v>
      </c>
      <c r="AA367" s="148">
        <v>1</v>
      </c>
      <c r="AB367" s="148" t="str">
        <f t="shared" ref="AB367" si="557">BIN2HEX(U367&amp;V367&amp;W367&amp;X367&amp;Y367&amp;Z367&amp;AA367)</f>
        <v>61</v>
      </c>
      <c r="AC367" s="151" t="str">
        <f>CONCATENATE("vofc_dom",BIN2DEC(U367&amp;V367),"_quad",BIN2DEC(AA367),"_quad",BIN2DEC(AA367)+2,"_sar",ABS( BIN2DEC(V367)*3-BIN2DEC(Z367)),"_slc",BIN2DEC(X367&amp;Y367)+BIN2DEC(W367)*3)</f>
        <v>vofc_dom3_quad1_quad3_sar3_slc0</v>
      </c>
      <c r="AD367" s="57"/>
      <c r="AE367" s="57"/>
      <c r="AF367" s="57"/>
      <c r="AG367" s="57"/>
      <c r="AH367" s="57"/>
    </row>
    <row r="368" spans="1:34" ht="15" customHeight="1">
      <c r="A368" s="126"/>
      <c r="B368" s="128"/>
      <c r="C368" s="43" t="str">
        <f>CONCATENATE("sar",AD368+AE368*4+AF368*16,"_slc",AG368)</f>
        <v>sar63_slc0</v>
      </c>
      <c r="D368" s="44">
        <v>8</v>
      </c>
      <c r="E368" s="29" t="str">
        <f>IF(D368&gt;1,(31)&amp;":"&amp;(31-D368+1),(31-D368+1)&amp;":"&amp;(31-D368+1))</f>
        <v>31:24</v>
      </c>
      <c r="F368" s="30" t="s">
        <v>133</v>
      </c>
      <c r="G368" s="30" t="s">
        <v>133</v>
      </c>
      <c r="H368" s="45" t="s">
        <v>143</v>
      </c>
      <c r="I368" s="31" t="s">
        <v>68</v>
      </c>
      <c r="J368" s="32" t="s">
        <v>36</v>
      </c>
      <c r="K368" s="33" t="s">
        <v>6</v>
      </c>
      <c r="L368" s="46"/>
      <c r="M368" s="120"/>
      <c r="N368" s="120"/>
      <c r="O368" s="120"/>
      <c r="P368" s="122"/>
      <c r="Q368" s="122"/>
      <c r="R368" s="124"/>
      <c r="S368" s="124"/>
      <c r="T368" s="154"/>
      <c r="U368" s="156"/>
      <c r="V368" s="146"/>
      <c r="W368" s="149"/>
      <c r="X368" s="156"/>
      <c r="Y368" s="146"/>
      <c r="Z368" s="149"/>
      <c r="AA368" s="149"/>
      <c r="AB368" s="149"/>
      <c r="AC368" s="152"/>
      <c r="AD368" s="57">
        <f>BIN2DEC($AA367)*3</f>
        <v>3</v>
      </c>
      <c r="AE368" s="57">
        <f>ABS(BIN2DEC($U367)*3)</f>
        <v>3</v>
      </c>
      <c r="AF368" s="57">
        <f>ABS( BIN2DEC(V367)*3-BIN2DEC(Z367))</f>
        <v>3</v>
      </c>
      <c r="AG368" s="57">
        <f>BIN2DEC(X367&amp;Y367)+BIN2DEC(W367)*3</f>
        <v>0</v>
      </c>
      <c r="AH368" s="57">
        <f>AD368+AE368*4+AF368*16</f>
        <v>63</v>
      </c>
    </row>
    <row r="369" spans="1:34" ht="15" customHeight="1">
      <c r="A369" s="126"/>
      <c r="B369" s="128"/>
      <c r="C369" s="43" t="str">
        <f t="shared" ref="C369:C371" si="558">CONCATENATE("sar",AD369+AE369*4+AF369*16,"_slc",AG369)</f>
        <v>sar59_slc0</v>
      </c>
      <c r="D369" s="44">
        <v>8</v>
      </c>
      <c r="E369" s="30" t="str">
        <f t="shared" ref="E369:E371" si="559">(MID(str_cnvt(E368),SEARCH(":",str_cnvt(E368))+1,2)-1) &amp; ":" &amp; (MID(str_cnvt(E368),SEARCH(":",str_cnvt(E368))+1,2)-D369)</f>
        <v>23:16</v>
      </c>
      <c r="F369" s="30" t="s">
        <v>133</v>
      </c>
      <c r="G369" s="30" t="s">
        <v>133</v>
      </c>
      <c r="H369" s="45" t="s">
        <v>143</v>
      </c>
      <c r="I369" s="31" t="s">
        <v>68</v>
      </c>
      <c r="J369" s="32" t="s">
        <v>36</v>
      </c>
      <c r="K369" s="33" t="s">
        <v>6</v>
      </c>
      <c r="L369" s="46"/>
      <c r="M369" s="120"/>
      <c r="N369" s="120"/>
      <c r="O369" s="120"/>
      <c r="P369" s="122"/>
      <c r="Q369" s="122"/>
      <c r="R369" s="124"/>
      <c r="S369" s="124"/>
      <c r="T369" s="154"/>
      <c r="U369" s="156"/>
      <c r="V369" s="146"/>
      <c r="W369" s="149"/>
      <c r="X369" s="156"/>
      <c r="Y369" s="146"/>
      <c r="Z369" s="149"/>
      <c r="AA369" s="149"/>
      <c r="AB369" s="149"/>
      <c r="AC369" s="152"/>
      <c r="AD369" s="57">
        <f>BIN2DEC($AA367)*3</f>
        <v>3</v>
      </c>
      <c r="AE369" s="57">
        <f>ABS(BIN2DEC($U367)*3-1)</f>
        <v>2</v>
      </c>
      <c r="AF369" s="57">
        <f>ABS( BIN2DEC(V367)*3-BIN2DEC(Z367))</f>
        <v>3</v>
      </c>
      <c r="AG369" s="57">
        <f>BIN2DEC(X367&amp;Y367)+BIN2DEC(W367)*3</f>
        <v>0</v>
      </c>
      <c r="AH369" s="57">
        <f t="shared" ref="AH369:AH371" si="560">AD369+AE369*4+AF369*16</f>
        <v>59</v>
      </c>
    </row>
    <row r="370" spans="1:34" ht="15" customHeight="1">
      <c r="A370" s="126"/>
      <c r="B370" s="128"/>
      <c r="C370" s="43" t="str">
        <f t="shared" si="558"/>
        <v>sar61_slc0</v>
      </c>
      <c r="D370" s="44">
        <v>8</v>
      </c>
      <c r="E370" s="30" t="str">
        <f t="shared" si="559"/>
        <v>15:8</v>
      </c>
      <c r="F370" s="30" t="s">
        <v>133</v>
      </c>
      <c r="G370" s="30" t="s">
        <v>133</v>
      </c>
      <c r="H370" s="45" t="s">
        <v>143</v>
      </c>
      <c r="I370" s="31" t="s">
        <v>68</v>
      </c>
      <c r="J370" s="32" t="s">
        <v>36</v>
      </c>
      <c r="K370" s="33" t="s">
        <v>6</v>
      </c>
      <c r="L370" s="46"/>
      <c r="M370" s="120"/>
      <c r="N370" s="120"/>
      <c r="O370" s="120"/>
      <c r="P370" s="122"/>
      <c r="Q370" s="122"/>
      <c r="R370" s="124"/>
      <c r="S370" s="124"/>
      <c r="T370" s="154"/>
      <c r="U370" s="156"/>
      <c r="V370" s="146"/>
      <c r="W370" s="149"/>
      <c r="X370" s="156"/>
      <c r="Y370" s="146"/>
      <c r="Z370" s="149"/>
      <c r="AA370" s="149"/>
      <c r="AB370" s="149"/>
      <c r="AC370" s="152"/>
      <c r="AD370" s="57">
        <f>ABS(BIN2DEC($AA367)*3-2)</f>
        <v>1</v>
      </c>
      <c r="AE370" s="57">
        <f>ABS(BIN2DEC($U367)*3)</f>
        <v>3</v>
      </c>
      <c r="AF370" s="57">
        <f>ABS( BIN2DEC(V367)*3-BIN2DEC(Z367))</f>
        <v>3</v>
      </c>
      <c r="AG370" s="57">
        <f>BIN2DEC(X367&amp;Y367)+BIN2DEC(W367)*3</f>
        <v>0</v>
      </c>
      <c r="AH370" s="57">
        <f t="shared" si="560"/>
        <v>61</v>
      </c>
    </row>
    <row r="371" spans="1:34" ht="15.75" customHeight="1" thickBot="1">
      <c r="A371" s="126"/>
      <c r="B371" s="128"/>
      <c r="C371" s="43" t="str">
        <f t="shared" si="558"/>
        <v>sar57_slc0</v>
      </c>
      <c r="D371" s="44">
        <v>8</v>
      </c>
      <c r="E371" s="30" t="str">
        <f t="shared" si="559"/>
        <v>7:0</v>
      </c>
      <c r="F371" s="30" t="s">
        <v>133</v>
      </c>
      <c r="G371" s="30" t="s">
        <v>133</v>
      </c>
      <c r="H371" s="45" t="s">
        <v>143</v>
      </c>
      <c r="I371" s="31" t="s">
        <v>68</v>
      </c>
      <c r="J371" s="32" t="s">
        <v>36</v>
      </c>
      <c r="K371" s="33" t="s">
        <v>6</v>
      </c>
      <c r="L371" s="46"/>
      <c r="M371" s="120"/>
      <c r="N371" s="120"/>
      <c r="O371" s="120"/>
      <c r="P371" s="122"/>
      <c r="Q371" s="122"/>
      <c r="R371" s="124"/>
      <c r="S371" s="124"/>
      <c r="T371" s="154"/>
      <c r="U371" s="157"/>
      <c r="V371" s="147"/>
      <c r="W371" s="150"/>
      <c r="X371" s="157"/>
      <c r="Y371" s="147"/>
      <c r="Z371" s="150"/>
      <c r="AA371" s="150"/>
      <c r="AB371" s="150"/>
      <c r="AC371" s="153"/>
      <c r="AD371" s="57">
        <f>ABS(BIN2DEC($AA367)*3-2)</f>
        <v>1</v>
      </c>
      <c r="AE371" s="57">
        <f>ABS(BIN2DEC($U367)*3-1)</f>
        <v>2</v>
      </c>
      <c r="AF371" s="57">
        <f>ABS( BIN2DEC(V367)*3-BIN2DEC(Z367))</f>
        <v>3</v>
      </c>
      <c r="AG371" s="57">
        <f>BIN2DEC(X367&amp;Y367)+BIN2DEC(W367)*3</f>
        <v>0</v>
      </c>
      <c r="AH371" s="57">
        <f t="shared" si="560"/>
        <v>57</v>
      </c>
    </row>
    <row r="372" spans="1:34" ht="15.75" customHeight="1">
      <c r="A372" s="125" t="str">
        <f>AC372</f>
        <v>vofc_dom3_quad0_quad2_sar2_slc0</v>
      </c>
      <c r="B372" s="127" t="str">
        <f>DEC2HEX(P372*4)</f>
        <v>0</v>
      </c>
      <c r="C372" s="56" t="s">
        <v>134</v>
      </c>
      <c r="D372" s="129" t="str">
        <f>bitConcat(F373:F376)</f>
        <v>32'b00000000000000000000000000000000</v>
      </c>
      <c r="E372" s="130"/>
      <c r="F372" s="130"/>
      <c r="G372" s="130"/>
      <c r="H372" s="131" t="s">
        <v>135</v>
      </c>
      <c r="I372" s="131"/>
      <c r="J372" s="131" t="str">
        <f>bitConcat(G373:G376)</f>
        <v>32'b00000000000000000000000000000000</v>
      </c>
      <c r="K372" s="131"/>
      <c r="L372" s="132"/>
      <c r="M372" s="119" t="str">
        <f>DEC2HEX(_xlfn.BITLSHIFT(HEX2DEC(Q372),2))</f>
        <v>188</v>
      </c>
      <c r="N372" s="119"/>
      <c r="O372" s="119">
        <v>3</v>
      </c>
      <c r="P372" s="121">
        <v>0</v>
      </c>
      <c r="Q372" s="121" t="str">
        <f>AB372</f>
        <v>62</v>
      </c>
      <c r="R372" s="123" t="str">
        <f t="shared" ref="R372" si="561">BIN2HEX(LEFT(RIGHT(D372,32),4))&amp;BIN2HEX(LEFT(RIGHT(D372,28),4))&amp;BIN2HEX(LEFT(RIGHT(D372,24),4))&amp;BIN2HEX(LEFT(RIGHT(D372,20),4))&amp;BIN2HEX(LEFT(RIGHT(D372,16),4))&amp;BIN2HEX(LEFT(RIGHT(D372,12),4))&amp;BIN2HEX(LEFT(RIGHT(D372,8),4))&amp;BIN2HEX(LEFT(RIGHT(D372,4),4))</f>
        <v>00000000</v>
      </c>
      <c r="S372" s="123" t="str">
        <f t="shared" ref="S372" si="562">BIN2HEX(LEFT(RIGHT(J372,32),4))&amp;BIN2HEX(LEFT(RIGHT(J372,28),4))&amp;BIN2HEX(LEFT(RIGHT(J372,24),4))&amp;BIN2HEX(LEFT(RIGHT(J372,20),4))&amp;BIN2HEX(LEFT(RIGHT(J372,16),4))&amp;BIN2HEX(LEFT(RIGHT(J372,12),4))&amp;BIN2HEX(LEFT(RIGHT(J372,8),4))&amp;BIN2HEX(LEFT(RIGHT(J372,4),4))</f>
        <v>00000000</v>
      </c>
      <c r="T372" s="154">
        <v>2</v>
      </c>
      <c r="U372" s="155" t="str">
        <f t="shared" ref="U372" si="563">LEFT(DEC2BIN(O372,2))</f>
        <v>1</v>
      </c>
      <c r="V372" s="145" t="str">
        <f t="shared" ref="V372" si="564">RIGHT(DEC2BIN(O372,2),1)</f>
        <v>1</v>
      </c>
      <c r="W372" s="148">
        <v>0</v>
      </c>
      <c r="X372" s="155">
        <v>0</v>
      </c>
      <c r="Y372" s="145">
        <v>0</v>
      </c>
      <c r="Z372" s="148">
        <v>1</v>
      </c>
      <c r="AA372" s="148">
        <v>0</v>
      </c>
      <c r="AB372" s="148" t="str">
        <f t="shared" ref="AB372" si="565">BIN2HEX(U372&amp;V372&amp;W372&amp;X372&amp;Y372&amp;Z372&amp;AA372)</f>
        <v>62</v>
      </c>
      <c r="AC372" s="151" t="str">
        <f>CONCATENATE("vofc_dom",BIN2DEC(U372&amp;V372),"_quad",BIN2DEC(AA372),"_quad",BIN2DEC(AA372)+2,"_sar",ABS( BIN2DEC(V372)*3-BIN2DEC(Z372)),"_slc",BIN2DEC(X372&amp;Y372)+BIN2DEC(W372)*3)</f>
        <v>vofc_dom3_quad0_quad2_sar2_slc0</v>
      </c>
      <c r="AD372" s="57"/>
      <c r="AE372" s="57"/>
      <c r="AF372" s="57"/>
      <c r="AG372" s="57"/>
      <c r="AH372" s="57"/>
    </row>
    <row r="373" spans="1:34" ht="15" customHeight="1">
      <c r="A373" s="126"/>
      <c r="B373" s="128"/>
      <c r="C373" s="43" t="str">
        <f>CONCATENATE("sar",AD373+AE373*4+AF373*16,"_slc",AG373)</f>
        <v>sar44_slc0</v>
      </c>
      <c r="D373" s="44">
        <v>8</v>
      </c>
      <c r="E373" s="29" t="str">
        <f>IF(D373&gt;1,(31)&amp;":"&amp;(31-D373+1),(31-D373+1)&amp;":"&amp;(31-D373+1))</f>
        <v>31:24</v>
      </c>
      <c r="F373" s="30" t="s">
        <v>133</v>
      </c>
      <c r="G373" s="30" t="s">
        <v>133</v>
      </c>
      <c r="H373" s="45" t="s">
        <v>143</v>
      </c>
      <c r="I373" s="31" t="s">
        <v>68</v>
      </c>
      <c r="J373" s="32" t="s">
        <v>36</v>
      </c>
      <c r="K373" s="33" t="s">
        <v>6</v>
      </c>
      <c r="L373" s="46"/>
      <c r="M373" s="120"/>
      <c r="N373" s="120"/>
      <c r="O373" s="120"/>
      <c r="P373" s="122"/>
      <c r="Q373" s="122"/>
      <c r="R373" s="124"/>
      <c r="S373" s="124"/>
      <c r="T373" s="154"/>
      <c r="U373" s="156"/>
      <c r="V373" s="146"/>
      <c r="W373" s="149"/>
      <c r="X373" s="156"/>
      <c r="Y373" s="146"/>
      <c r="Z373" s="149"/>
      <c r="AA373" s="149"/>
      <c r="AB373" s="149"/>
      <c r="AC373" s="152"/>
      <c r="AD373" s="57">
        <f>BIN2DEC($AA372)*3</f>
        <v>0</v>
      </c>
      <c r="AE373" s="57">
        <f>ABS(BIN2DEC($U372)*3)</f>
        <v>3</v>
      </c>
      <c r="AF373" s="57">
        <f>ABS( BIN2DEC(V372)*3-BIN2DEC(Z372))</f>
        <v>2</v>
      </c>
      <c r="AG373" s="57">
        <f>BIN2DEC(X372&amp;Y372)+BIN2DEC(W372)*3</f>
        <v>0</v>
      </c>
      <c r="AH373" s="57">
        <f>AD373+AE373*4+AF373*16</f>
        <v>44</v>
      </c>
    </row>
    <row r="374" spans="1:34" ht="15" customHeight="1">
      <c r="A374" s="126"/>
      <c r="B374" s="128"/>
      <c r="C374" s="43" t="str">
        <f t="shared" ref="C374:C376" si="566">CONCATENATE("sar",AD374+AE374*4+AF374*16,"_slc",AG374)</f>
        <v>sar40_slc0</v>
      </c>
      <c r="D374" s="44">
        <v>8</v>
      </c>
      <c r="E374" s="30" t="str">
        <f t="shared" ref="E374:E376" si="567">(MID(str_cnvt(E373),SEARCH(":",str_cnvt(E373))+1,2)-1) &amp; ":" &amp; (MID(str_cnvt(E373),SEARCH(":",str_cnvt(E373))+1,2)-D374)</f>
        <v>23:16</v>
      </c>
      <c r="F374" s="30" t="s">
        <v>133</v>
      </c>
      <c r="G374" s="30" t="s">
        <v>133</v>
      </c>
      <c r="H374" s="45" t="s">
        <v>143</v>
      </c>
      <c r="I374" s="31" t="s">
        <v>68</v>
      </c>
      <c r="J374" s="32" t="s">
        <v>36</v>
      </c>
      <c r="K374" s="33" t="s">
        <v>6</v>
      </c>
      <c r="L374" s="46"/>
      <c r="M374" s="120"/>
      <c r="N374" s="120"/>
      <c r="O374" s="120"/>
      <c r="P374" s="122"/>
      <c r="Q374" s="122"/>
      <c r="R374" s="124"/>
      <c r="S374" s="124"/>
      <c r="T374" s="154"/>
      <c r="U374" s="156"/>
      <c r="V374" s="146"/>
      <c r="W374" s="149"/>
      <c r="X374" s="156"/>
      <c r="Y374" s="146"/>
      <c r="Z374" s="149"/>
      <c r="AA374" s="149"/>
      <c r="AB374" s="149"/>
      <c r="AC374" s="152"/>
      <c r="AD374" s="57">
        <f>BIN2DEC($AA372)*3</f>
        <v>0</v>
      </c>
      <c r="AE374" s="57">
        <f>ABS(BIN2DEC($U372)*3-1)</f>
        <v>2</v>
      </c>
      <c r="AF374" s="57">
        <f>ABS( BIN2DEC(V372)*3-BIN2DEC(Z372))</f>
        <v>2</v>
      </c>
      <c r="AG374" s="57">
        <f>BIN2DEC(X372&amp;Y372)+BIN2DEC(W372)*3</f>
        <v>0</v>
      </c>
      <c r="AH374" s="57">
        <f t="shared" ref="AH374:AH376" si="568">AD374+AE374*4+AF374*16</f>
        <v>40</v>
      </c>
    </row>
    <row r="375" spans="1:34" ht="15" customHeight="1">
      <c r="A375" s="126"/>
      <c r="B375" s="128"/>
      <c r="C375" s="43" t="str">
        <f t="shared" si="566"/>
        <v>sar46_slc0</v>
      </c>
      <c r="D375" s="44">
        <v>8</v>
      </c>
      <c r="E375" s="30" t="str">
        <f t="shared" si="567"/>
        <v>15:8</v>
      </c>
      <c r="F375" s="30" t="s">
        <v>133</v>
      </c>
      <c r="G375" s="30" t="s">
        <v>133</v>
      </c>
      <c r="H375" s="45" t="s">
        <v>143</v>
      </c>
      <c r="I375" s="31" t="s">
        <v>68</v>
      </c>
      <c r="J375" s="32" t="s">
        <v>36</v>
      </c>
      <c r="K375" s="33" t="s">
        <v>6</v>
      </c>
      <c r="L375" s="46"/>
      <c r="M375" s="120"/>
      <c r="N375" s="120"/>
      <c r="O375" s="120"/>
      <c r="P375" s="122"/>
      <c r="Q375" s="122"/>
      <c r="R375" s="124"/>
      <c r="S375" s="124"/>
      <c r="T375" s="154"/>
      <c r="U375" s="156"/>
      <c r="V375" s="146"/>
      <c r="W375" s="149"/>
      <c r="X375" s="156"/>
      <c r="Y375" s="146"/>
      <c r="Z375" s="149"/>
      <c r="AA375" s="149"/>
      <c r="AB375" s="149"/>
      <c r="AC375" s="152"/>
      <c r="AD375" s="57">
        <f>ABS(BIN2DEC($AA372)*3-2)</f>
        <v>2</v>
      </c>
      <c r="AE375" s="57">
        <f>ABS(BIN2DEC($U372)*3)</f>
        <v>3</v>
      </c>
      <c r="AF375" s="57">
        <f>ABS( BIN2DEC(V372)*3-BIN2DEC(Z372))</f>
        <v>2</v>
      </c>
      <c r="AG375" s="57">
        <f>BIN2DEC(X372&amp;Y372)+BIN2DEC(W372)*3</f>
        <v>0</v>
      </c>
      <c r="AH375" s="57">
        <f t="shared" si="568"/>
        <v>46</v>
      </c>
    </row>
    <row r="376" spans="1:34" ht="15.75" customHeight="1" thickBot="1">
      <c r="A376" s="126"/>
      <c r="B376" s="128"/>
      <c r="C376" s="43" t="str">
        <f t="shared" si="566"/>
        <v>sar42_slc0</v>
      </c>
      <c r="D376" s="44">
        <v>8</v>
      </c>
      <c r="E376" s="30" t="str">
        <f t="shared" si="567"/>
        <v>7:0</v>
      </c>
      <c r="F376" s="30" t="s">
        <v>133</v>
      </c>
      <c r="G376" s="30" t="s">
        <v>133</v>
      </c>
      <c r="H376" s="45" t="s">
        <v>143</v>
      </c>
      <c r="I376" s="31" t="s">
        <v>68</v>
      </c>
      <c r="J376" s="32" t="s">
        <v>36</v>
      </c>
      <c r="K376" s="33" t="s">
        <v>6</v>
      </c>
      <c r="L376" s="46"/>
      <c r="M376" s="120"/>
      <c r="N376" s="120"/>
      <c r="O376" s="120"/>
      <c r="P376" s="122"/>
      <c r="Q376" s="122"/>
      <c r="R376" s="124"/>
      <c r="S376" s="124"/>
      <c r="T376" s="154"/>
      <c r="U376" s="157"/>
      <c r="V376" s="147"/>
      <c r="W376" s="150"/>
      <c r="X376" s="157"/>
      <c r="Y376" s="147"/>
      <c r="Z376" s="150"/>
      <c r="AA376" s="150"/>
      <c r="AB376" s="150"/>
      <c r="AC376" s="153"/>
      <c r="AD376" s="57">
        <f>ABS(BIN2DEC($AA372)*3-2)</f>
        <v>2</v>
      </c>
      <c r="AE376" s="57">
        <f>ABS(BIN2DEC($U372)*3-1)</f>
        <v>2</v>
      </c>
      <c r="AF376" s="57">
        <f>ABS( BIN2DEC(V372)*3-BIN2DEC(Z372))</f>
        <v>2</v>
      </c>
      <c r="AG376" s="57">
        <f>BIN2DEC(X372&amp;Y372)+BIN2DEC(W372)*3</f>
        <v>0</v>
      </c>
      <c r="AH376" s="57">
        <f t="shared" si="568"/>
        <v>42</v>
      </c>
    </row>
    <row r="377" spans="1:34" ht="15.75" customHeight="1">
      <c r="A377" s="125" t="str">
        <f>AC377</f>
        <v>vofc_dom3_quad1_quad3_sar2_slc0</v>
      </c>
      <c r="B377" s="127" t="str">
        <f>DEC2HEX(P377*4)</f>
        <v>0</v>
      </c>
      <c r="C377" s="56" t="s">
        <v>134</v>
      </c>
      <c r="D377" s="129" t="str">
        <f>bitConcat(F378:F381)</f>
        <v>32'b00000000000000000000000000000000</v>
      </c>
      <c r="E377" s="130"/>
      <c r="F377" s="130"/>
      <c r="G377" s="130"/>
      <c r="H377" s="131" t="s">
        <v>135</v>
      </c>
      <c r="I377" s="131"/>
      <c r="J377" s="131" t="str">
        <f>bitConcat(G378:G381)</f>
        <v>32'b00000000000000000000000000000000</v>
      </c>
      <c r="K377" s="131"/>
      <c r="L377" s="132"/>
      <c r="M377" s="119" t="str">
        <f>DEC2HEX(_xlfn.BITLSHIFT(HEX2DEC(Q377),2))</f>
        <v>18C</v>
      </c>
      <c r="N377" s="119"/>
      <c r="O377" s="119">
        <v>3</v>
      </c>
      <c r="P377" s="121">
        <v>0</v>
      </c>
      <c r="Q377" s="121" t="str">
        <f>AB377</f>
        <v>63</v>
      </c>
      <c r="R377" s="123" t="str">
        <f t="shared" ref="R377" si="569">BIN2HEX(LEFT(RIGHT(D377,32),4))&amp;BIN2HEX(LEFT(RIGHT(D377,28),4))&amp;BIN2HEX(LEFT(RIGHT(D377,24),4))&amp;BIN2HEX(LEFT(RIGHT(D377,20),4))&amp;BIN2HEX(LEFT(RIGHT(D377,16),4))&amp;BIN2HEX(LEFT(RIGHT(D377,12),4))&amp;BIN2HEX(LEFT(RIGHT(D377,8),4))&amp;BIN2HEX(LEFT(RIGHT(D377,4),4))</f>
        <v>00000000</v>
      </c>
      <c r="S377" s="123" t="str">
        <f t="shared" ref="S377" si="570">BIN2HEX(LEFT(RIGHT(J377,32),4))&amp;BIN2HEX(LEFT(RIGHT(J377,28),4))&amp;BIN2HEX(LEFT(RIGHT(J377,24),4))&amp;BIN2HEX(LEFT(RIGHT(J377,20),4))&amp;BIN2HEX(LEFT(RIGHT(J377,16),4))&amp;BIN2HEX(LEFT(RIGHT(J377,12),4))&amp;BIN2HEX(LEFT(RIGHT(J377,8),4))&amp;BIN2HEX(LEFT(RIGHT(J377,4),4))</f>
        <v>00000000</v>
      </c>
      <c r="T377" s="154">
        <v>3</v>
      </c>
      <c r="U377" s="155" t="str">
        <f t="shared" ref="U377" si="571">LEFT(DEC2BIN(O377,2))</f>
        <v>1</v>
      </c>
      <c r="V377" s="145" t="str">
        <f t="shared" ref="V377" si="572">RIGHT(DEC2BIN(O377,2),1)</f>
        <v>1</v>
      </c>
      <c r="W377" s="148">
        <v>0</v>
      </c>
      <c r="X377" s="155">
        <v>0</v>
      </c>
      <c r="Y377" s="145">
        <v>0</v>
      </c>
      <c r="Z377" s="148">
        <v>1</v>
      </c>
      <c r="AA377" s="148">
        <v>1</v>
      </c>
      <c r="AB377" s="148" t="str">
        <f t="shared" ref="AB377" si="573">BIN2HEX(U377&amp;V377&amp;W377&amp;X377&amp;Y377&amp;Z377&amp;AA377)</f>
        <v>63</v>
      </c>
      <c r="AC377" s="151" t="str">
        <f>CONCATENATE("vofc_dom",BIN2DEC(U377&amp;V377),"_quad",BIN2DEC(AA377),"_quad",BIN2DEC(AA377)+2,"_sar",ABS( BIN2DEC(V377)*3-BIN2DEC(Z377)),"_slc",BIN2DEC(X377&amp;Y377)+BIN2DEC(W377)*3)</f>
        <v>vofc_dom3_quad1_quad3_sar2_slc0</v>
      </c>
      <c r="AD377" s="57"/>
      <c r="AE377" s="57"/>
      <c r="AF377" s="57"/>
      <c r="AG377" s="57"/>
      <c r="AH377" s="57"/>
    </row>
    <row r="378" spans="1:34" ht="15" customHeight="1">
      <c r="A378" s="126"/>
      <c r="B378" s="128"/>
      <c r="C378" s="43" t="str">
        <f>CONCATENATE("sar",AD378+AE378*4+AF378*16,"_slc",AG378)</f>
        <v>sar47_slc0</v>
      </c>
      <c r="D378" s="44">
        <v>8</v>
      </c>
      <c r="E378" s="29" t="str">
        <f>IF(D378&gt;1,(31)&amp;":"&amp;(31-D378+1),(31-D378+1)&amp;":"&amp;(31-D378+1))</f>
        <v>31:24</v>
      </c>
      <c r="F378" s="30" t="s">
        <v>133</v>
      </c>
      <c r="G378" s="30" t="s">
        <v>133</v>
      </c>
      <c r="H378" s="45" t="s">
        <v>143</v>
      </c>
      <c r="I378" s="31" t="s">
        <v>68</v>
      </c>
      <c r="J378" s="32" t="s">
        <v>36</v>
      </c>
      <c r="K378" s="33" t="s">
        <v>6</v>
      </c>
      <c r="L378" s="46"/>
      <c r="M378" s="120"/>
      <c r="N378" s="120"/>
      <c r="O378" s="120"/>
      <c r="P378" s="122"/>
      <c r="Q378" s="122"/>
      <c r="R378" s="124"/>
      <c r="S378" s="124"/>
      <c r="T378" s="154"/>
      <c r="U378" s="156"/>
      <c r="V378" s="146"/>
      <c r="W378" s="149"/>
      <c r="X378" s="156"/>
      <c r="Y378" s="146"/>
      <c r="Z378" s="149"/>
      <c r="AA378" s="149"/>
      <c r="AB378" s="149"/>
      <c r="AC378" s="152"/>
      <c r="AD378" s="57">
        <f>BIN2DEC($AA377)*3</f>
        <v>3</v>
      </c>
      <c r="AE378" s="57">
        <f>ABS(BIN2DEC($U377)*3)</f>
        <v>3</v>
      </c>
      <c r="AF378" s="57">
        <f>ABS( BIN2DEC(V377)*3-BIN2DEC(Z377))</f>
        <v>2</v>
      </c>
      <c r="AG378" s="57">
        <f>BIN2DEC(X377&amp;Y377)+BIN2DEC(W377)*3</f>
        <v>0</v>
      </c>
      <c r="AH378" s="57">
        <f>AD378+AE378*4+AF378*16</f>
        <v>47</v>
      </c>
    </row>
    <row r="379" spans="1:34" ht="15" customHeight="1">
      <c r="A379" s="126"/>
      <c r="B379" s="128"/>
      <c r="C379" s="43" t="str">
        <f t="shared" ref="C379:C381" si="574">CONCATENATE("sar",AD379+AE379*4+AF379*16,"_slc",AG379)</f>
        <v>sar43_slc0</v>
      </c>
      <c r="D379" s="44">
        <v>8</v>
      </c>
      <c r="E379" s="30" t="str">
        <f t="shared" ref="E379:E381" si="575">(MID(str_cnvt(E378),SEARCH(":",str_cnvt(E378))+1,2)-1) &amp; ":" &amp; (MID(str_cnvt(E378),SEARCH(":",str_cnvt(E378))+1,2)-D379)</f>
        <v>23:16</v>
      </c>
      <c r="F379" s="30" t="s">
        <v>133</v>
      </c>
      <c r="G379" s="30" t="s">
        <v>133</v>
      </c>
      <c r="H379" s="45" t="s">
        <v>143</v>
      </c>
      <c r="I379" s="31" t="s">
        <v>68</v>
      </c>
      <c r="J379" s="32" t="s">
        <v>36</v>
      </c>
      <c r="K379" s="33" t="s">
        <v>6</v>
      </c>
      <c r="L379" s="46"/>
      <c r="M379" s="120"/>
      <c r="N379" s="120"/>
      <c r="O379" s="120"/>
      <c r="P379" s="122"/>
      <c r="Q379" s="122"/>
      <c r="R379" s="124"/>
      <c r="S379" s="124"/>
      <c r="T379" s="154"/>
      <c r="U379" s="156"/>
      <c r="V379" s="146"/>
      <c r="W379" s="149"/>
      <c r="X379" s="156"/>
      <c r="Y379" s="146"/>
      <c r="Z379" s="149"/>
      <c r="AA379" s="149"/>
      <c r="AB379" s="149"/>
      <c r="AC379" s="152"/>
      <c r="AD379" s="57">
        <f>BIN2DEC($AA377)*3</f>
        <v>3</v>
      </c>
      <c r="AE379" s="57">
        <f>ABS(BIN2DEC($U377)*3-1)</f>
        <v>2</v>
      </c>
      <c r="AF379" s="57">
        <f>ABS( BIN2DEC(V377)*3-BIN2DEC(Z377))</f>
        <v>2</v>
      </c>
      <c r="AG379" s="57">
        <f>BIN2DEC(X377&amp;Y377)+BIN2DEC(W377)*3</f>
        <v>0</v>
      </c>
      <c r="AH379" s="57">
        <f t="shared" ref="AH379:AH381" si="576">AD379+AE379*4+AF379*16</f>
        <v>43</v>
      </c>
    </row>
    <row r="380" spans="1:34" ht="15" customHeight="1">
      <c r="A380" s="126"/>
      <c r="B380" s="128"/>
      <c r="C380" s="43" t="str">
        <f t="shared" si="574"/>
        <v>sar45_slc0</v>
      </c>
      <c r="D380" s="44">
        <v>8</v>
      </c>
      <c r="E380" s="30" t="str">
        <f t="shared" si="575"/>
        <v>15:8</v>
      </c>
      <c r="F380" s="30" t="s">
        <v>133</v>
      </c>
      <c r="G380" s="30" t="s">
        <v>133</v>
      </c>
      <c r="H380" s="45" t="s">
        <v>143</v>
      </c>
      <c r="I380" s="31" t="s">
        <v>68</v>
      </c>
      <c r="J380" s="32" t="s">
        <v>36</v>
      </c>
      <c r="K380" s="33" t="s">
        <v>6</v>
      </c>
      <c r="L380" s="46"/>
      <c r="M380" s="120"/>
      <c r="N380" s="120"/>
      <c r="O380" s="120"/>
      <c r="P380" s="122"/>
      <c r="Q380" s="122"/>
      <c r="R380" s="124"/>
      <c r="S380" s="124"/>
      <c r="T380" s="154"/>
      <c r="U380" s="156"/>
      <c r="V380" s="146"/>
      <c r="W380" s="149"/>
      <c r="X380" s="156"/>
      <c r="Y380" s="146"/>
      <c r="Z380" s="149"/>
      <c r="AA380" s="149"/>
      <c r="AB380" s="149"/>
      <c r="AC380" s="152"/>
      <c r="AD380" s="57">
        <f>ABS(BIN2DEC($AA377)*3-2)</f>
        <v>1</v>
      </c>
      <c r="AE380" s="57">
        <f>ABS(BIN2DEC($U377)*3)</f>
        <v>3</v>
      </c>
      <c r="AF380" s="57">
        <f>ABS( BIN2DEC(V377)*3-BIN2DEC(Z377))</f>
        <v>2</v>
      </c>
      <c r="AG380" s="57">
        <f>BIN2DEC(X377&amp;Y377)+BIN2DEC(W377)*3</f>
        <v>0</v>
      </c>
      <c r="AH380" s="57">
        <f t="shared" si="576"/>
        <v>45</v>
      </c>
    </row>
    <row r="381" spans="1:34" ht="15.75" customHeight="1" thickBot="1">
      <c r="A381" s="126"/>
      <c r="B381" s="128"/>
      <c r="C381" s="43" t="str">
        <f t="shared" si="574"/>
        <v>sar41_slc0</v>
      </c>
      <c r="D381" s="44">
        <v>8</v>
      </c>
      <c r="E381" s="30" t="str">
        <f t="shared" si="575"/>
        <v>7:0</v>
      </c>
      <c r="F381" s="30" t="s">
        <v>133</v>
      </c>
      <c r="G381" s="30" t="s">
        <v>133</v>
      </c>
      <c r="H381" s="45" t="s">
        <v>143</v>
      </c>
      <c r="I381" s="31" t="s">
        <v>68</v>
      </c>
      <c r="J381" s="32" t="s">
        <v>36</v>
      </c>
      <c r="K381" s="33" t="s">
        <v>6</v>
      </c>
      <c r="L381" s="46"/>
      <c r="M381" s="120"/>
      <c r="N381" s="120"/>
      <c r="O381" s="120"/>
      <c r="P381" s="122"/>
      <c r="Q381" s="122"/>
      <c r="R381" s="124"/>
      <c r="S381" s="124"/>
      <c r="T381" s="154"/>
      <c r="U381" s="157"/>
      <c r="V381" s="147"/>
      <c r="W381" s="150"/>
      <c r="X381" s="157"/>
      <c r="Y381" s="147"/>
      <c r="Z381" s="150"/>
      <c r="AA381" s="150"/>
      <c r="AB381" s="150"/>
      <c r="AC381" s="153"/>
      <c r="AD381" s="57">
        <f>ABS(BIN2DEC($AA377)*3-2)</f>
        <v>1</v>
      </c>
      <c r="AE381" s="57">
        <f>ABS(BIN2DEC($U377)*3-1)</f>
        <v>2</v>
      </c>
      <c r="AF381" s="57">
        <f>ABS( BIN2DEC(V377)*3-BIN2DEC(Z377))</f>
        <v>2</v>
      </c>
      <c r="AG381" s="57">
        <f>BIN2DEC(X377&amp;Y377)+BIN2DEC(W377)*3</f>
        <v>0</v>
      </c>
      <c r="AH381" s="57">
        <f t="shared" si="576"/>
        <v>41</v>
      </c>
    </row>
    <row r="382" spans="1:34" ht="15.75" customHeight="1">
      <c r="A382" s="125" t="str">
        <f>AC382</f>
        <v>vofc_dom3_quad0_quad2_sar3_slc1</v>
      </c>
      <c r="B382" s="127" t="str">
        <f>DEC2HEX(P382*4)</f>
        <v>0</v>
      </c>
      <c r="C382" s="56" t="s">
        <v>134</v>
      </c>
      <c r="D382" s="129" t="str">
        <f>bitConcat(F383:F386)</f>
        <v>32'b00000000000000000000000000000000</v>
      </c>
      <c r="E382" s="130"/>
      <c r="F382" s="130"/>
      <c r="G382" s="130"/>
      <c r="H382" s="131" t="s">
        <v>135</v>
      </c>
      <c r="I382" s="131"/>
      <c r="J382" s="131" t="str">
        <f>bitConcat(G383:G386)</f>
        <v>32'b00000000000000000000000000000000</v>
      </c>
      <c r="K382" s="131"/>
      <c r="L382" s="132"/>
      <c r="M382" s="119" t="str">
        <f>DEC2HEX(_xlfn.BITLSHIFT(HEX2DEC(Q382),2))</f>
        <v>190</v>
      </c>
      <c r="N382" s="119"/>
      <c r="O382" s="119">
        <v>3</v>
      </c>
      <c r="P382" s="121">
        <v>0</v>
      </c>
      <c r="Q382" s="121" t="str">
        <f>AB382</f>
        <v>64</v>
      </c>
      <c r="R382" s="123" t="str">
        <f t="shared" ref="R382" si="577">BIN2HEX(LEFT(RIGHT(D382,32),4))&amp;BIN2HEX(LEFT(RIGHT(D382,28),4))&amp;BIN2HEX(LEFT(RIGHT(D382,24),4))&amp;BIN2HEX(LEFT(RIGHT(D382,20),4))&amp;BIN2HEX(LEFT(RIGHT(D382,16),4))&amp;BIN2HEX(LEFT(RIGHT(D382,12),4))&amp;BIN2HEX(LEFT(RIGHT(D382,8),4))&amp;BIN2HEX(LEFT(RIGHT(D382,4),4))</f>
        <v>00000000</v>
      </c>
      <c r="S382" s="123" t="str">
        <f t="shared" ref="S382" si="578">BIN2HEX(LEFT(RIGHT(J382,32),4))&amp;BIN2HEX(LEFT(RIGHT(J382,28),4))&amp;BIN2HEX(LEFT(RIGHT(J382,24),4))&amp;BIN2HEX(LEFT(RIGHT(J382,20),4))&amp;BIN2HEX(LEFT(RIGHT(J382,16),4))&amp;BIN2HEX(LEFT(RIGHT(J382,12),4))&amp;BIN2HEX(LEFT(RIGHT(J382,8),4))&amp;BIN2HEX(LEFT(RIGHT(J382,4),4))</f>
        <v>00000000</v>
      </c>
      <c r="T382" s="154">
        <v>4</v>
      </c>
      <c r="U382" s="155" t="str">
        <f t="shared" ref="U382" si="579">LEFT(DEC2BIN(O382,2))</f>
        <v>1</v>
      </c>
      <c r="V382" s="145" t="str">
        <f t="shared" ref="V382" si="580">RIGHT(DEC2BIN(O382,2),1)</f>
        <v>1</v>
      </c>
      <c r="W382" s="148">
        <v>0</v>
      </c>
      <c r="X382" s="155">
        <v>0</v>
      </c>
      <c r="Y382" s="145">
        <v>1</v>
      </c>
      <c r="Z382" s="148">
        <v>0</v>
      </c>
      <c r="AA382" s="148">
        <v>0</v>
      </c>
      <c r="AB382" s="148" t="str">
        <f t="shared" ref="AB382" si="581">BIN2HEX(U382&amp;V382&amp;W382&amp;X382&amp;Y382&amp;Z382&amp;AA382)</f>
        <v>64</v>
      </c>
      <c r="AC382" s="151" t="str">
        <f>CONCATENATE("vofc_dom",BIN2DEC(U382&amp;V382),"_quad",BIN2DEC(AA382),"_quad",BIN2DEC(AA382)+2,"_sar",ABS( BIN2DEC(V382)*3-BIN2DEC(Z382)),"_slc",BIN2DEC(X382&amp;Y382)+BIN2DEC(W382)*3)</f>
        <v>vofc_dom3_quad0_quad2_sar3_slc1</v>
      </c>
      <c r="AD382" s="57"/>
      <c r="AE382" s="57"/>
      <c r="AF382" s="57"/>
      <c r="AG382" s="57"/>
      <c r="AH382" s="57"/>
    </row>
    <row r="383" spans="1:34" ht="15" customHeight="1">
      <c r="A383" s="126"/>
      <c r="B383" s="128"/>
      <c r="C383" s="43" t="str">
        <f>CONCATENATE("sar",AD383+AE383*4+AF383*16,"_slc",AG383)</f>
        <v>sar60_slc1</v>
      </c>
      <c r="D383" s="44">
        <v>8</v>
      </c>
      <c r="E383" s="29" t="str">
        <f>IF(D383&gt;1,(31)&amp;":"&amp;(31-D383+1),(31-D383+1)&amp;":"&amp;(31-D383+1))</f>
        <v>31:24</v>
      </c>
      <c r="F383" s="30" t="s">
        <v>133</v>
      </c>
      <c r="G383" s="30" t="s">
        <v>133</v>
      </c>
      <c r="H383" s="45" t="s">
        <v>143</v>
      </c>
      <c r="I383" s="31" t="s">
        <v>68</v>
      </c>
      <c r="J383" s="32" t="s">
        <v>36</v>
      </c>
      <c r="K383" s="33" t="s">
        <v>6</v>
      </c>
      <c r="L383" s="46"/>
      <c r="M383" s="120"/>
      <c r="N383" s="120"/>
      <c r="O383" s="120"/>
      <c r="P383" s="122"/>
      <c r="Q383" s="122"/>
      <c r="R383" s="124"/>
      <c r="S383" s="124"/>
      <c r="T383" s="154"/>
      <c r="U383" s="156"/>
      <c r="V383" s="146"/>
      <c r="W383" s="149"/>
      <c r="X383" s="156"/>
      <c r="Y383" s="146"/>
      <c r="Z383" s="149"/>
      <c r="AA383" s="149"/>
      <c r="AB383" s="149"/>
      <c r="AC383" s="152"/>
      <c r="AD383" s="57">
        <f>BIN2DEC($AA382)*3</f>
        <v>0</v>
      </c>
      <c r="AE383" s="57">
        <f>ABS(BIN2DEC($U382)*3)</f>
        <v>3</v>
      </c>
      <c r="AF383" s="57">
        <f>ABS( BIN2DEC(V382)*3-BIN2DEC(Z382))</f>
        <v>3</v>
      </c>
      <c r="AG383" s="57">
        <f>BIN2DEC(X382&amp;Y382)+BIN2DEC(W382)*3</f>
        <v>1</v>
      </c>
      <c r="AH383" s="57">
        <f>AD383+AE383*4+AF383*16</f>
        <v>60</v>
      </c>
    </row>
    <row r="384" spans="1:34" ht="15" customHeight="1">
      <c r="A384" s="126"/>
      <c r="B384" s="128"/>
      <c r="C384" s="43" t="str">
        <f t="shared" ref="C384:C386" si="582">CONCATENATE("sar",AD384+AE384*4+AF384*16,"_slc",AG384)</f>
        <v>sar56_slc1</v>
      </c>
      <c r="D384" s="44">
        <v>8</v>
      </c>
      <c r="E384" s="30" t="str">
        <f t="shared" ref="E384:E386" si="583">(MID(str_cnvt(E383),SEARCH(":",str_cnvt(E383))+1,2)-1) &amp; ":" &amp; (MID(str_cnvt(E383),SEARCH(":",str_cnvt(E383))+1,2)-D384)</f>
        <v>23:16</v>
      </c>
      <c r="F384" s="30" t="s">
        <v>133</v>
      </c>
      <c r="G384" s="30" t="s">
        <v>133</v>
      </c>
      <c r="H384" s="45" t="s">
        <v>143</v>
      </c>
      <c r="I384" s="31" t="s">
        <v>68</v>
      </c>
      <c r="J384" s="32" t="s">
        <v>36</v>
      </c>
      <c r="K384" s="33" t="s">
        <v>6</v>
      </c>
      <c r="L384" s="46"/>
      <c r="M384" s="120"/>
      <c r="N384" s="120"/>
      <c r="O384" s="120"/>
      <c r="P384" s="122"/>
      <c r="Q384" s="122"/>
      <c r="R384" s="124"/>
      <c r="S384" s="124"/>
      <c r="T384" s="154"/>
      <c r="U384" s="156"/>
      <c r="V384" s="146"/>
      <c r="W384" s="149"/>
      <c r="X384" s="156"/>
      <c r="Y384" s="146"/>
      <c r="Z384" s="149"/>
      <c r="AA384" s="149"/>
      <c r="AB384" s="149"/>
      <c r="AC384" s="152"/>
      <c r="AD384" s="57">
        <f>BIN2DEC($AA382)*3</f>
        <v>0</v>
      </c>
      <c r="AE384" s="57">
        <f>ABS(BIN2DEC($U382)*3-1)</f>
        <v>2</v>
      </c>
      <c r="AF384" s="57">
        <f>ABS( BIN2DEC(V382)*3-BIN2DEC(Z382))</f>
        <v>3</v>
      </c>
      <c r="AG384" s="57">
        <f>BIN2DEC(X382&amp;Y382)+BIN2DEC(W382)*3</f>
        <v>1</v>
      </c>
      <c r="AH384" s="57">
        <f t="shared" ref="AH384:AH386" si="584">AD384+AE384*4+AF384*16</f>
        <v>56</v>
      </c>
    </row>
    <row r="385" spans="1:34" ht="15" customHeight="1">
      <c r="A385" s="126"/>
      <c r="B385" s="128"/>
      <c r="C385" s="43" t="str">
        <f t="shared" si="582"/>
        <v>sar62_slc1</v>
      </c>
      <c r="D385" s="44">
        <v>8</v>
      </c>
      <c r="E385" s="30" t="str">
        <f t="shared" si="583"/>
        <v>15:8</v>
      </c>
      <c r="F385" s="30" t="s">
        <v>133</v>
      </c>
      <c r="G385" s="30" t="s">
        <v>133</v>
      </c>
      <c r="H385" s="45" t="s">
        <v>143</v>
      </c>
      <c r="I385" s="31" t="s">
        <v>68</v>
      </c>
      <c r="J385" s="32" t="s">
        <v>36</v>
      </c>
      <c r="K385" s="33" t="s">
        <v>6</v>
      </c>
      <c r="L385" s="46"/>
      <c r="M385" s="120"/>
      <c r="N385" s="120"/>
      <c r="O385" s="120"/>
      <c r="P385" s="122"/>
      <c r="Q385" s="122"/>
      <c r="R385" s="124"/>
      <c r="S385" s="124"/>
      <c r="T385" s="154"/>
      <c r="U385" s="156"/>
      <c r="V385" s="146"/>
      <c r="W385" s="149"/>
      <c r="X385" s="156"/>
      <c r="Y385" s="146"/>
      <c r="Z385" s="149"/>
      <c r="AA385" s="149"/>
      <c r="AB385" s="149"/>
      <c r="AC385" s="152"/>
      <c r="AD385" s="57">
        <f>ABS(BIN2DEC($AA382)*3-2)</f>
        <v>2</v>
      </c>
      <c r="AE385" s="57">
        <f>ABS(BIN2DEC($U382)*3)</f>
        <v>3</v>
      </c>
      <c r="AF385" s="57">
        <f>ABS( BIN2DEC(V382)*3-BIN2DEC(Z382))</f>
        <v>3</v>
      </c>
      <c r="AG385" s="57">
        <f>BIN2DEC(X382&amp;Y382)+BIN2DEC(W382)*3</f>
        <v>1</v>
      </c>
      <c r="AH385" s="57">
        <f t="shared" si="584"/>
        <v>62</v>
      </c>
    </row>
    <row r="386" spans="1:34" ht="15.75" customHeight="1" thickBot="1">
      <c r="A386" s="126"/>
      <c r="B386" s="128"/>
      <c r="C386" s="43" t="str">
        <f t="shared" si="582"/>
        <v>sar58_slc1</v>
      </c>
      <c r="D386" s="44">
        <v>8</v>
      </c>
      <c r="E386" s="30" t="str">
        <f t="shared" si="583"/>
        <v>7:0</v>
      </c>
      <c r="F386" s="30" t="s">
        <v>133</v>
      </c>
      <c r="G386" s="30" t="s">
        <v>133</v>
      </c>
      <c r="H386" s="45" t="s">
        <v>143</v>
      </c>
      <c r="I386" s="31" t="s">
        <v>68</v>
      </c>
      <c r="J386" s="32" t="s">
        <v>36</v>
      </c>
      <c r="K386" s="33" t="s">
        <v>6</v>
      </c>
      <c r="L386" s="46"/>
      <c r="M386" s="120"/>
      <c r="N386" s="120"/>
      <c r="O386" s="120"/>
      <c r="P386" s="122"/>
      <c r="Q386" s="122"/>
      <c r="R386" s="124"/>
      <c r="S386" s="124"/>
      <c r="T386" s="154"/>
      <c r="U386" s="157"/>
      <c r="V386" s="147"/>
      <c r="W386" s="150"/>
      <c r="X386" s="157"/>
      <c r="Y386" s="147"/>
      <c r="Z386" s="150"/>
      <c r="AA386" s="150"/>
      <c r="AB386" s="150"/>
      <c r="AC386" s="153"/>
      <c r="AD386" s="57">
        <f>ABS(BIN2DEC($AA382)*3-2)</f>
        <v>2</v>
      </c>
      <c r="AE386" s="57">
        <f>ABS(BIN2DEC($U382)*3-1)</f>
        <v>2</v>
      </c>
      <c r="AF386" s="57">
        <f>ABS( BIN2DEC(V382)*3-BIN2DEC(Z382))</f>
        <v>3</v>
      </c>
      <c r="AG386" s="57">
        <f>BIN2DEC(X382&amp;Y382)+BIN2DEC(W382)*3</f>
        <v>1</v>
      </c>
      <c r="AH386" s="57">
        <f t="shared" si="584"/>
        <v>58</v>
      </c>
    </row>
    <row r="387" spans="1:34" ht="15.75" customHeight="1">
      <c r="A387" s="125" t="str">
        <f>AC387</f>
        <v>vofc_dom3_quad1_quad3_sar3_slc1</v>
      </c>
      <c r="B387" s="127" t="str">
        <f>DEC2HEX(P387*4)</f>
        <v>0</v>
      </c>
      <c r="C387" s="56" t="s">
        <v>134</v>
      </c>
      <c r="D387" s="129" t="str">
        <f>bitConcat(F388:F391)</f>
        <v>32'b00000000000000000000000000000000</v>
      </c>
      <c r="E387" s="130"/>
      <c r="F387" s="130"/>
      <c r="G387" s="130"/>
      <c r="H387" s="131" t="s">
        <v>135</v>
      </c>
      <c r="I387" s="131"/>
      <c r="J387" s="131" t="str">
        <f>bitConcat(G388:G391)</f>
        <v>32'b00000000000000000000000000000000</v>
      </c>
      <c r="K387" s="131"/>
      <c r="L387" s="132"/>
      <c r="M387" s="119" t="str">
        <f>DEC2HEX(_xlfn.BITLSHIFT(HEX2DEC(Q387),2))</f>
        <v>194</v>
      </c>
      <c r="N387" s="119"/>
      <c r="O387" s="119">
        <v>3</v>
      </c>
      <c r="P387" s="121">
        <v>0</v>
      </c>
      <c r="Q387" s="121" t="str">
        <f>AB387</f>
        <v>65</v>
      </c>
      <c r="R387" s="123" t="str">
        <f t="shared" ref="R387" si="585">BIN2HEX(LEFT(RIGHT(D387,32),4))&amp;BIN2HEX(LEFT(RIGHT(D387,28),4))&amp;BIN2HEX(LEFT(RIGHT(D387,24),4))&amp;BIN2HEX(LEFT(RIGHT(D387,20),4))&amp;BIN2HEX(LEFT(RIGHT(D387,16),4))&amp;BIN2HEX(LEFT(RIGHT(D387,12),4))&amp;BIN2HEX(LEFT(RIGHT(D387,8),4))&amp;BIN2HEX(LEFT(RIGHT(D387,4),4))</f>
        <v>00000000</v>
      </c>
      <c r="S387" s="123" t="str">
        <f t="shared" ref="S387" si="586">BIN2HEX(LEFT(RIGHT(J387,32),4))&amp;BIN2HEX(LEFT(RIGHT(J387,28),4))&amp;BIN2HEX(LEFT(RIGHT(J387,24),4))&amp;BIN2HEX(LEFT(RIGHT(J387,20),4))&amp;BIN2HEX(LEFT(RIGHT(J387,16),4))&amp;BIN2HEX(LEFT(RIGHT(J387,12),4))&amp;BIN2HEX(LEFT(RIGHT(J387,8),4))&amp;BIN2HEX(LEFT(RIGHT(J387,4),4))</f>
        <v>00000000</v>
      </c>
      <c r="T387" s="154">
        <v>5</v>
      </c>
      <c r="U387" s="155" t="str">
        <f t="shared" ref="U387" si="587">LEFT(DEC2BIN(O387,2))</f>
        <v>1</v>
      </c>
      <c r="V387" s="145" t="str">
        <f t="shared" ref="V387" si="588">RIGHT(DEC2BIN(O387,2),1)</f>
        <v>1</v>
      </c>
      <c r="W387" s="148">
        <v>0</v>
      </c>
      <c r="X387" s="155">
        <v>0</v>
      </c>
      <c r="Y387" s="145">
        <v>1</v>
      </c>
      <c r="Z387" s="148">
        <v>0</v>
      </c>
      <c r="AA387" s="148">
        <v>1</v>
      </c>
      <c r="AB387" s="148" t="str">
        <f t="shared" ref="AB387" si="589">BIN2HEX(U387&amp;V387&amp;W387&amp;X387&amp;Y387&amp;Z387&amp;AA387)</f>
        <v>65</v>
      </c>
      <c r="AC387" s="151" t="str">
        <f>CONCATENATE("vofc_dom",BIN2DEC(U387&amp;V387),"_quad",BIN2DEC(AA387),"_quad",BIN2DEC(AA387)+2,"_sar",ABS( BIN2DEC(V387)*3-BIN2DEC(Z387)),"_slc",BIN2DEC(X387&amp;Y387)+BIN2DEC(W387)*3)</f>
        <v>vofc_dom3_quad1_quad3_sar3_slc1</v>
      </c>
      <c r="AD387" s="57"/>
      <c r="AE387" s="57"/>
      <c r="AF387" s="57"/>
      <c r="AG387" s="57"/>
      <c r="AH387" s="57"/>
    </row>
    <row r="388" spans="1:34" ht="15" customHeight="1">
      <c r="A388" s="126"/>
      <c r="B388" s="128"/>
      <c r="C388" s="43" t="str">
        <f>CONCATENATE("sar",AD388+AE388*4+AF388*16,"_slc",AG388)</f>
        <v>sar63_slc1</v>
      </c>
      <c r="D388" s="44">
        <v>8</v>
      </c>
      <c r="E388" s="29" t="str">
        <f>IF(D388&gt;1,(31)&amp;":"&amp;(31-D388+1),(31-D388+1)&amp;":"&amp;(31-D388+1))</f>
        <v>31:24</v>
      </c>
      <c r="F388" s="30" t="s">
        <v>133</v>
      </c>
      <c r="G388" s="30" t="s">
        <v>133</v>
      </c>
      <c r="H388" s="45" t="s">
        <v>143</v>
      </c>
      <c r="I388" s="31" t="s">
        <v>68</v>
      </c>
      <c r="J388" s="32" t="s">
        <v>36</v>
      </c>
      <c r="K388" s="33" t="s">
        <v>6</v>
      </c>
      <c r="L388" s="46"/>
      <c r="M388" s="120"/>
      <c r="N388" s="120"/>
      <c r="O388" s="120"/>
      <c r="P388" s="122"/>
      <c r="Q388" s="122"/>
      <c r="R388" s="124"/>
      <c r="S388" s="124"/>
      <c r="T388" s="154"/>
      <c r="U388" s="156"/>
      <c r="V388" s="146"/>
      <c r="W388" s="149"/>
      <c r="X388" s="156"/>
      <c r="Y388" s="146"/>
      <c r="Z388" s="149"/>
      <c r="AA388" s="149"/>
      <c r="AB388" s="149"/>
      <c r="AC388" s="152"/>
      <c r="AD388" s="57">
        <f>BIN2DEC($AA387)*3</f>
        <v>3</v>
      </c>
      <c r="AE388" s="57">
        <f>ABS(BIN2DEC($U387)*3)</f>
        <v>3</v>
      </c>
      <c r="AF388" s="57">
        <f>ABS( BIN2DEC(V387)*3-BIN2DEC(Z387))</f>
        <v>3</v>
      </c>
      <c r="AG388" s="57">
        <f>BIN2DEC(X387&amp;Y387)+BIN2DEC(W387)*3</f>
        <v>1</v>
      </c>
      <c r="AH388" s="57">
        <f>AD388+AE388*4+AF388*16</f>
        <v>63</v>
      </c>
    </row>
    <row r="389" spans="1:34" ht="15" customHeight="1">
      <c r="A389" s="126"/>
      <c r="B389" s="128"/>
      <c r="C389" s="43" t="str">
        <f t="shared" ref="C389:C391" si="590">CONCATENATE("sar",AD389+AE389*4+AF389*16,"_slc",AG389)</f>
        <v>sar59_slc1</v>
      </c>
      <c r="D389" s="44">
        <v>8</v>
      </c>
      <c r="E389" s="30" t="str">
        <f t="shared" ref="E389:E391" si="591">(MID(str_cnvt(E388),SEARCH(":",str_cnvt(E388))+1,2)-1) &amp; ":" &amp; (MID(str_cnvt(E388),SEARCH(":",str_cnvt(E388))+1,2)-D389)</f>
        <v>23:16</v>
      </c>
      <c r="F389" s="30" t="s">
        <v>133</v>
      </c>
      <c r="G389" s="30" t="s">
        <v>133</v>
      </c>
      <c r="H389" s="45" t="s">
        <v>143</v>
      </c>
      <c r="I389" s="31" t="s">
        <v>68</v>
      </c>
      <c r="J389" s="32" t="s">
        <v>36</v>
      </c>
      <c r="K389" s="33" t="s">
        <v>6</v>
      </c>
      <c r="L389" s="46"/>
      <c r="M389" s="120"/>
      <c r="N389" s="120"/>
      <c r="O389" s="120"/>
      <c r="P389" s="122"/>
      <c r="Q389" s="122"/>
      <c r="R389" s="124"/>
      <c r="S389" s="124"/>
      <c r="T389" s="154"/>
      <c r="U389" s="156"/>
      <c r="V389" s="146"/>
      <c r="W389" s="149"/>
      <c r="X389" s="156"/>
      <c r="Y389" s="146"/>
      <c r="Z389" s="149"/>
      <c r="AA389" s="149"/>
      <c r="AB389" s="149"/>
      <c r="AC389" s="152"/>
      <c r="AD389" s="57">
        <f>BIN2DEC($AA387)*3</f>
        <v>3</v>
      </c>
      <c r="AE389" s="57">
        <f>ABS(BIN2DEC($U387)*3-1)</f>
        <v>2</v>
      </c>
      <c r="AF389" s="57">
        <f>ABS( BIN2DEC(V387)*3-BIN2DEC(Z387))</f>
        <v>3</v>
      </c>
      <c r="AG389" s="57">
        <f>BIN2DEC(X387&amp;Y387)+BIN2DEC(W387)*3</f>
        <v>1</v>
      </c>
      <c r="AH389" s="57">
        <f t="shared" ref="AH389:AH391" si="592">AD389+AE389*4+AF389*16</f>
        <v>59</v>
      </c>
    </row>
    <row r="390" spans="1:34" ht="15" customHeight="1">
      <c r="A390" s="126"/>
      <c r="B390" s="128"/>
      <c r="C390" s="43" t="str">
        <f t="shared" si="590"/>
        <v>sar61_slc1</v>
      </c>
      <c r="D390" s="44">
        <v>8</v>
      </c>
      <c r="E390" s="30" t="str">
        <f t="shared" si="591"/>
        <v>15:8</v>
      </c>
      <c r="F390" s="30" t="s">
        <v>133</v>
      </c>
      <c r="G390" s="30" t="s">
        <v>133</v>
      </c>
      <c r="H390" s="45" t="s">
        <v>143</v>
      </c>
      <c r="I390" s="31" t="s">
        <v>68</v>
      </c>
      <c r="J390" s="32" t="s">
        <v>36</v>
      </c>
      <c r="K390" s="33" t="s">
        <v>6</v>
      </c>
      <c r="L390" s="46"/>
      <c r="M390" s="120"/>
      <c r="N390" s="120"/>
      <c r="O390" s="120"/>
      <c r="P390" s="122"/>
      <c r="Q390" s="122"/>
      <c r="R390" s="124"/>
      <c r="S390" s="124"/>
      <c r="T390" s="154"/>
      <c r="U390" s="156"/>
      <c r="V390" s="146"/>
      <c r="W390" s="149"/>
      <c r="X390" s="156"/>
      <c r="Y390" s="146"/>
      <c r="Z390" s="149"/>
      <c r="AA390" s="149"/>
      <c r="AB390" s="149"/>
      <c r="AC390" s="152"/>
      <c r="AD390" s="57">
        <f>ABS(BIN2DEC($AA387)*3-2)</f>
        <v>1</v>
      </c>
      <c r="AE390" s="57">
        <f>ABS(BIN2DEC($U387)*3)</f>
        <v>3</v>
      </c>
      <c r="AF390" s="57">
        <f>ABS( BIN2DEC(V387)*3-BIN2DEC(Z387))</f>
        <v>3</v>
      </c>
      <c r="AG390" s="57">
        <f>BIN2DEC(X387&amp;Y387)+BIN2DEC(W387)*3</f>
        <v>1</v>
      </c>
      <c r="AH390" s="57">
        <f t="shared" si="592"/>
        <v>61</v>
      </c>
    </row>
    <row r="391" spans="1:34" ht="15.75" customHeight="1" thickBot="1">
      <c r="A391" s="126"/>
      <c r="B391" s="128"/>
      <c r="C391" s="43" t="str">
        <f t="shared" si="590"/>
        <v>sar57_slc1</v>
      </c>
      <c r="D391" s="44">
        <v>8</v>
      </c>
      <c r="E391" s="30" t="str">
        <f t="shared" si="591"/>
        <v>7:0</v>
      </c>
      <c r="F391" s="30" t="s">
        <v>133</v>
      </c>
      <c r="G391" s="30" t="s">
        <v>133</v>
      </c>
      <c r="H391" s="45" t="s">
        <v>143</v>
      </c>
      <c r="I391" s="31" t="s">
        <v>68</v>
      </c>
      <c r="J391" s="32" t="s">
        <v>36</v>
      </c>
      <c r="K391" s="33" t="s">
        <v>6</v>
      </c>
      <c r="L391" s="46"/>
      <c r="M391" s="120"/>
      <c r="N391" s="120"/>
      <c r="O391" s="120"/>
      <c r="P391" s="122"/>
      <c r="Q391" s="122"/>
      <c r="R391" s="124"/>
      <c r="S391" s="124"/>
      <c r="T391" s="154"/>
      <c r="U391" s="157"/>
      <c r="V391" s="147"/>
      <c r="W391" s="150"/>
      <c r="X391" s="157"/>
      <c r="Y391" s="147"/>
      <c r="Z391" s="150"/>
      <c r="AA391" s="150"/>
      <c r="AB391" s="150"/>
      <c r="AC391" s="153"/>
      <c r="AD391" s="57">
        <f>ABS(BIN2DEC($AA387)*3-2)</f>
        <v>1</v>
      </c>
      <c r="AE391" s="57">
        <f>ABS(BIN2DEC($U387)*3-1)</f>
        <v>2</v>
      </c>
      <c r="AF391" s="57">
        <f>ABS( BIN2DEC(V387)*3-BIN2DEC(Z387))</f>
        <v>3</v>
      </c>
      <c r="AG391" s="57">
        <f>BIN2DEC(X387&amp;Y387)+BIN2DEC(W387)*3</f>
        <v>1</v>
      </c>
      <c r="AH391" s="57">
        <f t="shared" si="592"/>
        <v>57</v>
      </c>
    </row>
    <row r="392" spans="1:34" ht="15.75" customHeight="1">
      <c r="A392" s="125" t="str">
        <f>AC392</f>
        <v>vofc_dom3_quad0_quad2_sar2_slc1</v>
      </c>
      <c r="B392" s="127" t="str">
        <f>DEC2HEX(P392*4)</f>
        <v>0</v>
      </c>
      <c r="C392" s="56" t="s">
        <v>134</v>
      </c>
      <c r="D392" s="129" t="str">
        <f>bitConcat(F393:F396)</f>
        <v>32'b00000000000000000000000000000000</v>
      </c>
      <c r="E392" s="130"/>
      <c r="F392" s="130"/>
      <c r="G392" s="130"/>
      <c r="H392" s="131" t="s">
        <v>135</v>
      </c>
      <c r="I392" s="131"/>
      <c r="J392" s="131" t="str">
        <f>bitConcat(G393:G396)</f>
        <v>32'b00000000000000000000000000000000</v>
      </c>
      <c r="K392" s="131"/>
      <c r="L392" s="132"/>
      <c r="M392" s="119" t="str">
        <f>DEC2HEX(_xlfn.BITLSHIFT(HEX2DEC(Q392),2))</f>
        <v>198</v>
      </c>
      <c r="N392" s="119"/>
      <c r="O392" s="119">
        <v>3</v>
      </c>
      <c r="P392" s="121">
        <v>0</v>
      </c>
      <c r="Q392" s="121" t="str">
        <f>AB392</f>
        <v>66</v>
      </c>
      <c r="R392" s="123" t="str">
        <f t="shared" ref="R392" si="593">BIN2HEX(LEFT(RIGHT(D392,32),4))&amp;BIN2HEX(LEFT(RIGHT(D392,28),4))&amp;BIN2HEX(LEFT(RIGHT(D392,24),4))&amp;BIN2HEX(LEFT(RIGHT(D392,20),4))&amp;BIN2HEX(LEFT(RIGHT(D392,16),4))&amp;BIN2HEX(LEFT(RIGHT(D392,12),4))&amp;BIN2HEX(LEFT(RIGHT(D392,8),4))&amp;BIN2HEX(LEFT(RIGHT(D392,4),4))</f>
        <v>00000000</v>
      </c>
      <c r="S392" s="123" t="str">
        <f t="shared" ref="S392" si="594">BIN2HEX(LEFT(RIGHT(J392,32),4))&amp;BIN2HEX(LEFT(RIGHT(J392,28),4))&amp;BIN2HEX(LEFT(RIGHT(J392,24),4))&amp;BIN2HEX(LEFT(RIGHT(J392,20),4))&amp;BIN2HEX(LEFT(RIGHT(J392,16),4))&amp;BIN2HEX(LEFT(RIGHT(J392,12),4))&amp;BIN2HEX(LEFT(RIGHT(J392,8),4))&amp;BIN2HEX(LEFT(RIGHT(J392,4),4))</f>
        <v>00000000</v>
      </c>
      <c r="T392" s="154">
        <v>6</v>
      </c>
      <c r="U392" s="155" t="str">
        <f t="shared" ref="U392" si="595">LEFT(DEC2BIN(O392,2))</f>
        <v>1</v>
      </c>
      <c r="V392" s="145" t="str">
        <f t="shared" ref="V392" si="596">RIGHT(DEC2BIN(O392,2),1)</f>
        <v>1</v>
      </c>
      <c r="W392" s="148">
        <v>0</v>
      </c>
      <c r="X392" s="155">
        <v>0</v>
      </c>
      <c r="Y392" s="145">
        <v>1</v>
      </c>
      <c r="Z392" s="148">
        <v>1</v>
      </c>
      <c r="AA392" s="148">
        <v>0</v>
      </c>
      <c r="AB392" s="148" t="str">
        <f t="shared" ref="AB392" si="597">BIN2HEX(U392&amp;V392&amp;W392&amp;X392&amp;Y392&amp;Z392&amp;AA392)</f>
        <v>66</v>
      </c>
      <c r="AC392" s="151" t="str">
        <f>CONCATENATE("vofc_dom",BIN2DEC(U392&amp;V392),"_quad",BIN2DEC(AA392),"_quad",BIN2DEC(AA392)+2,"_sar",ABS( BIN2DEC(V392)*3-BIN2DEC(Z392)),"_slc",BIN2DEC(X392&amp;Y392)+BIN2DEC(W392)*3)</f>
        <v>vofc_dom3_quad0_quad2_sar2_slc1</v>
      </c>
      <c r="AD392" s="57"/>
      <c r="AE392" s="57"/>
      <c r="AF392" s="57"/>
      <c r="AG392" s="57"/>
      <c r="AH392" s="57"/>
    </row>
    <row r="393" spans="1:34" ht="15" customHeight="1">
      <c r="A393" s="126"/>
      <c r="B393" s="128"/>
      <c r="C393" s="43" t="str">
        <f>CONCATENATE("sar",AD393+AE393*4+AF393*16,"_slc",AG393)</f>
        <v>sar44_slc1</v>
      </c>
      <c r="D393" s="44">
        <v>8</v>
      </c>
      <c r="E393" s="29" t="str">
        <f>IF(D393&gt;1,(31)&amp;":"&amp;(31-D393+1),(31-D393+1)&amp;":"&amp;(31-D393+1))</f>
        <v>31:24</v>
      </c>
      <c r="F393" s="30" t="s">
        <v>133</v>
      </c>
      <c r="G393" s="30" t="s">
        <v>133</v>
      </c>
      <c r="H393" s="45" t="s">
        <v>143</v>
      </c>
      <c r="I393" s="31" t="s">
        <v>68</v>
      </c>
      <c r="J393" s="32" t="s">
        <v>36</v>
      </c>
      <c r="K393" s="33" t="s">
        <v>6</v>
      </c>
      <c r="L393" s="46"/>
      <c r="M393" s="120"/>
      <c r="N393" s="120"/>
      <c r="O393" s="120"/>
      <c r="P393" s="122"/>
      <c r="Q393" s="122"/>
      <c r="R393" s="124"/>
      <c r="S393" s="124"/>
      <c r="T393" s="154"/>
      <c r="U393" s="156"/>
      <c r="V393" s="146"/>
      <c r="W393" s="149"/>
      <c r="X393" s="156"/>
      <c r="Y393" s="146"/>
      <c r="Z393" s="149"/>
      <c r="AA393" s="149"/>
      <c r="AB393" s="149"/>
      <c r="AC393" s="152"/>
      <c r="AD393" s="57">
        <f>BIN2DEC($AA392)*3</f>
        <v>0</v>
      </c>
      <c r="AE393" s="57">
        <f>ABS(BIN2DEC($U392)*3)</f>
        <v>3</v>
      </c>
      <c r="AF393" s="57">
        <f>ABS( BIN2DEC(V392)*3-BIN2DEC(Z392))</f>
        <v>2</v>
      </c>
      <c r="AG393" s="57">
        <f>BIN2DEC(X392&amp;Y392)+BIN2DEC(W392)*3</f>
        <v>1</v>
      </c>
      <c r="AH393" s="57">
        <f>AD393+AE393*4+AF393*16</f>
        <v>44</v>
      </c>
    </row>
    <row r="394" spans="1:34" ht="15" customHeight="1">
      <c r="A394" s="126"/>
      <c r="B394" s="128"/>
      <c r="C394" s="43" t="str">
        <f t="shared" ref="C394:C396" si="598">CONCATENATE("sar",AD394+AE394*4+AF394*16,"_slc",AG394)</f>
        <v>sar40_slc1</v>
      </c>
      <c r="D394" s="44">
        <v>8</v>
      </c>
      <c r="E394" s="30" t="str">
        <f t="shared" ref="E394:E396" si="599">(MID(str_cnvt(E393),SEARCH(":",str_cnvt(E393))+1,2)-1) &amp; ":" &amp; (MID(str_cnvt(E393),SEARCH(":",str_cnvt(E393))+1,2)-D394)</f>
        <v>23:16</v>
      </c>
      <c r="F394" s="30" t="s">
        <v>133</v>
      </c>
      <c r="G394" s="30" t="s">
        <v>133</v>
      </c>
      <c r="H394" s="45" t="s">
        <v>143</v>
      </c>
      <c r="I394" s="31" t="s">
        <v>68</v>
      </c>
      <c r="J394" s="32" t="s">
        <v>36</v>
      </c>
      <c r="K394" s="33" t="s">
        <v>6</v>
      </c>
      <c r="L394" s="46"/>
      <c r="M394" s="120"/>
      <c r="N394" s="120"/>
      <c r="O394" s="120"/>
      <c r="P394" s="122"/>
      <c r="Q394" s="122"/>
      <c r="R394" s="124"/>
      <c r="S394" s="124"/>
      <c r="T394" s="154"/>
      <c r="U394" s="156"/>
      <c r="V394" s="146"/>
      <c r="W394" s="149"/>
      <c r="X394" s="156"/>
      <c r="Y394" s="146"/>
      <c r="Z394" s="149"/>
      <c r="AA394" s="149"/>
      <c r="AB394" s="149"/>
      <c r="AC394" s="152"/>
      <c r="AD394" s="57">
        <f>BIN2DEC($AA392)*3</f>
        <v>0</v>
      </c>
      <c r="AE394" s="57">
        <f>ABS(BIN2DEC($U392)*3-1)</f>
        <v>2</v>
      </c>
      <c r="AF394" s="57">
        <f>ABS( BIN2DEC(V392)*3-BIN2DEC(Z392))</f>
        <v>2</v>
      </c>
      <c r="AG394" s="57">
        <f>BIN2DEC(X392&amp;Y392)+BIN2DEC(W392)*3</f>
        <v>1</v>
      </c>
      <c r="AH394" s="57">
        <f t="shared" ref="AH394:AH396" si="600">AD394+AE394*4+AF394*16</f>
        <v>40</v>
      </c>
    </row>
    <row r="395" spans="1:34" ht="15" customHeight="1">
      <c r="A395" s="126"/>
      <c r="B395" s="128"/>
      <c r="C395" s="43" t="str">
        <f t="shared" si="598"/>
        <v>sar46_slc1</v>
      </c>
      <c r="D395" s="44">
        <v>8</v>
      </c>
      <c r="E395" s="30" t="str">
        <f t="shared" si="599"/>
        <v>15:8</v>
      </c>
      <c r="F395" s="30" t="s">
        <v>133</v>
      </c>
      <c r="G395" s="30" t="s">
        <v>133</v>
      </c>
      <c r="H395" s="45" t="s">
        <v>143</v>
      </c>
      <c r="I395" s="31" t="s">
        <v>68</v>
      </c>
      <c r="J395" s="32" t="s">
        <v>36</v>
      </c>
      <c r="K395" s="33" t="s">
        <v>6</v>
      </c>
      <c r="L395" s="46"/>
      <c r="M395" s="120"/>
      <c r="N395" s="120"/>
      <c r="O395" s="120"/>
      <c r="P395" s="122"/>
      <c r="Q395" s="122"/>
      <c r="R395" s="124"/>
      <c r="S395" s="124"/>
      <c r="T395" s="154"/>
      <c r="U395" s="156"/>
      <c r="V395" s="146"/>
      <c r="W395" s="149"/>
      <c r="X395" s="156"/>
      <c r="Y395" s="146"/>
      <c r="Z395" s="149"/>
      <c r="AA395" s="149"/>
      <c r="AB395" s="149"/>
      <c r="AC395" s="152"/>
      <c r="AD395" s="57">
        <f>ABS(BIN2DEC($AA392)*3-2)</f>
        <v>2</v>
      </c>
      <c r="AE395" s="57">
        <f>ABS(BIN2DEC($U392)*3)</f>
        <v>3</v>
      </c>
      <c r="AF395" s="57">
        <f>ABS( BIN2DEC(V392)*3-BIN2DEC(Z392))</f>
        <v>2</v>
      </c>
      <c r="AG395" s="57">
        <f>BIN2DEC(X392&amp;Y392)+BIN2DEC(W392)*3</f>
        <v>1</v>
      </c>
      <c r="AH395" s="57">
        <f t="shared" si="600"/>
        <v>46</v>
      </c>
    </row>
    <row r="396" spans="1:34" ht="15.75" customHeight="1" thickBot="1">
      <c r="A396" s="126"/>
      <c r="B396" s="128"/>
      <c r="C396" s="43" t="str">
        <f t="shared" si="598"/>
        <v>sar42_slc1</v>
      </c>
      <c r="D396" s="44">
        <v>8</v>
      </c>
      <c r="E396" s="30" t="str">
        <f t="shared" si="599"/>
        <v>7:0</v>
      </c>
      <c r="F396" s="30" t="s">
        <v>133</v>
      </c>
      <c r="G396" s="30" t="s">
        <v>133</v>
      </c>
      <c r="H396" s="45" t="s">
        <v>143</v>
      </c>
      <c r="I396" s="31" t="s">
        <v>68</v>
      </c>
      <c r="J396" s="32" t="s">
        <v>36</v>
      </c>
      <c r="K396" s="33" t="s">
        <v>6</v>
      </c>
      <c r="L396" s="46"/>
      <c r="M396" s="120"/>
      <c r="N396" s="120"/>
      <c r="O396" s="120"/>
      <c r="P396" s="122"/>
      <c r="Q396" s="122"/>
      <c r="R396" s="124"/>
      <c r="S396" s="124"/>
      <c r="T396" s="154"/>
      <c r="U396" s="157"/>
      <c r="V396" s="147"/>
      <c r="W396" s="150"/>
      <c r="X396" s="157"/>
      <c r="Y396" s="147"/>
      <c r="Z396" s="150"/>
      <c r="AA396" s="150"/>
      <c r="AB396" s="150"/>
      <c r="AC396" s="153"/>
      <c r="AD396" s="57">
        <f>ABS(BIN2DEC($AA392)*3-2)</f>
        <v>2</v>
      </c>
      <c r="AE396" s="57">
        <f>ABS(BIN2DEC($U392)*3-1)</f>
        <v>2</v>
      </c>
      <c r="AF396" s="57">
        <f>ABS( BIN2DEC(V392)*3-BIN2DEC(Z392))</f>
        <v>2</v>
      </c>
      <c r="AG396" s="57">
        <f>BIN2DEC(X392&amp;Y392)+BIN2DEC(W392)*3</f>
        <v>1</v>
      </c>
      <c r="AH396" s="57">
        <f t="shared" si="600"/>
        <v>42</v>
      </c>
    </row>
    <row r="397" spans="1:34" ht="15.75" customHeight="1">
      <c r="A397" s="125" t="str">
        <f>AC397</f>
        <v>vofc_dom3_quad1_quad3_sar2_slc1</v>
      </c>
      <c r="B397" s="127" t="str">
        <f>DEC2HEX(P397*4)</f>
        <v>0</v>
      </c>
      <c r="C397" s="56" t="s">
        <v>134</v>
      </c>
      <c r="D397" s="129" t="str">
        <f>bitConcat(F398:F401)</f>
        <v>32'b00000000000000000000000000000000</v>
      </c>
      <c r="E397" s="130"/>
      <c r="F397" s="130"/>
      <c r="G397" s="130"/>
      <c r="H397" s="131" t="s">
        <v>135</v>
      </c>
      <c r="I397" s="131"/>
      <c r="J397" s="131" t="str">
        <f>bitConcat(G398:G401)</f>
        <v>32'b00000000000000000000000000000000</v>
      </c>
      <c r="K397" s="131"/>
      <c r="L397" s="132"/>
      <c r="M397" s="119" t="str">
        <f>DEC2HEX(_xlfn.BITLSHIFT(HEX2DEC(Q397),2))</f>
        <v>19C</v>
      </c>
      <c r="N397" s="119"/>
      <c r="O397" s="119">
        <v>3</v>
      </c>
      <c r="P397" s="121">
        <v>0</v>
      </c>
      <c r="Q397" s="121" t="str">
        <f>AB397</f>
        <v>67</v>
      </c>
      <c r="R397" s="123" t="str">
        <f t="shared" ref="R397" si="601">BIN2HEX(LEFT(RIGHT(D397,32),4))&amp;BIN2HEX(LEFT(RIGHT(D397,28),4))&amp;BIN2HEX(LEFT(RIGHT(D397,24),4))&amp;BIN2HEX(LEFT(RIGHT(D397,20),4))&amp;BIN2HEX(LEFT(RIGHT(D397,16),4))&amp;BIN2HEX(LEFT(RIGHT(D397,12),4))&amp;BIN2HEX(LEFT(RIGHT(D397,8),4))&amp;BIN2HEX(LEFT(RIGHT(D397,4),4))</f>
        <v>00000000</v>
      </c>
      <c r="S397" s="123" t="str">
        <f t="shared" ref="S397" si="602">BIN2HEX(LEFT(RIGHT(J397,32),4))&amp;BIN2HEX(LEFT(RIGHT(J397,28),4))&amp;BIN2HEX(LEFT(RIGHT(J397,24),4))&amp;BIN2HEX(LEFT(RIGHT(J397,20),4))&amp;BIN2HEX(LEFT(RIGHT(J397,16),4))&amp;BIN2HEX(LEFT(RIGHT(J397,12),4))&amp;BIN2HEX(LEFT(RIGHT(J397,8),4))&amp;BIN2HEX(LEFT(RIGHT(J397,4),4))</f>
        <v>00000000</v>
      </c>
      <c r="T397" s="154">
        <v>7</v>
      </c>
      <c r="U397" s="155" t="str">
        <f t="shared" ref="U397" si="603">LEFT(DEC2BIN(O397,2))</f>
        <v>1</v>
      </c>
      <c r="V397" s="145" t="str">
        <f t="shared" ref="V397" si="604">RIGHT(DEC2BIN(O397,2),1)</f>
        <v>1</v>
      </c>
      <c r="W397" s="148">
        <v>0</v>
      </c>
      <c r="X397" s="155">
        <v>0</v>
      </c>
      <c r="Y397" s="145">
        <v>1</v>
      </c>
      <c r="Z397" s="148">
        <v>1</v>
      </c>
      <c r="AA397" s="148">
        <v>1</v>
      </c>
      <c r="AB397" s="148" t="str">
        <f t="shared" ref="AB397" si="605">BIN2HEX(U397&amp;V397&amp;W397&amp;X397&amp;Y397&amp;Z397&amp;AA397)</f>
        <v>67</v>
      </c>
      <c r="AC397" s="151" t="str">
        <f>CONCATENATE("vofc_dom",BIN2DEC(U397&amp;V397),"_quad",BIN2DEC(AA397),"_quad",BIN2DEC(AA397)+2,"_sar",ABS( BIN2DEC(V397)*3-BIN2DEC(Z397)),"_slc",BIN2DEC(X397&amp;Y397)+BIN2DEC(W397)*3)</f>
        <v>vofc_dom3_quad1_quad3_sar2_slc1</v>
      </c>
      <c r="AD397" s="57"/>
      <c r="AE397" s="57"/>
      <c r="AF397" s="57"/>
      <c r="AG397" s="57"/>
      <c r="AH397" s="57"/>
    </row>
    <row r="398" spans="1:34" ht="15" customHeight="1">
      <c r="A398" s="126"/>
      <c r="B398" s="128"/>
      <c r="C398" s="43" t="str">
        <f>CONCATENATE("sar",AD398+AE398*4+AF398*16,"_slc",AG398)</f>
        <v>sar47_slc1</v>
      </c>
      <c r="D398" s="44">
        <v>8</v>
      </c>
      <c r="E398" s="29" t="str">
        <f>IF(D398&gt;1,(31)&amp;":"&amp;(31-D398+1),(31-D398+1)&amp;":"&amp;(31-D398+1))</f>
        <v>31:24</v>
      </c>
      <c r="F398" s="30" t="s">
        <v>133</v>
      </c>
      <c r="G398" s="30" t="s">
        <v>133</v>
      </c>
      <c r="H398" s="45" t="s">
        <v>143</v>
      </c>
      <c r="I398" s="31" t="s">
        <v>68</v>
      </c>
      <c r="J398" s="32" t="s">
        <v>36</v>
      </c>
      <c r="K398" s="33" t="s">
        <v>6</v>
      </c>
      <c r="L398" s="46"/>
      <c r="M398" s="120"/>
      <c r="N398" s="120"/>
      <c r="O398" s="120"/>
      <c r="P398" s="122"/>
      <c r="Q398" s="122"/>
      <c r="R398" s="124"/>
      <c r="S398" s="124"/>
      <c r="T398" s="154"/>
      <c r="U398" s="156"/>
      <c r="V398" s="146"/>
      <c r="W398" s="149"/>
      <c r="X398" s="156"/>
      <c r="Y398" s="146"/>
      <c r="Z398" s="149"/>
      <c r="AA398" s="149"/>
      <c r="AB398" s="149"/>
      <c r="AC398" s="152"/>
      <c r="AD398" s="57">
        <f>BIN2DEC($AA397)*3</f>
        <v>3</v>
      </c>
      <c r="AE398" s="57">
        <f>ABS(BIN2DEC($U397)*3)</f>
        <v>3</v>
      </c>
      <c r="AF398" s="57">
        <f>ABS( BIN2DEC(V397)*3-BIN2DEC(Z397))</f>
        <v>2</v>
      </c>
      <c r="AG398" s="57">
        <f>BIN2DEC(X397&amp;Y397)+BIN2DEC(W397)*3</f>
        <v>1</v>
      </c>
      <c r="AH398" s="57">
        <f>AD398+AE398*4+AF398*16</f>
        <v>47</v>
      </c>
    </row>
    <row r="399" spans="1:34" ht="15" customHeight="1">
      <c r="A399" s="126"/>
      <c r="B399" s="128"/>
      <c r="C399" s="43" t="str">
        <f t="shared" ref="C399:C401" si="606">CONCATENATE("sar",AD399+AE399*4+AF399*16,"_slc",AG399)</f>
        <v>sar43_slc1</v>
      </c>
      <c r="D399" s="44">
        <v>8</v>
      </c>
      <c r="E399" s="30" t="str">
        <f t="shared" ref="E399:E401" si="607">(MID(str_cnvt(E398),SEARCH(":",str_cnvt(E398))+1,2)-1) &amp; ":" &amp; (MID(str_cnvt(E398),SEARCH(":",str_cnvt(E398))+1,2)-D399)</f>
        <v>23:16</v>
      </c>
      <c r="F399" s="30" t="s">
        <v>133</v>
      </c>
      <c r="G399" s="30" t="s">
        <v>133</v>
      </c>
      <c r="H399" s="45" t="s">
        <v>143</v>
      </c>
      <c r="I399" s="31" t="s">
        <v>68</v>
      </c>
      <c r="J399" s="32" t="s">
        <v>36</v>
      </c>
      <c r="K399" s="33" t="s">
        <v>6</v>
      </c>
      <c r="L399" s="46"/>
      <c r="M399" s="120"/>
      <c r="N399" s="120"/>
      <c r="O399" s="120"/>
      <c r="P399" s="122"/>
      <c r="Q399" s="122"/>
      <c r="R399" s="124"/>
      <c r="S399" s="124"/>
      <c r="T399" s="154"/>
      <c r="U399" s="156"/>
      <c r="V399" s="146"/>
      <c r="W399" s="149"/>
      <c r="X399" s="156"/>
      <c r="Y399" s="146"/>
      <c r="Z399" s="149"/>
      <c r="AA399" s="149"/>
      <c r="AB399" s="149"/>
      <c r="AC399" s="152"/>
      <c r="AD399" s="57">
        <f>BIN2DEC($AA397)*3</f>
        <v>3</v>
      </c>
      <c r="AE399" s="57">
        <f>ABS(BIN2DEC($U397)*3-1)</f>
        <v>2</v>
      </c>
      <c r="AF399" s="57">
        <f>ABS( BIN2DEC(V397)*3-BIN2DEC(Z397))</f>
        <v>2</v>
      </c>
      <c r="AG399" s="57">
        <f>BIN2DEC(X397&amp;Y397)+BIN2DEC(W397)*3</f>
        <v>1</v>
      </c>
      <c r="AH399" s="57">
        <f t="shared" ref="AH399:AH401" si="608">AD399+AE399*4+AF399*16</f>
        <v>43</v>
      </c>
    </row>
    <row r="400" spans="1:34" ht="15" customHeight="1">
      <c r="A400" s="126"/>
      <c r="B400" s="128"/>
      <c r="C400" s="43" t="str">
        <f t="shared" si="606"/>
        <v>sar45_slc1</v>
      </c>
      <c r="D400" s="44">
        <v>8</v>
      </c>
      <c r="E400" s="30" t="str">
        <f t="shared" si="607"/>
        <v>15:8</v>
      </c>
      <c r="F400" s="30" t="s">
        <v>133</v>
      </c>
      <c r="G400" s="30" t="s">
        <v>133</v>
      </c>
      <c r="H400" s="45" t="s">
        <v>143</v>
      </c>
      <c r="I400" s="31" t="s">
        <v>68</v>
      </c>
      <c r="J400" s="32" t="s">
        <v>36</v>
      </c>
      <c r="K400" s="33" t="s">
        <v>6</v>
      </c>
      <c r="L400" s="46"/>
      <c r="M400" s="120"/>
      <c r="N400" s="120"/>
      <c r="O400" s="120"/>
      <c r="P400" s="122"/>
      <c r="Q400" s="122"/>
      <c r="R400" s="124"/>
      <c r="S400" s="124"/>
      <c r="T400" s="154"/>
      <c r="U400" s="156"/>
      <c r="V400" s="146"/>
      <c r="W400" s="149"/>
      <c r="X400" s="156"/>
      <c r="Y400" s="146"/>
      <c r="Z400" s="149"/>
      <c r="AA400" s="149"/>
      <c r="AB400" s="149"/>
      <c r="AC400" s="152"/>
      <c r="AD400" s="57">
        <f>ABS(BIN2DEC($AA397)*3-2)</f>
        <v>1</v>
      </c>
      <c r="AE400" s="57">
        <f>ABS(BIN2DEC($U397)*3)</f>
        <v>3</v>
      </c>
      <c r="AF400" s="57">
        <f>ABS( BIN2DEC(V397)*3-BIN2DEC(Z397))</f>
        <v>2</v>
      </c>
      <c r="AG400" s="57">
        <f>BIN2DEC(X397&amp;Y397)+BIN2DEC(W397)*3</f>
        <v>1</v>
      </c>
      <c r="AH400" s="57">
        <f t="shared" si="608"/>
        <v>45</v>
      </c>
    </row>
    <row r="401" spans="1:34" ht="15.75" customHeight="1" thickBot="1">
      <c r="A401" s="126"/>
      <c r="B401" s="128"/>
      <c r="C401" s="43" t="str">
        <f t="shared" si="606"/>
        <v>sar41_slc1</v>
      </c>
      <c r="D401" s="44">
        <v>8</v>
      </c>
      <c r="E401" s="30" t="str">
        <f t="shared" si="607"/>
        <v>7:0</v>
      </c>
      <c r="F401" s="30" t="s">
        <v>133</v>
      </c>
      <c r="G401" s="30" t="s">
        <v>133</v>
      </c>
      <c r="H401" s="45" t="s">
        <v>143</v>
      </c>
      <c r="I401" s="31" t="s">
        <v>68</v>
      </c>
      <c r="J401" s="32" t="s">
        <v>36</v>
      </c>
      <c r="K401" s="33" t="s">
        <v>6</v>
      </c>
      <c r="L401" s="46"/>
      <c r="M401" s="120"/>
      <c r="N401" s="120"/>
      <c r="O401" s="120"/>
      <c r="P401" s="122"/>
      <c r="Q401" s="122"/>
      <c r="R401" s="124"/>
      <c r="S401" s="124"/>
      <c r="T401" s="154"/>
      <c r="U401" s="157"/>
      <c r="V401" s="147"/>
      <c r="W401" s="150"/>
      <c r="X401" s="157"/>
      <c r="Y401" s="147"/>
      <c r="Z401" s="150"/>
      <c r="AA401" s="150"/>
      <c r="AB401" s="150"/>
      <c r="AC401" s="153"/>
      <c r="AD401" s="57">
        <f>ABS(BIN2DEC($AA397)*3-2)</f>
        <v>1</v>
      </c>
      <c r="AE401" s="57">
        <f>ABS(BIN2DEC($U397)*3-1)</f>
        <v>2</v>
      </c>
      <c r="AF401" s="57">
        <f>ABS( BIN2DEC(V397)*3-BIN2DEC(Z397))</f>
        <v>2</v>
      </c>
      <c r="AG401" s="57">
        <f>BIN2DEC(X397&amp;Y397)+BIN2DEC(W397)*3</f>
        <v>1</v>
      </c>
      <c r="AH401" s="57">
        <f t="shared" si="608"/>
        <v>41</v>
      </c>
    </row>
    <row r="402" spans="1:34" ht="15.75" customHeight="1">
      <c r="A402" s="125" t="str">
        <f>AC402</f>
        <v>vofc_dom3_quad0_quad2_sar3_slc2</v>
      </c>
      <c r="B402" s="127" t="str">
        <f>DEC2HEX(P402*4)</f>
        <v>0</v>
      </c>
      <c r="C402" s="56" t="s">
        <v>134</v>
      </c>
      <c r="D402" s="129" t="str">
        <f>bitConcat(F403:F406)</f>
        <v>32'b00000000000000000000000000000000</v>
      </c>
      <c r="E402" s="130"/>
      <c r="F402" s="130"/>
      <c r="G402" s="130"/>
      <c r="H402" s="131" t="s">
        <v>135</v>
      </c>
      <c r="I402" s="131"/>
      <c r="J402" s="131" t="str">
        <f>bitConcat(G403:G406)</f>
        <v>32'b00000000000000000000000000000000</v>
      </c>
      <c r="K402" s="131"/>
      <c r="L402" s="132"/>
      <c r="M402" s="119" t="str">
        <f>DEC2HEX(_xlfn.BITLSHIFT(HEX2DEC(Q402),2))</f>
        <v>1A0</v>
      </c>
      <c r="N402" s="119"/>
      <c r="O402" s="119">
        <v>3</v>
      </c>
      <c r="P402" s="121">
        <v>0</v>
      </c>
      <c r="Q402" s="121" t="str">
        <f>AB402</f>
        <v>68</v>
      </c>
      <c r="R402" s="123" t="str">
        <f t="shared" ref="R402" si="609">BIN2HEX(LEFT(RIGHT(D402,32),4))&amp;BIN2HEX(LEFT(RIGHT(D402,28),4))&amp;BIN2HEX(LEFT(RIGHT(D402,24),4))&amp;BIN2HEX(LEFT(RIGHT(D402,20),4))&amp;BIN2HEX(LEFT(RIGHT(D402,16),4))&amp;BIN2HEX(LEFT(RIGHT(D402,12),4))&amp;BIN2HEX(LEFT(RIGHT(D402,8),4))&amp;BIN2HEX(LEFT(RIGHT(D402,4),4))</f>
        <v>00000000</v>
      </c>
      <c r="S402" s="123" t="str">
        <f t="shared" ref="S402" si="610">BIN2HEX(LEFT(RIGHT(J402,32),4))&amp;BIN2HEX(LEFT(RIGHT(J402,28),4))&amp;BIN2HEX(LEFT(RIGHT(J402,24),4))&amp;BIN2HEX(LEFT(RIGHT(J402,20),4))&amp;BIN2HEX(LEFT(RIGHT(J402,16),4))&amp;BIN2HEX(LEFT(RIGHT(J402,12),4))&amp;BIN2HEX(LEFT(RIGHT(J402,8),4))&amp;BIN2HEX(LEFT(RIGHT(J402,4),4))</f>
        <v>00000000</v>
      </c>
      <c r="T402" s="154">
        <v>8</v>
      </c>
      <c r="U402" s="155" t="str">
        <f t="shared" ref="U402" si="611">LEFT(DEC2BIN(O402,2))</f>
        <v>1</v>
      </c>
      <c r="V402" s="145" t="str">
        <f t="shared" ref="V402" si="612">RIGHT(DEC2BIN(O402,2),1)</f>
        <v>1</v>
      </c>
      <c r="W402" s="148">
        <v>0</v>
      </c>
      <c r="X402" s="155">
        <v>1</v>
      </c>
      <c r="Y402" s="145">
        <v>0</v>
      </c>
      <c r="Z402" s="148">
        <v>0</v>
      </c>
      <c r="AA402" s="148">
        <v>0</v>
      </c>
      <c r="AB402" s="148" t="str">
        <f t="shared" ref="AB402" si="613">BIN2HEX(U402&amp;V402&amp;W402&amp;X402&amp;Y402&amp;Z402&amp;AA402)</f>
        <v>68</v>
      </c>
      <c r="AC402" s="151" t="str">
        <f>CONCATENATE("vofc_dom",BIN2DEC(U402&amp;V402),"_quad",BIN2DEC(AA402),"_quad",BIN2DEC(AA402)+2,"_sar",ABS( BIN2DEC(V402)*3-BIN2DEC(Z402)),"_slc",BIN2DEC(X402&amp;Y402)+BIN2DEC(W402)*3)</f>
        <v>vofc_dom3_quad0_quad2_sar3_slc2</v>
      </c>
      <c r="AD402" s="57"/>
      <c r="AE402" s="57"/>
      <c r="AF402" s="57"/>
      <c r="AG402" s="57"/>
      <c r="AH402" s="57"/>
    </row>
    <row r="403" spans="1:34" ht="15" customHeight="1">
      <c r="A403" s="126"/>
      <c r="B403" s="128"/>
      <c r="C403" s="43" t="str">
        <f>CONCATENATE("sar",AD403+AE403*4+AF403*16,"_slc",AG403)</f>
        <v>sar60_slc2</v>
      </c>
      <c r="D403" s="44">
        <v>8</v>
      </c>
      <c r="E403" s="29" t="str">
        <f>IF(D403&gt;1,(31)&amp;":"&amp;(31-D403+1),(31-D403+1)&amp;":"&amp;(31-D403+1))</f>
        <v>31:24</v>
      </c>
      <c r="F403" s="30" t="s">
        <v>133</v>
      </c>
      <c r="G403" s="30" t="s">
        <v>133</v>
      </c>
      <c r="H403" s="45" t="s">
        <v>143</v>
      </c>
      <c r="I403" s="31" t="s">
        <v>68</v>
      </c>
      <c r="J403" s="32" t="s">
        <v>36</v>
      </c>
      <c r="K403" s="33" t="s">
        <v>6</v>
      </c>
      <c r="L403" s="46"/>
      <c r="M403" s="120"/>
      <c r="N403" s="120"/>
      <c r="O403" s="120"/>
      <c r="P403" s="122"/>
      <c r="Q403" s="122"/>
      <c r="R403" s="124"/>
      <c r="S403" s="124"/>
      <c r="T403" s="154"/>
      <c r="U403" s="156"/>
      <c r="V403" s="146"/>
      <c r="W403" s="149"/>
      <c r="X403" s="156"/>
      <c r="Y403" s="146"/>
      <c r="Z403" s="149"/>
      <c r="AA403" s="149"/>
      <c r="AB403" s="149"/>
      <c r="AC403" s="152"/>
      <c r="AD403" s="57">
        <f>BIN2DEC($AA402)*3</f>
        <v>0</v>
      </c>
      <c r="AE403" s="57">
        <f>ABS(BIN2DEC($U402)*3)</f>
        <v>3</v>
      </c>
      <c r="AF403" s="57">
        <f>ABS( BIN2DEC(V402)*3-BIN2DEC(Z402))</f>
        <v>3</v>
      </c>
      <c r="AG403" s="57">
        <f>BIN2DEC(X402&amp;Y402)+BIN2DEC(W402)*3</f>
        <v>2</v>
      </c>
      <c r="AH403" s="57">
        <f>AD403+AE403*4+AF403*16</f>
        <v>60</v>
      </c>
    </row>
    <row r="404" spans="1:34" ht="15" customHeight="1">
      <c r="A404" s="126"/>
      <c r="B404" s="128"/>
      <c r="C404" s="43" t="str">
        <f t="shared" ref="C404:C406" si="614">CONCATENATE("sar",AD404+AE404*4+AF404*16,"_slc",AG404)</f>
        <v>sar56_slc2</v>
      </c>
      <c r="D404" s="44">
        <v>8</v>
      </c>
      <c r="E404" s="30" t="str">
        <f t="shared" ref="E404:E406" si="615">(MID(str_cnvt(E403),SEARCH(":",str_cnvt(E403))+1,2)-1) &amp; ":" &amp; (MID(str_cnvt(E403),SEARCH(":",str_cnvt(E403))+1,2)-D404)</f>
        <v>23:16</v>
      </c>
      <c r="F404" s="30" t="s">
        <v>133</v>
      </c>
      <c r="G404" s="30" t="s">
        <v>133</v>
      </c>
      <c r="H404" s="45" t="s">
        <v>143</v>
      </c>
      <c r="I404" s="31" t="s">
        <v>68</v>
      </c>
      <c r="J404" s="32" t="s">
        <v>36</v>
      </c>
      <c r="K404" s="33" t="s">
        <v>6</v>
      </c>
      <c r="L404" s="46"/>
      <c r="M404" s="120"/>
      <c r="N404" s="120"/>
      <c r="O404" s="120"/>
      <c r="P404" s="122"/>
      <c r="Q404" s="122"/>
      <c r="R404" s="124"/>
      <c r="S404" s="124"/>
      <c r="T404" s="154"/>
      <c r="U404" s="156"/>
      <c r="V404" s="146"/>
      <c r="W404" s="149"/>
      <c r="X404" s="156"/>
      <c r="Y404" s="146"/>
      <c r="Z404" s="149"/>
      <c r="AA404" s="149"/>
      <c r="AB404" s="149"/>
      <c r="AC404" s="152"/>
      <c r="AD404" s="57">
        <f>BIN2DEC($AA402)*3</f>
        <v>0</v>
      </c>
      <c r="AE404" s="57">
        <f>ABS(BIN2DEC($U402)*3-1)</f>
        <v>2</v>
      </c>
      <c r="AF404" s="57">
        <f>ABS( BIN2DEC(V402)*3-BIN2DEC(Z402))</f>
        <v>3</v>
      </c>
      <c r="AG404" s="57">
        <f>BIN2DEC(X402&amp;Y402)+BIN2DEC(W402)*3</f>
        <v>2</v>
      </c>
      <c r="AH404" s="57">
        <f t="shared" ref="AH404:AH406" si="616">AD404+AE404*4+AF404*16</f>
        <v>56</v>
      </c>
    </row>
    <row r="405" spans="1:34" ht="15" customHeight="1">
      <c r="A405" s="126"/>
      <c r="B405" s="128"/>
      <c r="C405" s="43" t="str">
        <f t="shared" si="614"/>
        <v>sar62_slc2</v>
      </c>
      <c r="D405" s="44">
        <v>8</v>
      </c>
      <c r="E405" s="30" t="str">
        <f t="shared" si="615"/>
        <v>15:8</v>
      </c>
      <c r="F405" s="30" t="s">
        <v>133</v>
      </c>
      <c r="G405" s="30" t="s">
        <v>133</v>
      </c>
      <c r="H405" s="45" t="s">
        <v>143</v>
      </c>
      <c r="I405" s="31" t="s">
        <v>68</v>
      </c>
      <c r="J405" s="32" t="s">
        <v>36</v>
      </c>
      <c r="K405" s="33" t="s">
        <v>6</v>
      </c>
      <c r="L405" s="46"/>
      <c r="M405" s="120"/>
      <c r="N405" s="120"/>
      <c r="O405" s="120"/>
      <c r="P405" s="122"/>
      <c r="Q405" s="122"/>
      <c r="R405" s="124"/>
      <c r="S405" s="124"/>
      <c r="T405" s="154"/>
      <c r="U405" s="156"/>
      <c r="V405" s="146"/>
      <c r="W405" s="149"/>
      <c r="X405" s="156"/>
      <c r="Y405" s="146"/>
      <c r="Z405" s="149"/>
      <c r="AA405" s="149"/>
      <c r="AB405" s="149"/>
      <c r="AC405" s="152"/>
      <c r="AD405" s="57">
        <f>ABS(BIN2DEC($AA402)*3-2)</f>
        <v>2</v>
      </c>
      <c r="AE405" s="57">
        <f>ABS(BIN2DEC($U402)*3)</f>
        <v>3</v>
      </c>
      <c r="AF405" s="57">
        <f>ABS( BIN2DEC(V402)*3-BIN2DEC(Z402))</f>
        <v>3</v>
      </c>
      <c r="AG405" s="57">
        <f>BIN2DEC(X402&amp;Y402)+BIN2DEC(W402)*3</f>
        <v>2</v>
      </c>
      <c r="AH405" s="57">
        <f t="shared" si="616"/>
        <v>62</v>
      </c>
    </row>
    <row r="406" spans="1:34" ht="15.75" customHeight="1" thickBot="1">
      <c r="A406" s="126"/>
      <c r="B406" s="128"/>
      <c r="C406" s="43" t="str">
        <f t="shared" si="614"/>
        <v>sar58_slc2</v>
      </c>
      <c r="D406" s="44">
        <v>8</v>
      </c>
      <c r="E406" s="30" t="str">
        <f t="shared" si="615"/>
        <v>7:0</v>
      </c>
      <c r="F406" s="30" t="s">
        <v>133</v>
      </c>
      <c r="G406" s="30" t="s">
        <v>133</v>
      </c>
      <c r="H406" s="45" t="s">
        <v>143</v>
      </c>
      <c r="I406" s="31" t="s">
        <v>68</v>
      </c>
      <c r="J406" s="32" t="s">
        <v>36</v>
      </c>
      <c r="K406" s="33" t="s">
        <v>6</v>
      </c>
      <c r="L406" s="46"/>
      <c r="M406" s="120"/>
      <c r="N406" s="120"/>
      <c r="O406" s="120"/>
      <c r="P406" s="122"/>
      <c r="Q406" s="122"/>
      <c r="R406" s="124"/>
      <c r="S406" s="124"/>
      <c r="T406" s="154"/>
      <c r="U406" s="157"/>
      <c r="V406" s="147"/>
      <c r="W406" s="150"/>
      <c r="X406" s="157"/>
      <c r="Y406" s="147"/>
      <c r="Z406" s="150"/>
      <c r="AA406" s="150"/>
      <c r="AB406" s="150"/>
      <c r="AC406" s="153"/>
      <c r="AD406" s="57">
        <f>ABS(BIN2DEC($AA402)*3-2)</f>
        <v>2</v>
      </c>
      <c r="AE406" s="57">
        <f>ABS(BIN2DEC($U402)*3-1)</f>
        <v>2</v>
      </c>
      <c r="AF406" s="57">
        <f>ABS( BIN2DEC(V402)*3-BIN2DEC(Z402))</f>
        <v>3</v>
      </c>
      <c r="AG406" s="57">
        <f>BIN2DEC(X402&amp;Y402)+BIN2DEC(W402)*3</f>
        <v>2</v>
      </c>
      <c r="AH406" s="57">
        <f t="shared" si="616"/>
        <v>58</v>
      </c>
    </row>
    <row r="407" spans="1:34" ht="15.75" customHeight="1">
      <c r="A407" s="125" t="str">
        <f>AC407</f>
        <v>vofc_dom3_quad1_quad3_sar3_slc2</v>
      </c>
      <c r="B407" s="127" t="str">
        <f>DEC2HEX(P407*4)</f>
        <v>0</v>
      </c>
      <c r="C407" s="56" t="s">
        <v>134</v>
      </c>
      <c r="D407" s="129" t="str">
        <f>bitConcat(F408:F411)</f>
        <v>32'b00000000000000000000000000000000</v>
      </c>
      <c r="E407" s="130"/>
      <c r="F407" s="130"/>
      <c r="G407" s="130"/>
      <c r="H407" s="131" t="s">
        <v>135</v>
      </c>
      <c r="I407" s="131"/>
      <c r="J407" s="131" t="str">
        <f>bitConcat(G408:G411)</f>
        <v>32'b00000000000000000000000000000000</v>
      </c>
      <c r="K407" s="131"/>
      <c r="L407" s="132"/>
      <c r="M407" s="119" t="str">
        <f>DEC2HEX(_xlfn.BITLSHIFT(HEX2DEC(Q407),2))</f>
        <v>1A4</v>
      </c>
      <c r="N407" s="119"/>
      <c r="O407" s="119">
        <v>3</v>
      </c>
      <c r="P407" s="121">
        <v>0</v>
      </c>
      <c r="Q407" s="121" t="str">
        <f>AB407</f>
        <v>69</v>
      </c>
      <c r="R407" s="123" t="str">
        <f t="shared" ref="R407" si="617">BIN2HEX(LEFT(RIGHT(D407,32),4))&amp;BIN2HEX(LEFT(RIGHT(D407,28),4))&amp;BIN2HEX(LEFT(RIGHT(D407,24),4))&amp;BIN2HEX(LEFT(RIGHT(D407,20),4))&amp;BIN2HEX(LEFT(RIGHT(D407,16),4))&amp;BIN2HEX(LEFT(RIGHT(D407,12),4))&amp;BIN2HEX(LEFT(RIGHT(D407,8),4))&amp;BIN2HEX(LEFT(RIGHT(D407,4),4))</f>
        <v>00000000</v>
      </c>
      <c r="S407" s="123" t="str">
        <f t="shared" ref="S407" si="618">BIN2HEX(LEFT(RIGHT(J407,32),4))&amp;BIN2HEX(LEFT(RIGHT(J407,28),4))&amp;BIN2HEX(LEFT(RIGHT(J407,24),4))&amp;BIN2HEX(LEFT(RIGHT(J407,20),4))&amp;BIN2HEX(LEFT(RIGHT(J407,16),4))&amp;BIN2HEX(LEFT(RIGHT(J407,12),4))&amp;BIN2HEX(LEFT(RIGHT(J407,8),4))&amp;BIN2HEX(LEFT(RIGHT(J407,4),4))</f>
        <v>00000000</v>
      </c>
      <c r="T407" s="154">
        <v>9</v>
      </c>
      <c r="U407" s="155" t="str">
        <f t="shared" ref="U407" si="619">LEFT(DEC2BIN(O407,2))</f>
        <v>1</v>
      </c>
      <c r="V407" s="145" t="str">
        <f t="shared" ref="V407" si="620">RIGHT(DEC2BIN(O407,2),1)</f>
        <v>1</v>
      </c>
      <c r="W407" s="148">
        <v>0</v>
      </c>
      <c r="X407" s="155">
        <v>1</v>
      </c>
      <c r="Y407" s="145">
        <v>0</v>
      </c>
      <c r="Z407" s="148">
        <v>0</v>
      </c>
      <c r="AA407" s="148">
        <v>1</v>
      </c>
      <c r="AB407" s="148" t="str">
        <f t="shared" ref="AB407" si="621">BIN2HEX(U407&amp;V407&amp;W407&amp;X407&amp;Y407&amp;Z407&amp;AA407)</f>
        <v>69</v>
      </c>
      <c r="AC407" s="151" t="str">
        <f>CONCATENATE("vofc_dom",BIN2DEC(U407&amp;V407),"_quad",BIN2DEC(AA407),"_quad",BIN2DEC(AA407)+2,"_sar",ABS( BIN2DEC(V407)*3-BIN2DEC(Z407)),"_slc",BIN2DEC(X407&amp;Y407)+BIN2DEC(W407)*3)</f>
        <v>vofc_dom3_quad1_quad3_sar3_slc2</v>
      </c>
      <c r="AD407" s="57"/>
      <c r="AE407" s="57"/>
      <c r="AF407" s="57"/>
      <c r="AG407" s="57"/>
      <c r="AH407" s="57"/>
    </row>
    <row r="408" spans="1:34" ht="15" customHeight="1">
      <c r="A408" s="126"/>
      <c r="B408" s="128"/>
      <c r="C408" s="43" t="str">
        <f>CONCATENATE("sar",AD408+AE408*4+AF408*16,"_slc",AG408)</f>
        <v>sar63_slc2</v>
      </c>
      <c r="D408" s="44">
        <v>8</v>
      </c>
      <c r="E408" s="29" t="str">
        <f>IF(D408&gt;1,(31)&amp;":"&amp;(31-D408+1),(31-D408+1)&amp;":"&amp;(31-D408+1))</f>
        <v>31:24</v>
      </c>
      <c r="F408" s="30" t="s">
        <v>133</v>
      </c>
      <c r="G408" s="30" t="s">
        <v>133</v>
      </c>
      <c r="H408" s="45" t="s">
        <v>143</v>
      </c>
      <c r="I408" s="31" t="s">
        <v>68</v>
      </c>
      <c r="J408" s="32" t="s">
        <v>36</v>
      </c>
      <c r="K408" s="33" t="s">
        <v>6</v>
      </c>
      <c r="L408" s="46"/>
      <c r="M408" s="120"/>
      <c r="N408" s="120"/>
      <c r="O408" s="120"/>
      <c r="P408" s="122"/>
      <c r="Q408" s="122"/>
      <c r="R408" s="124"/>
      <c r="S408" s="124"/>
      <c r="T408" s="154"/>
      <c r="U408" s="156"/>
      <c r="V408" s="146"/>
      <c r="W408" s="149"/>
      <c r="X408" s="156"/>
      <c r="Y408" s="146"/>
      <c r="Z408" s="149"/>
      <c r="AA408" s="149"/>
      <c r="AB408" s="149"/>
      <c r="AC408" s="152"/>
      <c r="AD408" s="57">
        <f>BIN2DEC($AA407)*3</f>
        <v>3</v>
      </c>
      <c r="AE408" s="57">
        <f>ABS(BIN2DEC($U407)*3)</f>
        <v>3</v>
      </c>
      <c r="AF408" s="57">
        <f>ABS( BIN2DEC(V407)*3-BIN2DEC(Z407))</f>
        <v>3</v>
      </c>
      <c r="AG408" s="57">
        <f>BIN2DEC(X407&amp;Y407)+BIN2DEC(W407)*3</f>
        <v>2</v>
      </c>
      <c r="AH408" s="57">
        <f>AD408+AE408*4+AF408*16</f>
        <v>63</v>
      </c>
    </row>
    <row r="409" spans="1:34" ht="15" customHeight="1">
      <c r="A409" s="126"/>
      <c r="B409" s="128"/>
      <c r="C409" s="43" t="str">
        <f t="shared" ref="C409:C411" si="622">CONCATENATE("sar",AD409+AE409*4+AF409*16,"_slc",AG409)</f>
        <v>sar59_slc2</v>
      </c>
      <c r="D409" s="44">
        <v>8</v>
      </c>
      <c r="E409" s="30" t="str">
        <f t="shared" ref="E409:E411" si="623">(MID(str_cnvt(E408),SEARCH(":",str_cnvt(E408))+1,2)-1) &amp; ":" &amp; (MID(str_cnvt(E408),SEARCH(":",str_cnvt(E408))+1,2)-D409)</f>
        <v>23:16</v>
      </c>
      <c r="F409" s="30" t="s">
        <v>133</v>
      </c>
      <c r="G409" s="30" t="s">
        <v>133</v>
      </c>
      <c r="H409" s="45" t="s">
        <v>143</v>
      </c>
      <c r="I409" s="31" t="s">
        <v>68</v>
      </c>
      <c r="J409" s="32" t="s">
        <v>36</v>
      </c>
      <c r="K409" s="33" t="s">
        <v>6</v>
      </c>
      <c r="L409" s="46"/>
      <c r="M409" s="120"/>
      <c r="N409" s="120"/>
      <c r="O409" s="120"/>
      <c r="P409" s="122"/>
      <c r="Q409" s="122"/>
      <c r="R409" s="124"/>
      <c r="S409" s="124"/>
      <c r="T409" s="154"/>
      <c r="U409" s="156"/>
      <c r="V409" s="146"/>
      <c r="W409" s="149"/>
      <c r="X409" s="156"/>
      <c r="Y409" s="146"/>
      <c r="Z409" s="149"/>
      <c r="AA409" s="149"/>
      <c r="AB409" s="149"/>
      <c r="AC409" s="152"/>
      <c r="AD409" s="57">
        <f>BIN2DEC($AA407)*3</f>
        <v>3</v>
      </c>
      <c r="AE409" s="57">
        <f>ABS(BIN2DEC($U407)*3-1)</f>
        <v>2</v>
      </c>
      <c r="AF409" s="57">
        <f>ABS( BIN2DEC(V407)*3-BIN2DEC(Z407))</f>
        <v>3</v>
      </c>
      <c r="AG409" s="57">
        <f>BIN2DEC(X407&amp;Y407)+BIN2DEC(W407)*3</f>
        <v>2</v>
      </c>
      <c r="AH409" s="57">
        <f t="shared" ref="AH409:AH411" si="624">AD409+AE409*4+AF409*16</f>
        <v>59</v>
      </c>
    </row>
    <row r="410" spans="1:34" ht="15" customHeight="1">
      <c r="A410" s="126"/>
      <c r="B410" s="128"/>
      <c r="C410" s="43" t="str">
        <f t="shared" si="622"/>
        <v>sar61_slc2</v>
      </c>
      <c r="D410" s="44">
        <v>8</v>
      </c>
      <c r="E410" s="30" t="str">
        <f t="shared" si="623"/>
        <v>15:8</v>
      </c>
      <c r="F410" s="30" t="s">
        <v>133</v>
      </c>
      <c r="G410" s="30" t="s">
        <v>133</v>
      </c>
      <c r="H410" s="45" t="s">
        <v>143</v>
      </c>
      <c r="I410" s="31" t="s">
        <v>68</v>
      </c>
      <c r="J410" s="32" t="s">
        <v>36</v>
      </c>
      <c r="K410" s="33" t="s">
        <v>6</v>
      </c>
      <c r="L410" s="46"/>
      <c r="M410" s="120"/>
      <c r="N410" s="120"/>
      <c r="O410" s="120"/>
      <c r="P410" s="122"/>
      <c r="Q410" s="122"/>
      <c r="R410" s="124"/>
      <c r="S410" s="124"/>
      <c r="T410" s="154"/>
      <c r="U410" s="156"/>
      <c r="V410" s="146"/>
      <c r="W410" s="149"/>
      <c r="X410" s="156"/>
      <c r="Y410" s="146"/>
      <c r="Z410" s="149"/>
      <c r="AA410" s="149"/>
      <c r="AB410" s="149"/>
      <c r="AC410" s="152"/>
      <c r="AD410" s="57">
        <f>ABS(BIN2DEC($AA407)*3-2)</f>
        <v>1</v>
      </c>
      <c r="AE410" s="57">
        <f>ABS(BIN2DEC($U407)*3)</f>
        <v>3</v>
      </c>
      <c r="AF410" s="57">
        <f>ABS( BIN2DEC(V407)*3-BIN2DEC(Z407))</f>
        <v>3</v>
      </c>
      <c r="AG410" s="57">
        <f>BIN2DEC(X407&amp;Y407)+BIN2DEC(W407)*3</f>
        <v>2</v>
      </c>
      <c r="AH410" s="57">
        <f t="shared" si="624"/>
        <v>61</v>
      </c>
    </row>
    <row r="411" spans="1:34" ht="15.75" customHeight="1" thickBot="1">
      <c r="A411" s="126"/>
      <c r="B411" s="128"/>
      <c r="C411" s="43" t="str">
        <f t="shared" si="622"/>
        <v>sar57_slc2</v>
      </c>
      <c r="D411" s="44">
        <v>8</v>
      </c>
      <c r="E411" s="30" t="str">
        <f t="shared" si="623"/>
        <v>7:0</v>
      </c>
      <c r="F411" s="30" t="s">
        <v>133</v>
      </c>
      <c r="G411" s="30" t="s">
        <v>133</v>
      </c>
      <c r="H411" s="45" t="s">
        <v>143</v>
      </c>
      <c r="I411" s="31" t="s">
        <v>68</v>
      </c>
      <c r="J411" s="32" t="s">
        <v>36</v>
      </c>
      <c r="K411" s="33" t="s">
        <v>6</v>
      </c>
      <c r="L411" s="46"/>
      <c r="M411" s="120"/>
      <c r="N411" s="120"/>
      <c r="O411" s="120"/>
      <c r="P411" s="122"/>
      <c r="Q411" s="122"/>
      <c r="R411" s="124"/>
      <c r="S411" s="124"/>
      <c r="T411" s="154"/>
      <c r="U411" s="157"/>
      <c r="V411" s="147"/>
      <c r="W411" s="150"/>
      <c r="X411" s="157"/>
      <c r="Y411" s="147"/>
      <c r="Z411" s="150"/>
      <c r="AA411" s="150"/>
      <c r="AB411" s="150"/>
      <c r="AC411" s="153"/>
      <c r="AD411" s="57">
        <f>ABS(BIN2DEC($AA407)*3-2)</f>
        <v>1</v>
      </c>
      <c r="AE411" s="57">
        <f>ABS(BIN2DEC($U407)*3-1)</f>
        <v>2</v>
      </c>
      <c r="AF411" s="57">
        <f>ABS( BIN2DEC(V407)*3-BIN2DEC(Z407))</f>
        <v>3</v>
      </c>
      <c r="AG411" s="57">
        <f>BIN2DEC(X407&amp;Y407)+BIN2DEC(W407)*3</f>
        <v>2</v>
      </c>
      <c r="AH411" s="57">
        <f t="shared" si="624"/>
        <v>57</v>
      </c>
    </row>
    <row r="412" spans="1:34" ht="15.75" customHeight="1">
      <c r="A412" s="125" t="str">
        <f>AC412</f>
        <v>vofc_dom3_quad0_quad2_sar2_slc2</v>
      </c>
      <c r="B412" s="127" t="str">
        <f>DEC2HEX(P412*4)</f>
        <v>0</v>
      </c>
      <c r="C412" s="56" t="s">
        <v>134</v>
      </c>
      <c r="D412" s="129" t="str">
        <f>bitConcat(F413:F416)</f>
        <v>32'b00000000000000000000000000000000</v>
      </c>
      <c r="E412" s="130"/>
      <c r="F412" s="130"/>
      <c r="G412" s="130"/>
      <c r="H412" s="131" t="s">
        <v>135</v>
      </c>
      <c r="I412" s="131"/>
      <c r="J412" s="131" t="str">
        <f>bitConcat(G413:G416)</f>
        <v>32'b00000000000000000000000000000000</v>
      </c>
      <c r="K412" s="131"/>
      <c r="L412" s="132"/>
      <c r="M412" s="119" t="str">
        <f>DEC2HEX(_xlfn.BITLSHIFT(HEX2DEC(Q412),2))</f>
        <v>1A8</v>
      </c>
      <c r="N412" s="119"/>
      <c r="O412" s="119">
        <v>3</v>
      </c>
      <c r="P412" s="121">
        <v>0</v>
      </c>
      <c r="Q412" s="121" t="str">
        <f>AB412</f>
        <v>6A</v>
      </c>
      <c r="R412" s="123" t="str">
        <f t="shared" ref="R412" si="625">BIN2HEX(LEFT(RIGHT(D412,32),4))&amp;BIN2HEX(LEFT(RIGHT(D412,28),4))&amp;BIN2HEX(LEFT(RIGHT(D412,24),4))&amp;BIN2HEX(LEFT(RIGHT(D412,20),4))&amp;BIN2HEX(LEFT(RIGHT(D412,16),4))&amp;BIN2HEX(LEFT(RIGHT(D412,12),4))&amp;BIN2HEX(LEFT(RIGHT(D412,8),4))&amp;BIN2HEX(LEFT(RIGHT(D412,4),4))</f>
        <v>00000000</v>
      </c>
      <c r="S412" s="123" t="str">
        <f t="shared" ref="S412" si="626">BIN2HEX(LEFT(RIGHT(J412,32),4))&amp;BIN2HEX(LEFT(RIGHT(J412,28),4))&amp;BIN2HEX(LEFT(RIGHT(J412,24),4))&amp;BIN2HEX(LEFT(RIGHT(J412,20),4))&amp;BIN2HEX(LEFT(RIGHT(J412,16),4))&amp;BIN2HEX(LEFT(RIGHT(J412,12),4))&amp;BIN2HEX(LEFT(RIGHT(J412,8),4))&amp;BIN2HEX(LEFT(RIGHT(J412,4),4))</f>
        <v>00000000</v>
      </c>
      <c r="T412" s="154">
        <v>10</v>
      </c>
      <c r="U412" s="155" t="str">
        <f t="shared" ref="U412" si="627">LEFT(DEC2BIN(O412,2))</f>
        <v>1</v>
      </c>
      <c r="V412" s="145" t="str">
        <f t="shared" ref="V412" si="628">RIGHT(DEC2BIN(O412,2),1)</f>
        <v>1</v>
      </c>
      <c r="W412" s="148">
        <v>0</v>
      </c>
      <c r="X412" s="155">
        <v>1</v>
      </c>
      <c r="Y412" s="145">
        <v>0</v>
      </c>
      <c r="Z412" s="148">
        <v>1</v>
      </c>
      <c r="AA412" s="148">
        <v>0</v>
      </c>
      <c r="AB412" s="148" t="str">
        <f t="shared" ref="AB412" si="629">BIN2HEX(U412&amp;V412&amp;W412&amp;X412&amp;Y412&amp;Z412&amp;AA412)</f>
        <v>6A</v>
      </c>
      <c r="AC412" s="151" t="str">
        <f>CONCATENATE("vofc_dom",BIN2DEC(U412&amp;V412),"_quad",BIN2DEC(AA412),"_quad",BIN2DEC(AA412)+2,"_sar",ABS( BIN2DEC(V412)*3-BIN2DEC(Z412)),"_slc",BIN2DEC(X412&amp;Y412)+BIN2DEC(W412)*3)</f>
        <v>vofc_dom3_quad0_quad2_sar2_slc2</v>
      </c>
      <c r="AD412" s="57"/>
      <c r="AE412" s="57"/>
      <c r="AF412" s="57"/>
      <c r="AG412" s="57"/>
      <c r="AH412" s="57"/>
    </row>
    <row r="413" spans="1:34" ht="15" customHeight="1">
      <c r="A413" s="126"/>
      <c r="B413" s="128"/>
      <c r="C413" s="43" t="str">
        <f>CONCATENATE("sar",AD413+AE413*4+AF413*16,"_slc",AG413)</f>
        <v>sar44_slc2</v>
      </c>
      <c r="D413" s="44">
        <v>8</v>
      </c>
      <c r="E413" s="29" t="str">
        <f>IF(D413&gt;1,(31)&amp;":"&amp;(31-D413+1),(31-D413+1)&amp;":"&amp;(31-D413+1))</f>
        <v>31:24</v>
      </c>
      <c r="F413" s="30" t="s">
        <v>133</v>
      </c>
      <c r="G413" s="30" t="s">
        <v>133</v>
      </c>
      <c r="H413" s="45" t="s">
        <v>143</v>
      </c>
      <c r="I413" s="31" t="s">
        <v>68</v>
      </c>
      <c r="J413" s="32" t="s">
        <v>36</v>
      </c>
      <c r="K413" s="33" t="s">
        <v>6</v>
      </c>
      <c r="L413" s="46"/>
      <c r="M413" s="120"/>
      <c r="N413" s="120"/>
      <c r="O413" s="120"/>
      <c r="P413" s="122"/>
      <c r="Q413" s="122"/>
      <c r="R413" s="124"/>
      <c r="S413" s="124"/>
      <c r="T413" s="154"/>
      <c r="U413" s="156"/>
      <c r="V413" s="146"/>
      <c r="W413" s="149"/>
      <c r="X413" s="156"/>
      <c r="Y413" s="146"/>
      <c r="Z413" s="149"/>
      <c r="AA413" s="149"/>
      <c r="AB413" s="149"/>
      <c r="AC413" s="152"/>
      <c r="AD413" s="57">
        <f>BIN2DEC($AA412)*3</f>
        <v>0</v>
      </c>
      <c r="AE413" s="57">
        <f>ABS(BIN2DEC($U412)*3)</f>
        <v>3</v>
      </c>
      <c r="AF413" s="57">
        <f>ABS( BIN2DEC(V412)*3-BIN2DEC(Z412))</f>
        <v>2</v>
      </c>
      <c r="AG413" s="57">
        <f>BIN2DEC(X412&amp;Y412)+BIN2DEC(W412)*3</f>
        <v>2</v>
      </c>
      <c r="AH413" s="57">
        <f>AD413+AE413*4+AF413*16</f>
        <v>44</v>
      </c>
    </row>
    <row r="414" spans="1:34" ht="15" customHeight="1">
      <c r="A414" s="126"/>
      <c r="B414" s="128"/>
      <c r="C414" s="43" t="str">
        <f t="shared" ref="C414:C416" si="630">CONCATENATE("sar",AD414+AE414*4+AF414*16,"_slc",AG414)</f>
        <v>sar40_slc2</v>
      </c>
      <c r="D414" s="44">
        <v>8</v>
      </c>
      <c r="E414" s="30" t="str">
        <f t="shared" ref="E414:E416" si="631">(MID(str_cnvt(E413),SEARCH(":",str_cnvt(E413))+1,2)-1) &amp; ":" &amp; (MID(str_cnvt(E413),SEARCH(":",str_cnvt(E413))+1,2)-D414)</f>
        <v>23:16</v>
      </c>
      <c r="F414" s="30" t="s">
        <v>133</v>
      </c>
      <c r="G414" s="30" t="s">
        <v>133</v>
      </c>
      <c r="H414" s="45" t="s">
        <v>143</v>
      </c>
      <c r="I414" s="31" t="s">
        <v>68</v>
      </c>
      <c r="J414" s="32" t="s">
        <v>36</v>
      </c>
      <c r="K414" s="33" t="s">
        <v>6</v>
      </c>
      <c r="L414" s="46"/>
      <c r="M414" s="120"/>
      <c r="N414" s="120"/>
      <c r="O414" s="120"/>
      <c r="P414" s="122"/>
      <c r="Q414" s="122"/>
      <c r="R414" s="124"/>
      <c r="S414" s="124"/>
      <c r="T414" s="154"/>
      <c r="U414" s="156"/>
      <c r="V414" s="146"/>
      <c r="W414" s="149"/>
      <c r="X414" s="156"/>
      <c r="Y414" s="146"/>
      <c r="Z414" s="149"/>
      <c r="AA414" s="149"/>
      <c r="AB414" s="149"/>
      <c r="AC414" s="152"/>
      <c r="AD414" s="57">
        <f>BIN2DEC($AA412)*3</f>
        <v>0</v>
      </c>
      <c r="AE414" s="57">
        <f>ABS(BIN2DEC($U412)*3-1)</f>
        <v>2</v>
      </c>
      <c r="AF414" s="57">
        <f>ABS( BIN2DEC(V412)*3-BIN2DEC(Z412))</f>
        <v>2</v>
      </c>
      <c r="AG414" s="57">
        <f>BIN2DEC(X412&amp;Y412)+BIN2DEC(W412)*3</f>
        <v>2</v>
      </c>
      <c r="AH414" s="57">
        <f t="shared" ref="AH414:AH416" si="632">AD414+AE414*4+AF414*16</f>
        <v>40</v>
      </c>
    </row>
    <row r="415" spans="1:34" ht="15" customHeight="1">
      <c r="A415" s="126"/>
      <c r="B415" s="128"/>
      <c r="C415" s="43" t="str">
        <f t="shared" si="630"/>
        <v>sar46_slc2</v>
      </c>
      <c r="D415" s="44">
        <v>8</v>
      </c>
      <c r="E415" s="30" t="str">
        <f t="shared" si="631"/>
        <v>15:8</v>
      </c>
      <c r="F415" s="30" t="s">
        <v>133</v>
      </c>
      <c r="G415" s="30" t="s">
        <v>133</v>
      </c>
      <c r="H415" s="45" t="s">
        <v>143</v>
      </c>
      <c r="I415" s="31" t="s">
        <v>68</v>
      </c>
      <c r="J415" s="32" t="s">
        <v>36</v>
      </c>
      <c r="K415" s="33" t="s">
        <v>6</v>
      </c>
      <c r="L415" s="46"/>
      <c r="M415" s="120"/>
      <c r="N415" s="120"/>
      <c r="O415" s="120"/>
      <c r="P415" s="122"/>
      <c r="Q415" s="122"/>
      <c r="R415" s="124"/>
      <c r="S415" s="124"/>
      <c r="T415" s="154"/>
      <c r="U415" s="156"/>
      <c r="V415" s="146"/>
      <c r="W415" s="149"/>
      <c r="X415" s="156"/>
      <c r="Y415" s="146"/>
      <c r="Z415" s="149"/>
      <c r="AA415" s="149"/>
      <c r="AB415" s="149"/>
      <c r="AC415" s="152"/>
      <c r="AD415" s="57">
        <f>ABS(BIN2DEC($AA412)*3-2)</f>
        <v>2</v>
      </c>
      <c r="AE415" s="57">
        <f>ABS(BIN2DEC($U412)*3)</f>
        <v>3</v>
      </c>
      <c r="AF415" s="57">
        <f>ABS( BIN2DEC(V412)*3-BIN2DEC(Z412))</f>
        <v>2</v>
      </c>
      <c r="AG415" s="57">
        <f>BIN2DEC(X412&amp;Y412)+BIN2DEC(W412)*3</f>
        <v>2</v>
      </c>
      <c r="AH415" s="57">
        <f t="shared" si="632"/>
        <v>46</v>
      </c>
    </row>
    <row r="416" spans="1:34" ht="15.75" customHeight="1" thickBot="1">
      <c r="A416" s="126"/>
      <c r="B416" s="128"/>
      <c r="C416" s="43" t="str">
        <f t="shared" si="630"/>
        <v>sar42_slc2</v>
      </c>
      <c r="D416" s="44">
        <v>8</v>
      </c>
      <c r="E416" s="30" t="str">
        <f t="shared" si="631"/>
        <v>7:0</v>
      </c>
      <c r="F416" s="30" t="s">
        <v>133</v>
      </c>
      <c r="G416" s="30" t="s">
        <v>133</v>
      </c>
      <c r="H416" s="45" t="s">
        <v>143</v>
      </c>
      <c r="I416" s="31" t="s">
        <v>68</v>
      </c>
      <c r="J416" s="32" t="s">
        <v>36</v>
      </c>
      <c r="K416" s="33" t="s">
        <v>6</v>
      </c>
      <c r="L416" s="46"/>
      <c r="M416" s="120"/>
      <c r="N416" s="120"/>
      <c r="O416" s="120"/>
      <c r="P416" s="122"/>
      <c r="Q416" s="122"/>
      <c r="R416" s="124"/>
      <c r="S416" s="124"/>
      <c r="T416" s="154"/>
      <c r="U416" s="157"/>
      <c r="V416" s="147"/>
      <c r="W416" s="150"/>
      <c r="X416" s="157"/>
      <c r="Y416" s="147"/>
      <c r="Z416" s="150"/>
      <c r="AA416" s="150"/>
      <c r="AB416" s="150"/>
      <c r="AC416" s="153"/>
      <c r="AD416" s="57">
        <f>ABS(BIN2DEC($AA412)*3-2)</f>
        <v>2</v>
      </c>
      <c r="AE416" s="57">
        <f>ABS(BIN2DEC($U412)*3-1)</f>
        <v>2</v>
      </c>
      <c r="AF416" s="57">
        <f>ABS( BIN2DEC(V412)*3-BIN2DEC(Z412))</f>
        <v>2</v>
      </c>
      <c r="AG416" s="57">
        <f>BIN2DEC(X412&amp;Y412)+BIN2DEC(W412)*3</f>
        <v>2</v>
      </c>
      <c r="AH416" s="57">
        <f t="shared" si="632"/>
        <v>42</v>
      </c>
    </row>
    <row r="417" spans="1:34" ht="15.75" customHeight="1">
      <c r="A417" s="125" t="str">
        <f>AC417</f>
        <v>vofc_dom3_quad1_quad3_sar2_slc2</v>
      </c>
      <c r="B417" s="127" t="str">
        <f>DEC2HEX(P417*4)</f>
        <v>0</v>
      </c>
      <c r="C417" s="56" t="s">
        <v>134</v>
      </c>
      <c r="D417" s="129" t="str">
        <f>bitConcat(F418:F421)</f>
        <v>32'b00000000000000000000000000000000</v>
      </c>
      <c r="E417" s="130"/>
      <c r="F417" s="130"/>
      <c r="G417" s="130"/>
      <c r="H417" s="131" t="s">
        <v>135</v>
      </c>
      <c r="I417" s="131"/>
      <c r="J417" s="131" t="str">
        <f>bitConcat(G418:G421)</f>
        <v>32'b00000000000000000000000000000000</v>
      </c>
      <c r="K417" s="131"/>
      <c r="L417" s="132"/>
      <c r="M417" s="119" t="str">
        <f>DEC2HEX(_xlfn.BITLSHIFT(HEX2DEC(Q417),2))</f>
        <v>1AC</v>
      </c>
      <c r="N417" s="119"/>
      <c r="O417" s="119">
        <v>3</v>
      </c>
      <c r="P417" s="121">
        <v>0</v>
      </c>
      <c r="Q417" s="121" t="str">
        <f>AB417</f>
        <v>6B</v>
      </c>
      <c r="R417" s="123" t="str">
        <f t="shared" ref="R417" si="633">BIN2HEX(LEFT(RIGHT(D417,32),4))&amp;BIN2HEX(LEFT(RIGHT(D417,28),4))&amp;BIN2HEX(LEFT(RIGHT(D417,24),4))&amp;BIN2HEX(LEFT(RIGHT(D417,20),4))&amp;BIN2HEX(LEFT(RIGHT(D417,16),4))&amp;BIN2HEX(LEFT(RIGHT(D417,12),4))&amp;BIN2HEX(LEFT(RIGHT(D417,8),4))&amp;BIN2HEX(LEFT(RIGHT(D417,4),4))</f>
        <v>00000000</v>
      </c>
      <c r="S417" s="123" t="str">
        <f t="shared" ref="S417" si="634">BIN2HEX(LEFT(RIGHT(J417,32),4))&amp;BIN2HEX(LEFT(RIGHT(J417,28),4))&amp;BIN2HEX(LEFT(RIGHT(J417,24),4))&amp;BIN2HEX(LEFT(RIGHT(J417,20),4))&amp;BIN2HEX(LEFT(RIGHT(J417,16),4))&amp;BIN2HEX(LEFT(RIGHT(J417,12),4))&amp;BIN2HEX(LEFT(RIGHT(J417,8),4))&amp;BIN2HEX(LEFT(RIGHT(J417,4),4))</f>
        <v>00000000</v>
      </c>
      <c r="T417" s="154">
        <v>11</v>
      </c>
      <c r="U417" s="155" t="str">
        <f t="shared" ref="U417" si="635">LEFT(DEC2BIN(O417,2))</f>
        <v>1</v>
      </c>
      <c r="V417" s="145" t="str">
        <f t="shared" ref="V417" si="636">RIGHT(DEC2BIN(O417,2),1)</f>
        <v>1</v>
      </c>
      <c r="W417" s="148">
        <v>0</v>
      </c>
      <c r="X417" s="155">
        <v>1</v>
      </c>
      <c r="Y417" s="145">
        <v>0</v>
      </c>
      <c r="Z417" s="148">
        <v>1</v>
      </c>
      <c r="AA417" s="148">
        <v>1</v>
      </c>
      <c r="AB417" s="148" t="str">
        <f t="shared" ref="AB417" si="637">BIN2HEX(U417&amp;V417&amp;W417&amp;X417&amp;Y417&amp;Z417&amp;AA417)</f>
        <v>6B</v>
      </c>
      <c r="AC417" s="151" t="str">
        <f>CONCATENATE("vofc_dom",BIN2DEC(U417&amp;V417),"_quad",BIN2DEC(AA417),"_quad",BIN2DEC(AA417)+2,"_sar",ABS( BIN2DEC(V417)*3-BIN2DEC(Z417)),"_slc",BIN2DEC(X417&amp;Y417)+BIN2DEC(W417)*3)</f>
        <v>vofc_dom3_quad1_quad3_sar2_slc2</v>
      </c>
      <c r="AD417" s="57"/>
      <c r="AE417" s="57"/>
      <c r="AF417" s="57"/>
      <c r="AG417" s="57"/>
      <c r="AH417" s="57"/>
    </row>
    <row r="418" spans="1:34" ht="15" customHeight="1">
      <c r="A418" s="126"/>
      <c r="B418" s="128"/>
      <c r="C418" s="43" t="str">
        <f>CONCATENATE("sar",AD418+AE418*4+AF418*16,"_slc",AG418)</f>
        <v>sar47_slc2</v>
      </c>
      <c r="D418" s="44">
        <v>8</v>
      </c>
      <c r="E418" s="29" t="str">
        <f>IF(D418&gt;1,(31)&amp;":"&amp;(31-D418+1),(31-D418+1)&amp;":"&amp;(31-D418+1))</f>
        <v>31:24</v>
      </c>
      <c r="F418" s="30" t="s">
        <v>133</v>
      </c>
      <c r="G418" s="30" t="s">
        <v>133</v>
      </c>
      <c r="H418" s="45" t="s">
        <v>143</v>
      </c>
      <c r="I418" s="31" t="s">
        <v>68</v>
      </c>
      <c r="J418" s="32" t="s">
        <v>36</v>
      </c>
      <c r="K418" s="33" t="s">
        <v>6</v>
      </c>
      <c r="L418" s="46"/>
      <c r="M418" s="120"/>
      <c r="N418" s="120"/>
      <c r="O418" s="120"/>
      <c r="P418" s="122"/>
      <c r="Q418" s="122"/>
      <c r="R418" s="124"/>
      <c r="S418" s="124"/>
      <c r="T418" s="154"/>
      <c r="U418" s="156"/>
      <c r="V418" s="146"/>
      <c r="W418" s="149"/>
      <c r="X418" s="156"/>
      <c r="Y418" s="146"/>
      <c r="Z418" s="149"/>
      <c r="AA418" s="149"/>
      <c r="AB418" s="149"/>
      <c r="AC418" s="152"/>
      <c r="AD418" s="57">
        <f>BIN2DEC($AA417)*3</f>
        <v>3</v>
      </c>
      <c r="AE418" s="57">
        <f>ABS(BIN2DEC($U417)*3)</f>
        <v>3</v>
      </c>
      <c r="AF418" s="57">
        <f>ABS( BIN2DEC(V417)*3-BIN2DEC(Z417))</f>
        <v>2</v>
      </c>
      <c r="AG418" s="57">
        <f>BIN2DEC(X417&amp;Y417)+BIN2DEC(W417)*3</f>
        <v>2</v>
      </c>
      <c r="AH418" s="57">
        <f>AD418+AE418*4+AF418*16</f>
        <v>47</v>
      </c>
    </row>
    <row r="419" spans="1:34" ht="15" customHeight="1">
      <c r="A419" s="126"/>
      <c r="B419" s="128"/>
      <c r="C419" s="43" t="str">
        <f t="shared" ref="C419:C421" si="638">CONCATENATE("sar",AD419+AE419*4+AF419*16,"_slc",AG419)</f>
        <v>sar43_slc2</v>
      </c>
      <c r="D419" s="44">
        <v>8</v>
      </c>
      <c r="E419" s="30" t="str">
        <f t="shared" ref="E419:E421" si="639">(MID(str_cnvt(E418),SEARCH(":",str_cnvt(E418))+1,2)-1) &amp; ":" &amp; (MID(str_cnvt(E418),SEARCH(":",str_cnvt(E418))+1,2)-D419)</f>
        <v>23:16</v>
      </c>
      <c r="F419" s="30" t="s">
        <v>133</v>
      </c>
      <c r="G419" s="30" t="s">
        <v>133</v>
      </c>
      <c r="H419" s="45" t="s">
        <v>143</v>
      </c>
      <c r="I419" s="31" t="s">
        <v>68</v>
      </c>
      <c r="J419" s="32" t="s">
        <v>36</v>
      </c>
      <c r="K419" s="33" t="s">
        <v>6</v>
      </c>
      <c r="L419" s="46"/>
      <c r="M419" s="120"/>
      <c r="N419" s="120"/>
      <c r="O419" s="120"/>
      <c r="P419" s="122"/>
      <c r="Q419" s="122"/>
      <c r="R419" s="124"/>
      <c r="S419" s="124"/>
      <c r="T419" s="154"/>
      <c r="U419" s="156"/>
      <c r="V419" s="146"/>
      <c r="W419" s="149"/>
      <c r="X419" s="156"/>
      <c r="Y419" s="146"/>
      <c r="Z419" s="149"/>
      <c r="AA419" s="149"/>
      <c r="AB419" s="149"/>
      <c r="AC419" s="152"/>
      <c r="AD419" s="57">
        <f>BIN2DEC($AA417)*3</f>
        <v>3</v>
      </c>
      <c r="AE419" s="57">
        <f>ABS(BIN2DEC($U417)*3-1)</f>
        <v>2</v>
      </c>
      <c r="AF419" s="57">
        <f>ABS( BIN2DEC(V417)*3-BIN2DEC(Z417))</f>
        <v>2</v>
      </c>
      <c r="AG419" s="57">
        <f>BIN2DEC(X417&amp;Y417)+BIN2DEC(W417)*3</f>
        <v>2</v>
      </c>
      <c r="AH419" s="57">
        <f t="shared" ref="AH419:AH421" si="640">AD419+AE419*4+AF419*16</f>
        <v>43</v>
      </c>
    </row>
    <row r="420" spans="1:34" ht="15" customHeight="1">
      <c r="A420" s="126"/>
      <c r="B420" s="128"/>
      <c r="C420" s="43" t="str">
        <f t="shared" si="638"/>
        <v>sar45_slc2</v>
      </c>
      <c r="D420" s="44">
        <v>8</v>
      </c>
      <c r="E420" s="30" t="str">
        <f t="shared" si="639"/>
        <v>15:8</v>
      </c>
      <c r="F420" s="30" t="s">
        <v>133</v>
      </c>
      <c r="G420" s="30" t="s">
        <v>133</v>
      </c>
      <c r="H420" s="45" t="s">
        <v>143</v>
      </c>
      <c r="I420" s="31" t="s">
        <v>68</v>
      </c>
      <c r="J420" s="32" t="s">
        <v>36</v>
      </c>
      <c r="K420" s="33" t="s">
        <v>6</v>
      </c>
      <c r="L420" s="46"/>
      <c r="M420" s="120"/>
      <c r="N420" s="120"/>
      <c r="O420" s="120"/>
      <c r="P420" s="122"/>
      <c r="Q420" s="122"/>
      <c r="R420" s="124"/>
      <c r="S420" s="124"/>
      <c r="T420" s="154"/>
      <c r="U420" s="156"/>
      <c r="V420" s="146"/>
      <c r="W420" s="149"/>
      <c r="X420" s="156"/>
      <c r="Y420" s="146"/>
      <c r="Z420" s="149"/>
      <c r="AA420" s="149"/>
      <c r="AB420" s="149"/>
      <c r="AC420" s="152"/>
      <c r="AD420" s="57">
        <f>ABS(BIN2DEC($AA417)*3-2)</f>
        <v>1</v>
      </c>
      <c r="AE420" s="57">
        <f>ABS(BIN2DEC($U417)*3)</f>
        <v>3</v>
      </c>
      <c r="AF420" s="57">
        <f>ABS( BIN2DEC(V417)*3-BIN2DEC(Z417))</f>
        <v>2</v>
      </c>
      <c r="AG420" s="57">
        <f>BIN2DEC(X417&amp;Y417)+BIN2DEC(W417)*3</f>
        <v>2</v>
      </c>
      <c r="AH420" s="57">
        <f t="shared" si="640"/>
        <v>45</v>
      </c>
    </row>
    <row r="421" spans="1:34" ht="15.75" customHeight="1" thickBot="1">
      <c r="A421" s="126"/>
      <c r="B421" s="128"/>
      <c r="C421" s="43" t="str">
        <f t="shared" si="638"/>
        <v>sar41_slc2</v>
      </c>
      <c r="D421" s="44">
        <v>8</v>
      </c>
      <c r="E421" s="30" t="str">
        <f t="shared" si="639"/>
        <v>7:0</v>
      </c>
      <c r="F421" s="30" t="s">
        <v>133</v>
      </c>
      <c r="G421" s="30" t="s">
        <v>133</v>
      </c>
      <c r="H421" s="45" t="s">
        <v>143</v>
      </c>
      <c r="I421" s="31" t="s">
        <v>68</v>
      </c>
      <c r="J421" s="32" t="s">
        <v>36</v>
      </c>
      <c r="K421" s="33" t="s">
        <v>6</v>
      </c>
      <c r="L421" s="46"/>
      <c r="M421" s="120"/>
      <c r="N421" s="120"/>
      <c r="O421" s="120"/>
      <c r="P421" s="122"/>
      <c r="Q421" s="122"/>
      <c r="R421" s="124"/>
      <c r="S421" s="124"/>
      <c r="T421" s="154"/>
      <c r="U421" s="157"/>
      <c r="V421" s="147"/>
      <c r="W421" s="150"/>
      <c r="X421" s="157"/>
      <c r="Y421" s="147"/>
      <c r="Z421" s="150"/>
      <c r="AA421" s="150"/>
      <c r="AB421" s="150"/>
      <c r="AC421" s="153"/>
      <c r="AD421" s="57">
        <f>ABS(BIN2DEC($AA417)*3-2)</f>
        <v>1</v>
      </c>
      <c r="AE421" s="57">
        <f>ABS(BIN2DEC($U417)*3-1)</f>
        <v>2</v>
      </c>
      <c r="AF421" s="57">
        <f>ABS( BIN2DEC(V417)*3-BIN2DEC(Z417))</f>
        <v>2</v>
      </c>
      <c r="AG421" s="57">
        <f>BIN2DEC(X417&amp;Y417)+BIN2DEC(W417)*3</f>
        <v>2</v>
      </c>
      <c r="AH421" s="57">
        <f t="shared" si="640"/>
        <v>41</v>
      </c>
    </row>
    <row r="422" spans="1:34" ht="15.75" customHeight="1">
      <c r="A422" s="125" t="str">
        <f>AC422</f>
        <v>vofc_dom3_quad0_quad2_sar3_slc3</v>
      </c>
      <c r="B422" s="127" t="str">
        <f>DEC2HEX(P422*4)</f>
        <v>0</v>
      </c>
      <c r="C422" s="56" t="s">
        <v>134</v>
      </c>
      <c r="D422" s="129" t="str">
        <f>bitConcat(F423:F426)</f>
        <v>32'b00000000000000000000000000000000</v>
      </c>
      <c r="E422" s="130"/>
      <c r="F422" s="130"/>
      <c r="G422" s="130"/>
      <c r="H422" s="131" t="s">
        <v>135</v>
      </c>
      <c r="I422" s="131"/>
      <c r="J422" s="131" t="str">
        <f>bitConcat(G423:G426)</f>
        <v>32'b00000000000000000000000000000000</v>
      </c>
      <c r="K422" s="131"/>
      <c r="L422" s="132"/>
      <c r="M422" s="119" t="str">
        <f>DEC2HEX(_xlfn.BITLSHIFT(HEX2DEC(Q422),2))</f>
        <v>1C0</v>
      </c>
      <c r="N422" s="119"/>
      <c r="O422" s="119">
        <v>3</v>
      </c>
      <c r="P422" s="121">
        <v>0</v>
      </c>
      <c r="Q422" s="121" t="str">
        <f>AB422</f>
        <v>70</v>
      </c>
      <c r="R422" s="123" t="str">
        <f t="shared" ref="R422" si="641">BIN2HEX(LEFT(RIGHT(D422,32),4))&amp;BIN2HEX(LEFT(RIGHT(D422,28),4))&amp;BIN2HEX(LEFT(RIGHT(D422,24),4))&amp;BIN2HEX(LEFT(RIGHT(D422,20),4))&amp;BIN2HEX(LEFT(RIGHT(D422,16),4))&amp;BIN2HEX(LEFT(RIGHT(D422,12),4))&amp;BIN2HEX(LEFT(RIGHT(D422,8),4))&amp;BIN2HEX(LEFT(RIGHT(D422,4),4))</f>
        <v>00000000</v>
      </c>
      <c r="S422" s="123" t="str">
        <f t="shared" ref="S422" si="642">BIN2HEX(LEFT(RIGHT(J422,32),4))&amp;BIN2HEX(LEFT(RIGHT(J422,28),4))&amp;BIN2HEX(LEFT(RIGHT(J422,24),4))&amp;BIN2HEX(LEFT(RIGHT(J422,20),4))&amp;BIN2HEX(LEFT(RIGHT(J422,16),4))&amp;BIN2HEX(LEFT(RIGHT(J422,12),4))&amp;BIN2HEX(LEFT(RIGHT(J422,8),4))&amp;BIN2HEX(LEFT(RIGHT(J422,4),4))</f>
        <v>00000000</v>
      </c>
      <c r="T422" s="154">
        <v>12</v>
      </c>
      <c r="U422" s="155" t="str">
        <f t="shared" ref="U422" si="643">LEFT(DEC2BIN(O422,2))</f>
        <v>1</v>
      </c>
      <c r="V422" s="145" t="str">
        <f t="shared" ref="V422" si="644">RIGHT(DEC2BIN(O422,2),1)</f>
        <v>1</v>
      </c>
      <c r="W422" s="148">
        <v>1</v>
      </c>
      <c r="X422" s="155">
        <v>0</v>
      </c>
      <c r="Y422" s="145">
        <v>0</v>
      </c>
      <c r="Z422" s="148">
        <v>0</v>
      </c>
      <c r="AA422" s="148">
        <v>0</v>
      </c>
      <c r="AB422" s="148" t="str">
        <f t="shared" ref="AB422" si="645">BIN2HEX(U422&amp;V422&amp;W422&amp;X422&amp;Y422&amp;Z422&amp;AA422)</f>
        <v>70</v>
      </c>
      <c r="AC422" s="151" t="str">
        <f>CONCATENATE("vofc_dom",BIN2DEC(U422&amp;V422),"_quad",BIN2DEC(AA422),"_quad",BIN2DEC(AA422)+2,"_sar",ABS( BIN2DEC(V422)*3-BIN2DEC(Z422)),"_slc",BIN2DEC(X422&amp;Y422)+BIN2DEC(W422)*3)</f>
        <v>vofc_dom3_quad0_quad2_sar3_slc3</v>
      </c>
      <c r="AD422" s="57"/>
      <c r="AE422" s="57"/>
      <c r="AF422" s="57"/>
      <c r="AG422" s="57"/>
      <c r="AH422" s="57"/>
    </row>
    <row r="423" spans="1:34" ht="15" customHeight="1">
      <c r="A423" s="126"/>
      <c r="B423" s="128"/>
      <c r="C423" s="43" t="str">
        <f>CONCATENATE("sar",AD423+AE423*4+AF423*16,"_slc",AG423)</f>
        <v>sar60_slc3</v>
      </c>
      <c r="D423" s="44">
        <v>8</v>
      </c>
      <c r="E423" s="29" t="str">
        <f>IF(D423&gt;1,(31)&amp;":"&amp;(31-D423+1),(31-D423+1)&amp;":"&amp;(31-D423+1))</f>
        <v>31:24</v>
      </c>
      <c r="F423" s="30" t="s">
        <v>133</v>
      </c>
      <c r="G423" s="30" t="s">
        <v>133</v>
      </c>
      <c r="H423" s="45" t="s">
        <v>143</v>
      </c>
      <c r="I423" s="31" t="s">
        <v>68</v>
      </c>
      <c r="J423" s="32" t="s">
        <v>36</v>
      </c>
      <c r="K423" s="33" t="s">
        <v>6</v>
      </c>
      <c r="L423" s="46"/>
      <c r="M423" s="120"/>
      <c r="N423" s="120"/>
      <c r="O423" s="120"/>
      <c r="P423" s="122"/>
      <c r="Q423" s="122"/>
      <c r="R423" s="124"/>
      <c r="S423" s="124"/>
      <c r="T423" s="154"/>
      <c r="U423" s="156"/>
      <c r="V423" s="146"/>
      <c r="W423" s="149"/>
      <c r="X423" s="156"/>
      <c r="Y423" s="146"/>
      <c r="Z423" s="149"/>
      <c r="AA423" s="149"/>
      <c r="AB423" s="149"/>
      <c r="AC423" s="152"/>
      <c r="AD423" s="57">
        <f>BIN2DEC($AA422)*3</f>
        <v>0</v>
      </c>
      <c r="AE423" s="57">
        <f>ABS(BIN2DEC($U422)*3)</f>
        <v>3</v>
      </c>
      <c r="AF423" s="57">
        <f>ABS( BIN2DEC(V422)*3-BIN2DEC(Z422))</f>
        <v>3</v>
      </c>
      <c r="AG423" s="57">
        <f>BIN2DEC(X422&amp;Y422)+BIN2DEC(W422)*3</f>
        <v>3</v>
      </c>
      <c r="AH423" s="57">
        <f>AD423+AE423*4+AF423*16</f>
        <v>60</v>
      </c>
    </row>
    <row r="424" spans="1:34" ht="15" customHeight="1">
      <c r="A424" s="126"/>
      <c r="B424" s="128"/>
      <c r="C424" s="43" t="str">
        <f t="shared" ref="C424:C426" si="646">CONCATENATE("sar",AD424+AE424*4+AF424*16,"_slc",AG424)</f>
        <v>sar56_slc3</v>
      </c>
      <c r="D424" s="44">
        <v>8</v>
      </c>
      <c r="E424" s="30" t="str">
        <f t="shared" ref="E424:E426" si="647">(MID(str_cnvt(E423),SEARCH(":",str_cnvt(E423))+1,2)-1) &amp; ":" &amp; (MID(str_cnvt(E423),SEARCH(":",str_cnvt(E423))+1,2)-D424)</f>
        <v>23:16</v>
      </c>
      <c r="F424" s="30" t="s">
        <v>133</v>
      </c>
      <c r="G424" s="30" t="s">
        <v>133</v>
      </c>
      <c r="H424" s="45" t="s">
        <v>143</v>
      </c>
      <c r="I424" s="31" t="s">
        <v>68</v>
      </c>
      <c r="J424" s="32" t="s">
        <v>36</v>
      </c>
      <c r="K424" s="33" t="s">
        <v>6</v>
      </c>
      <c r="L424" s="46"/>
      <c r="M424" s="120"/>
      <c r="N424" s="120"/>
      <c r="O424" s="120"/>
      <c r="P424" s="122"/>
      <c r="Q424" s="122"/>
      <c r="R424" s="124"/>
      <c r="S424" s="124"/>
      <c r="T424" s="154"/>
      <c r="U424" s="156"/>
      <c r="V424" s="146"/>
      <c r="W424" s="149"/>
      <c r="X424" s="156"/>
      <c r="Y424" s="146"/>
      <c r="Z424" s="149"/>
      <c r="AA424" s="149"/>
      <c r="AB424" s="149"/>
      <c r="AC424" s="152"/>
      <c r="AD424" s="57">
        <f>BIN2DEC($AA422)*3</f>
        <v>0</v>
      </c>
      <c r="AE424" s="57">
        <f>ABS(BIN2DEC($U422)*3-1)</f>
        <v>2</v>
      </c>
      <c r="AF424" s="57">
        <f>ABS( BIN2DEC(V422)*3-BIN2DEC(Z422))</f>
        <v>3</v>
      </c>
      <c r="AG424" s="57">
        <f>BIN2DEC(X422&amp;Y422)+BIN2DEC(W422)*3</f>
        <v>3</v>
      </c>
      <c r="AH424" s="57">
        <f t="shared" ref="AH424:AH426" si="648">AD424+AE424*4+AF424*16</f>
        <v>56</v>
      </c>
    </row>
    <row r="425" spans="1:34" ht="15" customHeight="1">
      <c r="A425" s="126"/>
      <c r="B425" s="128"/>
      <c r="C425" s="43" t="str">
        <f t="shared" si="646"/>
        <v>sar62_slc3</v>
      </c>
      <c r="D425" s="44">
        <v>8</v>
      </c>
      <c r="E425" s="30" t="str">
        <f t="shared" si="647"/>
        <v>15:8</v>
      </c>
      <c r="F425" s="30" t="s">
        <v>133</v>
      </c>
      <c r="G425" s="30" t="s">
        <v>133</v>
      </c>
      <c r="H425" s="45" t="s">
        <v>143</v>
      </c>
      <c r="I425" s="31" t="s">
        <v>68</v>
      </c>
      <c r="J425" s="32" t="s">
        <v>36</v>
      </c>
      <c r="K425" s="33" t="s">
        <v>6</v>
      </c>
      <c r="L425" s="46"/>
      <c r="M425" s="120"/>
      <c r="N425" s="120"/>
      <c r="O425" s="120"/>
      <c r="P425" s="122"/>
      <c r="Q425" s="122"/>
      <c r="R425" s="124"/>
      <c r="S425" s="124"/>
      <c r="T425" s="154"/>
      <c r="U425" s="156"/>
      <c r="V425" s="146"/>
      <c r="W425" s="149"/>
      <c r="X425" s="156"/>
      <c r="Y425" s="146"/>
      <c r="Z425" s="149"/>
      <c r="AA425" s="149"/>
      <c r="AB425" s="149"/>
      <c r="AC425" s="152"/>
      <c r="AD425" s="57">
        <f>ABS(BIN2DEC($AA422)*3-2)</f>
        <v>2</v>
      </c>
      <c r="AE425" s="57">
        <f>ABS(BIN2DEC($U422)*3)</f>
        <v>3</v>
      </c>
      <c r="AF425" s="57">
        <f>ABS( BIN2DEC(V422)*3-BIN2DEC(Z422))</f>
        <v>3</v>
      </c>
      <c r="AG425" s="57">
        <f>BIN2DEC(X422&amp;Y422)+BIN2DEC(W422)*3</f>
        <v>3</v>
      </c>
      <c r="AH425" s="57">
        <f t="shared" si="648"/>
        <v>62</v>
      </c>
    </row>
    <row r="426" spans="1:34" ht="15.75" customHeight="1" thickBot="1">
      <c r="A426" s="126"/>
      <c r="B426" s="128"/>
      <c r="C426" s="43" t="str">
        <f t="shared" si="646"/>
        <v>sar58_slc3</v>
      </c>
      <c r="D426" s="44">
        <v>8</v>
      </c>
      <c r="E426" s="30" t="str">
        <f t="shared" si="647"/>
        <v>7:0</v>
      </c>
      <c r="F426" s="30" t="s">
        <v>133</v>
      </c>
      <c r="G426" s="30" t="s">
        <v>133</v>
      </c>
      <c r="H426" s="45" t="s">
        <v>143</v>
      </c>
      <c r="I426" s="31" t="s">
        <v>68</v>
      </c>
      <c r="J426" s="32" t="s">
        <v>36</v>
      </c>
      <c r="K426" s="33" t="s">
        <v>6</v>
      </c>
      <c r="L426" s="46"/>
      <c r="M426" s="120"/>
      <c r="N426" s="120"/>
      <c r="O426" s="120"/>
      <c r="P426" s="122"/>
      <c r="Q426" s="122"/>
      <c r="R426" s="124"/>
      <c r="S426" s="124"/>
      <c r="T426" s="154"/>
      <c r="U426" s="157"/>
      <c r="V426" s="147"/>
      <c r="W426" s="150"/>
      <c r="X426" s="157"/>
      <c r="Y426" s="147"/>
      <c r="Z426" s="150"/>
      <c r="AA426" s="150"/>
      <c r="AB426" s="150"/>
      <c r="AC426" s="153"/>
      <c r="AD426" s="57">
        <f>ABS(BIN2DEC($AA422)*3-2)</f>
        <v>2</v>
      </c>
      <c r="AE426" s="57">
        <f>ABS(BIN2DEC($U422)*3-1)</f>
        <v>2</v>
      </c>
      <c r="AF426" s="57">
        <f>ABS( BIN2DEC(V422)*3-BIN2DEC(Z422))</f>
        <v>3</v>
      </c>
      <c r="AG426" s="57">
        <f>BIN2DEC(X422&amp;Y422)+BIN2DEC(W422)*3</f>
        <v>3</v>
      </c>
      <c r="AH426" s="57">
        <f t="shared" si="648"/>
        <v>58</v>
      </c>
    </row>
    <row r="427" spans="1:34" ht="15.75" customHeight="1">
      <c r="A427" s="125" t="str">
        <f>AC427</f>
        <v>vofc_dom3_quad1_quad3_sar3_slc3</v>
      </c>
      <c r="B427" s="127" t="str">
        <f>DEC2HEX(P427*4)</f>
        <v>0</v>
      </c>
      <c r="C427" s="56" t="s">
        <v>134</v>
      </c>
      <c r="D427" s="129" t="str">
        <f>bitConcat(F428:F431)</f>
        <v>32'b00000000000000000000000000000000</v>
      </c>
      <c r="E427" s="130"/>
      <c r="F427" s="130"/>
      <c r="G427" s="130"/>
      <c r="H427" s="131" t="s">
        <v>135</v>
      </c>
      <c r="I427" s="131"/>
      <c r="J427" s="131" t="str">
        <f>bitConcat(G428:G431)</f>
        <v>32'b00000000000000000000000000000000</v>
      </c>
      <c r="K427" s="131"/>
      <c r="L427" s="132"/>
      <c r="M427" s="119" t="str">
        <f>DEC2HEX(_xlfn.BITLSHIFT(HEX2DEC(Q427),2))</f>
        <v>1C4</v>
      </c>
      <c r="N427" s="119"/>
      <c r="O427" s="119">
        <v>3</v>
      </c>
      <c r="P427" s="121">
        <v>0</v>
      </c>
      <c r="Q427" s="121" t="str">
        <f>AB427</f>
        <v>71</v>
      </c>
      <c r="R427" s="123" t="str">
        <f t="shared" ref="R427" si="649">BIN2HEX(LEFT(RIGHT(D427,32),4))&amp;BIN2HEX(LEFT(RIGHT(D427,28),4))&amp;BIN2HEX(LEFT(RIGHT(D427,24),4))&amp;BIN2HEX(LEFT(RIGHT(D427,20),4))&amp;BIN2HEX(LEFT(RIGHT(D427,16),4))&amp;BIN2HEX(LEFT(RIGHT(D427,12),4))&amp;BIN2HEX(LEFT(RIGHT(D427,8),4))&amp;BIN2HEX(LEFT(RIGHT(D427,4),4))</f>
        <v>00000000</v>
      </c>
      <c r="S427" s="123" t="str">
        <f t="shared" ref="S427" si="650">BIN2HEX(LEFT(RIGHT(J427,32),4))&amp;BIN2HEX(LEFT(RIGHT(J427,28),4))&amp;BIN2HEX(LEFT(RIGHT(J427,24),4))&amp;BIN2HEX(LEFT(RIGHT(J427,20),4))&amp;BIN2HEX(LEFT(RIGHT(J427,16),4))&amp;BIN2HEX(LEFT(RIGHT(J427,12),4))&amp;BIN2HEX(LEFT(RIGHT(J427,8),4))&amp;BIN2HEX(LEFT(RIGHT(J427,4),4))</f>
        <v>00000000</v>
      </c>
      <c r="T427" s="154">
        <v>13</v>
      </c>
      <c r="U427" s="155" t="str">
        <f t="shared" ref="U427" si="651">LEFT(DEC2BIN(O427,2))</f>
        <v>1</v>
      </c>
      <c r="V427" s="145" t="str">
        <f t="shared" ref="V427" si="652">RIGHT(DEC2BIN(O427,2),1)</f>
        <v>1</v>
      </c>
      <c r="W427" s="148">
        <v>1</v>
      </c>
      <c r="X427" s="155">
        <v>0</v>
      </c>
      <c r="Y427" s="145">
        <v>0</v>
      </c>
      <c r="Z427" s="148">
        <v>0</v>
      </c>
      <c r="AA427" s="148">
        <v>1</v>
      </c>
      <c r="AB427" s="148" t="str">
        <f t="shared" ref="AB427" si="653">BIN2HEX(U427&amp;V427&amp;W427&amp;X427&amp;Y427&amp;Z427&amp;AA427)</f>
        <v>71</v>
      </c>
      <c r="AC427" s="151" t="str">
        <f>CONCATENATE("vofc_dom",BIN2DEC(U427&amp;V427),"_quad",BIN2DEC(AA427),"_quad",BIN2DEC(AA427)+2,"_sar",ABS( BIN2DEC(V427)*3-BIN2DEC(Z427)),"_slc",BIN2DEC(X427&amp;Y427)+BIN2DEC(W427)*3)</f>
        <v>vofc_dom3_quad1_quad3_sar3_slc3</v>
      </c>
      <c r="AD427" s="57"/>
      <c r="AE427" s="57"/>
      <c r="AF427" s="57"/>
      <c r="AG427" s="57"/>
      <c r="AH427" s="57"/>
    </row>
    <row r="428" spans="1:34" ht="15" customHeight="1">
      <c r="A428" s="126"/>
      <c r="B428" s="128"/>
      <c r="C428" s="43" t="str">
        <f>CONCATENATE("sar",AD428+AE428*4+AF428*16,"_slc",AG428)</f>
        <v>sar63_slc3</v>
      </c>
      <c r="D428" s="44">
        <v>8</v>
      </c>
      <c r="E428" s="29" t="str">
        <f>IF(D428&gt;1,(31)&amp;":"&amp;(31-D428+1),(31-D428+1)&amp;":"&amp;(31-D428+1))</f>
        <v>31:24</v>
      </c>
      <c r="F428" s="30" t="s">
        <v>133</v>
      </c>
      <c r="G428" s="30" t="s">
        <v>133</v>
      </c>
      <c r="H428" s="45" t="s">
        <v>143</v>
      </c>
      <c r="I428" s="31" t="s">
        <v>68</v>
      </c>
      <c r="J428" s="32" t="s">
        <v>36</v>
      </c>
      <c r="K428" s="33" t="s">
        <v>6</v>
      </c>
      <c r="L428" s="46"/>
      <c r="M428" s="120"/>
      <c r="N428" s="120"/>
      <c r="O428" s="120"/>
      <c r="P428" s="122"/>
      <c r="Q428" s="122"/>
      <c r="R428" s="124"/>
      <c r="S428" s="124"/>
      <c r="T428" s="154"/>
      <c r="U428" s="156"/>
      <c r="V428" s="146"/>
      <c r="W428" s="149"/>
      <c r="X428" s="156"/>
      <c r="Y428" s="146"/>
      <c r="Z428" s="149"/>
      <c r="AA428" s="149"/>
      <c r="AB428" s="149"/>
      <c r="AC428" s="152"/>
      <c r="AD428" s="57">
        <f>BIN2DEC($AA427)*3</f>
        <v>3</v>
      </c>
      <c r="AE428" s="57">
        <f>ABS(BIN2DEC($U427)*3)</f>
        <v>3</v>
      </c>
      <c r="AF428" s="57">
        <f>ABS( BIN2DEC(V427)*3-BIN2DEC(Z427))</f>
        <v>3</v>
      </c>
      <c r="AG428" s="57">
        <f>BIN2DEC(X427&amp;Y427)+BIN2DEC(W427)*3</f>
        <v>3</v>
      </c>
      <c r="AH428" s="57">
        <f>AD428+AE428*4+AF428*16</f>
        <v>63</v>
      </c>
    </row>
    <row r="429" spans="1:34" ht="15" customHeight="1">
      <c r="A429" s="126"/>
      <c r="B429" s="128"/>
      <c r="C429" s="43" t="str">
        <f t="shared" ref="C429:C431" si="654">CONCATENATE("sar",AD429+AE429*4+AF429*16,"_slc",AG429)</f>
        <v>sar59_slc3</v>
      </c>
      <c r="D429" s="44">
        <v>8</v>
      </c>
      <c r="E429" s="30" t="str">
        <f t="shared" ref="E429:E431" si="655">(MID(str_cnvt(E428),SEARCH(":",str_cnvt(E428))+1,2)-1) &amp; ":" &amp; (MID(str_cnvt(E428),SEARCH(":",str_cnvt(E428))+1,2)-D429)</f>
        <v>23:16</v>
      </c>
      <c r="F429" s="30" t="s">
        <v>133</v>
      </c>
      <c r="G429" s="30" t="s">
        <v>133</v>
      </c>
      <c r="H429" s="45" t="s">
        <v>143</v>
      </c>
      <c r="I429" s="31" t="s">
        <v>68</v>
      </c>
      <c r="J429" s="32" t="s">
        <v>36</v>
      </c>
      <c r="K429" s="33" t="s">
        <v>6</v>
      </c>
      <c r="L429" s="46"/>
      <c r="M429" s="120"/>
      <c r="N429" s="120"/>
      <c r="O429" s="120"/>
      <c r="P429" s="122"/>
      <c r="Q429" s="122"/>
      <c r="R429" s="124"/>
      <c r="S429" s="124"/>
      <c r="T429" s="154"/>
      <c r="U429" s="156"/>
      <c r="V429" s="146"/>
      <c r="W429" s="149"/>
      <c r="X429" s="156"/>
      <c r="Y429" s="146"/>
      <c r="Z429" s="149"/>
      <c r="AA429" s="149"/>
      <c r="AB429" s="149"/>
      <c r="AC429" s="152"/>
      <c r="AD429" s="57">
        <f>BIN2DEC($AA427)*3</f>
        <v>3</v>
      </c>
      <c r="AE429" s="57">
        <f>ABS(BIN2DEC($U427)*3-1)</f>
        <v>2</v>
      </c>
      <c r="AF429" s="57">
        <f>ABS( BIN2DEC(V427)*3-BIN2DEC(Z427))</f>
        <v>3</v>
      </c>
      <c r="AG429" s="57">
        <f>BIN2DEC(X427&amp;Y427)+BIN2DEC(W427)*3</f>
        <v>3</v>
      </c>
      <c r="AH429" s="57">
        <f t="shared" ref="AH429:AH431" si="656">AD429+AE429*4+AF429*16</f>
        <v>59</v>
      </c>
    </row>
    <row r="430" spans="1:34" ht="15" customHeight="1">
      <c r="A430" s="126"/>
      <c r="B430" s="128"/>
      <c r="C430" s="43" t="str">
        <f t="shared" si="654"/>
        <v>sar61_slc3</v>
      </c>
      <c r="D430" s="44">
        <v>8</v>
      </c>
      <c r="E430" s="30" t="str">
        <f t="shared" si="655"/>
        <v>15:8</v>
      </c>
      <c r="F430" s="30" t="s">
        <v>133</v>
      </c>
      <c r="G430" s="30" t="s">
        <v>133</v>
      </c>
      <c r="H430" s="45" t="s">
        <v>143</v>
      </c>
      <c r="I430" s="31" t="s">
        <v>68</v>
      </c>
      <c r="J430" s="32" t="s">
        <v>36</v>
      </c>
      <c r="K430" s="33" t="s">
        <v>6</v>
      </c>
      <c r="L430" s="46"/>
      <c r="M430" s="120"/>
      <c r="N430" s="120"/>
      <c r="O430" s="120"/>
      <c r="P430" s="122"/>
      <c r="Q430" s="122"/>
      <c r="R430" s="124"/>
      <c r="S430" s="124"/>
      <c r="T430" s="154"/>
      <c r="U430" s="156"/>
      <c r="V430" s="146"/>
      <c r="W430" s="149"/>
      <c r="X430" s="156"/>
      <c r="Y430" s="146"/>
      <c r="Z430" s="149"/>
      <c r="AA430" s="149"/>
      <c r="AB430" s="149"/>
      <c r="AC430" s="152"/>
      <c r="AD430" s="57">
        <f>ABS(BIN2DEC($AA427)*3-2)</f>
        <v>1</v>
      </c>
      <c r="AE430" s="57">
        <f>ABS(BIN2DEC($U427)*3)</f>
        <v>3</v>
      </c>
      <c r="AF430" s="57">
        <f>ABS( BIN2DEC(V427)*3-BIN2DEC(Z427))</f>
        <v>3</v>
      </c>
      <c r="AG430" s="57">
        <f>BIN2DEC(X427&amp;Y427)+BIN2DEC(W427)*3</f>
        <v>3</v>
      </c>
      <c r="AH430" s="57">
        <f t="shared" si="656"/>
        <v>61</v>
      </c>
    </row>
    <row r="431" spans="1:34" ht="15.75" customHeight="1" thickBot="1">
      <c r="A431" s="126"/>
      <c r="B431" s="128"/>
      <c r="C431" s="43" t="str">
        <f t="shared" si="654"/>
        <v>sar57_slc3</v>
      </c>
      <c r="D431" s="44">
        <v>8</v>
      </c>
      <c r="E431" s="30" t="str">
        <f t="shared" si="655"/>
        <v>7:0</v>
      </c>
      <c r="F431" s="30" t="s">
        <v>133</v>
      </c>
      <c r="G431" s="30" t="s">
        <v>133</v>
      </c>
      <c r="H431" s="45" t="s">
        <v>143</v>
      </c>
      <c r="I431" s="31" t="s">
        <v>68</v>
      </c>
      <c r="J431" s="32" t="s">
        <v>36</v>
      </c>
      <c r="K431" s="33" t="s">
        <v>6</v>
      </c>
      <c r="L431" s="46"/>
      <c r="M431" s="120"/>
      <c r="N431" s="120"/>
      <c r="O431" s="120"/>
      <c r="P431" s="122"/>
      <c r="Q431" s="122"/>
      <c r="R431" s="124"/>
      <c r="S431" s="124"/>
      <c r="T431" s="154"/>
      <c r="U431" s="157"/>
      <c r="V431" s="147"/>
      <c r="W431" s="150"/>
      <c r="X431" s="157"/>
      <c r="Y431" s="147"/>
      <c r="Z431" s="150"/>
      <c r="AA431" s="150"/>
      <c r="AB431" s="150"/>
      <c r="AC431" s="153"/>
      <c r="AD431" s="57">
        <f>ABS(BIN2DEC($AA427)*3-2)</f>
        <v>1</v>
      </c>
      <c r="AE431" s="57">
        <f>ABS(BIN2DEC($U427)*3-1)</f>
        <v>2</v>
      </c>
      <c r="AF431" s="57">
        <f>ABS( BIN2DEC(V427)*3-BIN2DEC(Z427))</f>
        <v>3</v>
      </c>
      <c r="AG431" s="57">
        <f>BIN2DEC(X427&amp;Y427)+BIN2DEC(W427)*3</f>
        <v>3</v>
      </c>
      <c r="AH431" s="57">
        <f t="shared" si="656"/>
        <v>57</v>
      </c>
    </row>
    <row r="432" spans="1:34" ht="15.75" customHeight="1">
      <c r="A432" s="125" t="str">
        <f>AC432</f>
        <v>vofc_dom3_quad0_quad2_sar2_slc3</v>
      </c>
      <c r="B432" s="127" t="str">
        <f>DEC2HEX(P432*4)</f>
        <v>0</v>
      </c>
      <c r="C432" s="56" t="s">
        <v>134</v>
      </c>
      <c r="D432" s="129" t="str">
        <f>bitConcat(F433:F436)</f>
        <v>32'b00000000000000000000000000000000</v>
      </c>
      <c r="E432" s="130"/>
      <c r="F432" s="130"/>
      <c r="G432" s="130"/>
      <c r="H432" s="131" t="s">
        <v>135</v>
      </c>
      <c r="I432" s="131"/>
      <c r="J432" s="131" t="str">
        <f>bitConcat(G433:G436)</f>
        <v>32'b00000000000000000000000000000000</v>
      </c>
      <c r="K432" s="131"/>
      <c r="L432" s="132"/>
      <c r="M432" s="119" t="str">
        <f>DEC2HEX(_xlfn.BITLSHIFT(HEX2DEC(Q432),2))</f>
        <v>1C8</v>
      </c>
      <c r="N432" s="119"/>
      <c r="O432" s="119">
        <v>3</v>
      </c>
      <c r="P432" s="121">
        <v>0</v>
      </c>
      <c r="Q432" s="121" t="str">
        <f>AB432</f>
        <v>72</v>
      </c>
      <c r="R432" s="123" t="str">
        <f t="shared" ref="R432" si="657">BIN2HEX(LEFT(RIGHT(D432,32),4))&amp;BIN2HEX(LEFT(RIGHT(D432,28),4))&amp;BIN2HEX(LEFT(RIGHT(D432,24),4))&amp;BIN2HEX(LEFT(RIGHT(D432,20),4))&amp;BIN2HEX(LEFT(RIGHT(D432,16),4))&amp;BIN2HEX(LEFT(RIGHT(D432,12),4))&amp;BIN2HEX(LEFT(RIGHT(D432,8),4))&amp;BIN2HEX(LEFT(RIGHT(D432,4),4))</f>
        <v>00000000</v>
      </c>
      <c r="S432" s="123" t="str">
        <f t="shared" ref="S432" si="658">BIN2HEX(LEFT(RIGHT(J432,32),4))&amp;BIN2HEX(LEFT(RIGHT(J432,28),4))&amp;BIN2HEX(LEFT(RIGHT(J432,24),4))&amp;BIN2HEX(LEFT(RIGHT(J432,20),4))&amp;BIN2HEX(LEFT(RIGHT(J432,16),4))&amp;BIN2HEX(LEFT(RIGHT(J432,12),4))&amp;BIN2HEX(LEFT(RIGHT(J432,8),4))&amp;BIN2HEX(LEFT(RIGHT(J432,4),4))</f>
        <v>00000000</v>
      </c>
      <c r="T432" s="154">
        <v>14</v>
      </c>
      <c r="U432" s="155" t="str">
        <f t="shared" ref="U432" si="659">LEFT(DEC2BIN(O432,2))</f>
        <v>1</v>
      </c>
      <c r="V432" s="145" t="str">
        <f t="shared" ref="V432" si="660">RIGHT(DEC2BIN(O432,2),1)</f>
        <v>1</v>
      </c>
      <c r="W432" s="148">
        <v>1</v>
      </c>
      <c r="X432" s="155">
        <v>0</v>
      </c>
      <c r="Y432" s="145">
        <v>0</v>
      </c>
      <c r="Z432" s="148">
        <v>1</v>
      </c>
      <c r="AA432" s="148">
        <v>0</v>
      </c>
      <c r="AB432" s="148" t="str">
        <f t="shared" ref="AB432" si="661">BIN2HEX(U432&amp;V432&amp;W432&amp;X432&amp;Y432&amp;Z432&amp;AA432)</f>
        <v>72</v>
      </c>
      <c r="AC432" s="151" t="str">
        <f>CONCATENATE("vofc_dom",BIN2DEC(U432&amp;V432),"_quad",BIN2DEC(AA432),"_quad",BIN2DEC(AA432)+2,"_sar",ABS( BIN2DEC(V432)*3-BIN2DEC(Z432)),"_slc",BIN2DEC(X432&amp;Y432)+BIN2DEC(W432)*3)</f>
        <v>vofc_dom3_quad0_quad2_sar2_slc3</v>
      </c>
      <c r="AD432" s="57"/>
      <c r="AE432" s="57"/>
      <c r="AF432" s="57"/>
      <c r="AG432" s="57"/>
      <c r="AH432" s="57"/>
    </row>
    <row r="433" spans="1:34" ht="15" customHeight="1">
      <c r="A433" s="126"/>
      <c r="B433" s="128"/>
      <c r="C433" s="43" t="str">
        <f>CONCATENATE("sar",AD433+AE433*4+AF433*16,"_slc",AG433)</f>
        <v>sar44_slc3</v>
      </c>
      <c r="D433" s="44">
        <v>8</v>
      </c>
      <c r="E433" s="29" t="str">
        <f>IF(D433&gt;1,(31)&amp;":"&amp;(31-D433+1),(31-D433+1)&amp;":"&amp;(31-D433+1))</f>
        <v>31:24</v>
      </c>
      <c r="F433" s="30" t="s">
        <v>133</v>
      </c>
      <c r="G433" s="30" t="s">
        <v>133</v>
      </c>
      <c r="H433" s="45" t="s">
        <v>143</v>
      </c>
      <c r="I433" s="31" t="s">
        <v>68</v>
      </c>
      <c r="J433" s="32" t="s">
        <v>36</v>
      </c>
      <c r="K433" s="33" t="s">
        <v>6</v>
      </c>
      <c r="L433" s="46"/>
      <c r="M433" s="120"/>
      <c r="N433" s="120"/>
      <c r="O433" s="120"/>
      <c r="P433" s="122"/>
      <c r="Q433" s="122"/>
      <c r="R433" s="124"/>
      <c r="S433" s="124"/>
      <c r="T433" s="154"/>
      <c r="U433" s="156"/>
      <c r="V433" s="146"/>
      <c r="W433" s="149"/>
      <c r="X433" s="156"/>
      <c r="Y433" s="146"/>
      <c r="Z433" s="149"/>
      <c r="AA433" s="149"/>
      <c r="AB433" s="149"/>
      <c r="AC433" s="152"/>
      <c r="AD433" s="57">
        <f>BIN2DEC($AA432)*3</f>
        <v>0</v>
      </c>
      <c r="AE433" s="57">
        <f>ABS(BIN2DEC($U432)*3)</f>
        <v>3</v>
      </c>
      <c r="AF433" s="57">
        <f>ABS( BIN2DEC(V432)*3-BIN2DEC(Z432))</f>
        <v>2</v>
      </c>
      <c r="AG433" s="57">
        <f>BIN2DEC(X432&amp;Y432)+BIN2DEC(W432)*3</f>
        <v>3</v>
      </c>
      <c r="AH433" s="57">
        <f>AD433+AE433*4+AF433*16</f>
        <v>44</v>
      </c>
    </row>
    <row r="434" spans="1:34" ht="15" customHeight="1">
      <c r="A434" s="126"/>
      <c r="B434" s="128"/>
      <c r="C434" s="43" t="str">
        <f t="shared" ref="C434:C436" si="662">CONCATENATE("sar",AD434+AE434*4+AF434*16,"_slc",AG434)</f>
        <v>sar40_slc3</v>
      </c>
      <c r="D434" s="44">
        <v>8</v>
      </c>
      <c r="E434" s="30" t="str">
        <f t="shared" ref="E434:E436" si="663">(MID(str_cnvt(E433),SEARCH(":",str_cnvt(E433))+1,2)-1) &amp; ":" &amp; (MID(str_cnvt(E433),SEARCH(":",str_cnvt(E433))+1,2)-D434)</f>
        <v>23:16</v>
      </c>
      <c r="F434" s="30" t="s">
        <v>133</v>
      </c>
      <c r="G434" s="30" t="s">
        <v>133</v>
      </c>
      <c r="H434" s="45" t="s">
        <v>143</v>
      </c>
      <c r="I434" s="31" t="s">
        <v>68</v>
      </c>
      <c r="J434" s="32" t="s">
        <v>36</v>
      </c>
      <c r="K434" s="33" t="s">
        <v>6</v>
      </c>
      <c r="L434" s="46"/>
      <c r="M434" s="120"/>
      <c r="N434" s="120"/>
      <c r="O434" s="120"/>
      <c r="P434" s="122"/>
      <c r="Q434" s="122"/>
      <c r="R434" s="124"/>
      <c r="S434" s="124"/>
      <c r="T434" s="154"/>
      <c r="U434" s="156"/>
      <c r="V434" s="146"/>
      <c r="W434" s="149"/>
      <c r="X434" s="156"/>
      <c r="Y434" s="146"/>
      <c r="Z434" s="149"/>
      <c r="AA434" s="149"/>
      <c r="AB434" s="149"/>
      <c r="AC434" s="152"/>
      <c r="AD434" s="57">
        <f>BIN2DEC($AA432)*3</f>
        <v>0</v>
      </c>
      <c r="AE434" s="57">
        <f>ABS(BIN2DEC($U432)*3-1)</f>
        <v>2</v>
      </c>
      <c r="AF434" s="57">
        <f>ABS( BIN2DEC(V432)*3-BIN2DEC(Z432))</f>
        <v>2</v>
      </c>
      <c r="AG434" s="57">
        <f>BIN2DEC(X432&amp;Y432)+BIN2DEC(W432)*3</f>
        <v>3</v>
      </c>
      <c r="AH434" s="57">
        <f t="shared" ref="AH434:AH436" si="664">AD434+AE434*4+AF434*16</f>
        <v>40</v>
      </c>
    </row>
    <row r="435" spans="1:34" ht="15" customHeight="1">
      <c r="A435" s="126"/>
      <c r="B435" s="128"/>
      <c r="C435" s="43" t="str">
        <f t="shared" si="662"/>
        <v>sar46_slc3</v>
      </c>
      <c r="D435" s="44">
        <v>8</v>
      </c>
      <c r="E435" s="30" t="str">
        <f t="shared" si="663"/>
        <v>15:8</v>
      </c>
      <c r="F435" s="30" t="s">
        <v>133</v>
      </c>
      <c r="G435" s="30" t="s">
        <v>133</v>
      </c>
      <c r="H435" s="45" t="s">
        <v>143</v>
      </c>
      <c r="I435" s="31" t="s">
        <v>68</v>
      </c>
      <c r="J435" s="32" t="s">
        <v>36</v>
      </c>
      <c r="K435" s="33" t="s">
        <v>6</v>
      </c>
      <c r="L435" s="46"/>
      <c r="M435" s="120"/>
      <c r="N435" s="120"/>
      <c r="O435" s="120"/>
      <c r="P435" s="122"/>
      <c r="Q435" s="122"/>
      <c r="R435" s="124"/>
      <c r="S435" s="124"/>
      <c r="T435" s="154"/>
      <c r="U435" s="156"/>
      <c r="V435" s="146"/>
      <c r="W435" s="149"/>
      <c r="X435" s="156"/>
      <c r="Y435" s="146"/>
      <c r="Z435" s="149"/>
      <c r="AA435" s="149"/>
      <c r="AB435" s="149"/>
      <c r="AC435" s="152"/>
      <c r="AD435" s="57">
        <f>ABS(BIN2DEC($AA432)*3-2)</f>
        <v>2</v>
      </c>
      <c r="AE435" s="57">
        <f>ABS(BIN2DEC($U432)*3)</f>
        <v>3</v>
      </c>
      <c r="AF435" s="57">
        <f>ABS( BIN2DEC(V432)*3-BIN2DEC(Z432))</f>
        <v>2</v>
      </c>
      <c r="AG435" s="57">
        <f>BIN2DEC(X432&amp;Y432)+BIN2DEC(W432)*3</f>
        <v>3</v>
      </c>
      <c r="AH435" s="57">
        <f t="shared" si="664"/>
        <v>46</v>
      </c>
    </row>
    <row r="436" spans="1:34" ht="15.75" customHeight="1" thickBot="1">
      <c r="A436" s="126"/>
      <c r="B436" s="128"/>
      <c r="C436" s="43" t="str">
        <f t="shared" si="662"/>
        <v>sar42_slc3</v>
      </c>
      <c r="D436" s="44">
        <v>8</v>
      </c>
      <c r="E436" s="30" t="str">
        <f t="shared" si="663"/>
        <v>7:0</v>
      </c>
      <c r="F436" s="30" t="s">
        <v>133</v>
      </c>
      <c r="G436" s="30" t="s">
        <v>133</v>
      </c>
      <c r="H436" s="45" t="s">
        <v>143</v>
      </c>
      <c r="I436" s="31" t="s">
        <v>68</v>
      </c>
      <c r="J436" s="32" t="s">
        <v>36</v>
      </c>
      <c r="K436" s="33" t="s">
        <v>6</v>
      </c>
      <c r="L436" s="46"/>
      <c r="M436" s="120"/>
      <c r="N436" s="120"/>
      <c r="O436" s="120"/>
      <c r="P436" s="122"/>
      <c r="Q436" s="122"/>
      <c r="R436" s="124"/>
      <c r="S436" s="124"/>
      <c r="T436" s="154"/>
      <c r="U436" s="157"/>
      <c r="V436" s="147"/>
      <c r="W436" s="150"/>
      <c r="X436" s="157"/>
      <c r="Y436" s="147"/>
      <c r="Z436" s="150"/>
      <c r="AA436" s="150"/>
      <c r="AB436" s="150"/>
      <c r="AC436" s="153"/>
      <c r="AD436" s="57">
        <f>ABS(BIN2DEC($AA432)*3-2)</f>
        <v>2</v>
      </c>
      <c r="AE436" s="57">
        <f>ABS(BIN2DEC($U432)*3-1)</f>
        <v>2</v>
      </c>
      <c r="AF436" s="57">
        <f>ABS( BIN2DEC(V432)*3-BIN2DEC(Z432))</f>
        <v>2</v>
      </c>
      <c r="AG436" s="57">
        <f>BIN2DEC(X432&amp;Y432)+BIN2DEC(W432)*3</f>
        <v>3</v>
      </c>
      <c r="AH436" s="57">
        <f t="shared" si="664"/>
        <v>42</v>
      </c>
    </row>
    <row r="437" spans="1:34" ht="15.75" customHeight="1">
      <c r="A437" s="125" t="str">
        <f>AC437</f>
        <v>vofc_dom3_quad1_quad3_sar2_slc3</v>
      </c>
      <c r="B437" s="127" t="str">
        <f>DEC2HEX(P437*4)</f>
        <v>0</v>
      </c>
      <c r="C437" s="56" t="s">
        <v>134</v>
      </c>
      <c r="D437" s="129" t="str">
        <f>bitConcat(F438:F441)</f>
        <v>32'b00000000000000000000000000000000</v>
      </c>
      <c r="E437" s="130"/>
      <c r="F437" s="130"/>
      <c r="G437" s="130"/>
      <c r="H437" s="131" t="s">
        <v>135</v>
      </c>
      <c r="I437" s="131"/>
      <c r="J437" s="131" t="str">
        <f>bitConcat(G438:G441)</f>
        <v>32'b00000000000000000000000000000000</v>
      </c>
      <c r="K437" s="131"/>
      <c r="L437" s="132"/>
      <c r="M437" s="119" t="str">
        <f>DEC2HEX(_xlfn.BITLSHIFT(HEX2DEC(Q437),2))</f>
        <v>1CC</v>
      </c>
      <c r="N437" s="119"/>
      <c r="O437" s="119">
        <v>3</v>
      </c>
      <c r="P437" s="121">
        <v>0</v>
      </c>
      <c r="Q437" s="121" t="str">
        <f>AB437</f>
        <v>73</v>
      </c>
      <c r="R437" s="123" t="str">
        <f t="shared" ref="R437" si="665">BIN2HEX(LEFT(RIGHT(D437,32),4))&amp;BIN2HEX(LEFT(RIGHT(D437,28),4))&amp;BIN2HEX(LEFT(RIGHT(D437,24),4))&amp;BIN2HEX(LEFT(RIGHT(D437,20),4))&amp;BIN2HEX(LEFT(RIGHT(D437,16),4))&amp;BIN2HEX(LEFT(RIGHT(D437,12),4))&amp;BIN2HEX(LEFT(RIGHT(D437,8),4))&amp;BIN2HEX(LEFT(RIGHT(D437,4),4))</f>
        <v>00000000</v>
      </c>
      <c r="S437" s="123" t="str">
        <f t="shared" ref="S437" si="666">BIN2HEX(LEFT(RIGHT(J437,32),4))&amp;BIN2HEX(LEFT(RIGHT(J437,28),4))&amp;BIN2HEX(LEFT(RIGHT(J437,24),4))&amp;BIN2HEX(LEFT(RIGHT(J437,20),4))&amp;BIN2HEX(LEFT(RIGHT(J437,16),4))&amp;BIN2HEX(LEFT(RIGHT(J437,12),4))&amp;BIN2HEX(LEFT(RIGHT(J437,8),4))&amp;BIN2HEX(LEFT(RIGHT(J437,4),4))</f>
        <v>00000000</v>
      </c>
      <c r="T437" s="154">
        <v>15</v>
      </c>
      <c r="U437" s="155" t="str">
        <f t="shared" ref="U437" si="667">LEFT(DEC2BIN(O437,2))</f>
        <v>1</v>
      </c>
      <c r="V437" s="145" t="str">
        <f t="shared" ref="V437" si="668">RIGHT(DEC2BIN(O437,2),1)</f>
        <v>1</v>
      </c>
      <c r="W437" s="148">
        <v>1</v>
      </c>
      <c r="X437" s="155">
        <v>0</v>
      </c>
      <c r="Y437" s="145">
        <v>0</v>
      </c>
      <c r="Z437" s="148">
        <v>1</v>
      </c>
      <c r="AA437" s="148">
        <v>1</v>
      </c>
      <c r="AB437" s="148" t="str">
        <f t="shared" ref="AB437" si="669">BIN2HEX(U437&amp;V437&amp;W437&amp;X437&amp;Y437&amp;Z437&amp;AA437)</f>
        <v>73</v>
      </c>
      <c r="AC437" s="151" t="str">
        <f>CONCATENATE("vofc_dom",BIN2DEC(U437&amp;V437),"_quad",BIN2DEC(AA437),"_quad",BIN2DEC(AA437)+2,"_sar",ABS( BIN2DEC(V437)*3-BIN2DEC(Z437)),"_slc",BIN2DEC(X437&amp;Y437)+BIN2DEC(W437)*3)</f>
        <v>vofc_dom3_quad1_quad3_sar2_slc3</v>
      </c>
      <c r="AD437" s="57"/>
      <c r="AE437" s="57"/>
      <c r="AF437" s="57"/>
      <c r="AG437" s="57"/>
      <c r="AH437" s="57"/>
    </row>
    <row r="438" spans="1:34" ht="15" customHeight="1">
      <c r="A438" s="126"/>
      <c r="B438" s="128"/>
      <c r="C438" s="43" t="str">
        <f>CONCATENATE("sar",AD438+AE438*4+AF438*16,"_slc",AG438)</f>
        <v>sar47_slc3</v>
      </c>
      <c r="D438" s="44">
        <v>8</v>
      </c>
      <c r="E438" s="29" t="str">
        <f>IF(D438&gt;1,(31)&amp;":"&amp;(31-D438+1),(31-D438+1)&amp;":"&amp;(31-D438+1))</f>
        <v>31:24</v>
      </c>
      <c r="F438" s="30" t="s">
        <v>133</v>
      </c>
      <c r="G438" s="30" t="s">
        <v>133</v>
      </c>
      <c r="H438" s="45" t="s">
        <v>143</v>
      </c>
      <c r="I438" s="31" t="s">
        <v>68</v>
      </c>
      <c r="J438" s="32" t="s">
        <v>36</v>
      </c>
      <c r="K438" s="33" t="s">
        <v>6</v>
      </c>
      <c r="L438" s="46"/>
      <c r="M438" s="120"/>
      <c r="N438" s="120"/>
      <c r="O438" s="120"/>
      <c r="P438" s="122"/>
      <c r="Q438" s="122"/>
      <c r="R438" s="124"/>
      <c r="S438" s="124"/>
      <c r="T438" s="154"/>
      <c r="U438" s="156"/>
      <c r="V438" s="146"/>
      <c r="W438" s="149"/>
      <c r="X438" s="156"/>
      <c r="Y438" s="146"/>
      <c r="Z438" s="149"/>
      <c r="AA438" s="149"/>
      <c r="AB438" s="149"/>
      <c r="AC438" s="152"/>
      <c r="AD438" s="57">
        <f>BIN2DEC($AA437)*3</f>
        <v>3</v>
      </c>
      <c r="AE438" s="57">
        <f>ABS(BIN2DEC($U437)*3)</f>
        <v>3</v>
      </c>
      <c r="AF438" s="57">
        <f>ABS( BIN2DEC(V437)*3-BIN2DEC(Z437))</f>
        <v>2</v>
      </c>
      <c r="AG438" s="57">
        <f>BIN2DEC(X437&amp;Y437)+BIN2DEC(W437)*3</f>
        <v>3</v>
      </c>
      <c r="AH438" s="57">
        <f>AD438+AE438*4+AF438*16</f>
        <v>47</v>
      </c>
    </row>
    <row r="439" spans="1:34" ht="15" customHeight="1">
      <c r="A439" s="126"/>
      <c r="B439" s="128"/>
      <c r="C439" s="43" t="str">
        <f t="shared" ref="C439:C441" si="670">CONCATENATE("sar",AD439+AE439*4+AF439*16,"_slc",AG439)</f>
        <v>sar43_slc3</v>
      </c>
      <c r="D439" s="44">
        <v>8</v>
      </c>
      <c r="E439" s="30" t="str">
        <f t="shared" ref="E439:E441" si="671">(MID(str_cnvt(E438),SEARCH(":",str_cnvt(E438))+1,2)-1) &amp; ":" &amp; (MID(str_cnvt(E438),SEARCH(":",str_cnvt(E438))+1,2)-D439)</f>
        <v>23:16</v>
      </c>
      <c r="F439" s="30" t="s">
        <v>133</v>
      </c>
      <c r="G439" s="30" t="s">
        <v>133</v>
      </c>
      <c r="H439" s="45" t="s">
        <v>143</v>
      </c>
      <c r="I439" s="31" t="s">
        <v>68</v>
      </c>
      <c r="J439" s="32" t="s">
        <v>36</v>
      </c>
      <c r="K439" s="33" t="s">
        <v>6</v>
      </c>
      <c r="L439" s="46"/>
      <c r="M439" s="120"/>
      <c r="N439" s="120"/>
      <c r="O439" s="120"/>
      <c r="P439" s="122"/>
      <c r="Q439" s="122"/>
      <c r="R439" s="124"/>
      <c r="S439" s="124"/>
      <c r="T439" s="154"/>
      <c r="U439" s="156"/>
      <c r="V439" s="146"/>
      <c r="W439" s="149"/>
      <c r="X439" s="156"/>
      <c r="Y439" s="146"/>
      <c r="Z439" s="149"/>
      <c r="AA439" s="149"/>
      <c r="AB439" s="149"/>
      <c r="AC439" s="152"/>
      <c r="AD439" s="57">
        <f>BIN2DEC($AA437)*3</f>
        <v>3</v>
      </c>
      <c r="AE439" s="57">
        <f>ABS(BIN2DEC($U437)*3-1)</f>
        <v>2</v>
      </c>
      <c r="AF439" s="57">
        <f>ABS( BIN2DEC(V437)*3-BIN2DEC(Z437))</f>
        <v>2</v>
      </c>
      <c r="AG439" s="57">
        <f>BIN2DEC(X437&amp;Y437)+BIN2DEC(W437)*3</f>
        <v>3</v>
      </c>
      <c r="AH439" s="57">
        <f t="shared" ref="AH439:AH441" si="672">AD439+AE439*4+AF439*16</f>
        <v>43</v>
      </c>
    </row>
    <row r="440" spans="1:34" ht="15" customHeight="1">
      <c r="A440" s="126"/>
      <c r="B440" s="128"/>
      <c r="C440" s="43" t="str">
        <f t="shared" si="670"/>
        <v>sar45_slc3</v>
      </c>
      <c r="D440" s="44">
        <v>8</v>
      </c>
      <c r="E440" s="30" t="str">
        <f t="shared" si="671"/>
        <v>15:8</v>
      </c>
      <c r="F440" s="30" t="s">
        <v>133</v>
      </c>
      <c r="G440" s="30" t="s">
        <v>133</v>
      </c>
      <c r="H440" s="45" t="s">
        <v>143</v>
      </c>
      <c r="I440" s="31" t="s">
        <v>68</v>
      </c>
      <c r="J440" s="32" t="s">
        <v>36</v>
      </c>
      <c r="K440" s="33" t="s">
        <v>6</v>
      </c>
      <c r="L440" s="46"/>
      <c r="M440" s="120"/>
      <c r="N440" s="120"/>
      <c r="O440" s="120"/>
      <c r="P440" s="122"/>
      <c r="Q440" s="122"/>
      <c r="R440" s="124"/>
      <c r="S440" s="124"/>
      <c r="T440" s="154"/>
      <c r="U440" s="156"/>
      <c r="V440" s="146"/>
      <c r="W440" s="149"/>
      <c r="X440" s="156"/>
      <c r="Y440" s="146"/>
      <c r="Z440" s="149"/>
      <c r="AA440" s="149"/>
      <c r="AB440" s="149"/>
      <c r="AC440" s="152"/>
      <c r="AD440" s="57">
        <f>ABS(BIN2DEC($AA437)*3-2)</f>
        <v>1</v>
      </c>
      <c r="AE440" s="57">
        <f>ABS(BIN2DEC($U437)*3)</f>
        <v>3</v>
      </c>
      <c r="AF440" s="57">
        <f>ABS( BIN2DEC(V437)*3-BIN2DEC(Z437))</f>
        <v>2</v>
      </c>
      <c r="AG440" s="57">
        <f>BIN2DEC(X437&amp;Y437)+BIN2DEC(W437)*3</f>
        <v>3</v>
      </c>
      <c r="AH440" s="57">
        <f t="shared" si="672"/>
        <v>45</v>
      </c>
    </row>
    <row r="441" spans="1:34" ht="15.75" customHeight="1" thickBot="1">
      <c r="A441" s="126"/>
      <c r="B441" s="128"/>
      <c r="C441" s="43" t="str">
        <f t="shared" si="670"/>
        <v>sar41_slc3</v>
      </c>
      <c r="D441" s="44">
        <v>8</v>
      </c>
      <c r="E441" s="30" t="str">
        <f t="shared" si="671"/>
        <v>7:0</v>
      </c>
      <c r="F441" s="30" t="s">
        <v>133</v>
      </c>
      <c r="G441" s="30" t="s">
        <v>133</v>
      </c>
      <c r="H441" s="45" t="s">
        <v>143</v>
      </c>
      <c r="I441" s="31" t="s">
        <v>68</v>
      </c>
      <c r="J441" s="32" t="s">
        <v>36</v>
      </c>
      <c r="K441" s="33" t="s">
        <v>6</v>
      </c>
      <c r="L441" s="46"/>
      <c r="M441" s="120"/>
      <c r="N441" s="120"/>
      <c r="O441" s="120"/>
      <c r="P441" s="122"/>
      <c r="Q441" s="122"/>
      <c r="R441" s="124"/>
      <c r="S441" s="124"/>
      <c r="T441" s="154"/>
      <c r="U441" s="157"/>
      <c r="V441" s="147"/>
      <c r="W441" s="150"/>
      <c r="X441" s="157"/>
      <c r="Y441" s="147"/>
      <c r="Z441" s="150"/>
      <c r="AA441" s="150"/>
      <c r="AB441" s="150"/>
      <c r="AC441" s="153"/>
      <c r="AD441" s="57">
        <f>ABS(BIN2DEC($AA437)*3-2)</f>
        <v>1</v>
      </c>
      <c r="AE441" s="57">
        <f>ABS(BIN2DEC($U437)*3-1)</f>
        <v>2</v>
      </c>
      <c r="AF441" s="57">
        <f>ABS( BIN2DEC(V437)*3-BIN2DEC(Z437))</f>
        <v>2</v>
      </c>
      <c r="AG441" s="57">
        <f>BIN2DEC(X437&amp;Y437)+BIN2DEC(W437)*3</f>
        <v>3</v>
      </c>
      <c r="AH441" s="57">
        <f t="shared" si="672"/>
        <v>41</v>
      </c>
    </row>
    <row r="442" spans="1:34" ht="15.75" customHeight="1">
      <c r="A442" s="125" t="str">
        <f>AC442</f>
        <v>vofc_dom3_quad0_quad2_sar3_slc4</v>
      </c>
      <c r="B442" s="127" t="str">
        <f>DEC2HEX(P442*4)</f>
        <v>0</v>
      </c>
      <c r="C442" s="56" t="s">
        <v>134</v>
      </c>
      <c r="D442" s="129" t="str">
        <f>bitConcat(F443:F446)</f>
        <v>32'b00000000000000000000000000000000</v>
      </c>
      <c r="E442" s="130"/>
      <c r="F442" s="130"/>
      <c r="G442" s="130"/>
      <c r="H442" s="131" t="s">
        <v>135</v>
      </c>
      <c r="I442" s="131"/>
      <c r="J442" s="131" t="str">
        <f>bitConcat(G443:G446)</f>
        <v>32'b00000000000000000000000000000000</v>
      </c>
      <c r="K442" s="131"/>
      <c r="L442" s="132"/>
      <c r="M442" s="119" t="str">
        <f>DEC2HEX(_xlfn.BITLSHIFT(HEX2DEC(Q442),2))</f>
        <v>1D0</v>
      </c>
      <c r="N442" s="119"/>
      <c r="O442" s="119">
        <v>3</v>
      </c>
      <c r="P442" s="121">
        <v>0</v>
      </c>
      <c r="Q442" s="121" t="str">
        <f>AB442</f>
        <v>74</v>
      </c>
      <c r="R442" s="123" t="str">
        <f t="shared" ref="R442" si="673">BIN2HEX(LEFT(RIGHT(D442,32),4))&amp;BIN2HEX(LEFT(RIGHT(D442,28),4))&amp;BIN2HEX(LEFT(RIGHT(D442,24),4))&amp;BIN2HEX(LEFT(RIGHT(D442,20),4))&amp;BIN2HEX(LEFT(RIGHT(D442,16),4))&amp;BIN2HEX(LEFT(RIGHT(D442,12),4))&amp;BIN2HEX(LEFT(RIGHT(D442,8),4))&amp;BIN2HEX(LEFT(RIGHT(D442,4),4))</f>
        <v>00000000</v>
      </c>
      <c r="S442" s="123" t="str">
        <f t="shared" ref="S442" si="674">BIN2HEX(LEFT(RIGHT(J442,32),4))&amp;BIN2HEX(LEFT(RIGHT(J442,28),4))&amp;BIN2HEX(LEFT(RIGHT(J442,24),4))&amp;BIN2HEX(LEFT(RIGHT(J442,20),4))&amp;BIN2HEX(LEFT(RIGHT(J442,16),4))&amp;BIN2HEX(LEFT(RIGHT(J442,12),4))&amp;BIN2HEX(LEFT(RIGHT(J442,8),4))&amp;BIN2HEX(LEFT(RIGHT(J442,4),4))</f>
        <v>00000000</v>
      </c>
      <c r="T442" s="154">
        <v>16</v>
      </c>
      <c r="U442" s="155" t="str">
        <f t="shared" ref="U442" si="675">LEFT(DEC2BIN(O442,2))</f>
        <v>1</v>
      </c>
      <c r="V442" s="145" t="str">
        <f t="shared" ref="V442" si="676">RIGHT(DEC2BIN(O442,2),1)</f>
        <v>1</v>
      </c>
      <c r="W442" s="148">
        <v>1</v>
      </c>
      <c r="X442" s="155">
        <v>0</v>
      </c>
      <c r="Y442" s="145">
        <v>1</v>
      </c>
      <c r="Z442" s="148">
        <v>0</v>
      </c>
      <c r="AA442" s="148">
        <v>0</v>
      </c>
      <c r="AB442" s="148" t="str">
        <f t="shared" ref="AB442" si="677">BIN2HEX(U442&amp;V442&amp;W442&amp;X442&amp;Y442&amp;Z442&amp;AA442)</f>
        <v>74</v>
      </c>
      <c r="AC442" s="151" t="str">
        <f>CONCATENATE("vofc_dom",BIN2DEC(U442&amp;V442),"_quad",BIN2DEC(AA442),"_quad",BIN2DEC(AA442)+2,"_sar",ABS( BIN2DEC(V442)*3-BIN2DEC(Z442)),"_slc",BIN2DEC(X442&amp;Y442)+BIN2DEC(W442)*3)</f>
        <v>vofc_dom3_quad0_quad2_sar3_slc4</v>
      </c>
      <c r="AD442" s="57"/>
      <c r="AE442" s="57"/>
      <c r="AF442" s="57"/>
      <c r="AG442" s="57"/>
      <c r="AH442" s="57"/>
    </row>
    <row r="443" spans="1:34" ht="15" customHeight="1">
      <c r="A443" s="126"/>
      <c r="B443" s="128"/>
      <c r="C443" s="43" t="str">
        <f>CONCATENATE("sar",AD443+AE443*4+AF443*16,"_slc",AG443)</f>
        <v>sar60_slc4</v>
      </c>
      <c r="D443" s="44">
        <v>8</v>
      </c>
      <c r="E443" s="29" t="str">
        <f>IF(D443&gt;1,(31)&amp;":"&amp;(31-D443+1),(31-D443+1)&amp;":"&amp;(31-D443+1))</f>
        <v>31:24</v>
      </c>
      <c r="F443" s="30" t="s">
        <v>133</v>
      </c>
      <c r="G443" s="30" t="s">
        <v>133</v>
      </c>
      <c r="H443" s="45" t="s">
        <v>143</v>
      </c>
      <c r="I443" s="31" t="s">
        <v>68</v>
      </c>
      <c r="J443" s="32" t="s">
        <v>36</v>
      </c>
      <c r="K443" s="33" t="s">
        <v>6</v>
      </c>
      <c r="L443" s="46"/>
      <c r="M443" s="120"/>
      <c r="N443" s="120"/>
      <c r="O443" s="120"/>
      <c r="P443" s="122"/>
      <c r="Q443" s="122"/>
      <c r="R443" s="124"/>
      <c r="S443" s="124"/>
      <c r="T443" s="154"/>
      <c r="U443" s="156"/>
      <c r="V443" s="146"/>
      <c r="W443" s="149"/>
      <c r="X443" s="156"/>
      <c r="Y443" s="146"/>
      <c r="Z443" s="149"/>
      <c r="AA443" s="149"/>
      <c r="AB443" s="149"/>
      <c r="AC443" s="152"/>
      <c r="AD443" s="57">
        <f>BIN2DEC($AA442)*3</f>
        <v>0</v>
      </c>
      <c r="AE443" s="57">
        <f>ABS(BIN2DEC($U442)*3)</f>
        <v>3</v>
      </c>
      <c r="AF443" s="57">
        <f>ABS( BIN2DEC(V442)*3-BIN2DEC(Z442))</f>
        <v>3</v>
      </c>
      <c r="AG443" s="57">
        <f>BIN2DEC(X442&amp;Y442)+BIN2DEC(W442)*3</f>
        <v>4</v>
      </c>
      <c r="AH443" s="57">
        <f>AD443+AE443*4+AF443*16</f>
        <v>60</v>
      </c>
    </row>
    <row r="444" spans="1:34" ht="15" customHeight="1">
      <c r="A444" s="126"/>
      <c r="B444" s="128"/>
      <c r="C444" s="43" t="str">
        <f t="shared" ref="C444:C446" si="678">CONCATENATE("sar",AD444+AE444*4+AF444*16,"_slc",AG444)</f>
        <v>sar56_slc4</v>
      </c>
      <c r="D444" s="44">
        <v>8</v>
      </c>
      <c r="E444" s="30" t="str">
        <f t="shared" ref="E444:E446" si="679">(MID(str_cnvt(E443),SEARCH(":",str_cnvt(E443))+1,2)-1) &amp; ":" &amp; (MID(str_cnvt(E443),SEARCH(":",str_cnvt(E443))+1,2)-D444)</f>
        <v>23:16</v>
      </c>
      <c r="F444" s="30" t="s">
        <v>133</v>
      </c>
      <c r="G444" s="30" t="s">
        <v>133</v>
      </c>
      <c r="H444" s="45" t="s">
        <v>143</v>
      </c>
      <c r="I444" s="31" t="s">
        <v>68</v>
      </c>
      <c r="J444" s="32" t="s">
        <v>36</v>
      </c>
      <c r="K444" s="33" t="s">
        <v>6</v>
      </c>
      <c r="L444" s="46"/>
      <c r="M444" s="120"/>
      <c r="N444" s="120"/>
      <c r="O444" s="120"/>
      <c r="P444" s="122"/>
      <c r="Q444" s="122"/>
      <c r="R444" s="124"/>
      <c r="S444" s="124"/>
      <c r="T444" s="154"/>
      <c r="U444" s="156"/>
      <c r="V444" s="146"/>
      <c r="W444" s="149"/>
      <c r="X444" s="156"/>
      <c r="Y444" s="146"/>
      <c r="Z444" s="149"/>
      <c r="AA444" s="149"/>
      <c r="AB444" s="149"/>
      <c r="AC444" s="152"/>
      <c r="AD444" s="57">
        <f>BIN2DEC($AA442)*3</f>
        <v>0</v>
      </c>
      <c r="AE444" s="57">
        <f>ABS(BIN2DEC($U442)*3-1)</f>
        <v>2</v>
      </c>
      <c r="AF444" s="57">
        <f>ABS( BIN2DEC(V442)*3-BIN2DEC(Z442))</f>
        <v>3</v>
      </c>
      <c r="AG444" s="57">
        <f>BIN2DEC(X442&amp;Y442)+BIN2DEC(W442)*3</f>
        <v>4</v>
      </c>
      <c r="AH444" s="57">
        <f t="shared" ref="AH444:AH446" si="680">AD444+AE444*4+AF444*16</f>
        <v>56</v>
      </c>
    </row>
    <row r="445" spans="1:34" ht="15" customHeight="1">
      <c r="A445" s="126"/>
      <c r="B445" s="128"/>
      <c r="C445" s="43" t="str">
        <f t="shared" si="678"/>
        <v>sar62_slc4</v>
      </c>
      <c r="D445" s="44">
        <v>8</v>
      </c>
      <c r="E445" s="30" t="str">
        <f t="shared" si="679"/>
        <v>15:8</v>
      </c>
      <c r="F445" s="30" t="s">
        <v>133</v>
      </c>
      <c r="G445" s="30" t="s">
        <v>133</v>
      </c>
      <c r="H445" s="45" t="s">
        <v>143</v>
      </c>
      <c r="I445" s="31" t="s">
        <v>68</v>
      </c>
      <c r="J445" s="32" t="s">
        <v>36</v>
      </c>
      <c r="K445" s="33" t="s">
        <v>6</v>
      </c>
      <c r="L445" s="46"/>
      <c r="M445" s="120"/>
      <c r="N445" s="120"/>
      <c r="O445" s="120"/>
      <c r="P445" s="122"/>
      <c r="Q445" s="122"/>
      <c r="R445" s="124"/>
      <c r="S445" s="124"/>
      <c r="T445" s="154"/>
      <c r="U445" s="156"/>
      <c r="V445" s="146"/>
      <c r="W445" s="149"/>
      <c r="X445" s="156"/>
      <c r="Y445" s="146"/>
      <c r="Z445" s="149"/>
      <c r="AA445" s="149"/>
      <c r="AB445" s="149"/>
      <c r="AC445" s="152"/>
      <c r="AD445" s="57">
        <f>ABS(BIN2DEC($AA442)*3-2)</f>
        <v>2</v>
      </c>
      <c r="AE445" s="57">
        <f>ABS(BIN2DEC($U442)*3)</f>
        <v>3</v>
      </c>
      <c r="AF445" s="57">
        <f>ABS( BIN2DEC(V442)*3-BIN2DEC(Z442))</f>
        <v>3</v>
      </c>
      <c r="AG445" s="57">
        <f>BIN2DEC(X442&amp;Y442)+BIN2DEC(W442)*3</f>
        <v>4</v>
      </c>
      <c r="AH445" s="57">
        <f t="shared" si="680"/>
        <v>62</v>
      </c>
    </row>
    <row r="446" spans="1:34" ht="15.75" customHeight="1" thickBot="1">
      <c r="A446" s="126"/>
      <c r="B446" s="128"/>
      <c r="C446" s="43" t="str">
        <f t="shared" si="678"/>
        <v>sar58_slc4</v>
      </c>
      <c r="D446" s="44">
        <v>8</v>
      </c>
      <c r="E446" s="30" t="str">
        <f t="shared" si="679"/>
        <v>7:0</v>
      </c>
      <c r="F446" s="30" t="s">
        <v>133</v>
      </c>
      <c r="G446" s="30" t="s">
        <v>133</v>
      </c>
      <c r="H446" s="45" t="s">
        <v>143</v>
      </c>
      <c r="I446" s="31" t="s">
        <v>68</v>
      </c>
      <c r="J446" s="32" t="s">
        <v>36</v>
      </c>
      <c r="K446" s="33" t="s">
        <v>6</v>
      </c>
      <c r="L446" s="46"/>
      <c r="M446" s="120"/>
      <c r="N446" s="120"/>
      <c r="O446" s="120"/>
      <c r="P446" s="122"/>
      <c r="Q446" s="122"/>
      <c r="R446" s="124"/>
      <c r="S446" s="124"/>
      <c r="T446" s="154"/>
      <c r="U446" s="157"/>
      <c r="V446" s="147"/>
      <c r="W446" s="150"/>
      <c r="X446" s="157"/>
      <c r="Y446" s="147"/>
      <c r="Z446" s="150"/>
      <c r="AA446" s="150"/>
      <c r="AB446" s="150"/>
      <c r="AC446" s="153"/>
      <c r="AD446" s="57">
        <f>ABS(BIN2DEC($AA442)*3-2)</f>
        <v>2</v>
      </c>
      <c r="AE446" s="57">
        <f>ABS(BIN2DEC($U442)*3-1)</f>
        <v>2</v>
      </c>
      <c r="AF446" s="57">
        <f>ABS( BIN2DEC(V442)*3-BIN2DEC(Z442))</f>
        <v>3</v>
      </c>
      <c r="AG446" s="57">
        <f>BIN2DEC(X442&amp;Y442)+BIN2DEC(W442)*3</f>
        <v>4</v>
      </c>
      <c r="AH446" s="57">
        <f t="shared" si="680"/>
        <v>58</v>
      </c>
    </row>
    <row r="447" spans="1:34" ht="15.75" customHeight="1">
      <c r="A447" s="125" t="str">
        <f>AC447</f>
        <v>vofc_dom3_quad1_quad3_sar3_slc4</v>
      </c>
      <c r="B447" s="127" t="str">
        <f>DEC2HEX(P447*4)</f>
        <v>0</v>
      </c>
      <c r="C447" s="56" t="s">
        <v>134</v>
      </c>
      <c r="D447" s="129" t="str">
        <f>bitConcat(F448:F451)</f>
        <v>32'b00000000000000000000000000000000</v>
      </c>
      <c r="E447" s="130"/>
      <c r="F447" s="130"/>
      <c r="G447" s="130"/>
      <c r="H447" s="131" t="s">
        <v>135</v>
      </c>
      <c r="I447" s="131"/>
      <c r="J447" s="131" t="str">
        <f>bitConcat(G448:G451)</f>
        <v>32'b00000000000000000000000000000000</v>
      </c>
      <c r="K447" s="131"/>
      <c r="L447" s="132"/>
      <c r="M447" s="119" t="str">
        <f>DEC2HEX(_xlfn.BITLSHIFT(HEX2DEC(Q447),2))</f>
        <v>1D4</v>
      </c>
      <c r="N447" s="119"/>
      <c r="O447" s="119">
        <v>3</v>
      </c>
      <c r="P447" s="121">
        <v>0</v>
      </c>
      <c r="Q447" s="121" t="str">
        <f>AB447</f>
        <v>75</v>
      </c>
      <c r="R447" s="123" t="str">
        <f t="shared" ref="R447" si="681">BIN2HEX(LEFT(RIGHT(D447,32),4))&amp;BIN2HEX(LEFT(RIGHT(D447,28),4))&amp;BIN2HEX(LEFT(RIGHT(D447,24),4))&amp;BIN2HEX(LEFT(RIGHT(D447,20),4))&amp;BIN2HEX(LEFT(RIGHT(D447,16),4))&amp;BIN2HEX(LEFT(RIGHT(D447,12),4))&amp;BIN2HEX(LEFT(RIGHT(D447,8),4))&amp;BIN2HEX(LEFT(RIGHT(D447,4),4))</f>
        <v>00000000</v>
      </c>
      <c r="S447" s="123" t="str">
        <f t="shared" ref="S447" si="682">BIN2HEX(LEFT(RIGHT(J447,32),4))&amp;BIN2HEX(LEFT(RIGHT(J447,28),4))&amp;BIN2HEX(LEFT(RIGHT(J447,24),4))&amp;BIN2HEX(LEFT(RIGHT(J447,20),4))&amp;BIN2HEX(LEFT(RIGHT(J447,16),4))&amp;BIN2HEX(LEFT(RIGHT(J447,12),4))&amp;BIN2HEX(LEFT(RIGHT(J447,8),4))&amp;BIN2HEX(LEFT(RIGHT(J447,4),4))</f>
        <v>00000000</v>
      </c>
      <c r="T447" s="154">
        <v>17</v>
      </c>
      <c r="U447" s="155" t="str">
        <f t="shared" ref="U447" si="683">LEFT(DEC2BIN(O447,2))</f>
        <v>1</v>
      </c>
      <c r="V447" s="145" t="str">
        <f t="shared" ref="V447" si="684">RIGHT(DEC2BIN(O447,2),1)</f>
        <v>1</v>
      </c>
      <c r="W447" s="148">
        <v>1</v>
      </c>
      <c r="X447" s="155">
        <v>0</v>
      </c>
      <c r="Y447" s="145">
        <v>1</v>
      </c>
      <c r="Z447" s="148">
        <v>0</v>
      </c>
      <c r="AA447" s="148">
        <v>1</v>
      </c>
      <c r="AB447" s="148" t="str">
        <f t="shared" ref="AB447" si="685">BIN2HEX(U447&amp;V447&amp;W447&amp;X447&amp;Y447&amp;Z447&amp;AA447)</f>
        <v>75</v>
      </c>
      <c r="AC447" s="151" t="str">
        <f>CONCATENATE("vofc_dom",BIN2DEC(U447&amp;V447),"_quad",BIN2DEC(AA447),"_quad",BIN2DEC(AA447)+2,"_sar",ABS( BIN2DEC(V447)*3-BIN2DEC(Z447)),"_slc",BIN2DEC(X447&amp;Y447)+BIN2DEC(W447)*3)</f>
        <v>vofc_dom3_quad1_quad3_sar3_slc4</v>
      </c>
      <c r="AD447" s="57"/>
      <c r="AE447" s="57"/>
      <c r="AF447" s="57"/>
      <c r="AG447" s="57"/>
      <c r="AH447" s="57"/>
    </row>
    <row r="448" spans="1:34" ht="15" customHeight="1">
      <c r="A448" s="126"/>
      <c r="B448" s="128"/>
      <c r="C448" s="43" t="str">
        <f>CONCATENATE("sar",AD448+AE448*4+AF448*16,"_slc",AG448)</f>
        <v>sar63_slc4</v>
      </c>
      <c r="D448" s="44">
        <v>8</v>
      </c>
      <c r="E448" s="29" t="str">
        <f>IF(D448&gt;1,(31)&amp;":"&amp;(31-D448+1),(31-D448+1)&amp;":"&amp;(31-D448+1))</f>
        <v>31:24</v>
      </c>
      <c r="F448" s="30" t="s">
        <v>133</v>
      </c>
      <c r="G448" s="30" t="s">
        <v>133</v>
      </c>
      <c r="H448" s="45" t="s">
        <v>143</v>
      </c>
      <c r="I448" s="31" t="s">
        <v>68</v>
      </c>
      <c r="J448" s="32" t="s">
        <v>36</v>
      </c>
      <c r="K448" s="33" t="s">
        <v>6</v>
      </c>
      <c r="L448" s="46"/>
      <c r="M448" s="120"/>
      <c r="N448" s="120"/>
      <c r="O448" s="120"/>
      <c r="P448" s="122"/>
      <c r="Q448" s="122"/>
      <c r="R448" s="124"/>
      <c r="S448" s="124"/>
      <c r="T448" s="154"/>
      <c r="U448" s="156"/>
      <c r="V448" s="146"/>
      <c r="W448" s="149"/>
      <c r="X448" s="156"/>
      <c r="Y448" s="146"/>
      <c r="Z448" s="149"/>
      <c r="AA448" s="149"/>
      <c r="AB448" s="149"/>
      <c r="AC448" s="152"/>
      <c r="AD448" s="57">
        <f>BIN2DEC($AA447)*3</f>
        <v>3</v>
      </c>
      <c r="AE448" s="57">
        <f>ABS(BIN2DEC($U447)*3)</f>
        <v>3</v>
      </c>
      <c r="AF448" s="57">
        <f>ABS( BIN2DEC(V447)*3-BIN2DEC(Z447))</f>
        <v>3</v>
      </c>
      <c r="AG448" s="57">
        <f>BIN2DEC(X447&amp;Y447)+BIN2DEC(W447)*3</f>
        <v>4</v>
      </c>
      <c r="AH448" s="57">
        <f>AD448+AE448*4+AF448*16</f>
        <v>63</v>
      </c>
    </row>
    <row r="449" spans="1:34" ht="15" customHeight="1">
      <c r="A449" s="126"/>
      <c r="B449" s="128"/>
      <c r="C449" s="43" t="str">
        <f t="shared" ref="C449:C451" si="686">CONCATENATE("sar",AD449+AE449*4+AF449*16,"_slc",AG449)</f>
        <v>sar59_slc4</v>
      </c>
      <c r="D449" s="44">
        <v>8</v>
      </c>
      <c r="E449" s="30" t="str">
        <f t="shared" ref="E449:E451" si="687">(MID(str_cnvt(E448),SEARCH(":",str_cnvt(E448))+1,2)-1) &amp; ":" &amp; (MID(str_cnvt(E448),SEARCH(":",str_cnvt(E448))+1,2)-D449)</f>
        <v>23:16</v>
      </c>
      <c r="F449" s="30" t="s">
        <v>133</v>
      </c>
      <c r="G449" s="30" t="s">
        <v>133</v>
      </c>
      <c r="H449" s="45" t="s">
        <v>143</v>
      </c>
      <c r="I449" s="31" t="s">
        <v>68</v>
      </c>
      <c r="J449" s="32" t="s">
        <v>36</v>
      </c>
      <c r="K449" s="33" t="s">
        <v>6</v>
      </c>
      <c r="L449" s="46"/>
      <c r="M449" s="120"/>
      <c r="N449" s="120"/>
      <c r="O449" s="120"/>
      <c r="P449" s="122"/>
      <c r="Q449" s="122"/>
      <c r="R449" s="124"/>
      <c r="S449" s="124"/>
      <c r="T449" s="154"/>
      <c r="U449" s="156"/>
      <c r="V449" s="146"/>
      <c r="W449" s="149"/>
      <c r="X449" s="156"/>
      <c r="Y449" s="146"/>
      <c r="Z449" s="149"/>
      <c r="AA449" s="149"/>
      <c r="AB449" s="149"/>
      <c r="AC449" s="152"/>
      <c r="AD449" s="57">
        <f>BIN2DEC($AA447)*3</f>
        <v>3</v>
      </c>
      <c r="AE449" s="57">
        <f>ABS(BIN2DEC($U447)*3-1)</f>
        <v>2</v>
      </c>
      <c r="AF449" s="57">
        <f>ABS( BIN2DEC(V447)*3-BIN2DEC(Z447))</f>
        <v>3</v>
      </c>
      <c r="AG449" s="57">
        <f>BIN2DEC(X447&amp;Y447)+BIN2DEC(W447)*3</f>
        <v>4</v>
      </c>
      <c r="AH449" s="57">
        <f t="shared" ref="AH449:AH451" si="688">AD449+AE449*4+AF449*16</f>
        <v>59</v>
      </c>
    </row>
    <row r="450" spans="1:34" ht="15" customHeight="1">
      <c r="A450" s="126"/>
      <c r="B450" s="128"/>
      <c r="C450" s="43" t="str">
        <f t="shared" si="686"/>
        <v>sar61_slc4</v>
      </c>
      <c r="D450" s="44">
        <v>8</v>
      </c>
      <c r="E450" s="30" t="str">
        <f t="shared" si="687"/>
        <v>15:8</v>
      </c>
      <c r="F450" s="30" t="s">
        <v>133</v>
      </c>
      <c r="G450" s="30" t="s">
        <v>133</v>
      </c>
      <c r="H450" s="45" t="s">
        <v>143</v>
      </c>
      <c r="I450" s="31" t="s">
        <v>68</v>
      </c>
      <c r="J450" s="32" t="s">
        <v>36</v>
      </c>
      <c r="K450" s="33" t="s">
        <v>6</v>
      </c>
      <c r="L450" s="46"/>
      <c r="M450" s="120"/>
      <c r="N450" s="120"/>
      <c r="O450" s="120"/>
      <c r="P450" s="122"/>
      <c r="Q450" s="122"/>
      <c r="R450" s="124"/>
      <c r="S450" s="124"/>
      <c r="T450" s="154"/>
      <c r="U450" s="156"/>
      <c r="V450" s="146"/>
      <c r="W450" s="149"/>
      <c r="X450" s="156"/>
      <c r="Y450" s="146"/>
      <c r="Z450" s="149"/>
      <c r="AA450" s="149"/>
      <c r="AB450" s="149"/>
      <c r="AC450" s="152"/>
      <c r="AD450" s="57">
        <f>ABS(BIN2DEC($AA447)*3-2)</f>
        <v>1</v>
      </c>
      <c r="AE450" s="57">
        <f>ABS(BIN2DEC($U447)*3)</f>
        <v>3</v>
      </c>
      <c r="AF450" s="57">
        <f>ABS( BIN2DEC(V447)*3-BIN2DEC(Z447))</f>
        <v>3</v>
      </c>
      <c r="AG450" s="57">
        <f>BIN2DEC(X447&amp;Y447)+BIN2DEC(W447)*3</f>
        <v>4</v>
      </c>
      <c r="AH450" s="57">
        <f t="shared" si="688"/>
        <v>61</v>
      </c>
    </row>
    <row r="451" spans="1:34" ht="15.75" customHeight="1" thickBot="1">
      <c r="A451" s="126"/>
      <c r="B451" s="128"/>
      <c r="C451" s="43" t="str">
        <f t="shared" si="686"/>
        <v>sar57_slc4</v>
      </c>
      <c r="D451" s="44">
        <v>8</v>
      </c>
      <c r="E451" s="30" t="str">
        <f t="shared" si="687"/>
        <v>7:0</v>
      </c>
      <c r="F451" s="30" t="s">
        <v>133</v>
      </c>
      <c r="G451" s="30" t="s">
        <v>133</v>
      </c>
      <c r="H451" s="45" t="s">
        <v>143</v>
      </c>
      <c r="I451" s="31" t="s">
        <v>68</v>
      </c>
      <c r="J451" s="32" t="s">
        <v>36</v>
      </c>
      <c r="K451" s="33" t="s">
        <v>6</v>
      </c>
      <c r="L451" s="46"/>
      <c r="M451" s="120"/>
      <c r="N451" s="120"/>
      <c r="O451" s="120"/>
      <c r="P451" s="122"/>
      <c r="Q451" s="122"/>
      <c r="R451" s="124"/>
      <c r="S451" s="124"/>
      <c r="T451" s="154"/>
      <c r="U451" s="157"/>
      <c r="V451" s="147"/>
      <c r="W451" s="150"/>
      <c r="X451" s="157"/>
      <c r="Y451" s="147"/>
      <c r="Z451" s="150"/>
      <c r="AA451" s="150"/>
      <c r="AB451" s="150"/>
      <c r="AC451" s="153"/>
      <c r="AD451" s="57">
        <f>ABS(BIN2DEC($AA447)*3-2)</f>
        <v>1</v>
      </c>
      <c r="AE451" s="57">
        <f>ABS(BIN2DEC($U447)*3-1)</f>
        <v>2</v>
      </c>
      <c r="AF451" s="57">
        <f>ABS( BIN2DEC(V447)*3-BIN2DEC(Z447))</f>
        <v>3</v>
      </c>
      <c r="AG451" s="57">
        <f>BIN2DEC(X447&amp;Y447)+BIN2DEC(W447)*3</f>
        <v>4</v>
      </c>
      <c r="AH451" s="57">
        <f t="shared" si="688"/>
        <v>57</v>
      </c>
    </row>
    <row r="452" spans="1:34" ht="15.75" customHeight="1">
      <c r="A452" s="125" t="str">
        <f>AC452</f>
        <v>vofc_dom3_quad0_quad2_sar2_slc4</v>
      </c>
      <c r="B452" s="127" t="str">
        <f>DEC2HEX(P452*4)</f>
        <v>0</v>
      </c>
      <c r="C452" s="56" t="s">
        <v>134</v>
      </c>
      <c r="D452" s="129" t="str">
        <f>bitConcat(F453:F456)</f>
        <v>32'b00000000000000000000000000000000</v>
      </c>
      <c r="E452" s="130"/>
      <c r="F452" s="130"/>
      <c r="G452" s="130"/>
      <c r="H452" s="131" t="s">
        <v>135</v>
      </c>
      <c r="I452" s="131"/>
      <c r="J452" s="131" t="str">
        <f>bitConcat(G453:G456)</f>
        <v>32'b00000000000000000000000000000000</v>
      </c>
      <c r="K452" s="131"/>
      <c r="L452" s="132"/>
      <c r="M452" s="119" t="str">
        <f>DEC2HEX(_xlfn.BITLSHIFT(HEX2DEC(Q452),2))</f>
        <v>1D8</v>
      </c>
      <c r="N452" s="119"/>
      <c r="O452" s="119">
        <v>3</v>
      </c>
      <c r="P452" s="121">
        <v>0</v>
      </c>
      <c r="Q452" s="121" t="str">
        <f>AB452</f>
        <v>76</v>
      </c>
      <c r="R452" s="123" t="str">
        <f t="shared" ref="R452" si="689">BIN2HEX(LEFT(RIGHT(D452,32),4))&amp;BIN2HEX(LEFT(RIGHT(D452,28),4))&amp;BIN2HEX(LEFT(RIGHT(D452,24),4))&amp;BIN2HEX(LEFT(RIGHT(D452,20),4))&amp;BIN2HEX(LEFT(RIGHT(D452,16),4))&amp;BIN2HEX(LEFT(RIGHT(D452,12),4))&amp;BIN2HEX(LEFT(RIGHT(D452,8),4))&amp;BIN2HEX(LEFT(RIGHT(D452,4),4))</f>
        <v>00000000</v>
      </c>
      <c r="S452" s="123" t="str">
        <f t="shared" ref="S452" si="690">BIN2HEX(LEFT(RIGHT(J452,32),4))&amp;BIN2HEX(LEFT(RIGHT(J452,28),4))&amp;BIN2HEX(LEFT(RIGHT(J452,24),4))&amp;BIN2HEX(LEFT(RIGHT(J452,20),4))&amp;BIN2HEX(LEFT(RIGHT(J452,16),4))&amp;BIN2HEX(LEFT(RIGHT(J452,12),4))&amp;BIN2HEX(LEFT(RIGHT(J452,8),4))&amp;BIN2HEX(LEFT(RIGHT(J452,4),4))</f>
        <v>00000000</v>
      </c>
      <c r="T452" s="154">
        <v>18</v>
      </c>
      <c r="U452" s="155" t="str">
        <f t="shared" ref="U452" si="691">LEFT(DEC2BIN(O452,2))</f>
        <v>1</v>
      </c>
      <c r="V452" s="145" t="str">
        <f t="shared" ref="V452" si="692">RIGHT(DEC2BIN(O452,2),1)</f>
        <v>1</v>
      </c>
      <c r="W452" s="148">
        <v>1</v>
      </c>
      <c r="X452" s="155">
        <v>0</v>
      </c>
      <c r="Y452" s="145">
        <v>1</v>
      </c>
      <c r="Z452" s="148">
        <v>1</v>
      </c>
      <c r="AA452" s="148">
        <v>0</v>
      </c>
      <c r="AB452" s="148" t="str">
        <f t="shared" ref="AB452" si="693">BIN2HEX(U452&amp;V452&amp;W452&amp;X452&amp;Y452&amp;Z452&amp;AA452)</f>
        <v>76</v>
      </c>
      <c r="AC452" s="151" t="str">
        <f>CONCATENATE("vofc_dom",BIN2DEC(U452&amp;V452),"_quad",BIN2DEC(AA452),"_quad",BIN2DEC(AA452)+2,"_sar",ABS( BIN2DEC(V452)*3-BIN2DEC(Z452)),"_slc",BIN2DEC(X452&amp;Y452)+BIN2DEC(W452)*3)</f>
        <v>vofc_dom3_quad0_quad2_sar2_slc4</v>
      </c>
      <c r="AD452" s="57"/>
      <c r="AE452" s="57"/>
      <c r="AF452" s="57"/>
      <c r="AG452" s="57"/>
      <c r="AH452" s="57"/>
    </row>
    <row r="453" spans="1:34" ht="15" customHeight="1">
      <c r="A453" s="126"/>
      <c r="B453" s="128"/>
      <c r="C453" s="43" t="str">
        <f>CONCATENATE("sar",AD453+AE453*4+AF453*16,"_slc",AG453)</f>
        <v>sar44_slc4</v>
      </c>
      <c r="D453" s="44">
        <v>8</v>
      </c>
      <c r="E453" s="29" t="str">
        <f>IF(D453&gt;1,(31)&amp;":"&amp;(31-D453+1),(31-D453+1)&amp;":"&amp;(31-D453+1))</f>
        <v>31:24</v>
      </c>
      <c r="F453" s="30" t="s">
        <v>133</v>
      </c>
      <c r="G453" s="30" t="s">
        <v>133</v>
      </c>
      <c r="H453" s="45" t="s">
        <v>143</v>
      </c>
      <c r="I453" s="31" t="s">
        <v>68</v>
      </c>
      <c r="J453" s="32" t="s">
        <v>36</v>
      </c>
      <c r="K453" s="33" t="s">
        <v>6</v>
      </c>
      <c r="L453" s="46"/>
      <c r="M453" s="120"/>
      <c r="N453" s="120"/>
      <c r="O453" s="120"/>
      <c r="P453" s="122"/>
      <c r="Q453" s="122"/>
      <c r="R453" s="124"/>
      <c r="S453" s="124"/>
      <c r="T453" s="154"/>
      <c r="U453" s="156"/>
      <c r="V453" s="146"/>
      <c r="W453" s="149"/>
      <c r="X453" s="156"/>
      <c r="Y453" s="146"/>
      <c r="Z453" s="149"/>
      <c r="AA453" s="149"/>
      <c r="AB453" s="149"/>
      <c r="AC453" s="152"/>
      <c r="AD453" s="57">
        <f>BIN2DEC($AA452)*3</f>
        <v>0</v>
      </c>
      <c r="AE453" s="57">
        <f>ABS(BIN2DEC($U452)*3)</f>
        <v>3</v>
      </c>
      <c r="AF453" s="57">
        <f>ABS( BIN2DEC(V452)*3-BIN2DEC(Z452))</f>
        <v>2</v>
      </c>
      <c r="AG453" s="57">
        <f>BIN2DEC(X452&amp;Y452)+BIN2DEC(W452)*3</f>
        <v>4</v>
      </c>
      <c r="AH453" s="57">
        <f>AD453+AE453*4+AF453*16</f>
        <v>44</v>
      </c>
    </row>
    <row r="454" spans="1:34" ht="15" customHeight="1">
      <c r="A454" s="126"/>
      <c r="B454" s="128"/>
      <c r="C454" s="43" t="str">
        <f t="shared" ref="C454:C456" si="694">CONCATENATE("sar",AD454+AE454*4+AF454*16,"_slc",AG454)</f>
        <v>sar40_slc4</v>
      </c>
      <c r="D454" s="44">
        <v>8</v>
      </c>
      <c r="E454" s="30" t="str">
        <f t="shared" ref="E454:E456" si="695">(MID(str_cnvt(E453),SEARCH(":",str_cnvt(E453))+1,2)-1) &amp; ":" &amp; (MID(str_cnvt(E453),SEARCH(":",str_cnvt(E453))+1,2)-D454)</f>
        <v>23:16</v>
      </c>
      <c r="F454" s="30" t="s">
        <v>133</v>
      </c>
      <c r="G454" s="30" t="s">
        <v>133</v>
      </c>
      <c r="H454" s="45" t="s">
        <v>143</v>
      </c>
      <c r="I454" s="31" t="s">
        <v>68</v>
      </c>
      <c r="J454" s="32" t="s">
        <v>36</v>
      </c>
      <c r="K454" s="33" t="s">
        <v>6</v>
      </c>
      <c r="L454" s="46"/>
      <c r="M454" s="120"/>
      <c r="N454" s="120"/>
      <c r="O454" s="120"/>
      <c r="P454" s="122"/>
      <c r="Q454" s="122"/>
      <c r="R454" s="124"/>
      <c r="S454" s="124"/>
      <c r="T454" s="154"/>
      <c r="U454" s="156"/>
      <c r="V454" s="146"/>
      <c r="W454" s="149"/>
      <c r="X454" s="156"/>
      <c r="Y454" s="146"/>
      <c r="Z454" s="149"/>
      <c r="AA454" s="149"/>
      <c r="AB454" s="149"/>
      <c r="AC454" s="152"/>
      <c r="AD454" s="57">
        <f>BIN2DEC($AA452)*3</f>
        <v>0</v>
      </c>
      <c r="AE454" s="57">
        <f>ABS(BIN2DEC($U452)*3-1)</f>
        <v>2</v>
      </c>
      <c r="AF454" s="57">
        <f>ABS( BIN2DEC(V452)*3-BIN2DEC(Z452))</f>
        <v>2</v>
      </c>
      <c r="AG454" s="57">
        <f>BIN2DEC(X452&amp;Y452)+BIN2DEC(W452)*3</f>
        <v>4</v>
      </c>
      <c r="AH454" s="57">
        <f t="shared" ref="AH454:AH456" si="696">AD454+AE454*4+AF454*16</f>
        <v>40</v>
      </c>
    </row>
    <row r="455" spans="1:34" ht="15" customHeight="1">
      <c r="A455" s="126"/>
      <c r="B455" s="128"/>
      <c r="C455" s="43" t="str">
        <f t="shared" si="694"/>
        <v>sar46_slc4</v>
      </c>
      <c r="D455" s="44">
        <v>8</v>
      </c>
      <c r="E455" s="30" t="str">
        <f t="shared" si="695"/>
        <v>15:8</v>
      </c>
      <c r="F455" s="30" t="s">
        <v>133</v>
      </c>
      <c r="G455" s="30" t="s">
        <v>133</v>
      </c>
      <c r="H455" s="45" t="s">
        <v>143</v>
      </c>
      <c r="I455" s="31" t="s">
        <v>68</v>
      </c>
      <c r="J455" s="32" t="s">
        <v>36</v>
      </c>
      <c r="K455" s="33" t="s">
        <v>6</v>
      </c>
      <c r="L455" s="46"/>
      <c r="M455" s="120"/>
      <c r="N455" s="120"/>
      <c r="O455" s="120"/>
      <c r="P455" s="122"/>
      <c r="Q455" s="122"/>
      <c r="R455" s="124"/>
      <c r="S455" s="124"/>
      <c r="T455" s="154"/>
      <c r="U455" s="156"/>
      <c r="V455" s="146"/>
      <c r="W455" s="149"/>
      <c r="X455" s="156"/>
      <c r="Y455" s="146"/>
      <c r="Z455" s="149"/>
      <c r="AA455" s="149"/>
      <c r="AB455" s="149"/>
      <c r="AC455" s="152"/>
      <c r="AD455" s="57">
        <f>ABS(BIN2DEC($AA452)*3-2)</f>
        <v>2</v>
      </c>
      <c r="AE455" s="57">
        <f>ABS(BIN2DEC($U452)*3)</f>
        <v>3</v>
      </c>
      <c r="AF455" s="57">
        <f>ABS( BIN2DEC(V452)*3-BIN2DEC(Z452))</f>
        <v>2</v>
      </c>
      <c r="AG455" s="57">
        <f>BIN2DEC(X452&amp;Y452)+BIN2DEC(W452)*3</f>
        <v>4</v>
      </c>
      <c r="AH455" s="57">
        <f t="shared" si="696"/>
        <v>46</v>
      </c>
    </row>
    <row r="456" spans="1:34" ht="15.75" customHeight="1" thickBot="1">
      <c r="A456" s="126"/>
      <c r="B456" s="128"/>
      <c r="C456" s="43" t="str">
        <f t="shared" si="694"/>
        <v>sar42_slc4</v>
      </c>
      <c r="D456" s="44">
        <v>8</v>
      </c>
      <c r="E456" s="30" t="str">
        <f t="shared" si="695"/>
        <v>7:0</v>
      </c>
      <c r="F456" s="30" t="s">
        <v>133</v>
      </c>
      <c r="G456" s="30" t="s">
        <v>133</v>
      </c>
      <c r="H456" s="45" t="s">
        <v>143</v>
      </c>
      <c r="I456" s="31" t="s">
        <v>68</v>
      </c>
      <c r="J456" s="32" t="s">
        <v>36</v>
      </c>
      <c r="K456" s="33" t="s">
        <v>6</v>
      </c>
      <c r="L456" s="46"/>
      <c r="M456" s="120"/>
      <c r="N456" s="120"/>
      <c r="O456" s="120"/>
      <c r="P456" s="122"/>
      <c r="Q456" s="122"/>
      <c r="R456" s="124"/>
      <c r="S456" s="124"/>
      <c r="T456" s="154"/>
      <c r="U456" s="157"/>
      <c r="V456" s="147"/>
      <c r="W456" s="150"/>
      <c r="X456" s="157"/>
      <c r="Y456" s="147"/>
      <c r="Z456" s="150"/>
      <c r="AA456" s="150"/>
      <c r="AB456" s="150"/>
      <c r="AC456" s="153"/>
      <c r="AD456" s="57">
        <f>ABS(BIN2DEC($AA452)*3-2)</f>
        <v>2</v>
      </c>
      <c r="AE456" s="57">
        <f>ABS(BIN2DEC($U452)*3-1)</f>
        <v>2</v>
      </c>
      <c r="AF456" s="57">
        <f>ABS( BIN2DEC(V452)*3-BIN2DEC(Z452))</f>
        <v>2</v>
      </c>
      <c r="AG456" s="57">
        <f>BIN2DEC(X452&amp;Y452)+BIN2DEC(W452)*3</f>
        <v>4</v>
      </c>
      <c r="AH456" s="57">
        <f t="shared" si="696"/>
        <v>42</v>
      </c>
    </row>
    <row r="457" spans="1:34" ht="15.75" customHeight="1">
      <c r="A457" s="125" t="str">
        <f>AC457</f>
        <v>vofc_dom3_quad1_quad3_sar2_slc4</v>
      </c>
      <c r="B457" s="127" t="str">
        <f>DEC2HEX(P457*4)</f>
        <v>0</v>
      </c>
      <c r="C457" s="56" t="s">
        <v>134</v>
      </c>
      <c r="D457" s="129" t="str">
        <f>bitConcat(F458:F461)</f>
        <v>32'b00000000000000000000000000000000</v>
      </c>
      <c r="E457" s="130"/>
      <c r="F457" s="130"/>
      <c r="G457" s="130"/>
      <c r="H457" s="131" t="s">
        <v>135</v>
      </c>
      <c r="I457" s="131"/>
      <c r="J457" s="131" t="str">
        <f>bitConcat(G458:G461)</f>
        <v>32'b00000000000000000000000000000000</v>
      </c>
      <c r="K457" s="131"/>
      <c r="L457" s="132"/>
      <c r="M457" s="119" t="str">
        <f>DEC2HEX(_xlfn.BITLSHIFT(HEX2DEC(Q457),2))</f>
        <v>1DC</v>
      </c>
      <c r="N457" s="119"/>
      <c r="O457" s="119">
        <v>3</v>
      </c>
      <c r="P457" s="121">
        <v>0</v>
      </c>
      <c r="Q457" s="121" t="str">
        <f>AB457</f>
        <v>77</v>
      </c>
      <c r="R457" s="123" t="str">
        <f t="shared" ref="R457" si="697">BIN2HEX(LEFT(RIGHT(D457,32),4))&amp;BIN2HEX(LEFT(RIGHT(D457,28),4))&amp;BIN2HEX(LEFT(RIGHT(D457,24),4))&amp;BIN2HEX(LEFT(RIGHT(D457,20),4))&amp;BIN2HEX(LEFT(RIGHT(D457,16),4))&amp;BIN2HEX(LEFT(RIGHT(D457,12),4))&amp;BIN2HEX(LEFT(RIGHT(D457,8),4))&amp;BIN2HEX(LEFT(RIGHT(D457,4),4))</f>
        <v>00000000</v>
      </c>
      <c r="S457" s="123" t="str">
        <f t="shared" ref="S457" si="698">BIN2HEX(LEFT(RIGHT(J457,32),4))&amp;BIN2HEX(LEFT(RIGHT(J457,28),4))&amp;BIN2HEX(LEFT(RIGHT(J457,24),4))&amp;BIN2HEX(LEFT(RIGHT(J457,20),4))&amp;BIN2HEX(LEFT(RIGHT(J457,16),4))&amp;BIN2HEX(LEFT(RIGHT(J457,12),4))&amp;BIN2HEX(LEFT(RIGHT(J457,8),4))&amp;BIN2HEX(LEFT(RIGHT(J457,4),4))</f>
        <v>00000000</v>
      </c>
      <c r="T457" s="154">
        <v>19</v>
      </c>
      <c r="U457" s="155" t="str">
        <f t="shared" ref="U457" si="699">LEFT(DEC2BIN(O457,2))</f>
        <v>1</v>
      </c>
      <c r="V457" s="145" t="str">
        <f t="shared" ref="V457" si="700">RIGHT(DEC2BIN(O457,2),1)</f>
        <v>1</v>
      </c>
      <c r="W457" s="148">
        <v>1</v>
      </c>
      <c r="X457" s="155">
        <v>0</v>
      </c>
      <c r="Y457" s="145">
        <v>1</v>
      </c>
      <c r="Z457" s="148">
        <v>1</v>
      </c>
      <c r="AA457" s="148">
        <v>1</v>
      </c>
      <c r="AB457" s="148" t="str">
        <f t="shared" ref="AB457" si="701">BIN2HEX(U457&amp;V457&amp;W457&amp;X457&amp;Y457&amp;Z457&amp;AA457)</f>
        <v>77</v>
      </c>
      <c r="AC457" s="151" t="str">
        <f>CONCATENATE("vofc_dom",BIN2DEC(U457&amp;V457),"_quad",BIN2DEC(AA457),"_quad",BIN2DEC(AA457)+2,"_sar",ABS( BIN2DEC(V457)*3-BIN2DEC(Z457)),"_slc",BIN2DEC(X457&amp;Y457)+BIN2DEC(W457)*3)</f>
        <v>vofc_dom3_quad1_quad3_sar2_slc4</v>
      </c>
      <c r="AD457" s="57"/>
      <c r="AE457" s="57"/>
      <c r="AF457" s="57"/>
      <c r="AG457" s="57"/>
      <c r="AH457" s="57"/>
    </row>
    <row r="458" spans="1:34" ht="15" customHeight="1">
      <c r="A458" s="126"/>
      <c r="B458" s="128"/>
      <c r="C458" s="43" t="str">
        <f>CONCATENATE("sar",AD458+AE458*4+AF458*16,"_slc",AG458)</f>
        <v>sar47_slc4</v>
      </c>
      <c r="D458" s="44">
        <v>8</v>
      </c>
      <c r="E458" s="29" t="str">
        <f>IF(D458&gt;1,(31)&amp;":"&amp;(31-D458+1),(31-D458+1)&amp;":"&amp;(31-D458+1))</f>
        <v>31:24</v>
      </c>
      <c r="F458" s="30" t="s">
        <v>133</v>
      </c>
      <c r="G458" s="30" t="s">
        <v>133</v>
      </c>
      <c r="H458" s="45" t="s">
        <v>143</v>
      </c>
      <c r="I458" s="31" t="s">
        <v>68</v>
      </c>
      <c r="J458" s="32" t="s">
        <v>36</v>
      </c>
      <c r="K458" s="33" t="s">
        <v>6</v>
      </c>
      <c r="L458" s="46"/>
      <c r="M458" s="120"/>
      <c r="N458" s="120"/>
      <c r="O458" s="120"/>
      <c r="P458" s="122"/>
      <c r="Q458" s="122"/>
      <c r="R458" s="124"/>
      <c r="S458" s="124"/>
      <c r="T458" s="154"/>
      <c r="U458" s="156"/>
      <c r="V458" s="146"/>
      <c r="W458" s="149"/>
      <c r="X458" s="156"/>
      <c r="Y458" s="146"/>
      <c r="Z458" s="149"/>
      <c r="AA458" s="149"/>
      <c r="AB458" s="149"/>
      <c r="AC458" s="152"/>
      <c r="AD458" s="57">
        <f>BIN2DEC($AA457)*3</f>
        <v>3</v>
      </c>
      <c r="AE458" s="57">
        <f>ABS(BIN2DEC($U457)*3)</f>
        <v>3</v>
      </c>
      <c r="AF458" s="57">
        <f>ABS( BIN2DEC(V457)*3-BIN2DEC(Z457))</f>
        <v>2</v>
      </c>
      <c r="AG458" s="57">
        <f>BIN2DEC(X457&amp;Y457)+BIN2DEC(W457)*3</f>
        <v>4</v>
      </c>
      <c r="AH458" s="57">
        <f>AD458+AE458*4+AF458*16</f>
        <v>47</v>
      </c>
    </row>
    <row r="459" spans="1:34" ht="15" customHeight="1">
      <c r="A459" s="126"/>
      <c r="B459" s="128"/>
      <c r="C459" s="43" t="str">
        <f t="shared" ref="C459:C461" si="702">CONCATENATE("sar",AD459+AE459*4+AF459*16,"_slc",AG459)</f>
        <v>sar43_slc4</v>
      </c>
      <c r="D459" s="44">
        <v>8</v>
      </c>
      <c r="E459" s="30" t="str">
        <f t="shared" ref="E459:E461" si="703">(MID(str_cnvt(E458),SEARCH(":",str_cnvt(E458))+1,2)-1) &amp; ":" &amp; (MID(str_cnvt(E458),SEARCH(":",str_cnvt(E458))+1,2)-D459)</f>
        <v>23:16</v>
      </c>
      <c r="F459" s="30" t="s">
        <v>133</v>
      </c>
      <c r="G459" s="30" t="s">
        <v>133</v>
      </c>
      <c r="H459" s="45" t="s">
        <v>143</v>
      </c>
      <c r="I459" s="31" t="s">
        <v>68</v>
      </c>
      <c r="J459" s="32" t="s">
        <v>36</v>
      </c>
      <c r="K459" s="33" t="s">
        <v>6</v>
      </c>
      <c r="L459" s="46"/>
      <c r="M459" s="120"/>
      <c r="N459" s="120"/>
      <c r="O459" s="120"/>
      <c r="P459" s="122"/>
      <c r="Q459" s="122"/>
      <c r="R459" s="124"/>
      <c r="S459" s="124"/>
      <c r="T459" s="154"/>
      <c r="U459" s="156"/>
      <c r="V459" s="146"/>
      <c r="W459" s="149"/>
      <c r="X459" s="156"/>
      <c r="Y459" s="146"/>
      <c r="Z459" s="149"/>
      <c r="AA459" s="149"/>
      <c r="AB459" s="149"/>
      <c r="AC459" s="152"/>
      <c r="AD459" s="57">
        <f>BIN2DEC($AA457)*3</f>
        <v>3</v>
      </c>
      <c r="AE459" s="57">
        <f>ABS(BIN2DEC($U457)*3-1)</f>
        <v>2</v>
      </c>
      <c r="AF459" s="57">
        <f>ABS( BIN2DEC(V457)*3-BIN2DEC(Z457))</f>
        <v>2</v>
      </c>
      <c r="AG459" s="57">
        <f>BIN2DEC(X457&amp;Y457)+BIN2DEC(W457)*3</f>
        <v>4</v>
      </c>
      <c r="AH459" s="57">
        <f t="shared" ref="AH459:AH461" si="704">AD459+AE459*4+AF459*16</f>
        <v>43</v>
      </c>
    </row>
    <row r="460" spans="1:34" ht="15" customHeight="1">
      <c r="A460" s="126"/>
      <c r="B460" s="128"/>
      <c r="C460" s="43" t="str">
        <f t="shared" si="702"/>
        <v>sar45_slc4</v>
      </c>
      <c r="D460" s="44">
        <v>8</v>
      </c>
      <c r="E460" s="30" t="str">
        <f t="shared" si="703"/>
        <v>15:8</v>
      </c>
      <c r="F460" s="30" t="s">
        <v>133</v>
      </c>
      <c r="G460" s="30" t="s">
        <v>133</v>
      </c>
      <c r="H460" s="45" t="s">
        <v>143</v>
      </c>
      <c r="I460" s="31" t="s">
        <v>68</v>
      </c>
      <c r="J460" s="32" t="s">
        <v>36</v>
      </c>
      <c r="K460" s="33" t="s">
        <v>6</v>
      </c>
      <c r="L460" s="46"/>
      <c r="M460" s="120"/>
      <c r="N460" s="120"/>
      <c r="O460" s="120"/>
      <c r="P460" s="122"/>
      <c r="Q460" s="122"/>
      <c r="R460" s="124"/>
      <c r="S460" s="124"/>
      <c r="T460" s="154"/>
      <c r="U460" s="156"/>
      <c r="V460" s="146"/>
      <c r="W460" s="149"/>
      <c r="X460" s="156"/>
      <c r="Y460" s="146"/>
      <c r="Z460" s="149"/>
      <c r="AA460" s="149"/>
      <c r="AB460" s="149"/>
      <c r="AC460" s="152"/>
      <c r="AD460" s="57">
        <f>ABS(BIN2DEC($AA457)*3-2)</f>
        <v>1</v>
      </c>
      <c r="AE460" s="57">
        <f>ABS(BIN2DEC($U457)*3)</f>
        <v>3</v>
      </c>
      <c r="AF460" s="57">
        <f>ABS( BIN2DEC(V457)*3-BIN2DEC(Z457))</f>
        <v>2</v>
      </c>
      <c r="AG460" s="57">
        <f>BIN2DEC(X457&amp;Y457)+BIN2DEC(W457)*3</f>
        <v>4</v>
      </c>
      <c r="AH460" s="57">
        <f t="shared" si="704"/>
        <v>45</v>
      </c>
    </row>
    <row r="461" spans="1:34" ht="15.75" customHeight="1" thickBot="1">
      <c r="A461" s="126"/>
      <c r="B461" s="128"/>
      <c r="C461" s="43" t="str">
        <f t="shared" si="702"/>
        <v>sar41_slc4</v>
      </c>
      <c r="D461" s="44">
        <v>8</v>
      </c>
      <c r="E461" s="30" t="str">
        <f t="shared" si="703"/>
        <v>7:0</v>
      </c>
      <c r="F461" s="30" t="s">
        <v>133</v>
      </c>
      <c r="G461" s="30" t="s">
        <v>133</v>
      </c>
      <c r="H461" s="45" t="s">
        <v>143</v>
      </c>
      <c r="I461" s="31" t="s">
        <v>68</v>
      </c>
      <c r="J461" s="32" t="s">
        <v>36</v>
      </c>
      <c r="K461" s="33" t="s">
        <v>6</v>
      </c>
      <c r="L461" s="46"/>
      <c r="M461" s="120"/>
      <c r="N461" s="120"/>
      <c r="O461" s="120"/>
      <c r="P461" s="122"/>
      <c r="Q461" s="122"/>
      <c r="R461" s="124"/>
      <c r="S461" s="124"/>
      <c r="T461" s="154"/>
      <c r="U461" s="157"/>
      <c r="V461" s="147"/>
      <c r="W461" s="150"/>
      <c r="X461" s="157"/>
      <c r="Y461" s="147"/>
      <c r="Z461" s="150"/>
      <c r="AA461" s="150"/>
      <c r="AB461" s="150"/>
      <c r="AC461" s="153"/>
      <c r="AD461" s="57">
        <f>ABS(BIN2DEC($AA457)*3-2)</f>
        <v>1</v>
      </c>
      <c r="AE461" s="57">
        <f>ABS(BIN2DEC($U457)*3-1)</f>
        <v>2</v>
      </c>
      <c r="AF461" s="57">
        <f>ABS( BIN2DEC(V457)*3-BIN2DEC(Z457))</f>
        <v>2</v>
      </c>
      <c r="AG461" s="57">
        <f>BIN2DEC(X457&amp;Y457)+BIN2DEC(W457)*3</f>
        <v>4</v>
      </c>
      <c r="AH461" s="57">
        <f t="shared" si="704"/>
        <v>41</v>
      </c>
    </row>
    <row r="462" spans="1:34" ht="15.75" customHeight="1">
      <c r="A462" s="125" t="str">
        <f>AC462</f>
        <v>vofc_dom3_quad0_quad2_sar3_slc5</v>
      </c>
      <c r="B462" s="127" t="str">
        <f>DEC2HEX(P462*4)</f>
        <v>0</v>
      </c>
      <c r="C462" s="56" t="s">
        <v>134</v>
      </c>
      <c r="D462" s="129" t="str">
        <f>bitConcat(F463:F466)</f>
        <v>32'b00000000000000000000000000000000</v>
      </c>
      <c r="E462" s="130"/>
      <c r="F462" s="130"/>
      <c r="G462" s="130"/>
      <c r="H462" s="131" t="s">
        <v>135</v>
      </c>
      <c r="I462" s="131"/>
      <c r="J462" s="131" t="str">
        <f>bitConcat(G463:G466)</f>
        <v>32'b00000000000000000000000000000000</v>
      </c>
      <c r="K462" s="131"/>
      <c r="L462" s="132"/>
      <c r="M462" s="119" t="str">
        <f>DEC2HEX(_xlfn.BITLSHIFT(HEX2DEC(Q462),2))</f>
        <v>1E0</v>
      </c>
      <c r="N462" s="119"/>
      <c r="O462" s="119">
        <v>3</v>
      </c>
      <c r="P462" s="121">
        <v>0</v>
      </c>
      <c r="Q462" s="121" t="str">
        <f>AB462</f>
        <v>78</v>
      </c>
      <c r="R462" s="123" t="str">
        <f t="shared" ref="R462" si="705">BIN2HEX(LEFT(RIGHT(D462,32),4))&amp;BIN2HEX(LEFT(RIGHT(D462,28),4))&amp;BIN2HEX(LEFT(RIGHT(D462,24),4))&amp;BIN2HEX(LEFT(RIGHT(D462,20),4))&amp;BIN2HEX(LEFT(RIGHT(D462,16),4))&amp;BIN2HEX(LEFT(RIGHT(D462,12),4))&amp;BIN2HEX(LEFT(RIGHT(D462,8),4))&amp;BIN2HEX(LEFT(RIGHT(D462,4),4))</f>
        <v>00000000</v>
      </c>
      <c r="S462" s="123" t="str">
        <f t="shared" ref="S462" si="706">BIN2HEX(LEFT(RIGHT(J462,32),4))&amp;BIN2HEX(LEFT(RIGHT(J462,28),4))&amp;BIN2HEX(LEFT(RIGHT(J462,24),4))&amp;BIN2HEX(LEFT(RIGHT(J462,20),4))&amp;BIN2HEX(LEFT(RIGHT(J462,16),4))&amp;BIN2HEX(LEFT(RIGHT(J462,12),4))&amp;BIN2HEX(LEFT(RIGHT(J462,8),4))&amp;BIN2HEX(LEFT(RIGHT(J462,4),4))</f>
        <v>00000000</v>
      </c>
      <c r="T462" s="154">
        <v>20</v>
      </c>
      <c r="U462" s="155" t="str">
        <f t="shared" ref="U462" si="707">LEFT(DEC2BIN(O462,2))</f>
        <v>1</v>
      </c>
      <c r="V462" s="145" t="str">
        <f t="shared" ref="V462" si="708">RIGHT(DEC2BIN(O462,2),1)</f>
        <v>1</v>
      </c>
      <c r="W462" s="148">
        <v>1</v>
      </c>
      <c r="X462" s="155">
        <v>1</v>
      </c>
      <c r="Y462" s="145">
        <v>0</v>
      </c>
      <c r="Z462" s="148">
        <v>0</v>
      </c>
      <c r="AA462" s="148">
        <v>0</v>
      </c>
      <c r="AB462" s="148" t="str">
        <f t="shared" ref="AB462" si="709">BIN2HEX(U462&amp;V462&amp;W462&amp;X462&amp;Y462&amp;Z462&amp;AA462)</f>
        <v>78</v>
      </c>
      <c r="AC462" s="151" t="str">
        <f>CONCATENATE("vofc_dom",BIN2DEC(U462&amp;V462),"_quad",BIN2DEC(AA462),"_quad",BIN2DEC(AA462)+2,"_sar",ABS( BIN2DEC(V462)*3-BIN2DEC(Z462)),"_slc",BIN2DEC(X462&amp;Y462)+BIN2DEC(W462)*3)</f>
        <v>vofc_dom3_quad0_quad2_sar3_slc5</v>
      </c>
      <c r="AD462" s="57"/>
      <c r="AE462" s="57"/>
      <c r="AF462" s="57"/>
      <c r="AG462" s="57"/>
      <c r="AH462" s="57"/>
    </row>
    <row r="463" spans="1:34" ht="15" customHeight="1">
      <c r="A463" s="126"/>
      <c r="B463" s="128"/>
      <c r="C463" s="43" t="str">
        <f>CONCATENATE("sar",AD463+AE463*4+AF463*16,"_slc",AG463)</f>
        <v>sar60_slc5</v>
      </c>
      <c r="D463" s="44">
        <v>8</v>
      </c>
      <c r="E463" s="29" t="str">
        <f>IF(D463&gt;1,(31)&amp;":"&amp;(31-D463+1),(31-D463+1)&amp;":"&amp;(31-D463+1))</f>
        <v>31:24</v>
      </c>
      <c r="F463" s="30" t="s">
        <v>133</v>
      </c>
      <c r="G463" s="30" t="s">
        <v>133</v>
      </c>
      <c r="H463" s="45" t="s">
        <v>143</v>
      </c>
      <c r="I463" s="31" t="s">
        <v>68</v>
      </c>
      <c r="J463" s="32" t="s">
        <v>36</v>
      </c>
      <c r="K463" s="33" t="s">
        <v>6</v>
      </c>
      <c r="L463" s="46"/>
      <c r="M463" s="120"/>
      <c r="N463" s="120"/>
      <c r="O463" s="120"/>
      <c r="P463" s="122"/>
      <c r="Q463" s="122"/>
      <c r="R463" s="124"/>
      <c r="S463" s="124"/>
      <c r="T463" s="154"/>
      <c r="U463" s="156"/>
      <c r="V463" s="146"/>
      <c r="W463" s="149"/>
      <c r="X463" s="156"/>
      <c r="Y463" s="146"/>
      <c r="Z463" s="149"/>
      <c r="AA463" s="149"/>
      <c r="AB463" s="149"/>
      <c r="AC463" s="152"/>
      <c r="AD463" s="57">
        <f>BIN2DEC($AA462)*3</f>
        <v>0</v>
      </c>
      <c r="AE463" s="57">
        <f>ABS(BIN2DEC($U462)*3)</f>
        <v>3</v>
      </c>
      <c r="AF463" s="57">
        <f>ABS( BIN2DEC(V462)*3-BIN2DEC(Z462))</f>
        <v>3</v>
      </c>
      <c r="AG463" s="57">
        <f>BIN2DEC(X462&amp;Y462)+BIN2DEC(W462)*3</f>
        <v>5</v>
      </c>
      <c r="AH463" s="57">
        <f>AD463+AE463*4+AF463*16</f>
        <v>60</v>
      </c>
    </row>
    <row r="464" spans="1:34" ht="15" customHeight="1">
      <c r="A464" s="126"/>
      <c r="B464" s="128"/>
      <c r="C464" s="43" t="str">
        <f t="shared" ref="C464:C466" si="710">CONCATENATE("sar",AD464+AE464*4+AF464*16,"_slc",AG464)</f>
        <v>sar56_slc5</v>
      </c>
      <c r="D464" s="44">
        <v>8</v>
      </c>
      <c r="E464" s="30" t="str">
        <f t="shared" ref="E464:E466" si="711">(MID(str_cnvt(E463),SEARCH(":",str_cnvt(E463))+1,2)-1) &amp; ":" &amp; (MID(str_cnvt(E463),SEARCH(":",str_cnvt(E463))+1,2)-D464)</f>
        <v>23:16</v>
      </c>
      <c r="F464" s="30" t="s">
        <v>133</v>
      </c>
      <c r="G464" s="30" t="s">
        <v>133</v>
      </c>
      <c r="H464" s="45" t="s">
        <v>143</v>
      </c>
      <c r="I464" s="31" t="s">
        <v>68</v>
      </c>
      <c r="J464" s="32" t="s">
        <v>36</v>
      </c>
      <c r="K464" s="33" t="s">
        <v>6</v>
      </c>
      <c r="L464" s="46"/>
      <c r="M464" s="120"/>
      <c r="N464" s="120"/>
      <c r="O464" s="120"/>
      <c r="P464" s="122"/>
      <c r="Q464" s="122"/>
      <c r="R464" s="124"/>
      <c r="S464" s="124"/>
      <c r="T464" s="154"/>
      <c r="U464" s="156"/>
      <c r="V464" s="146"/>
      <c r="W464" s="149"/>
      <c r="X464" s="156"/>
      <c r="Y464" s="146"/>
      <c r="Z464" s="149"/>
      <c r="AA464" s="149"/>
      <c r="AB464" s="149"/>
      <c r="AC464" s="152"/>
      <c r="AD464" s="57">
        <f>BIN2DEC($AA462)*3</f>
        <v>0</v>
      </c>
      <c r="AE464" s="57">
        <f>ABS(BIN2DEC($U462)*3-1)</f>
        <v>2</v>
      </c>
      <c r="AF464" s="57">
        <f>ABS( BIN2DEC(V462)*3-BIN2DEC(Z462))</f>
        <v>3</v>
      </c>
      <c r="AG464" s="57">
        <f>BIN2DEC(X462&amp;Y462)+BIN2DEC(W462)*3</f>
        <v>5</v>
      </c>
      <c r="AH464" s="57">
        <f t="shared" ref="AH464:AH466" si="712">AD464+AE464*4+AF464*16</f>
        <v>56</v>
      </c>
    </row>
    <row r="465" spans="1:34" ht="15" customHeight="1">
      <c r="A465" s="126"/>
      <c r="B465" s="128"/>
      <c r="C465" s="43" t="str">
        <f t="shared" si="710"/>
        <v>sar62_slc5</v>
      </c>
      <c r="D465" s="44">
        <v>8</v>
      </c>
      <c r="E465" s="30" t="str">
        <f t="shared" si="711"/>
        <v>15:8</v>
      </c>
      <c r="F465" s="30" t="s">
        <v>133</v>
      </c>
      <c r="G465" s="30" t="s">
        <v>133</v>
      </c>
      <c r="H465" s="45" t="s">
        <v>143</v>
      </c>
      <c r="I465" s="31" t="s">
        <v>68</v>
      </c>
      <c r="J465" s="32" t="s">
        <v>36</v>
      </c>
      <c r="K465" s="33" t="s">
        <v>6</v>
      </c>
      <c r="L465" s="46"/>
      <c r="M465" s="120"/>
      <c r="N465" s="120"/>
      <c r="O465" s="120"/>
      <c r="P465" s="122"/>
      <c r="Q465" s="122"/>
      <c r="R465" s="124"/>
      <c r="S465" s="124"/>
      <c r="T465" s="154"/>
      <c r="U465" s="156"/>
      <c r="V465" s="146"/>
      <c r="W465" s="149"/>
      <c r="X465" s="156"/>
      <c r="Y465" s="146"/>
      <c r="Z465" s="149"/>
      <c r="AA465" s="149"/>
      <c r="AB465" s="149"/>
      <c r="AC465" s="152"/>
      <c r="AD465" s="57">
        <f>ABS(BIN2DEC($AA462)*3-2)</f>
        <v>2</v>
      </c>
      <c r="AE465" s="57">
        <f>ABS(BIN2DEC($U462)*3)</f>
        <v>3</v>
      </c>
      <c r="AF465" s="57">
        <f>ABS( BIN2DEC(V462)*3-BIN2DEC(Z462))</f>
        <v>3</v>
      </c>
      <c r="AG465" s="57">
        <f>BIN2DEC(X462&amp;Y462)+BIN2DEC(W462)*3</f>
        <v>5</v>
      </c>
      <c r="AH465" s="57">
        <f t="shared" si="712"/>
        <v>62</v>
      </c>
    </row>
    <row r="466" spans="1:34" ht="15.75" customHeight="1" thickBot="1">
      <c r="A466" s="126"/>
      <c r="B466" s="128"/>
      <c r="C466" s="43" t="str">
        <f t="shared" si="710"/>
        <v>sar58_slc5</v>
      </c>
      <c r="D466" s="44">
        <v>8</v>
      </c>
      <c r="E466" s="30" t="str">
        <f t="shared" si="711"/>
        <v>7:0</v>
      </c>
      <c r="F466" s="30" t="s">
        <v>133</v>
      </c>
      <c r="G466" s="30" t="s">
        <v>133</v>
      </c>
      <c r="H466" s="45" t="s">
        <v>143</v>
      </c>
      <c r="I466" s="31" t="s">
        <v>68</v>
      </c>
      <c r="J466" s="32" t="s">
        <v>36</v>
      </c>
      <c r="K466" s="33" t="s">
        <v>6</v>
      </c>
      <c r="L466" s="46"/>
      <c r="M466" s="120"/>
      <c r="N466" s="120"/>
      <c r="O466" s="120"/>
      <c r="P466" s="122"/>
      <c r="Q466" s="122"/>
      <c r="R466" s="124"/>
      <c r="S466" s="124"/>
      <c r="T466" s="154"/>
      <c r="U466" s="157"/>
      <c r="V466" s="147"/>
      <c r="W466" s="150"/>
      <c r="X466" s="157"/>
      <c r="Y466" s="147"/>
      <c r="Z466" s="150"/>
      <c r="AA466" s="150"/>
      <c r="AB466" s="150"/>
      <c r="AC466" s="153"/>
      <c r="AD466" s="57">
        <f>ABS(BIN2DEC($AA462)*3-2)</f>
        <v>2</v>
      </c>
      <c r="AE466" s="57">
        <f>ABS(BIN2DEC($U462)*3-1)</f>
        <v>2</v>
      </c>
      <c r="AF466" s="57">
        <f>ABS( BIN2DEC(V462)*3-BIN2DEC(Z462))</f>
        <v>3</v>
      </c>
      <c r="AG466" s="57">
        <f>BIN2DEC(X462&amp;Y462)+BIN2DEC(W462)*3</f>
        <v>5</v>
      </c>
      <c r="AH466" s="57">
        <f t="shared" si="712"/>
        <v>58</v>
      </c>
    </row>
    <row r="467" spans="1:34" ht="15.75" customHeight="1">
      <c r="A467" s="125" t="str">
        <f>AC467</f>
        <v>vofc_dom3_quad1_quad3_sar3_slc5</v>
      </c>
      <c r="B467" s="127" t="str">
        <f>DEC2HEX(P467*4)</f>
        <v>0</v>
      </c>
      <c r="C467" s="56" t="s">
        <v>134</v>
      </c>
      <c r="D467" s="129" t="str">
        <f>bitConcat(F468:F471)</f>
        <v>32'b00000000000000000000000000000000</v>
      </c>
      <c r="E467" s="130"/>
      <c r="F467" s="130"/>
      <c r="G467" s="130"/>
      <c r="H467" s="131" t="s">
        <v>135</v>
      </c>
      <c r="I467" s="131"/>
      <c r="J467" s="131" t="str">
        <f>bitConcat(G468:G471)</f>
        <v>32'b00000000000000000000000000000000</v>
      </c>
      <c r="K467" s="131"/>
      <c r="L467" s="132"/>
      <c r="M467" s="119" t="str">
        <f>DEC2HEX(_xlfn.BITLSHIFT(HEX2DEC(Q467),2))</f>
        <v>1E4</v>
      </c>
      <c r="N467" s="119"/>
      <c r="O467" s="119">
        <v>3</v>
      </c>
      <c r="P467" s="121">
        <v>0</v>
      </c>
      <c r="Q467" s="121" t="str">
        <f>AB467</f>
        <v>79</v>
      </c>
      <c r="R467" s="123" t="str">
        <f t="shared" ref="R467" si="713">BIN2HEX(LEFT(RIGHT(D467,32),4))&amp;BIN2HEX(LEFT(RIGHT(D467,28),4))&amp;BIN2HEX(LEFT(RIGHT(D467,24),4))&amp;BIN2HEX(LEFT(RIGHT(D467,20),4))&amp;BIN2HEX(LEFT(RIGHT(D467,16),4))&amp;BIN2HEX(LEFT(RIGHT(D467,12),4))&amp;BIN2HEX(LEFT(RIGHT(D467,8),4))&amp;BIN2HEX(LEFT(RIGHT(D467,4),4))</f>
        <v>00000000</v>
      </c>
      <c r="S467" s="123" t="str">
        <f t="shared" ref="S467" si="714">BIN2HEX(LEFT(RIGHT(J467,32),4))&amp;BIN2HEX(LEFT(RIGHT(J467,28),4))&amp;BIN2HEX(LEFT(RIGHT(J467,24),4))&amp;BIN2HEX(LEFT(RIGHT(J467,20),4))&amp;BIN2HEX(LEFT(RIGHT(J467,16),4))&amp;BIN2HEX(LEFT(RIGHT(J467,12),4))&amp;BIN2HEX(LEFT(RIGHT(J467,8),4))&amp;BIN2HEX(LEFT(RIGHT(J467,4),4))</f>
        <v>00000000</v>
      </c>
      <c r="T467" s="154">
        <v>21</v>
      </c>
      <c r="U467" s="155" t="str">
        <f t="shared" ref="U467" si="715">LEFT(DEC2BIN(O467,2))</f>
        <v>1</v>
      </c>
      <c r="V467" s="145" t="str">
        <f t="shared" ref="V467" si="716">RIGHT(DEC2BIN(O467,2),1)</f>
        <v>1</v>
      </c>
      <c r="W467" s="148">
        <v>1</v>
      </c>
      <c r="X467" s="155">
        <v>1</v>
      </c>
      <c r="Y467" s="145">
        <v>0</v>
      </c>
      <c r="Z467" s="148">
        <v>0</v>
      </c>
      <c r="AA467" s="148">
        <v>1</v>
      </c>
      <c r="AB467" s="148" t="str">
        <f t="shared" ref="AB467" si="717">BIN2HEX(U467&amp;V467&amp;W467&amp;X467&amp;Y467&amp;Z467&amp;AA467)</f>
        <v>79</v>
      </c>
      <c r="AC467" s="151" t="str">
        <f>CONCATENATE("vofc_dom",BIN2DEC(U467&amp;V467),"_quad",BIN2DEC(AA467),"_quad",BIN2DEC(AA467)+2,"_sar",ABS( BIN2DEC(V467)*3-BIN2DEC(Z467)),"_slc",BIN2DEC(X467&amp;Y467)+BIN2DEC(W467)*3)</f>
        <v>vofc_dom3_quad1_quad3_sar3_slc5</v>
      </c>
      <c r="AD467" s="57"/>
      <c r="AE467" s="57"/>
      <c r="AF467" s="57"/>
      <c r="AG467" s="57"/>
      <c r="AH467" s="57"/>
    </row>
    <row r="468" spans="1:34" ht="15" customHeight="1">
      <c r="A468" s="126"/>
      <c r="B468" s="128"/>
      <c r="C468" s="43" t="str">
        <f>CONCATENATE("sar",AD468+AE468*4+AF468*16,"_slc",AG468)</f>
        <v>sar63_slc5</v>
      </c>
      <c r="D468" s="44">
        <v>8</v>
      </c>
      <c r="E468" s="29" t="str">
        <f>IF(D468&gt;1,(31)&amp;":"&amp;(31-D468+1),(31-D468+1)&amp;":"&amp;(31-D468+1))</f>
        <v>31:24</v>
      </c>
      <c r="F468" s="30" t="s">
        <v>133</v>
      </c>
      <c r="G468" s="30" t="s">
        <v>133</v>
      </c>
      <c r="H468" s="45" t="s">
        <v>143</v>
      </c>
      <c r="I468" s="31" t="s">
        <v>68</v>
      </c>
      <c r="J468" s="32" t="s">
        <v>36</v>
      </c>
      <c r="K468" s="33" t="s">
        <v>6</v>
      </c>
      <c r="L468" s="46"/>
      <c r="M468" s="120"/>
      <c r="N468" s="120"/>
      <c r="O468" s="120"/>
      <c r="P468" s="122"/>
      <c r="Q468" s="122"/>
      <c r="R468" s="124"/>
      <c r="S468" s="124"/>
      <c r="T468" s="154"/>
      <c r="U468" s="156"/>
      <c r="V468" s="146"/>
      <c r="W468" s="149"/>
      <c r="X468" s="156"/>
      <c r="Y468" s="146"/>
      <c r="Z468" s="149"/>
      <c r="AA468" s="149"/>
      <c r="AB468" s="149"/>
      <c r="AC468" s="152"/>
      <c r="AD468" s="57">
        <f>BIN2DEC($AA467)*3</f>
        <v>3</v>
      </c>
      <c r="AE468" s="57">
        <f>ABS(BIN2DEC($U467)*3)</f>
        <v>3</v>
      </c>
      <c r="AF468" s="57">
        <f>ABS( BIN2DEC(V467)*3-BIN2DEC(Z467))</f>
        <v>3</v>
      </c>
      <c r="AG468" s="57">
        <f>BIN2DEC(X467&amp;Y467)+BIN2DEC(W467)*3</f>
        <v>5</v>
      </c>
      <c r="AH468" s="57">
        <f>AD468+AE468*4+AF468*16</f>
        <v>63</v>
      </c>
    </row>
    <row r="469" spans="1:34" ht="15" customHeight="1">
      <c r="A469" s="126"/>
      <c r="B469" s="128"/>
      <c r="C469" s="43" t="str">
        <f t="shared" ref="C469:C471" si="718">CONCATENATE("sar",AD469+AE469*4+AF469*16,"_slc",AG469)</f>
        <v>sar59_slc5</v>
      </c>
      <c r="D469" s="44">
        <v>8</v>
      </c>
      <c r="E469" s="30" t="str">
        <f t="shared" ref="E469:E471" si="719">(MID(str_cnvt(E468),SEARCH(":",str_cnvt(E468))+1,2)-1) &amp; ":" &amp; (MID(str_cnvt(E468),SEARCH(":",str_cnvt(E468))+1,2)-D469)</f>
        <v>23:16</v>
      </c>
      <c r="F469" s="30" t="s">
        <v>133</v>
      </c>
      <c r="G469" s="30" t="s">
        <v>133</v>
      </c>
      <c r="H469" s="45" t="s">
        <v>143</v>
      </c>
      <c r="I469" s="31" t="s">
        <v>68</v>
      </c>
      <c r="J469" s="32" t="s">
        <v>36</v>
      </c>
      <c r="K469" s="33" t="s">
        <v>6</v>
      </c>
      <c r="L469" s="46"/>
      <c r="M469" s="120"/>
      <c r="N469" s="120"/>
      <c r="O469" s="120"/>
      <c r="P469" s="122"/>
      <c r="Q469" s="122"/>
      <c r="R469" s="124"/>
      <c r="S469" s="124"/>
      <c r="T469" s="154"/>
      <c r="U469" s="156"/>
      <c r="V469" s="146"/>
      <c r="W469" s="149"/>
      <c r="X469" s="156"/>
      <c r="Y469" s="146"/>
      <c r="Z469" s="149"/>
      <c r="AA469" s="149"/>
      <c r="AB469" s="149"/>
      <c r="AC469" s="152"/>
      <c r="AD469" s="57">
        <f>BIN2DEC($AA467)*3</f>
        <v>3</v>
      </c>
      <c r="AE469" s="57">
        <f>ABS(BIN2DEC($U467)*3-1)</f>
        <v>2</v>
      </c>
      <c r="AF469" s="57">
        <f>ABS( BIN2DEC(V467)*3-BIN2DEC(Z467))</f>
        <v>3</v>
      </c>
      <c r="AG469" s="57">
        <f>BIN2DEC(X467&amp;Y467)+BIN2DEC(W467)*3</f>
        <v>5</v>
      </c>
      <c r="AH469" s="57">
        <f t="shared" ref="AH469:AH471" si="720">AD469+AE469*4+AF469*16</f>
        <v>59</v>
      </c>
    </row>
    <row r="470" spans="1:34" ht="15" customHeight="1">
      <c r="A470" s="126"/>
      <c r="B470" s="128"/>
      <c r="C470" s="43" t="str">
        <f t="shared" si="718"/>
        <v>sar61_slc5</v>
      </c>
      <c r="D470" s="44">
        <v>8</v>
      </c>
      <c r="E470" s="30" t="str">
        <f t="shared" si="719"/>
        <v>15:8</v>
      </c>
      <c r="F470" s="30" t="s">
        <v>133</v>
      </c>
      <c r="G470" s="30" t="s">
        <v>133</v>
      </c>
      <c r="H470" s="45" t="s">
        <v>143</v>
      </c>
      <c r="I470" s="31" t="s">
        <v>68</v>
      </c>
      <c r="J470" s="32" t="s">
        <v>36</v>
      </c>
      <c r="K470" s="33" t="s">
        <v>6</v>
      </c>
      <c r="L470" s="46"/>
      <c r="M470" s="120"/>
      <c r="N470" s="120"/>
      <c r="O470" s="120"/>
      <c r="P470" s="122"/>
      <c r="Q470" s="122"/>
      <c r="R470" s="124"/>
      <c r="S470" s="124"/>
      <c r="T470" s="154"/>
      <c r="U470" s="156"/>
      <c r="V470" s="146"/>
      <c r="W470" s="149"/>
      <c r="X470" s="156"/>
      <c r="Y470" s="146"/>
      <c r="Z470" s="149"/>
      <c r="AA470" s="149"/>
      <c r="AB470" s="149"/>
      <c r="AC470" s="152"/>
      <c r="AD470" s="57">
        <f>ABS(BIN2DEC($AA467)*3-2)</f>
        <v>1</v>
      </c>
      <c r="AE470" s="57">
        <f>ABS(BIN2DEC($U467)*3)</f>
        <v>3</v>
      </c>
      <c r="AF470" s="57">
        <f>ABS( BIN2DEC(V467)*3-BIN2DEC(Z467))</f>
        <v>3</v>
      </c>
      <c r="AG470" s="57">
        <f>BIN2DEC(X467&amp;Y467)+BIN2DEC(W467)*3</f>
        <v>5</v>
      </c>
      <c r="AH470" s="57">
        <f t="shared" si="720"/>
        <v>61</v>
      </c>
    </row>
    <row r="471" spans="1:34" ht="15.75" customHeight="1" thickBot="1">
      <c r="A471" s="126"/>
      <c r="B471" s="128"/>
      <c r="C471" s="43" t="str">
        <f t="shared" si="718"/>
        <v>sar57_slc5</v>
      </c>
      <c r="D471" s="44">
        <v>8</v>
      </c>
      <c r="E471" s="30" t="str">
        <f t="shared" si="719"/>
        <v>7:0</v>
      </c>
      <c r="F471" s="30" t="s">
        <v>133</v>
      </c>
      <c r="G471" s="30" t="s">
        <v>133</v>
      </c>
      <c r="H471" s="45" t="s">
        <v>143</v>
      </c>
      <c r="I471" s="31" t="s">
        <v>68</v>
      </c>
      <c r="J471" s="32" t="s">
        <v>36</v>
      </c>
      <c r="K471" s="33" t="s">
        <v>6</v>
      </c>
      <c r="L471" s="46"/>
      <c r="M471" s="120"/>
      <c r="N471" s="120"/>
      <c r="O471" s="120"/>
      <c r="P471" s="122"/>
      <c r="Q471" s="122"/>
      <c r="R471" s="124"/>
      <c r="S471" s="124"/>
      <c r="T471" s="154"/>
      <c r="U471" s="157"/>
      <c r="V471" s="147"/>
      <c r="W471" s="150"/>
      <c r="X471" s="157"/>
      <c r="Y471" s="147"/>
      <c r="Z471" s="150"/>
      <c r="AA471" s="150"/>
      <c r="AB471" s="150"/>
      <c r="AC471" s="153"/>
      <c r="AD471" s="57">
        <f>ABS(BIN2DEC($AA467)*3-2)</f>
        <v>1</v>
      </c>
      <c r="AE471" s="57">
        <f>ABS(BIN2DEC($U467)*3-1)</f>
        <v>2</v>
      </c>
      <c r="AF471" s="57">
        <f>ABS( BIN2DEC(V467)*3-BIN2DEC(Z467))</f>
        <v>3</v>
      </c>
      <c r="AG471" s="57">
        <f>BIN2DEC(X467&amp;Y467)+BIN2DEC(W467)*3</f>
        <v>5</v>
      </c>
      <c r="AH471" s="57">
        <f t="shared" si="720"/>
        <v>57</v>
      </c>
    </row>
    <row r="472" spans="1:34" ht="15.75" customHeight="1">
      <c r="A472" s="125" t="str">
        <f>AC472</f>
        <v>vofc_dom3_quad0_quad2_sar2_slc5</v>
      </c>
      <c r="B472" s="127" t="str">
        <f>DEC2HEX(P472*4)</f>
        <v>0</v>
      </c>
      <c r="C472" s="56" t="s">
        <v>134</v>
      </c>
      <c r="D472" s="129" t="str">
        <f>bitConcat(F473:F476)</f>
        <v>32'b00000000000000000000000000000000</v>
      </c>
      <c r="E472" s="130"/>
      <c r="F472" s="130"/>
      <c r="G472" s="130"/>
      <c r="H472" s="131" t="s">
        <v>135</v>
      </c>
      <c r="I472" s="131"/>
      <c r="J472" s="131" t="str">
        <f>bitConcat(G473:G476)</f>
        <v>32'b00000000000000000000000000000000</v>
      </c>
      <c r="K472" s="131"/>
      <c r="L472" s="132"/>
      <c r="M472" s="119" t="str">
        <f>DEC2HEX(_xlfn.BITLSHIFT(HEX2DEC(Q472),2))</f>
        <v>1E8</v>
      </c>
      <c r="N472" s="119"/>
      <c r="O472" s="119">
        <v>3</v>
      </c>
      <c r="P472" s="121">
        <v>0</v>
      </c>
      <c r="Q472" s="121" t="str">
        <f>AB472</f>
        <v>7A</v>
      </c>
      <c r="R472" s="123" t="str">
        <f t="shared" ref="R472" si="721">BIN2HEX(LEFT(RIGHT(D472,32),4))&amp;BIN2HEX(LEFT(RIGHT(D472,28),4))&amp;BIN2HEX(LEFT(RIGHT(D472,24),4))&amp;BIN2HEX(LEFT(RIGHT(D472,20),4))&amp;BIN2HEX(LEFT(RIGHT(D472,16),4))&amp;BIN2HEX(LEFT(RIGHT(D472,12),4))&amp;BIN2HEX(LEFT(RIGHT(D472,8),4))&amp;BIN2HEX(LEFT(RIGHT(D472,4),4))</f>
        <v>00000000</v>
      </c>
      <c r="S472" s="123" t="str">
        <f t="shared" ref="S472" si="722">BIN2HEX(LEFT(RIGHT(J472,32),4))&amp;BIN2HEX(LEFT(RIGHT(J472,28),4))&amp;BIN2HEX(LEFT(RIGHT(J472,24),4))&amp;BIN2HEX(LEFT(RIGHT(J472,20),4))&amp;BIN2HEX(LEFT(RIGHT(J472,16),4))&amp;BIN2HEX(LEFT(RIGHT(J472,12),4))&amp;BIN2HEX(LEFT(RIGHT(J472,8),4))&amp;BIN2HEX(LEFT(RIGHT(J472,4),4))</f>
        <v>00000000</v>
      </c>
      <c r="T472" s="154">
        <v>22</v>
      </c>
      <c r="U472" s="155" t="str">
        <f t="shared" ref="U472" si="723">LEFT(DEC2BIN(O472,2))</f>
        <v>1</v>
      </c>
      <c r="V472" s="145" t="str">
        <f t="shared" ref="V472" si="724">RIGHT(DEC2BIN(O472,2),1)</f>
        <v>1</v>
      </c>
      <c r="W472" s="148">
        <v>1</v>
      </c>
      <c r="X472" s="155">
        <v>1</v>
      </c>
      <c r="Y472" s="145">
        <v>0</v>
      </c>
      <c r="Z472" s="148">
        <v>1</v>
      </c>
      <c r="AA472" s="148">
        <v>0</v>
      </c>
      <c r="AB472" s="148" t="str">
        <f t="shared" ref="AB472" si="725">BIN2HEX(U472&amp;V472&amp;W472&amp;X472&amp;Y472&amp;Z472&amp;AA472)</f>
        <v>7A</v>
      </c>
      <c r="AC472" s="151" t="str">
        <f>CONCATENATE("vofc_dom",BIN2DEC(U472&amp;V472),"_quad",BIN2DEC(AA472),"_quad",BIN2DEC(AA472)+2,"_sar",ABS( BIN2DEC(V472)*3-BIN2DEC(Z472)),"_slc",BIN2DEC(X472&amp;Y472)+BIN2DEC(W472)*3)</f>
        <v>vofc_dom3_quad0_quad2_sar2_slc5</v>
      </c>
      <c r="AD472" s="57"/>
      <c r="AE472" s="57"/>
      <c r="AF472" s="57"/>
      <c r="AG472" s="57"/>
      <c r="AH472" s="57"/>
    </row>
    <row r="473" spans="1:34" ht="15" customHeight="1">
      <c r="A473" s="126"/>
      <c r="B473" s="128"/>
      <c r="C473" s="43" t="str">
        <f>CONCATENATE("sar",AD473+AE473*4+AF473*16,"_slc",AG473)</f>
        <v>sar44_slc5</v>
      </c>
      <c r="D473" s="44">
        <v>8</v>
      </c>
      <c r="E473" s="29" t="str">
        <f>IF(D473&gt;1,(31)&amp;":"&amp;(31-D473+1),(31-D473+1)&amp;":"&amp;(31-D473+1))</f>
        <v>31:24</v>
      </c>
      <c r="F473" s="30" t="s">
        <v>133</v>
      </c>
      <c r="G473" s="30" t="s">
        <v>133</v>
      </c>
      <c r="H473" s="45" t="s">
        <v>143</v>
      </c>
      <c r="I473" s="31" t="s">
        <v>68</v>
      </c>
      <c r="J473" s="32" t="s">
        <v>36</v>
      </c>
      <c r="K473" s="33" t="s">
        <v>6</v>
      </c>
      <c r="L473" s="46"/>
      <c r="M473" s="120"/>
      <c r="N473" s="120"/>
      <c r="O473" s="120"/>
      <c r="P473" s="122"/>
      <c r="Q473" s="122"/>
      <c r="R473" s="124"/>
      <c r="S473" s="124"/>
      <c r="T473" s="154"/>
      <c r="U473" s="156"/>
      <c r="V473" s="146"/>
      <c r="W473" s="149"/>
      <c r="X473" s="156"/>
      <c r="Y473" s="146"/>
      <c r="Z473" s="149"/>
      <c r="AA473" s="149"/>
      <c r="AB473" s="149"/>
      <c r="AC473" s="152"/>
      <c r="AD473" s="57">
        <f>BIN2DEC($AA472)*3</f>
        <v>0</v>
      </c>
      <c r="AE473" s="57">
        <f>ABS(BIN2DEC($U472)*3)</f>
        <v>3</v>
      </c>
      <c r="AF473" s="57">
        <f>ABS( BIN2DEC(V472)*3-BIN2DEC(Z472))</f>
        <v>2</v>
      </c>
      <c r="AG473" s="57">
        <f>BIN2DEC(X472&amp;Y472)+BIN2DEC(W472)*3</f>
        <v>5</v>
      </c>
      <c r="AH473" s="57">
        <f>AD473+AE473*4+AF473*16</f>
        <v>44</v>
      </c>
    </row>
    <row r="474" spans="1:34" ht="15" customHeight="1">
      <c r="A474" s="126"/>
      <c r="B474" s="128"/>
      <c r="C474" s="43" t="str">
        <f t="shared" ref="C474:C476" si="726">CONCATENATE("sar",AD474+AE474*4+AF474*16,"_slc",AG474)</f>
        <v>sar40_slc5</v>
      </c>
      <c r="D474" s="44">
        <v>8</v>
      </c>
      <c r="E474" s="30" t="str">
        <f t="shared" ref="E474:E476" si="727">(MID(str_cnvt(E473),SEARCH(":",str_cnvt(E473))+1,2)-1) &amp; ":" &amp; (MID(str_cnvt(E473),SEARCH(":",str_cnvt(E473))+1,2)-D474)</f>
        <v>23:16</v>
      </c>
      <c r="F474" s="30" t="s">
        <v>133</v>
      </c>
      <c r="G474" s="30" t="s">
        <v>133</v>
      </c>
      <c r="H474" s="45" t="s">
        <v>143</v>
      </c>
      <c r="I474" s="31" t="s">
        <v>68</v>
      </c>
      <c r="J474" s="32" t="s">
        <v>36</v>
      </c>
      <c r="K474" s="33" t="s">
        <v>6</v>
      </c>
      <c r="L474" s="46"/>
      <c r="M474" s="120"/>
      <c r="N474" s="120"/>
      <c r="O474" s="120"/>
      <c r="P474" s="122"/>
      <c r="Q474" s="122"/>
      <c r="R474" s="124"/>
      <c r="S474" s="124"/>
      <c r="T474" s="154"/>
      <c r="U474" s="156"/>
      <c r="V474" s="146"/>
      <c r="W474" s="149"/>
      <c r="X474" s="156"/>
      <c r="Y474" s="146"/>
      <c r="Z474" s="149"/>
      <c r="AA474" s="149"/>
      <c r="AB474" s="149"/>
      <c r="AC474" s="152"/>
      <c r="AD474" s="57">
        <f>BIN2DEC($AA472)*3</f>
        <v>0</v>
      </c>
      <c r="AE474" s="57">
        <f>ABS(BIN2DEC($U472)*3-1)</f>
        <v>2</v>
      </c>
      <c r="AF474" s="57">
        <f>ABS( BIN2DEC(V472)*3-BIN2DEC(Z472))</f>
        <v>2</v>
      </c>
      <c r="AG474" s="57">
        <f>BIN2DEC(X472&amp;Y472)+BIN2DEC(W472)*3</f>
        <v>5</v>
      </c>
      <c r="AH474" s="57">
        <f t="shared" ref="AH474:AH476" si="728">AD474+AE474*4+AF474*16</f>
        <v>40</v>
      </c>
    </row>
    <row r="475" spans="1:34" ht="15" customHeight="1">
      <c r="A475" s="126"/>
      <c r="B475" s="128"/>
      <c r="C475" s="43" t="str">
        <f t="shared" si="726"/>
        <v>sar46_slc5</v>
      </c>
      <c r="D475" s="44">
        <v>8</v>
      </c>
      <c r="E475" s="30" t="str">
        <f t="shared" si="727"/>
        <v>15:8</v>
      </c>
      <c r="F475" s="30" t="s">
        <v>133</v>
      </c>
      <c r="G475" s="30" t="s">
        <v>133</v>
      </c>
      <c r="H475" s="45" t="s">
        <v>143</v>
      </c>
      <c r="I475" s="31" t="s">
        <v>68</v>
      </c>
      <c r="J475" s="32" t="s">
        <v>36</v>
      </c>
      <c r="K475" s="33" t="s">
        <v>6</v>
      </c>
      <c r="L475" s="46"/>
      <c r="M475" s="120"/>
      <c r="N475" s="120"/>
      <c r="O475" s="120"/>
      <c r="P475" s="122"/>
      <c r="Q475" s="122"/>
      <c r="R475" s="124"/>
      <c r="S475" s="124"/>
      <c r="T475" s="154"/>
      <c r="U475" s="156"/>
      <c r="V475" s="146"/>
      <c r="W475" s="149"/>
      <c r="X475" s="156"/>
      <c r="Y475" s="146"/>
      <c r="Z475" s="149"/>
      <c r="AA475" s="149"/>
      <c r="AB475" s="149"/>
      <c r="AC475" s="152"/>
      <c r="AD475" s="57">
        <f>ABS(BIN2DEC($AA472)*3-2)</f>
        <v>2</v>
      </c>
      <c r="AE475" s="57">
        <f>ABS(BIN2DEC($U472)*3)</f>
        <v>3</v>
      </c>
      <c r="AF475" s="57">
        <f>ABS( BIN2DEC(V472)*3-BIN2DEC(Z472))</f>
        <v>2</v>
      </c>
      <c r="AG475" s="57">
        <f>BIN2DEC(X472&amp;Y472)+BIN2DEC(W472)*3</f>
        <v>5</v>
      </c>
      <c r="AH475" s="57">
        <f t="shared" si="728"/>
        <v>46</v>
      </c>
    </row>
    <row r="476" spans="1:34" ht="15.75" customHeight="1" thickBot="1">
      <c r="A476" s="126"/>
      <c r="B476" s="128"/>
      <c r="C476" s="43" t="str">
        <f t="shared" si="726"/>
        <v>sar42_slc5</v>
      </c>
      <c r="D476" s="44">
        <v>8</v>
      </c>
      <c r="E476" s="30" t="str">
        <f t="shared" si="727"/>
        <v>7:0</v>
      </c>
      <c r="F476" s="30" t="s">
        <v>133</v>
      </c>
      <c r="G476" s="30" t="s">
        <v>133</v>
      </c>
      <c r="H476" s="45" t="s">
        <v>143</v>
      </c>
      <c r="I476" s="31" t="s">
        <v>68</v>
      </c>
      <c r="J476" s="32" t="s">
        <v>36</v>
      </c>
      <c r="K476" s="33" t="s">
        <v>6</v>
      </c>
      <c r="L476" s="46"/>
      <c r="M476" s="120"/>
      <c r="N476" s="120"/>
      <c r="O476" s="120"/>
      <c r="P476" s="122"/>
      <c r="Q476" s="122"/>
      <c r="R476" s="124"/>
      <c r="S476" s="124"/>
      <c r="T476" s="154"/>
      <c r="U476" s="157"/>
      <c r="V476" s="147"/>
      <c r="W476" s="150"/>
      <c r="X476" s="157"/>
      <c r="Y476" s="147"/>
      <c r="Z476" s="150"/>
      <c r="AA476" s="150"/>
      <c r="AB476" s="150"/>
      <c r="AC476" s="153"/>
      <c r="AD476" s="57">
        <f>ABS(BIN2DEC($AA472)*3-2)</f>
        <v>2</v>
      </c>
      <c r="AE476" s="57">
        <f>ABS(BIN2DEC($U472)*3-1)</f>
        <v>2</v>
      </c>
      <c r="AF476" s="57">
        <f>ABS( BIN2DEC(V472)*3-BIN2DEC(Z472))</f>
        <v>2</v>
      </c>
      <c r="AG476" s="57">
        <f>BIN2DEC(X472&amp;Y472)+BIN2DEC(W472)*3</f>
        <v>5</v>
      </c>
      <c r="AH476" s="57">
        <f t="shared" si="728"/>
        <v>42</v>
      </c>
    </row>
    <row r="477" spans="1:34" ht="15" customHeight="1">
      <c r="A477" s="125" t="str">
        <f>AC477</f>
        <v>vofc_dom3_quad1_quad3_sar2_slc5</v>
      </c>
      <c r="B477" s="127" t="str">
        <f>DEC2HEX(P477*4)</f>
        <v>0</v>
      </c>
      <c r="C477" s="56" t="s">
        <v>134</v>
      </c>
      <c r="D477" s="129" t="str">
        <f>bitConcat(F478:F481)</f>
        <v>32'b00000000000000000000000000000000</v>
      </c>
      <c r="E477" s="130"/>
      <c r="F477" s="130"/>
      <c r="G477" s="130"/>
      <c r="H477" s="131" t="s">
        <v>135</v>
      </c>
      <c r="I477" s="131"/>
      <c r="J477" s="131" t="str">
        <f>bitConcat(G478:G481)</f>
        <v>32'b00000000000000000000000000000000</v>
      </c>
      <c r="K477" s="131"/>
      <c r="L477" s="132"/>
      <c r="M477" s="119" t="str">
        <f>DEC2HEX(_xlfn.BITLSHIFT(HEX2DEC(Q477),2))</f>
        <v>1EC</v>
      </c>
      <c r="N477" s="119"/>
      <c r="O477" s="119">
        <v>3</v>
      </c>
      <c r="P477" s="121">
        <v>0</v>
      </c>
      <c r="Q477" s="121" t="str">
        <f>AB477</f>
        <v>7B</v>
      </c>
      <c r="R477" s="123" t="str">
        <f t="shared" ref="R477" si="729">BIN2HEX(LEFT(RIGHT(D477,32),4))&amp;BIN2HEX(LEFT(RIGHT(D477,28),4))&amp;BIN2HEX(LEFT(RIGHT(D477,24),4))&amp;BIN2HEX(LEFT(RIGHT(D477,20),4))&amp;BIN2HEX(LEFT(RIGHT(D477,16),4))&amp;BIN2HEX(LEFT(RIGHT(D477,12),4))&amp;BIN2HEX(LEFT(RIGHT(D477,8),4))&amp;BIN2HEX(LEFT(RIGHT(D477,4),4))</f>
        <v>00000000</v>
      </c>
      <c r="S477" s="123" t="str">
        <f t="shared" ref="S477" si="730">BIN2HEX(LEFT(RIGHT(J477,32),4))&amp;BIN2HEX(LEFT(RIGHT(J477,28),4))&amp;BIN2HEX(LEFT(RIGHT(J477,24),4))&amp;BIN2HEX(LEFT(RIGHT(J477,20),4))&amp;BIN2HEX(LEFT(RIGHT(J477,16),4))&amp;BIN2HEX(LEFT(RIGHT(J477,12),4))&amp;BIN2HEX(LEFT(RIGHT(J477,8),4))&amp;BIN2HEX(LEFT(RIGHT(J477,4),4))</f>
        <v>00000000</v>
      </c>
      <c r="T477" s="154">
        <v>23</v>
      </c>
      <c r="U477" s="155" t="str">
        <f t="shared" ref="U477" si="731">LEFT(DEC2BIN(O477,2))</f>
        <v>1</v>
      </c>
      <c r="V477" s="145" t="str">
        <f t="shared" ref="V477" si="732">RIGHT(DEC2BIN(O477,2),1)</f>
        <v>1</v>
      </c>
      <c r="W477" s="148">
        <v>1</v>
      </c>
      <c r="X477" s="155">
        <v>1</v>
      </c>
      <c r="Y477" s="145">
        <v>0</v>
      </c>
      <c r="Z477" s="148">
        <v>1</v>
      </c>
      <c r="AA477" s="148">
        <v>1</v>
      </c>
      <c r="AB477" s="148" t="str">
        <f t="shared" ref="AB477" si="733">BIN2HEX(U477&amp;V477&amp;W477&amp;X477&amp;Y477&amp;Z477&amp;AA477)</f>
        <v>7B</v>
      </c>
      <c r="AC477" s="151" t="str">
        <f>CONCATENATE("vofc_dom",BIN2DEC(U477&amp;V477),"_quad",BIN2DEC(AA477),"_quad",BIN2DEC(AA477)+2,"_sar",ABS( BIN2DEC(V477)*3-BIN2DEC(Z477)),"_slc",BIN2DEC(X477&amp;Y477)+BIN2DEC(W477)*3)</f>
        <v>vofc_dom3_quad1_quad3_sar2_slc5</v>
      </c>
      <c r="AD477" s="57"/>
      <c r="AE477" s="57"/>
      <c r="AF477" s="57"/>
      <c r="AG477" s="57"/>
      <c r="AH477" s="57"/>
    </row>
    <row r="478" spans="1:34" ht="15" customHeight="1">
      <c r="A478" s="126"/>
      <c r="B478" s="128"/>
      <c r="C478" s="43" t="str">
        <f>CONCATENATE("sar",AD478+AE478*4+AF478*16,"_slc",AG478)</f>
        <v>sar47_slc5</v>
      </c>
      <c r="D478" s="44">
        <v>8</v>
      </c>
      <c r="E478" s="29" t="str">
        <f>IF(D478&gt;1,(31)&amp;":"&amp;(31-D478+1),(31-D478+1)&amp;":"&amp;(31-D478+1))</f>
        <v>31:24</v>
      </c>
      <c r="F478" s="30" t="s">
        <v>133</v>
      </c>
      <c r="G478" s="30" t="s">
        <v>133</v>
      </c>
      <c r="H478" s="45" t="s">
        <v>143</v>
      </c>
      <c r="I478" s="31" t="s">
        <v>68</v>
      </c>
      <c r="J478" s="32" t="s">
        <v>36</v>
      </c>
      <c r="K478" s="33" t="s">
        <v>6</v>
      </c>
      <c r="L478" s="46"/>
      <c r="M478" s="120"/>
      <c r="N478" s="120"/>
      <c r="O478" s="120"/>
      <c r="P478" s="122"/>
      <c r="Q478" s="122"/>
      <c r="R478" s="124"/>
      <c r="S478" s="124"/>
      <c r="T478" s="154"/>
      <c r="U478" s="156"/>
      <c r="V478" s="146"/>
      <c r="W478" s="149"/>
      <c r="X478" s="156"/>
      <c r="Y478" s="146"/>
      <c r="Z478" s="149"/>
      <c r="AA478" s="149"/>
      <c r="AB478" s="149"/>
      <c r="AC478" s="152"/>
      <c r="AD478" s="57">
        <f>BIN2DEC($AA477)*3</f>
        <v>3</v>
      </c>
      <c r="AE478" s="57">
        <f>ABS(BIN2DEC($U477)*3)</f>
        <v>3</v>
      </c>
      <c r="AF478" s="57">
        <f>ABS( BIN2DEC(V477)*3-BIN2DEC(Z477))</f>
        <v>2</v>
      </c>
      <c r="AG478" s="57">
        <f>BIN2DEC(X477&amp;Y477)+BIN2DEC(W477)*3</f>
        <v>5</v>
      </c>
      <c r="AH478" s="57">
        <f>AD478+AE478*4+AF478*16</f>
        <v>47</v>
      </c>
    </row>
    <row r="479" spans="1:34" ht="15" customHeight="1">
      <c r="A479" s="126"/>
      <c r="B479" s="128"/>
      <c r="C479" s="43" t="str">
        <f t="shared" ref="C479:C481" si="734">CONCATENATE("sar",AD479+AE479*4+AF479*16,"_slc",AG479)</f>
        <v>sar43_slc5</v>
      </c>
      <c r="D479" s="44">
        <v>8</v>
      </c>
      <c r="E479" s="30" t="str">
        <f t="shared" ref="E479:E481" si="735">(MID(str_cnvt(E478),SEARCH(":",str_cnvt(E478))+1,2)-1) &amp; ":" &amp; (MID(str_cnvt(E478),SEARCH(":",str_cnvt(E478))+1,2)-D479)</f>
        <v>23:16</v>
      </c>
      <c r="F479" s="30" t="s">
        <v>133</v>
      </c>
      <c r="G479" s="30" t="s">
        <v>133</v>
      </c>
      <c r="H479" s="45" t="s">
        <v>143</v>
      </c>
      <c r="I479" s="31" t="s">
        <v>68</v>
      </c>
      <c r="J479" s="32" t="s">
        <v>36</v>
      </c>
      <c r="K479" s="33" t="s">
        <v>6</v>
      </c>
      <c r="L479" s="46"/>
      <c r="M479" s="120"/>
      <c r="N479" s="120"/>
      <c r="O479" s="120"/>
      <c r="P479" s="122"/>
      <c r="Q479" s="122"/>
      <c r="R479" s="124"/>
      <c r="S479" s="124"/>
      <c r="T479" s="154"/>
      <c r="U479" s="156"/>
      <c r="V479" s="146"/>
      <c r="W479" s="149"/>
      <c r="X479" s="156"/>
      <c r="Y479" s="146"/>
      <c r="Z479" s="149"/>
      <c r="AA479" s="149"/>
      <c r="AB479" s="149"/>
      <c r="AC479" s="152"/>
      <c r="AD479" s="57">
        <f>BIN2DEC($AA477)*3</f>
        <v>3</v>
      </c>
      <c r="AE479" s="57">
        <f>ABS(BIN2DEC($U477)*3-1)</f>
        <v>2</v>
      </c>
      <c r="AF479" s="57">
        <f>ABS( BIN2DEC(V477)*3-BIN2DEC(Z477))</f>
        <v>2</v>
      </c>
      <c r="AG479" s="57">
        <f>BIN2DEC(X477&amp;Y477)+BIN2DEC(W477)*3</f>
        <v>5</v>
      </c>
      <c r="AH479" s="57">
        <f t="shared" ref="AH479:AH481" si="736">AD479+AE479*4+AF479*16</f>
        <v>43</v>
      </c>
    </row>
    <row r="480" spans="1:34" ht="15" customHeight="1">
      <c r="A480" s="126"/>
      <c r="B480" s="128"/>
      <c r="C480" s="43" t="str">
        <f t="shared" si="734"/>
        <v>sar45_slc5</v>
      </c>
      <c r="D480" s="44">
        <v>8</v>
      </c>
      <c r="E480" s="30" t="str">
        <f t="shared" si="735"/>
        <v>15:8</v>
      </c>
      <c r="F480" s="30" t="s">
        <v>133</v>
      </c>
      <c r="G480" s="30" t="s">
        <v>133</v>
      </c>
      <c r="H480" s="45" t="s">
        <v>143</v>
      </c>
      <c r="I480" s="31" t="s">
        <v>68</v>
      </c>
      <c r="J480" s="32" t="s">
        <v>36</v>
      </c>
      <c r="K480" s="33" t="s">
        <v>6</v>
      </c>
      <c r="L480" s="46"/>
      <c r="M480" s="120"/>
      <c r="N480" s="120"/>
      <c r="O480" s="120"/>
      <c r="P480" s="122"/>
      <c r="Q480" s="122"/>
      <c r="R480" s="124"/>
      <c r="S480" s="124"/>
      <c r="T480" s="154"/>
      <c r="U480" s="156"/>
      <c r="V480" s="146"/>
      <c r="W480" s="149"/>
      <c r="X480" s="156"/>
      <c r="Y480" s="146"/>
      <c r="Z480" s="149"/>
      <c r="AA480" s="149"/>
      <c r="AB480" s="149"/>
      <c r="AC480" s="152"/>
      <c r="AD480" s="57">
        <f>ABS(BIN2DEC($AA477)*3-2)</f>
        <v>1</v>
      </c>
      <c r="AE480" s="57">
        <f>ABS(BIN2DEC($U477)*3)</f>
        <v>3</v>
      </c>
      <c r="AF480" s="57">
        <f>ABS( BIN2DEC(V477)*3-BIN2DEC(Z477))</f>
        <v>2</v>
      </c>
      <c r="AG480" s="57">
        <f>BIN2DEC(X477&amp;Y477)+BIN2DEC(W477)*3</f>
        <v>5</v>
      </c>
      <c r="AH480" s="57">
        <f t="shared" si="736"/>
        <v>45</v>
      </c>
    </row>
    <row r="481" spans="1:34" ht="15.75" customHeight="1" thickBot="1">
      <c r="A481" s="126"/>
      <c r="B481" s="128"/>
      <c r="C481" s="43" t="str">
        <f t="shared" si="734"/>
        <v>sar41_slc5</v>
      </c>
      <c r="D481" s="44">
        <v>8</v>
      </c>
      <c r="E481" s="30" t="str">
        <f t="shared" si="735"/>
        <v>7:0</v>
      </c>
      <c r="F481" s="30" t="s">
        <v>133</v>
      </c>
      <c r="G481" s="30" t="s">
        <v>133</v>
      </c>
      <c r="H481" s="45" t="s">
        <v>143</v>
      </c>
      <c r="I481" s="31" t="s">
        <v>68</v>
      </c>
      <c r="J481" s="32" t="s">
        <v>36</v>
      </c>
      <c r="K481" s="33" t="s">
        <v>6</v>
      </c>
      <c r="L481" s="46"/>
      <c r="M481" s="120"/>
      <c r="N481" s="120"/>
      <c r="O481" s="120"/>
      <c r="P481" s="122"/>
      <c r="Q481" s="122"/>
      <c r="R481" s="124"/>
      <c r="S481" s="124"/>
      <c r="T481" s="154"/>
      <c r="U481" s="157"/>
      <c r="V481" s="147"/>
      <c r="W481" s="150"/>
      <c r="X481" s="157"/>
      <c r="Y481" s="147"/>
      <c r="Z481" s="150"/>
      <c r="AA481" s="150"/>
      <c r="AB481" s="150"/>
      <c r="AC481" s="153"/>
      <c r="AD481" s="57">
        <f>ABS(BIN2DEC($AA477)*3-2)</f>
        <v>1</v>
      </c>
      <c r="AE481" s="57">
        <f>ABS(BIN2DEC($U477)*3-1)</f>
        <v>2</v>
      </c>
      <c r="AF481" s="57">
        <f>ABS( BIN2DEC(V477)*3-BIN2DEC(Z477))</f>
        <v>2</v>
      </c>
      <c r="AG481" s="57">
        <f>BIN2DEC(X477&amp;Y477)+BIN2DEC(W477)*3</f>
        <v>5</v>
      </c>
      <c r="AH481" s="57">
        <f t="shared" si="736"/>
        <v>41</v>
      </c>
    </row>
    <row r="482" spans="1:34" s="61" customFormat="1" ht="15" thickBot="1">
      <c r="A482" s="141" t="s">
        <v>144</v>
      </c>
      <c r="B482" s="143" t="str">
        <f>DEC2HEX(P482*4)</f>
        <v>0</v>
      </c>
      <c r="C482" s="60" t="s">
        <v>134</v>
      </c>
      <c r="D482" s="164" t="str">
        <f>bitConcat(F483:F499)</f>
        <v>32'b10000000000000000000000000000000</v>
      </c>
      <c r="E482" s="165"/>
      <c r="F482" s="165"/>
      <c r="G482" s="165"/>
      <c r="H482" s="166" t="s">
        <v>135</v>
      </c>
      <c r="I482" s="167"/>
      <c r="J482" s="168" t="str">
        <f>bitConcat(G483:G499)</f>
        <v>32'b10000000000000000000000000000000</v>
      </c>
      <c r="K482" s="166"/>
      <c r="L482" s="167"/>
      <c r="M482" s="119" t="str">
        <f>DEC2HEX(_xlfn.BITLSHIFT(O482,7)+4*P482)</f>
        <v>200</v>
      </c>
      <c r="N482" s="119"/>
      <c r="O482" s="119">
        <v>4</v>
      </c>
      <c r="P482" s="121">
        <v>0</v>
      </c>
      <c r="Q482" s="121" t="str">
        <f>DEC2HEX(_xlfn.BITLSHIFT(O482,5)+P482)</f>
        <v>80</v>
      </c>
      <c r="R482" s="121" t="str">
        <f>BIN2HEX(LEFT(RIGHT(D482,32),4))&amp;BIN2HEX(LEFT(RIGHT(D482,28),4))&amp;BIN2HEX(LEFT(RIGHT(D482,24),4))&amp;BIN2HEX(LEFT(RIGHT(D482,20),4))&amp;BIN2HEX(LEFT(RIGHT(D482,16),4))&amp;BIN2HEX(LEFT(RIGHT(D482,12),4))&amp;BIN2HEX(LEFT(RIGHT(D482,8),4))&amp;BIN2HEX(LEFT(RIGHT(D482,4),4))</f>
        <v>80000000</v>
      </c>
      <c r="S482" s="121" t="str">
        <f>BIN2HEX(LEFT(RIGHT(J482,32),4))&amp;BIN2HEX(LEFT(RIGHT(J482,28),4))&amp;BIN2HEX(LEFT(RIGHT(J482,24),4))&amp;BIN2HEX(LEFT(RIGHT(J482,20),4))&amp;BIN2HEX(LEFT(RIGHT(J482,16),4))&amp;BIN2HEX(LEFT(RIGHT(J482,12),4))&amp;BIN2HEX(LEFT(RIGHT(J482,8),4))&amp;BIN2HEX(LEFT(RIGHT(J482,4),4))</f>
        <v>80000000</v>
      </c>
    </row>
    <row r="483" spans="1:34" s="61" customFormat="1">
      <c r="A483" s="142"/>
      <c r="B483" s="144"/>
      <c r="C483" s="43" t="s">
        <v>145</v>
      </c>
      <c r="D483" s="62">
        <v>4</v>
      </c>
      <c r="E483" s="30" t="str">
        <f>IF(D483&gt;1,(31)&amp;":"&amp;(31-D483+1),(31-D483+1)&amp;":"&amp;(31-D483+1))</f>
        <v>31:28</v>
      </c>
      <c r="F483" s="30" t="s">
        <v>146</v>
      </c>
      <c r="G483" s="30" t="s">
        <v>146</v>
      </c>
      <c r="H483" s="63" t="s">
        <v>147</v>
      </c>
      <c r="I483" s="30" t="s">
        <v>68</v>
      </c>
      <c r="J483" s="32" t="s">
        <v>36</v>
      </c>
      <c r="K483" s="33" t="s">
        <v>6</v>
      </c>
      <c r="L483" s="46"/>
      <c r="M483" s="120"/>
      <c r="N483" s="120"/>
      <c r="O483" s="120"/>
      <c r="P483" s="122"/>
      <c r="Q483" s="122"/>
      <c r="R483" s="122"/>
      <c r="S483" s="122"/>
    </row>
    <row r="484" spans="1:34" s="61" customFormat="1">
      <c r="A484" s="142"/>
      <c r="B484" s="144"/>
      <c r="C484" s="43" t="s">
        <v>148</v>
      </c>
      <c r="D484" s="62">
        <v>4</v>
      </c>
      <c r="E484" s="30" t="str">
        <f t="shared" ref="E484:E499" si="737">(MID(str_cnvt(E483),SEARCH(":",str_cnvt(E483))+1,2)-1) &amp; ":" &amp; (MID(str_cnvt(E483),SEARCH(":",str_cnvt(E483))+1,2)-D484)</f>
        <v>27:24</v>
      </c>
      <c r="F484" s="30" t="s">
        <v>149</v>
      </c>
      <c r="G484" s="30" t="s">
        <v>149</v>
      </c>
      <c r="H484" s="64" t="s">
        <v>150</v>
      </c>
      <c r="I484" s="30" t="s">
        <v>68</v>
      </c>
      <c r="J484" s="32" t="s">
        <v>36</v>
      </c>
      <c r="K484" s="33" t="s">
        <v>6</v>
      </c>
      <c r="L484" s="46"/>
      <c r="M484" s="120"/>
      <c r="N484" s="120"/>
      <c r="O484" s="120"/>
      <c r="P484" s="122"/>
      <c r="Q484" s="122"/>
      <c r="R484" s="122"/>
      <c r="S484" s="122"/>
    </row>
    <row r="485" spans="1:34" s="61" customFormat="1">
      <c r="A485" s="142"/>
      <c r="B485" s="144"/>
      <c r="C485" s="43" t="s">
        <v>151</v>
      </c>
      <c r="D485" s="62">
        <v>1</v>
      </c>
      <c r="E485" s="30" t="str">
        <f t="shared" si="737"/>
        <v>23:23</v>
      </c>
      <c r="F485" s="30" t="s">
        <v>7</v>
      </c>
      <c r="G485" s="30" t="s">
        <v>7</v>
      </c>
      <c r="H485" s="65" t="s">
        <v>152</v>
      </c>
      <c r="I485" s="30" t="s">
        <v>68</v>
      </c>
      <c r="J485" s="32" t="s">
        <v>36</v>
      </c>
      <c r="K485" s="33" t="s">
        <v>6</v>
      </c>
      <c r="L485" s="46"/>
      <c r="M485" s="120"/>
      <c r="N485" s="120"/>
      <c r="O485" s="120"/>
      <c r="P485" s="122"/>
      <c r="Q485" s="122"/>
      <c r="R485" s="122"/>
      <c r="S485" s="122"/>
    </row>
    <row r="486" spans="1:34" s="61" customFormat="1">
      <c r="A486" s="142"/>
      <c r="B486" s="144"/>
      <c r="C486" s="43" t="s">
        <v>153</v>
      </c>
      <c r="D486" s="62">
        <v>2</v>
      </c>
      <c r="E486" s="30" t="str">
        <f t="shared" si="737"/>
        <v>22:21</v>
      </c>
      <c r="F486" s="30" t="s">
        <v>154</v>
      </c>
      <c r="G486" s="30" t="s">
        <v>154</v>
      </c>
      <c r="H486" s="64" t="s">
        <v>155</v>
      </c>
      <c r="I486" s="30" t="s">
        <v>68</v>
      </c>
      <c r="J486" s="32" t="s">
        <v>36</v>
      </c>
      <c r="K486" s="33" t="s">
        <v>6</v>
      </c>
      <c r="L486" s="46"/>
      <c r="M486" s="120"/>
      <c r="N486" s="120"/>
      <c r="O486" s="120"/>
      <c r="P486" s="122"/>
      <c r="Q486" s="122"/>
      <c r="R486" s="122"/>
      <c r="S486" s="122"/>
    </row>
    <row r="487" spans="1:34" s="61" customFormat="1">
      <c r="A487" s="142"/>
      <c r="B487" s="144"/>
      <c r="C487" s="43" t="s">
        <v>156</v>
      </c>
      <c r="D487" s="62">
        <v>1</v>
      </c>
      <c r="E487" s="30" t="str">
        <f t="shared" si="737"/>
        <v>20:20</v>
      </c>
      <c r="F487" s="30" t="s">
        <v>7</v>
      </c>
      <c r="G487" s="30" t="s">
        <v>7</v>
      </c>
      <c r="H487" s="65" t="s">
        <v>157</v>
      </c>
      <c r="I487" s="30" t="s">
        <v>68</v>
      </c>
      <c r="J487" s="32" t="s">
        <v>36</v>
      </c>
      <c r="K487" s="33" t="s">
        <v>6</v>
      </c>
      <c r="L487" s="46"/>
      <c r="M487" s="120"/>
      <c r="N487" s="120"/>
      <c r="O487" s="120"/>
      <c r="P487" s="122"/>
      <c r="Q487" s="122"/>
      <c r="R487" s="122"/>
      <c r="S487" s="122"/>
    </row>
    <row r="488" spans="1:34" s="61" customFormat="1">
      <c r="A488" s="142"/>
      <c r="B488" s="144"/>
      <c r="C488" s="43" t="s">
        <v>158</v>
      </c>
      <c r="D488" s="62">
        <v>2</v>
      </c>
      <c r="E488" s="30" t="str">
        <f t="shared" si="737"/>
        <v>19:18</v>
      </c>
      <c r="F488" s="30" t="s">
        <v>154</v>
      </c>
      <c r="G488" s="30" t="s">
        <v>154</v>
      </c>
      <c r="H488" s="64" t="s">
        <v>155</v>
      </c>
      <c r="I488" s="30" t="s">
        <v>68</v>
      </c>
      <c r="J488" s="32" t="s">
        <v>36</v>
      </c>
      <c r="K488" s="33" t="s">
        <v>6</v>
      </c>
      <c r="L488" s="46"/>
      <c r="M488" s="120"/>
      <c r="N488" s="120"/>
      <c r="O488" s="120"/>
      <c r="P488" s="122"/>
      <c r="Q488" s="122"/>
      <c r="R488" s="122"/>
      <c r="S488" s="122"/>
    </row>
    <row r="489" spans="1:34" s="61" customFormat="1">
      <c r="A489" s="142"/>
      <c r="B489" s="144"/>
      <c r="C489" s="43" t="s">
        <v>159</v>
      </c>
      <c r="D489" s="62">
        <v>1</v>
      </c>
      <c r="E489" s="30" t="str">
        <f t="shared" si="737"/>
        <v>17:17</v>
      </c>
      <c r="F489" s="30" t="s">
        <v>7</v>
      </c>
      <c r="G489" s="30" t="s">
        <v>7</v>
      </c>
      <c r="H489" s="65" t="s">
        <v>160</v>
      </c>
      <c r="I489" s="30" t="s">
        <v>68</v>
      </c>
      <c r="J489" s="32" t="s">
        <v>36</v>
      </c>
      <c r="K489" s="33" t="s">
        <v>6</v>
      </c>
      <c r="L489" s="46"/>
      <c r="M489" s="120"/>
      <c r="N489" s="120"/>
      <c r="O489" s="120"/>
      <c r="P489" s="122"/>
      <c r="Q489" s="122"/>
      <c r="R489" s="122"/>
      <c r="S489" s="122"/>
    </row>
    <row r="490" spans="1:34" s="61" customFormat="1">
      <c r="A490" s="142"/>
      <c r="B490" s="144"/>
      <c r="C490" s="43" t="s">
        <v>161</v>
      </c>
      <c r="D490" s="62">
        <v>2</v>
      </c>
      <c r="E490" s="30" t="str">
        <f t="shared" si="737"/>
        <v>16:15</v>
      </c>
      <c r="F490" s="30" t="s">
        <v>154</v>
      </c>
      <c r="G490" s="30" t="s">
        <v>154</v>
      </c>
      <c r="H490" s="64" t="s">
        <v>155</v>
      </c>
      <c r="I490" s="30" t="s">
        <v>68</v>
      </c>
      <c r="J490" s="32" t="s">
        <v>36</v>
      </c>
      <c r="K490" s="33" t="s">
        <v>6</v>
      </c>
      <c r="L490" s="46"/>
      <c r="M490" s="120"/>
      <c r="N490" s="120"/>
      <c r="O490" s="120"/>
      <c r="P490" s="122"/>
      <c r="Q490" s="122"/>
      <c r="R490" s="122"/>
      <c r="S490" s="122"/>
    </row>
    <row r="491" spans="1:34" s="61" customFormat="1">
      <c r="A491" s="142"/>
      <c r="B491" s="144"/>
      <c r="C491" s="43" t="s">
        <v>162</v>
      </c>
      <c r="D491" s="62">
        <v>1</v>
      </c>
      <c r="E491" s="30" t="str">
        <f t="shared" si="737"/>
        <v>14:14</v>
      </c>
      <c r="F491" s="30" t="s">
        <v>7</v>
      </c>
      <c r="G491" s="30" t="s">
        <v>7</v>
      </c>
      <c r="H491" s="65" t="s">
        <v>163</v>
      </c>
      <c r="I491" s="30" t="s">
        <v>68</v>
      </c>
      <c r="J491" s="32" t="s">
        <v>36</v>
      </c>
      <c r="K491" s="33" t="s">
        <v>6</v>
      </c>
      <c r="L491" s="46"/>
      <c r="M491" s="120"/>
      <c r="N491" s="120"/>
      <c r="O491" s="120"/>
      <c r="P491" s="122"/>
      <c r="Q491" s="122"/>
      <c r="R491" s="122"/>
      <c r="S491" s="122"/>
    </row>
    <row r="492" spans="1:34" s="61" customFormat="1">
      <c r="A492" s="142"/>
      <c r="B492" s="144"/>
      <c r="C492" s="43" t="s">
        <v>164</v>
      </c>
      <c r="D492" s="62">
        <v>2</v>
      </c>
      <c r="E492" s="30" t="str">
        <f t="shared" si="737"/>
        <v>13:12</v>
      </c>
      <c r="F492" s="30" t="s">
        <v>154</v>
      </c>
      <c r="G492" s="30" t="s">
        <v>154</v>
      </c>
      <c r="H492" s="64" t="s">
        <v>155</v>
      </c>
      <c r="I492" s="30" t="s">
        <v>68</v>
      </c>
      <c r="J492" s="32" t="s">
        <v>36</v>
      </c>
      <c r="K492" s="33" t="s">
        <v>6</v>
      </c>
      <c r="L492" s="46"/>
      <c r="M492" s="120"/>
      <c r="N492" s="120"/>
      <c r="O492" s="120"/>
      <c r="P492" s="122"/>
      <c r="Q492" s="122"/>
      <c r="R492" s="122"/>
      <c r="S492" s="122"/>
    </row>
    <row r="493" spans="1:34" s="61" customFormat="1">
      <c r="A493" s="142"/>
      <c r="B493" s="144"/>
      <c r="C493" s="43" t="s">
        <v>165</v>
      </c>
      <c r="D493" s="62">
        <v>1</v>
      </c>
      <c r="E493" s="30" t="str">
        <f t="shared" si="737"/>
        <v>11:11</v>
      </c>
      <c r="F493" s="30" t="s">
        <v>7</v>
      </c>
      <c r="G493" s="30" t="s">
        <v>7</v>
      </c>
      <c r="H493" s="65" t="s">
        <v>166</v>
      </c>
      <c r="I493" s="30" t="s">
        <v>68</v>
      </c>
      <c r="J493" s="32" t="s">
        <v>36</v>
      </c>
      <c r="K493" s="33" t="s">
        <v>6</v>
      </c>
      <c r="L493" s="46"/>
      <c r="M493" s="120"/>
      <c r="N493" s="120"/>
      <c r="O493" s="120"/>
      <c r="P493" s="122"/>
      <c r="Q493" s="122"/>
      <c r="R493" s="122"/>
      <c r="S493" s="122"/>
    </row>
    <row r="494" spans="1:34" s="61" customFormat="1" ht="72">
      <c r="A494" s="142"/>
      <c r="B494" s="144"/>
      <c r="C494" s="43" t="s">
        <v>167</v>
      </c>
      <c r="D494" s="62">
        <v>4</v>
      </c>
      <c r="E494" s="30" t="str">
        <f t="shared" si="737"/>
        <v>10:7</v>
      </c>
      <c r="F494" s="30" t="s">
        <v>149</v>
      </c>
      <c r="G494" s="30" t="s">
        <v>149</v>
      </c>
      <c r="H494" s="65" t="s">
        <v>168</v>
      </c>
      <c r="I494" s="30" t="s">
        <v>68</v>
      </c>
      <c r="J494" s="32" t="s">
        <v>36</v>
      </c>
      <c r="K494" s="33" t="s">
        <v>6</v>
      </c>
      <c r="L494" s="46"/>
      <c r="M494" s="120"/>
      <c r="N494" s="120"/>
      <c r="O494" s="120"/>
      <c r="P494" s="122"/>
      <c r="Q494" s="122"/>
      <c r="R494" s="122"/>
      <c r="S494" s="122"/>
    </row>
    <row r="495" spans="1:34" s="61" customFormat="1">
      <c r="A495" s="142"/>
      <c r="B495" s="144"/>
      <c r="C495" s="43" t="s">
        <v>169</v>
      </c>
      <c r="D495" s="62">
        <v>1</v>
      </c>
      <c r="E495" s="30" t="str">
        <f t="shared" si="737"/>
        <v>6:6</v>
      </c>
      <c r="F495" s="30" t="s">
        <v>7</v>
      </c>
      <c r="G495" s="30" t="s">
        <v>7</v>
      </c>
      <c r="H495" s="65" t="s">
        <v>170</v>
      </c>
      <c r="I495" s="30" t="s">
        <v>68</v>
      </c>
      <c r="J495" s="32" t="s">
        <v>36</v>
      </c>
      <c r="K495" s="33" t="s">
        <v>6</v>
      </c>
      <c r="L495" s="46"/>
      <c r="M495" s="120"/>
      <c r="N495" s="120"/>
      <c r="O495" s="120"/>
      <c r="P495" s="122"/>
      <c r="Q495" s="122"/>
      <c r="R495" s="122"/>
      <c r="S495" s="122"/>
    </row>
    <row r="496" spans="1:34" s="61" customFormat="1">
      <c r="A496" s="142"/>
      <c r="B496" s="144"/>
      <c r="C496" s="43" t="s">
        <v>171</v>
      </c>
      <c r="D496" s="62">
        <v>1</v>
      </c>
      <c r="E496" s="30" t="str">
        <f t="shared" si="737"/>
        <v>5:5</v>
      </c>
      <c r="F496" s="30" t="s">
        <v>7</v>
      </c>
      <c r="G496" s="30" t="s">
        <v>7</v>
      </c>
      <c r="H496" s="65" t="s">
        <v>172</v>
      </c>
      <c r="I496" s="30" t="s">
        <v>68</v>
      </c>
      <c r="J496" s="32" t="s">
        <v>36</v>
      </c>
      <c r="K496" s="33" t="s">
        <v>6</v>
      </c>
      <c r="L496" s="46"/>
      <c r="M496" s="120"/>
      <c r="N496" s="120"/>
      <c r="O496" s="120"/>
      <c r="P496" s="122"/>
      <c r="Q496" s="122"/>
      <c r="R496" s="122"/>
      <c r="S496" s="122"/>
    </row>
    <row r="497" spans="1:19" s="61" customFormat="1">
      <c r="A497" s="142"/>
      <c r="B497" s="144"/>
      <c r="C497" s="43" t="s">
        <v>173</v>
      </c>
      <c r="D497" s="62">
        <v>1</v>
      </c>
      <c r="E497" s="30" t="str">
        <f t="shared" si="737"/>
        <v>4:4</v>
      </c>
      <c r="F497" s="30" t="s">
        <v>7</v>
      </c>
      <c r="G497" s="30" t="s">
        <v>7</v>
      </c>
      <c r="H497" s="65" t="s">
        <v>174</v>
      </c>
      <c r="I497" s="30" t="s">
        <v>68</v>
      </c>
      <c r="J497" s="32" t="s">
        <v>36</v>
      </c>
      <c r="K497" s="33" t="s">
        <v>6</v>
      </c>
      <c r="L497" s="46"/>
      <c r="M497" s="120"/>
      <c r="N497" s="120"/>
      <c r="O497" s="120"/>
      <c r="P497" s="122"/>
      <c r="Q497" s="122"/>
      <c r="R497" s="122"/>
      <c r="S497" s="122"/>
    </row>
    <row r="498" spans="1:19" s="61" customFormat="1">
      <c r="A498" s="142"/>
      <c r="B498" s="144"/>
      <c r="C498" s="43" t="s">
        <v>175</v>
      </c>
      <c r="D498" s="62">
        <v>1</v>
      </c>
      <c r="E498" s="30" t="str">
        <f t="shared" si="737"/>
        <v>3:3</v>
      </c>
      <c r="F498" s="30" t="s">
        <v>7</v>
      </c>
      <c r="G498" s="30" t="s">
        <v>7</v>
      </c>
      <c r="H498" s="65" t="s">
        <v>176</v>
      </c>
      <c r="I498" s="30" t="s">
        <v>68</v>
      </c>
      <c r="J498" s="32" t="s">
        <v>36</v>
      </c>
      <c r="K498" s="33" t="s">
        <v>6</v>
      </c>
      <c r="L498" s="46"/>
      <c r="M498" s="120"/>
      <c r="N498" s="120"/>
      <c r="O498" s="120"/>
      <c r="P498" s="122"/>
      <c r="Q498" s="122"/>
      <c r="R498" s="122"/>
      <c r="S498" s="122"/>
    </row>
    <row r="499" spans="1:19" s="61" customFormat="1" ht="115.8" thickBot="1">
      <c r="A499" s="142"/>
      <c r="B499" s="144"/>
      <c r="C499" s="43" t="s">
        <v>177</v>
      </c>
      <c r="D499" s="62">
        <v>3</v>
      </c>
      <c r="E499" s="30" t="str">
        <f t="shared" si="737"/>
        <v>2:0</v>
      </c>
      <c r="F499" s="30" t="s">
        <v>178</v>
      </c>
      <c r="G499" s="30" t="s">
        <v>178</v>
      </c>
      <c r="H499" s="65" t="s">
        <v>179</v>
      </c>
      <c r="I499" s="30" t="s">
        <v>68</v>
      </c>
      <c r="J499" s="32" t="s">
        <v>36</v>
      </c>
      <c r="K499" s="33" t="s">
        <v>6</v>
      </c>
      <c r="L499" s="46"/>
      <c r="M499" s="120"/>
      <c r="N499" s="120"/>
      <c r="O499" s="120"/>
      <c r="P499" s="122"/>
      <c r="Q499" s="122"/>
      <c r="R499" s="122"/>
      <c r="S499" s="122"/>
    </row>
    <row r="500" spans="1:19" s="61" customFormat="1" ht="15" thickBot="1">
      <c r="A500" s="142" t="s">
        <v>180</v>
      </c>
      <c r="B500" s="143" t="str">
        <f t="shared" ref="B500" si="738">DEC2HEX(P500*4)</f>
        <v>4</v>
      </c>
      <c r="C500" s="60" t="s">
        <v>134</v>
      </c>
      <c r="D500" s="164" t="str">
        <f>bitConcat(F501:F517)</f>
        <v>32'b01000000000000000000000000000000</v>
      </c>
      <c r="E500" s="165"/>
      <c r="F500" s="165"/>
      <c r="G500" s="165"/>
      <c r="H500" s="166" t="s">
        <v>135</v>
      </c>
      <c r="I500" s="167"/>
      <c r="J500" s="168" t="str">
        <f>bitConcat(G501:G517)</f>
        <v>32'b01000000000000000000000000000000</v>
      </c>
      <c r="K500" s="166"/>
      <c r="L500" s="167"/>
      <c r="M500" s="119" t="str">
        <f t="shared" ref="M500" si="739">DEC2HEX(_xlfn.BITLSHIFT(O500,7)+4*P500)</f>
        <v>204</v>
      </c>
      <c r="N500" s="120"/>
      <c r="O500" s="120">
        <v>4</v>
      </c>
      <c r="P500" s="122">
        <v>1</v>
      </c>
      <c r="Q500" s="121" t="str">
        <f>DEC2HEX(_xlfn.BITLSHIFT(O500,5)+P500)</f>
        <v>81</v>
      </c>
      <c r="R500" s="121" t="str">
        <f>BIN2HEX(LEFT(RIGHT(D500,32),4))&amp;BIN2HEX(LEFT(RIGHT(D500,28),4))&amp;BIN2HEX(LEFT(RIGHT(D500,24),4))&amp;BIN2HEX(LEFT(RIGHT(D500,20),4))&amp;BIN2HEX(LEFT(RIGHT(D500,16),4))&amp;BIN2HEX(LEFT(RIGHT(D500,12),4))&amp;BIN2HEX(LEFT(RIGHT(D500,8),4))&amp;BIN2HEX(LEFT(RIGHT(D500,4),4))</f>
        <v>40000000</v>
      </c>
      <c r="S500" s="121" t="str">
        <f>BIN2HEX(LEFT(RIGHT(J500,32),4))&amp;BIN2HEX(LEFT(RIGHT(J500,28),4))&amp;BIN2HEX(LEFT(RIGHT(J500,24),4))&amp;BIN2HEX(LEFT(RIGHT(J500,20),4))&amp;BIN2HEX(LEFT(RIGHT(J500,16),4))&amp;BIN2HEX(LEFT(RIGHT(J500,12),4))&amp;BIN2HEX(LEFT(RIGHT(J500,8),4))&amp;BIN2HEX(LEFT(RIGHT(J500,4),4))</f>
        <v>40000000</v>
      </c>
    </row>
    <row r="501" spans="1:19" s="61" customFormat="1">
      <c r="A501" s="142"/>
      <c r="B501" s="144"/>
      <c r="C501" s="43" t="s">
        <v>181</v>
      </c>
      <c r="D501" s="62">
        <v>4</v>
      </c>
      <c r="E501" s="30" t="str">
        <f>IF(D501&gt;1,(31)&amp;":"&amp;(31-D501+1),(31-D501+1)&amp;":"&amp;(31-D501+1))</f>
        <v>31:28</v>
      </c>
      <c r="F501" s="30" t="s">
        <v>182</v>
      </c>
      <c r="G501" s="30" t="s">
        <v>182</v>
      </c>
      <c r="H501" s="63" t="s">
        <v>147</v>
      </c>
      <c r="I501" s="30" t="s">
        <v>68</v>
      </c>
      <c r="J501" s="32" t="s">
        <v>36</v>
      </c>
      <c r="K501" s="33" t="s">
        <v>6</v>
      </c>
      <c r="L501" s="46"/>
      <c r="M501" s="120"/>
      <c r="N501" s="120"/>
      <c r="O501" s="120"/>
      <c r="P501" s="122"/>
      <c r="Q501" s="122"/>
      <c r="R501" s="122"/>
      <c r="S501" s="122"/>
    </row>
    <row r="502" spans="1:19" s="61" customFormat="1">
      <c r="A502" s="142"/>
      <c r="B502" s="144"/>
      <c r="C502" s="43" t="s">
        <v>183</v>
      </c>
      <c r="D502" s="62">
        <v>4</v>
      </c>
      <c r="E502" s="30" t="str">
        <f t="shared" ref="E502" si="740">(MID(str_cnvt(E501),SEARCH(":",str_cnvt(E501))+1,2)-1) &amp; ":" &amp; (MID(str_cnvt(E501),SEARCH(":",str_cnvt(E501))+1,2)-D502)</f>
        <v>27:24</v>
      </c>
      <c r="F502" s="30" t="s">
        <v>149</v>
      </c>
      <c r="G502" s="30" t="s">
        <v>149</v>
      </c>
      <c r="H502" s="64" t="s">
        <v>150</v>
      </c>
      <c r="I502" s="30" t="s">
        <v>68</v>
      </c>
      <c r="J502" s="32" t="s">
        <v>36</v>
      </c>
      <c r="K502" s="33" t="s">
        <v>6</v>
      </c>
      <c r="L502" s="46"/>
      <c r="M502" s="120"/>
      <c r="N502" s="120"/>
      <c r="O502" s="120"/>
      <c r="P502" s="122"/>
      <c r="Q502" s="122"/>
      <c r="R502" s="122"/>
      <c r="S502" s="122"/>
    </row>
    <row r="503" spans="1:19" s="61" customFormat="1">
      <c r="A503" s="142"/>
      <c r="B503" s="144"/>
      <c r="C503" s="43" t="s">
        <v>184</v>
      </c>
      <c r="D503" s="62">
        <v>1</v>
      </c>
      <c r="E503" s="30" t="str">
        <f t="shared" ref="E503:E516" si="741">(MID(str_cnvt(E502),SEARCH(":",str_cnvt(E502))+1,2)-1) &amp; ":" &amp; (MID(str_cnvt(E502),SEARCH(":",str_cnvt(E502))+1,2)-D503)</f>
        <v>23:23</v>
      </c>
      <c r="F503" s="30" t="s">
        <v>7</v>
      </c>
      <c r="G503" s="30" t="s">
        <v>7</v>
      </c>
      <c r="H503" s="65" t="s">
        <v>185</v>
      </c>
      <c r="I503" s="30" t="s">
        <v>68</v>
      </c>
      <c r="J503" s="32" t="s">
        <v>36</v>
      </c>
      <c r="K503" s="33" t="s">
        <v>6</v>
      </c>
      <c r="L503" s="46"/>
      <c r="M503" s="120"/>
      <c r="N503" s="120"/>
      <c r="O503" s="120"/>
      <c r="P503" s="122"/>
      <c r="Q503" s="122"/>
      <c r="R503" s="122"/>
      <c r="S503" s="122"/>
    </row>
    <row r="504" spans="1:19" s="61" customFormat="1">
      <c r="A504" s="142"/>
      <c r="B504" s="144"/>
      <c r="C504" s="43" t="s">
        <v>186</v>
      </c>
      <c r="D504" s="62">
        <v>2</v>
      </c>
      <c r="E504" s="30" t="str">
        <f t="shared" si="741"/>
        <v>22:21</v>
      </c>
      <c r="F504" s="30" t="s">
        <v>154</v>
      </c>
      <c r="G504" s="30" t="s">
        <v>154</v>
      </c>
      <c r="H504" s="64" t="s">
        <v>155</v>
      </c>
      <c r="I504" s="30" t="s">
        <v>68</v>
      </c>
      <c r="J504" s="32" t="s">
        <v>36</v>
      </c>
      <c r="K504" s="33" t="s">
        <v>6</v>
      </c>
      <c r="L504" s="46"/>
      <c r="M504" s="120"/>
      <c r="N504" s="120"/>
      <c r="O504" s="120"/>
      <c r="P504" s="122"/>
      <c r="Q504" s="122"/>
      <c r="R504" s="122"/>
      <c r="S504" s="122"/>
    </row>
    <row r="505" spans="1:19" s="61" customFormat="1">
      <c r="A505" s="142"/>
      <c r="B505" s="144"/>
      <c r="C505" s="43" t="s">
        <v>187</v>
      </c>
      <c r="D505" s="62">
        <v>1</v>
      </c>
      <c r="E505" s="30" t="str">
        <f t="shared" si="741"/>
        <v>20:20</v>
      </c>
      <c r="F505" s="30" t="s">
        <v>7</v>
      </c>
      <c r="G505" s="30" t="s">
        <v>7</v>
      </c>
      <c r="H505" s="65" t="s">
        <v>157</v>
      </c>
      <c r="I505" s="30" t="s">
        <v>68</v>
      </c>
      <c r="J505" s="32" t="s">
        <v>36</v>
      </c>
      <c r="K505" s="33" t="s">
        <v>6</v>
      </c>
      <c r="L505" s="46"/>
      <c r="M505" s="120"/>
      <c r="N505" s="120"/>
      <c r="O505" s="120"/>
      <c r="P505" s="122"/>
      <c r="Q505" s="122"/>
      <c r="R505" s="122"/>
      <c r="S505" s="122"/>
    </row>
    <row r="506" spans="1:19" s="61" customFormat="1">
      <c r="A506" s="142"/>
      <c r="B506" s="144"/>
      <c r="C506" s="43" t="s">
        <v>188</v>
      </c>
      <c r="D506" s="62">
        <v>2</v>
      </c>
      <c r="E506" s="30" t="str">
        <f t="shared" si="741"/>
        <v>19:18</v>
      </c>
      <c r="F506" s="30" t="s">
        <v>154</v>
      </c>
      <c r="G506" s="30" t="s">
        <v>154</v>
      </c>
      <c r="H506" s="64" t="s">
        <v>155</v>
      </c>
      <c r="I506" s="30" t="s">
        <v>68</v>
      </c>
      <c r="J506" s="32" t="s">
        <v>36</v>
      </c>
      <c r="K506" s="33" t="s">
        <v>6</v>
      </c>
      <c r="L506" s="46"/>
      <c r="M506" s="120"/>
      <c r="N506" s="120"/>
      <c r="O506" s="120"/>
      <c r="P506" s="122"/>
      <c r="Q506" s="122"/>
      <c r="R506" s="122"/>
      <c r="S506" s="122"/>
    </row>
    <row r="507" spans="1:19" s="61" customFormat="1">
      <c r="A507" s="142"/>
      <c r="B507" s="144"/>
      <c r="C507" s="43" t="s">
        <v>189</v>
      </c>
      <c r="D507" s="62">
        <v>1</v>
      </c>
      <c r="E507" s="30" t="str">
        <f t="shared" si="741"/>
        <v>17:17</v>
      </c>
      <c r="F507" s="30" t="s">
        <v>7</v>
      </c>
      <c r="G507" s="30" t="s">
        <v>7</v>
      </c>
      <c r="H507" s="65" t="s">
        <v>160</v>
      </c>
      <c r="I507" s="30" t="s">
        <v>68</v>
      </c>
      <c r="J507" s="32" t="s">
        <v>36</v>
      </c>
      <c r="K507" s="33" t="s">
        <v>6</v>
      </c>
      <c r="L507" s="46"/>
      <c r="M507" s="120"/>
      <c r="N507" s="120"/>
      <c r="O507" s="120"/>
      <c r="P507" s="122"/>
      <c r="Q507" s="122"/>
      <c r="R507" s="122"/>
      <c r="S507" s="122"/>
    </row>
    <row r="508" spans="1:19" s="61" customFormat="1">
      <c r="A508" s="142"/>
      <c r="B508" s="144"/>
      <c r="C508" s="43" t="s">
        <v>190</v>
      </c>
      <c r="D508" s="62">
        <v>2</v>
      </c>
      <c r="E508" s="30" t="str">
        <f t="shared" si="741"/>
        <v>16:15</v>
      </c>
      <c r="F508" s="30" t="s">
        <v>154</v>
      </c>
      <c r="G508" s="30" t="s">
        <v>154</v>
      </c>
      <c r="H508" s="64" t="s">
        <v>155</v>
      </c>
      <c r="I508" s="30" t="s">
        <v>68</v>
      </c>
      <c r="J508" s="32" t="s">
        <v>36</v>
      </c>
      <c r="K508" s="33" t="s">
        <v>6</v>
      </c>
      <c r="L508" s="46"/>
      <c r="M508" s="120"/>
      <c r="N508" s="120"/>
      <c r="O508" s="120"/>
      <c r="P508" s="122"/>
      <c r="Q508" s="122"/>
      <c r="R508" s="122"/>
      <c r="S508" s="122"/>
    </row>
    <row r="509" spans="1:19" s="61" customFormat="1">
      <c r="A509" s="142"/>
      <c r="B509" s="144"/>
      <c r="C509" s="43" t="s">
        <v>191</v>
      </c>
      <c r="D509" s="62">
        <v>1</v>
      </c>
      <c r="E509" s="30" t="str">
        <f t="shared" si="741"/>
        <v>14:14</v>
      </c>
      <c r="F509" s="30" t="s">
        <v>7</v>
      </c>
      <c r="G509" s="30" t="s">
        <v>7</v>
      </c>
      <c r="H509" s="65" t="s">
        <v>163</v>
      </c>
      <c r="I509" s="30" t="s">
        <v>68</v>
      </c>
      <c r="J509" s="32" t="s">
        <v>36</v>
      </c>
      <c r="K509" s="33" t="s">
        <v>6</v>
      </c>
      <c r="L509" s="46"/>
      <c r="M509" s="120"/>
      <c r="N509" s="120"/>
      <c r="O509" s="120"/>
      <c r="P509" s="122"/>
      <c r="Q509" s="122"/>
      <c r="R509" s="122"/>
      <c r="S509" s="122"/>
    </row>
    <row r="510" spans="1:19" s="61" customFormat="1">
      <c r="A510" s="142"/>
      <c r="B510" s="144"/>
      <c r="C510" s="43" t="s">
        <v>192</v>
      </c>
      <c r="D510" s="62">
        <v>2</v>
      </c>
      <c r="E510" s="30" t="str">
        <f t="shared" si="741"/>
        <v>13:12</v>
      </c>
      <c r="F510" s="30" t="s">
        <v>154</v>
      </c>
      <c r="G510" s="30" t="s">
        <v>154</v>
      </c>
      <c r="H510" s="64" t="s">
        <v>155</v>
      </c>
      <c r="I510" s="30" t="s">
        <v>68</v>
      </c>
      <c r="J510" s="32" t="s">
        <v>36</v>
      </c>
      <c r="K510" s="33" t="s">
        <v>6</v>
      </c>
      <c r="L510" s="46"/>
      <c r="M510" s="120"/>
      <c r="N510" s="120"/>
      <c r="O510" s="120"/>
      <c r="P510" s="122"/>
      <c r="Q510" s="122"/>
      <c r="R510" s="122"/>
      <c r="S510" s="122"/>
    </row>
    <row r="511" spans="1:19" s="61" customFormat="1">
      <c r="A511" s="142"/>
      <c r="B511" s="144"/>
      <c r="C511" s="43" t="s">
        <v>193</v>
      </c>
      <c r="D511" s="62">
        <v>1</v>
      </c>
      <c r="E511" s="30" t="str">
        <f t="shared" si="741"/>
        <v>11:11</v>
      </c>
      <c r="F511" s="30" t="s">
        <v>7</v>
      </c>
      <c r="G511" s="30" t="s">
        <v>7</v>
      </c>
      <c r="H511" s="65" t="s">
        <v>166</v>
      </c>
      <c r="I511" s="30" t="s">
        <v>68</v>
      </c>
      <c r="J511" s="32" t="s">
        <v>36</v>
      </c>
      <c r="K511" s="33" t="s">
        <v>6</v>
      </c>
      <c r="L511" s="46"/>
      <c r="M511" s="120"/>
      <c r="N511" s="120"/>
      <c r="O511" s="120"/>
      <c r="P511" s="122"/>
      <c r="Q511" s="122"/>
      <c r="R511" s="122"/>
      <c r="S511" s="122"/>
    </row>
    <row r="512" spans="1:19" s="61" customFormat="1" ht="72">
      <c r="A512" s="142"/>
      <c r="B512" s="144"/>
      <c r="C512" s="43" t="s">
        <v>194</v>
      </c>
      <c r="D512" s="62">
        <v>4</v>
      </c>
      <c r="E512" s="30" t="str">
        <f t="shared" si="741"/>
        <v>10:7</v>
      </c>
      <c r="F512" s="30" t="s">
        <v>149</v>
      </c>
      <c r="G512" s="30" t="s">
        <v>149</v>
      </c>
      <c r="H512" s="65" t="s">
        <v>168</v>
      </c>
      <c r="I512" s="30" t="s">
        <v>68</v>
      </c>
      <c r="J512" s="32" t="s">
        <v>36</v>
      </c>
      <c r="K512" s="33" t="s">
        <v>6</v>
      </c>
      <c r="L512" s="46"/>
      <c r="M512" s="120"/>
      <c r="N512" s="120"/>
      <c r="O512" s="120"/>
      <c r="P512" s="122"/>
      <c r="Q512" s="122"/>
      <c r="R512" s="122"/>
      <c r="S512" s="122"/>
    </row>
    <row r="513" spans="1:19" s="61" customFormat="1">
      <c r="A513" s="142"/>
      <c r="B513" s="144"/>
      <c r="C513" s="43" t="s">
        <v>195</v>
      </c>
      <c r="D513" s="62">
        <v>1</v>
      </c>
      <c r="E513" s="30" t="str">
        <f t="shared" si="741"/>
        <v>6:6</v>
      </c>
      <c r="F513" s="30" t="s">
        <v>7</v>
      </c>
      <c r="G513" s="30" t="s">
        <v>7</v>
      </c>
      <c r="H513" s="65" t="s">
        <v>170</v>
      </c>
      <c r="I513" s="30" t="s">
        <v>68</v>
      </c>
      <c r="J513" s="32" t="s">
        <v>36</v>
      </c>
      <c r="K513" s="33" t="s">
        <v>6</v>
      </c>
      <c r="L513" s="46"/>
      <c r="M513" s="120"/>
      <c r="N513" s="120"/>
      <c r="O513" s="120"/>
      <c r="P513" s="122"/>
      <c r="Q513" s="122"/>
      <c r="R513" s="122"/>
      <c r="S513" s="122"/>
    </row>
    <row r="514" spans="1:19" s="61" customFormat="1">
      <c r="A514" s="142"/>
      <c r="B514" s="144"/>
      <c r="C514" s="43" t="s">
        <v>196</v>
      </c>
      <c r="D514" s="62">
        <v>1</v>
      </c>
      <c r="E514" s="30" t="str">
        <f t="shared" si="741"/>
        <v>5:5</v>
      </c>
      <c r="F514" s="30" t="s">
        <v>7</v>
      </c>
      <c r="G514" s="30" t="s">
        <v>7</v>
      </c>
      <c r="H514" s="65" t="s">
        <v>172</v>
      </c>
      <c r="I514" s="30" t="s">
        <v>68</v>
      </c>
      <c r="J514" s="32" t="s">
        <v>36</v>
      </c>
      <c r="K514" s="33" t="s">
        <v>6</v>
      </c>
      <c r="L514" s="46"/>
      <c r="M514" s="120"/>
      <c r="N514" s="120"/>
      <c r="O514" s="120"/>
      <c r="P514" s="122"/>
      <c r="Q514" s="122"/>
      <c r="R514" s="122"/>
      <c r="S514" s="122"/>
    </row>
    <row r="515" spans="1:19" s="61" customFormat="1">
      <c r="A515" s="142"/>
      <c r="B515" s="144"/>
      <c r="C515" s="43" t="s">
        <v>197</v>
      </c>
      <c r="D515" s="62">
        <v>1</v>
      </c>
      <c r="E515" s="30" t="str">
        <f t="shared" si="741"/>
        <v>4:4</v>
      </c>
      <c r="F515" s="30" t="s">
        <v>7</v>
      </c>
      <c r="G515" s="30" t="s">
        <v>7</v>
      </c>
      <c r="H515" s="65" t="s">
        <v>174</v>
      </c>
      <c r="I515" s="30" t="s">
        <v>68</v>
      </c>
      <c r="J515" s="32" t="s">
        <v>36</v>
      </c>
      <c r="K515" s="33" t="s">
        <v>6</v>
      </c>
      <c r="L515" s="46"/>
      <c r="M515" s="120"/>
      <c r="N515" s="120"/>
      <c r="O515" s="120"/>
      <c r="P515" s="122"/>
      <c r="Q515" s="122"/>
      <c r="R515" s="122"/>
      <c r="S515" s="122"/>
    </row>
    <row r="516" spans="1:19" s="61" customFormat="1">
      <c r="A516" s="142"/>
      <c r="B516" s="144"/>
      <c r="C516" s="43" t="s">
        <v>198</v>
      </c>
      <c r="D516" s="62">
        <v>1</v>
      </c>
      <c r="E516" s="30" t="str">
        <f t="shared" si="741"/>
        <v>3:3</v>
      </c>
      <c r="F516" s="30" t="s">
        <v>7</v>
      </c>
      <c r="G516" s="30" t="s">
        <v>7</v>
      </c>
      <c r="H516" s="65" t="s">
        <v>176</v>
      </c>
      <c r="I516" s="30" t="s">
        <v>68</v>
      </c>
      <c r="J516" s="32" t="s">
        <v>36</v>
      </c>
      <c r="K516" s="33" t="s">
        <v>6</v>
      </c>
      <c r="L516" s="46"/>
      <c r="M516" s="120"/>
      <c r="N516" s="120"/>
      <c r="O516" s="120"/>
      <c r="P516" s="122"/>
      <c r="Q516" s="122"/>
      <c r="R516" s="122"/>
      <c r="S516" s="122"/>
    </row>
    <row r="517" spans="1:19" s="61" customFormat="1" ht="115.8" thickBot="1">
      <c r="A517" s="142"/>
      <c r="B517" s="144"/>
      <c r="C517" s="43" t="s">
        <v>199</v>
      </c>
      <c r="D517" s="62">
        <v>3</v>
      </c>
      <c r="E517" s="30" t="str">
        <f t="shared" ref="E517" si="742">(MID(str_cnvt(E516),SEARCH(":",str_cnvt(E516))+1,2)-1) &amp; ":" &amp; (MID(str_cnvt(E516),SEARCH(":",str_cnvt(E516))+1,2)-D517)</f>
        <v>2:0</v>
      </c>
      <c r="F517" s="30" t="s">
        <v>178</v>
      </c>
      <c r="G517" s="30" t="s">
        <v>178</v>
      </c>
      <c r="H517" s="65" t="s">
        <v>179</v>
      </c>
      <c r="I517" s="30" t="s">
        <v>68</v>
      </c>
      <c r="J517" s="32" t="s">
        <v>36</v>
      </c>
      <c r="K517" s="33" t="s">
        <v>6</v>
      </c>
      <c r="L517" s="46"/>
      <c r="M517" s="120"/>
      <c r="N517" s="120"/>
      <c r="O517" s="120"/>
      <c r="P517" s="122"/>
      <c r="Q517" s="122"/>
      <c r="R517" s="122"/>
      <c r="S517" s="122"/>
    </row>
    <row r="518" spans="1:19" s="61" customFormat="1" ht="15" thickBot="1">
      <c r="A518" s="142" t="s">
        <v>200</v>
      </c>
      <c r="B518" s="143" t="str">
        <f t="shared" ref="B518" si="743">DEC2HEX(P518*4)</f>
        <v>8</v>
      </c>
      <c r="C518" s="60" t="s">
        <v>134</v>
      </c>
      <c r="D518" s="164" t="str">
        <f>bitConcat(F519:F532)</f>
        <v>32'b00100000000000000000000000000000</v>
      </c>
      <c r="E518" s="165"/>
      <c r="F518" s="165"/>
      <c r="G518" s="165"/>
      <c r="H518" s="166" t="s">
        <v>135</v>
      </c>
      <c r="I518" s="167"/>
      <c r="J518" s="168" t="str">
        <f>bitConcat(G519:G532)</f>
        <v>32'b00100000000000000000000000000000</v>
      </c>
      <c r="K518" s="166"/>
      <c r="L518" s="167"/>
      <c r="M518" s="119" t="str">
        <f t="shared" ref="M518" si="744">DEC2HEX(_xlfn.BITLSHIFT(O518,7)+4*P518)</f>
        <v>208</v>
      </c>
      <c r="N518" s="120"/>
      <c r="O518" s="120">
        <v>4</v>
      </c>
      <c r="P518" s="122">
        <v>2</v>
      </c>
      <c r="Q518" s="121" t="str">
        <f>DEC2HEX(_xlfn.BITLSHIFT(O518,5)+P518)</f>
        <v>82</v>
      </c>
      <c r="R518" s="121" t="str">
        <f>BIN2HEX(LEFT(RIGHT(D518,32),4))&amp;BIN2HEX(LEFT(RIGHT(D518,28),4))&amp;BIN2HEX(LEFT(RIGHT(D518,24),4))&amp;BIN2HEX(LEFT(RIGHT(D518,20),4))&amp;BIN2HEX(LEFT(RIGHT(D518,16),4))&amp;BIN2HEX(LEFT(RIGHT(D518,12),4))&amp;BIN2HEX(LEFT(RIGHT(D518,8),4))&amp;BIN2HEX(LEFT(RIGHT(D518,4),4))</f>
        <v>20000000</v>
      </c>
      <c r="S518" s="121" t="str">
        <f>BIN2HEX(LEFT(RIGHT(J518,32),4))&amp;BIN2HEX(LEFT(RIGHT(J518,28),4))&amp;BIN2HEX(LEFT(RIGHT(J518,24),4))&amp;BIN2HEX(LEFT(RIGHT(J518,20),4))&amp;BIN2HEX(LEFT(RIGHT(J518,16),4))&amp;BIN2HEX(LEFT(RIGHT(J518,12),4))&amp;BIN2HEX(LEFT(RIGHT(J518,8),4))&amp;BIN2HEX(LEFT(RIGHT(J518,4),4))</f>
        <v>20000000</v>
      </c>
    </row>
    <row r="519" spans="1:19" s="61" customFormat="1">
      <c r="A519" s="142"/>
      <c r="B519" s="144"/>
      <c r="C519" s="43" t="s">
        <v>201</v>
      </c>
      <c r="D519" s="62">
        <v>4</v>
      </c>
      <c r="E519" s="30" t="str">
        <f>IF(D519&gt;1,(31)&amp;":"&amp;(31-D519+1),(31-D519+1)&amp;":"&amp;(31-D519+1))</f>
        <v>31:28</v>
      </c>
      <c r="F519" s="30" t="s">
        <v>202</v>
      </c>
      <c r="G519" s="30" t="s">
        <v>202</v>
      </c>
      <c r="H519" s="63" t="s">
        <v>147</v>
      </c>
      <c r="I519" s="30" t="s">
        <v>68</v>
      </c>
      <c r="J519" s="32" t="s">
        <v>36</v>
      </c>
      <c r="K519" s="33" t="s">
        <v>6</v>
      </c>
      <c r="L519" s="46"/>
      <c r="M519" s="120"/>
      <c r="N519" s="120"/>
      <c r="O519" s="120"/>
      <c r="P519" s="122"/>
      <c r="Q519" s="122"/>
      <c r="R519" s="122"/>
      <c r="S519" s="122"/>
    </row>
    <row r="520" spans="1:19" s="61" customFormat="1">
      <c r="A520" s="142"/>
      <c r="B520" s="144"/>
      <c r="C520" s="43" t="s">
        <v>203</v>
      </c>
      <c r="D520" s="62">
        <v>4</v>
      </c>
      <c r="E520" s="30" t="str">
        <f t="shared" ref="E520:E532" si="745">(MID(str_cnvt(E519),SEARCH(":",str_cnvt(E519))+1,2)-1) &amp; ":" &amp; (MID(str_cnvt(E519),SEARCH(":",str_cnvt(E519))+1,2)-D520)</f>
        <v>27:24</v>
      </c>
      <c r="F520" s="30" t="s">
        <v>149</v>
      </c>
      <c r="G520" s="30" t="s">
        <v>149</v>
      </c>
      <c r="H520" s="64" t="s">
        <v>150</v>
      </c>
      <c r="I520" s="30" t="s">
        <v>68</v>
      </c>
      <c r="J520" s="32" t="s">
        <v>36</v>
      </c>
      <c r="K520" s="33" t="s">
        <v>6</v>
      </c>
      <c r="L520" s="46"/>
      <c r="M520" s="120"/>
      <c r="N520" s="120"/>
      <c r="O520" s="120"/>
      <c r="P520" s="122"/>
      <c r="Q520" s="122"/>
      <c r="R520" s="122"/>
      <c r="S520" s="122"/>
    </row>
    <row r="521" spans="1:19" s="61" customFormat="1">
      <c r="A521" s="142"/>
      <c r="B521" s="144"/>
      <c r="C521" s="43" t="s">
        <v>204</v>
      </c>
      <c r="D521" s="62">
        <v>1</v>
      </c>
      <c r="E521" s="30" t="str">
        <f t="shared" ref="E521:E530" si="746">(MID(str_cnvt(E520),SEARCH(":",str_cnvt(E520))+1,2)-1) &amp; ":" &amp; (MID(str_cnvt(E520),SEARCH(":",str_cnvt(E520))+1,2)-D521)</f>
        <v>23:23</v>
      </c>
      <c r="F521" s="30" t="s">
        <v>7</v>
      </c>
      <c r="G521" s="30" t="s">
        <v>7</v>
      </c>
      <c r="H521" s="65" t="s">
        <v>205</v>
      </c>
      <c r="I521" s="30" t="s">
        <v>68</v>
      </c>
      <c r="J521" s="32" t="s">
        <v>36</v>
      </c>
      <c r="K521" s="33" t="s">
        <v>6</v>
      </c>
      <c r="L521" s="46"/>
      <c r="M521" s="120"/>
      <c r="N521" s="120"/>
      <c r="O521" s="120"/>
      <c r="P521" s="122"/>
      <c r="Q521" s="122"/>
      <c r="R521" s="122"/>
      <c r="S521" s="122"/>
    </row>
    <row r="522" spans="1:19" s="61" customFormat="1">
      <c r="A522" s="142"/>
      <c r="B522" s="144"/>
      <c r="C522" s="43" t="s">
        <v>206</v>
      </c>
      <c r="D522" s="62">
        <v>2</v>
      </c>
      <c r="E522" s="30" t="str">
        <f t="shared" si="746"/>
        <v>22:21</v>
      </c>
      <c r="F522" s="30" t="s">
        <v>154</v>
      </c>
      <c r="G522" s="30" t="s">
        <v>154</v>
      </c>
      <c r="H522" s="64" t="s">
        <v>155</v>
      </c>
      <c r="I522" s="30" t="s">
        <v>68</v>
      </c>
      <c r="J522" s="32" t="s">
        <v>36</v>
      </c>
      <c r="K522" s="33" t="s">
        <v>6</v>
      </c>
      <c r="L522" s="46"/>
      <c r="M522" s="120"/>
      <c r="N522" s="120"/>
      <c r="O522" s="120"/>
      <c r="P522" s="122"/>
      <c r="Q522" s="122"/>
      <c r="R522" s="122"/>
      <c r="S522" s="122"/>
    </row>
    <row r="523" spans="1:19" s="61" customFormat="1">
      <c r="A523" s="142"/>
      <c r="B523" s="144"/>
      <c r="C523" s="43" t="s">
        <v>207</v>
      </c>
      <c r="D523" s="62">
        <v>1</v>
      </c>
      <c r="E523" s="30" t="str">
        <f t="shared" si="746"/>
        <v>20:20</v>
      </c>
      <c r="F523" s="30" t="s">
        <v>7</v>
      </c>
      <c r="G523" s="30" t="s">
        <v>7</v>
      </c>
      <c r="H523" s="65" t="s">
        <v>157</v>
      </c>
      <c r="I523" s="30" t="s">
        <v>68</v>
      </c>
      <c r="J523" s="32" t="s">
        <v>36</v>
      </c>
      <c r="K523" s="33" t="s">
        <v>6</v>
      </c>
      <c r="L523" s="46"/>
      <c r="M523" s="120"/>
      <c r="N523" s="120"/>
      <c r="O523" s="120"/>
      <c r="P523" s="122"/>
      <c r="Q523" s="122"/>
      <c r="R523" s="122"/>
      <c r="S523" s="122"/>
    </row>
    <row r="524" spans="1:19" s="61" customFormat="1">
      <c r="A524" s="142"/>
      <c r="B524" s="144"/>
      <c r="C524" s="43" t="s">
        <v>208</v>
      </c>
      <c r="D524" s="62">
        <v>2</v>
      </c>
      <c r="E524" s="30" t="str">
        <f t="shared" si="746"/>
        <v>19:18</v>
      </c>
      <c r="F524" s="30" t="s">
        <v>154</v>
      </c>
      <c r="G524" s="30" t="s">
        <v>154</v>
      </c>
      <c r="H524" s="64" t="s">
        <v>155</v>
      </c>
      <c r="I524" s="30" t="s">
        <v>68</v>
      </c>
      <c r="J524" s="32" t="s">
        <v>36</v>
      </c>
      <c r="K524" s="33" t="s">
        <v>6</v>
      </c>
      <c r="L524" s="46"/>
      <c r="M524" s="120"/>
      <c r="N524" s="120"/>
      <c r="O524" s="120"/>
      <c r="P524" s="122"/>
      <c r="Q524" s="122"/>
      <c r="R524" s="122"/>
      <c r="S524" s="122"/>
    </row>
    <row r="525" spans="1:19" s="61" customFormat="1">
      <c r="A525" s="142"/>
      <c r="B525" s="144"/>
      <c r="C525" s="43" t="s">
        <v>209</v>
      </c>
      <c r="D525" s="62">
        <v>1</v>
      </c>
      <c r="E525" s="30" t="str">
        <f t="shared" si="746"/>
        <v>17:17</v>
      </c>
      <c r="F525" s="30" t="s">
        <v>7</v>
      </c>
      <c r="G525" s="30" t="s">
        <v>7</v>
      </c>
      <c r="H525" s="65" t="s">
        <v>160</v>
      </c>
      <c r="I525" s="30" t="s">
        <v>68</v>
      </c>
      <c r="J525" s="32" t="s">
        <v>36</v>
      </c>
      <c r="K525" s="33" t="s">
        <v>6</v>
      </c>
      <c r="L525" s="46"/>
      <c r="M525" s="120"/>
      <c r="N525" s="120"/>
      <c r="O525" s="120"/>
      <c r="P525" s="122"/>
      <c r="Q525" s="122"/>
      <c r="R525" s="122"/>
      <c r="S525" s="122"/>
    </row>
    <row r="526" spans="1:19" s="61" customFormat="1">
      <c r="A526" s="142"/>
      <c r="B526" s="144"/>
      <c r="C526" s="43" t="s">
        <v>210</v>
      </c>
      <c r="D526" s="62">
        <v>2</v>
      </c>
      <c r="E526" s="30" t="str">
        <f t="shared" si="746"/>
        <v>16:15</v>
      </c>
      <c r="F526" s="30" t="s">
        <v>154</v>
      </c>
      <c r="G526" s="30" t="s">
        <v>154</v>
      </c>
      <c r="H526" s="64" t="s">
        <v>155</v>
      </c>
      <c r="I526" s="30" t="s">
        <v>68</v>
      </c>
      <c r="J526" s="32" t="s">
        <v>36</v>
      </c>
      <c r="K526" s="33" t="s">
        <v>6</v>
      </c>
      <c r="L526" s="46"/>
      <c r="M526" s="120"/>
      <c r="N526" s="120"/>
      <c r="O526" s="120"/>
      <c r="P526" s="122"/>
      <c r="Q526" s="122"/>
      <c r="R526" s="122"/>
      <c r="S526" s="122"/>
    </row>
    <row r="527" spans="1:19" s="61" customFormat="1">
      <c r="A527" s="142"/>
      <c r="B527" s="144"/>
      <c r="C527" s="43" t="s">
        <v>211</v>
      </c>
      <c r="D527" s="62">
        <v>1</v>
      </c>
      <c r="E527" s="30" t="str">
        <f t="shared" si="746"/>
        <v>14:14</v>
      </c>
      <c r="F527" s="30" t="s">
        <v>7</v>
      </c>
      <c r="G527" s="30" t="s">
        <v>7</v>
      </c>
      <c r="H527" s="65" t="s">
        <v>163</v>
      </c>
      <c r="I527" s="30" t="s">
        <v>68</v>
      </c>
      <c r="J527" s="32" t="s">
        <v>36</v>
      </c>
      <c r="K527" s="33" t="s">
        <v>6</v>
      </c>
      <c r="L527" s="46"/>
      <c r="M527" s="120"/>
      <c r="N527" s="120"/>
      <c r="O527" s="120"/>
      <c r="P527" s="122"/>
      <c r="Q527" s="122"/>
      <c r="R527" s="122"/>
      <c r="S527" s="122"/>
    </row>
    <row r="528" spans="1:19" s="61" customFormat="1">
      <c r="A528" s="142"/>
      <c r="B528" s="144"/>
      <c r="C528" s="43" t="s">
        <v>212</v>
      </c>
      <c r="D528" s="62">
        <v>2</v>
      </c>
      <c r="E528" s="30" t="str">
        <f t="shared" si="746"/>
        <v>13:12</v>
      </c>
      <c r="F528" s="30" t="s">
        <v>154</v>
      </c>
      <c r="G528" s="30" t="s">
        <v>154</v>
      </c>
      <c r="H528" s="64" t="s">
        <v>155</v>
      </c>
      <c r="I528" s="30" t="s">
        <v>68</v>
      </c>
      <c r="J528" s="32" t="s">
        <v>36</v>
      </c>
      <c r="K528" s="33" t="s">
        <v>6</v>
      </c>
      <c r="L528" s="46"/>
      <c r="M528" s="120"/>
      <c r="N528" s="120"/>
      <c r="O528" s="120"/>
      <c r="P528" s="122"/>
      <c r="Q528" s="122"/>
      <c r="R528" s="122"/>
      <c r="S528" s="122"/>
    </row>
    <row r="529" spans="1:19" s="61" customFormat="1">
      <c r="A529" s="142"/>
      <c r="B529" s="144"/>
      <c r="C529" s="43" t="s">
        <v>213</v>
      </c>
      <c r="D529" s="62">
        <v>1</v>
      </c>
      <c r="E529" s="30" t="str">
        <f t="shared" si="746"/>
        <v>11:11</v>
      </c>
      <c r="F529" s="30" t="s">
        <v>7</v>
      </c>
      <c r="G529" s="30" t="s">
        <v>7</v>
      </c>
      <c r="H529" s="65" t="s">
        <v>166</v>
      </c>
      <c r="I529" s="30" t="s">
        <v>68</v>
      </c>
      <c r="J529" s="32" t="s">
        <v>36</v>
      </c>
      <c r="K529" s="33" t="s">
        <v>6</v>
      </c>
      <c r="L529" s="46"/>
      <c r="M529" s="120"/>
      <c r="N529" s="120"/>
      <c r="O529" s="120"/>
      <c r="P529" s="122"/>
      <c r="Q529" s="122"/>
      <c r="R529" s="122"/>
      <c r="S529" s="122"/>
    </row>
    <row r="530" spans="1:19" s="61" customFormat="1" ht="72">
      <c r="A530" s="142"/>
      <c r="B530" s="144"/>
      <c r="C530" s="43" t="s">
        <v>214</v>
      </c>
      <c r="D530" s="62">
        <v>4</v>
      </c>
      <c r="E530" s="30" t="str">
        <f t="shared" si="746"/>
        <v>10:7</v>
      </c>
      <c r="F530" s="30" t="s">
        <v>149</v>
      </c>
      <c r="G530" s="30" t="s">
        <v>149</v>
      </c>
      <c r="H530" s="65" t="s">
        <v>168</v>
      </c>
      <c r="I530" s="30" t="s">
        <v>68</v>
      </c>
      <c r="J530" s="32" t="s">
        <v>36</v>
      </c>
      <c r="K530" s="33" t="s">
        <v>6</v>
      </c>
      <c r="L530" s="46"/>
      <c r="M530" s="120"/>
      <c r="N530" s="120"/>
      <c r="O530" s="120"/>
      <c r="P530" s="122"/>
      <c r="Q530" s="122"/>
      <c r="R530" s="122"/>
      <c r="S530" s="122"/>
    </row>
    <row r="531" spans="1:19" s="61" customFormat="1" ht="115.2">
      <c r="A531" s="142"/>
      <c r="B531" s="144"/>
      <c r="C531" s="43" t="s">
        <v>215</v>
      </c>
      <c r="D531" s="62">
        <v>3</v>
      </c>
      <c r="E531" s="30" t="str">
        <f t="shared" ref="E531" si="747">(MID(str_cnvt(E530),SEARCH(":",str_cnvt(E530))+1,2)-1) &amp; ":" &amp; (MID(str_cnvt(E530),SEARCH(":",str_cnvt(E530))+1,2)-D531)</f>
        <v>6:4</v>
      </c>
      <c r="F531" s="30" t="s">
        <v>178</v>
      </c>
      <c r="G531" s="30" t="s">
        <v>178</v>
      </c>
      <c r="H531" s="65" t="s">
        <v>179</v>
      </c>
      <c r="I531" s="30" t="s">
        <v>68</v>
      </c>
      <c r="J531" s="32" t="s">
        <v>36</v>
      </c>
      <c r="K531" s="33" t="s">
        <v>6</v>
      </c>
      <c r="L531" s="46"/>
      <c r="M531" s="120"/>
      <c r="N531" s="120"/>
      <c r="O531" s="120"/>
      <c r="P531" s="122"/>
      <c r="Q531" s="122"/>
      <c r="R531" s="122"/>
      <c r="S531" s="122"/>
    </row>
    <row r="532" spans="1:19" s="61" customFormat="1" ht="15" thickBot="1">
      <c r="A532" s="142"/>
      <c r="B532" s="144"/>
      <c r="C532" s="43" t="s">
        <v>216</v>
      </c>
      <c r="D532" s="62">
        <v>4</v>
      </c>
      <c r="E532" s="30" t="str">
        <f t="shared" si="745"/>
        <v>3:0</v>
      </c>
      <c r="F532" s="30" t="s">
        <v>149</v>
      </c>
      <c r="G532" s="30" t="s">
        <v>149</v>
      </c>
      <c r="H532" s="65" t="s">
        <v>217</v>
      </c>
      <c r="I532" s="30" t="s">
        <v>68</v>
      </c>
      <c r="J532" s="32" t="s">
        <v>36</v>
      </c>
      <c r="K532" s="33" t="s">
        <v>6</v>
      </c>
      <c r="L532" s="46"/>
      <c r="M532" s="120"/>
      <c r="N532" s="120"/>
      <c r="O532" s="120"/>
      <c r="P532" s="122"/>
      <c r="Q532" s="122"/>
      <c r="R532" s="122"/>
      <c r="S532" s="122"/>
    </row>
    <row r="533" spans="1:19" s="61" customFormat="1" ht="15" thickBot="1">
      <c r="A533" s="142" t="s">
        <v>218</v>
      </c>
      <c r="B533" s="143" t="str">
        <f t="shared" ref="B533:B548" si="748">DEC2HEX(P533*4)</f>
        <v>C</v>
      </c>
      <c r="C533" s="60" t="s">
        <v>134</v>
      </c>
      <c r="D533" s="164" t="str">
        <f>bitConcat(F534:F547)</f>
        <v>32'b00010000000000000000000000000000</v>
      </c>
      <c r="E533" s="165"/>
      <c r="F533" s="165"/>
      <c r="G533" s="165"/>
      <c r="H533" s="166" t="s">
        <v>135</v>
      </c>
      <c r="I533" s="167"/>
      <c r="J533" s="168" t="str">
        <f>bitConcat(G534:G547)</f>
        <v>32'b00010000000000000000000000000000</v>
      </c>
      <c r="K533" s="166"/>
      <c r="L533" s="167"/>
      <c r="M533" s="119" t="str">
        <f t="shared" ref="M533" si="749">DEC2HEX(_xlfn.BITLSHIFT(O533,7)+4*P533)</f>
        <v>20C</v>
      </c>
      <c r="N533" s="120"/>
      <c r="O533" s="120">
        <v>4</v>
      </c>
      <c r="P533" s="122">
        <v>3</v>
      </c>
      <c r="Q533" s="121" t="str">
        <f>DEC2HEX(_xlfn.BITLSHIFT(O533,5)+P533)</f>
        <v>83</v>
      </c>
      <c r="R533" s="121" t="str">
        <f>BIN2HEX(LEFT(RIGHT(D533,32),4))&amp;BIN2HEX(LEFT(RIGHT(D533,28),4))&amp;BIN2HEX(LEFT(RIGHT(D533,24),4))&amp;BIN2HEX(LEFT(RIGHT(D533,20),4))&amp;BIN2HEX(LEFT(RIGHT(D533,16),4))&amp;BIN2HEX(LEFT(RIGHT(D533,12),4))&amp;BIN2HEX(LEFT(RIGHT(D533,8),4))&amp;BIN2HEX(LEFT(RIGHT(D533,4),4))</f>
        <v>10000000</v>
      </c>
      <c r="S533" s="121" t="str">
        <f>BIN2HEX(LEFT(RIGHT(J533,32),4))&amp;BIN2HEX(LEFT(RIGHT(J533,28),4))&amp;BIN2HEX(LEFT(RIGHT(J533,24),4))&amp;BIN2HEX(LEFT(RIGHT(J533,20),4))&amp;BIN2HEX(LEFT(RIGHT(J533,16),4))&amp;BIN2HEX(LEFT(RIGHT(J533,12),4))&amp;BIN2HEX(LEFT(RIGHT(J533,8),4))&amp;BIN2HEX(LEFT(RIGHT(J533,4),4))</f>
        <v>10000000</v>
      </c>
    </row>
    <row r="534" spans="1:19" s="61" customFormat="1">
      <c r="A534" s="142"/>
      <c r="B534" s="144"/>
      <c r="C534" s="43" t="s">
        <v>219</v>
      </c>
      <c r="D534" s="62">
        <v>4</v>
      </c>
      <c r="E534" s="30" t="str">
        <f>IF(D534&gt;1,(31)&amp;":"&amp;(31-D534+1),(31-D534+1)&amp;":"&amp;(31-D534+1))</f>
        <v>31:28</v>
      </c>
      <c r="F534" s="30" t="s">
        <v>220</v>
      </c>
      <c r="G534" s="30" t="s">
        <v>220</v>
      </c>
      <c r="H534" s="63" t="s">
        <v>147</v>
      </c>
      <c r="I534" s="30" t="s">
        <v>68</v>
      </c>
      <c r="J534" s="32" t="s">
        <v>36</v>
      </c>
      <c r="K534" s="33" t="s">
        <v>6</v>
      </c>
      <c r="L534" s="46"/>
      <c r="M534" s="120"/>
      <c r="N534" s="120"/>
      <c r="O534" s="120"/>
      <c r="P534" s="122"/>
      <c r="Q534" s="122"/>
      <c r="R534" s="122"/>
      <c r="S534" s="122"/>
    </row>
    <row r="535" spans="1:19" s="61" customFormat="1">
      <c r="A535" s="142"/>
      <c r="B535" s="144"/>
      <c r="C535" s="43" t="s">
        <v>221</v>
      </c>
      <c r="D535" s="62">
        <v>4</v>
      </c>
      <c r="E535" s="30" t="str">
        <f t="shared" ref="E535:E547" si="750">(MID(str_cnvt(E534),SEARCH(":",str_cnvt(E534))+1,2)-1) &amp; ":" &amp; (MID(str_cnvt(E534),SEARCH(":",str_cnvt(E534))+1,2)-D535)</f>
        <v>27:24</v>
      </c>
      <c r="F535" s="30" t="s">
        <v>149</v>
      </c>
      <c r="G535" s="30" t="s">
        <v>149</v>
      </c>
      <c r="H535" s="64" t="s">
        <v>150</v>
      </c>
      <c r="I535" s="30" t="s">
        <v>68</v>
      </c>
      <c r="J535" s="32" t="s">
        <v>36</v>
      </c>
      <c r="K535" s="33" t="s">
        <v>6</v>
      </c>
      <c r="L535" s="46"/>
      <c r="M535" s="120"/>
      <c r="N535" s="120"/>
      <c r="O535" s="120"/>
      <c r="P535" s="122"/>
      <c r="Q535" s="122"/>
      <c r="R535" s="122"/>
      <c r="S535" s="122"/>
    </row>
    <row r="536" spans="1:19" s="61" customFormat="1">
      <c r="A536" s="142"/>
      <c r="B536" s="144"/>
      <c r="C536" s="43" t="s">
        <v>222</v>
      </c>
      <c r="D536" s="62">
        <v>1</v>
      </c>
      <c r="E536" s="30" t="str">
        <f t="shared" ref="E536:E545" si="751">(MID(str_cnvt(E535),SEARCH(":",str_cnvt(E535))+1,2)-1) &amp; ":" &amp; (MID(str_cnvt(E535),SEARCH(":",str_cnvt(E535))+1,2)-D536)</f>
        <v>23:23</v>
      </c>
      <c r="F536" s="30" t="s">
        <v>7</v>
      </c>
      <c r="G536" s="30" t="s">
        <v>7</v>
      </c>
      <c r="H536" s="65" t="s">
        <v>223</v>
      </c>
      <c r="I536" s="30" t="s">
        <v>68</v>
      </c>
      <c r="J536" s="32" t="s">
        <v>36</v>
      </c>
      <c r="K536" s="33" t="s">
        <v>6</v>
      </c>
      <c r="L536" s="46"/>
      <c r="M536" s="120"/>
      <c r="N536" s="120"/>
      <c r="O536" s="120"/>
      <c r="P536" s="122"/>
      <c r="Q536" s="122"/>
      <c r="R536" s="122"/>
      <c r="S536" s="122"/>
    </row>
    <row r="537" spans="1:19" s="61" customFormat="1">
      <c r="A537" s="142"/>
      <c r="B537" s="144"/>
      <c r="C537" s="43" t="s">
        <v>224</v>
      </c>
      <c r="D537" s="62">
        <v>2</v>
      </c>
      <c r="E537" s="30" t="str">
        <f t="shared" si="751"/>
        <v>22:21</v>
      </c>
      <c r="F537" s="30" t="s">
        <v>154</v>
      </c>
      <c r="G537" s="30" t="s">
        <v>154</v>
      </c>
      <c r="H537" s="64" t="s">
        <v>155</v>
      </c>
      <c r="I537" s="30" t="s">
        <v>68</v>
      </c>
      <c r="J537" s="32" t="s">
        <v>36</v>
      </c>
      <c r="K537" s="33" t="s">
        <v>6</v>
      </c>
      <c r="L537" s="46"/>
      <c r="M537" s="120"/>
      <c r="N537" s="120"/>
      <c r="O537" s="120"/>
      <c r="P537" s="122"/>
      <c r="Q537" s="122"/>
      <c r="R537" s="122"/>
      <c r="S537" s="122"/>
    </row>
    <row r="538" spans="1:19" s="61" customFormat="1">
      <c r="A538" s="142"/>
      <c r="B538" s="144"/>
      <c r="C538" s="43" t="s">
        <v>225</v>
      </c>
      <c r="D538" s="62">
        <v>1</v>
      </c>
      <c r="E538" s="30" t="str">
        <f t="shared" si="751"/>
        <v>20:20</v>
      </c>
      <c r="F538" s="30" t="s">
        <v>7</v>
      </c>
      <c r="G538" s="30" t="s">
        <v>7</v>
      </c>
      <c r="H538" s="65" t="s">
        <v>157</v>
      </c>
      <c r="I538" s="30" t="s">
        <v>68</v>
      </c>
      <c r="J538" s="32" t="s">
        <v>36</v>
      </c>
      <c r="K538" s="33" t="s">
        <v>6</v>
      </c>
      <c r="L538" s="46"/>
      <c r="M538" s="120"/>
      <c r="N538" s="120"/>
      <c r="O538" s="120"/>
      <c r="P538" s="122"/>
      <c r="Q538" s="122"/>
      <c r="R538" s="122"/>
      <c r="S538" s="122"/>
    </row>
    <row r="539" spans="1:19" s="61" customFormat="1">
      <c r="A539" s="142"/>
      <c r="B539" s="144"/>
      <c r="C539" s="43" t="s">
        <v>226</v>
      </c>
      <c r="D539" s="62">
        <v>2</v>
      </c>
      <c r="E539" s="30" t="str">
        <f t="shared" si="751"/>
        <v>19:18</v>
      </c>
      <c r="F539" s="30" t="s">
        <v>154</v>
      </c>
      <c r="G539" s="30" t="s">
        <v>154</v>
      </c>
      <c r="H539" s="64" t="s">
        <v>155</v>
      </c>
      <c r="I539" s="30" t="s">
        <v>68</v>
      </c>
      <c r="J539" s="32" t="s">
        <v>36</v>
      </c>
      <c r="K539" s="33" t="s">
        <v>6</v>
      </c>
      <c r="L539" s="46"/>
      <c r="M539" s="120"/>
      <c r="N539" s="120"/>
      <c r="O539" s="120"/>
      <c r="P539" s="122"/>
      <c r="Q539" s="122"/>
      <c r="R539" s="122"/>
      <c r="S539" s="122"/>
    </row>
    <row r="540" spans="1:19" s="61" customFormat="1">
      <c r="A540" s="142"/>
      <c r="B540" s="144"/>
      <c r="C540" s="43" t="s">
        <v>227</v>
      </c>
      <c r="D540" s="62">
        <v>1</v>
      </c>
      <c r="E540" s="30" t="str">
        <f t="shared" si="751"/>
        <v>17:17</v>
      </c>
      <c r="F540" s="30" t="s">
        <v>7</v>
      </c>
      <c r="G540" s="30" t="s">
        <v>7</v>
      </c>
      <c r="H540" s="65" t="s">
        <v>160</v>
      </c>
      <c r="I540" s="30" t="s">
        <v>68</v>
      </c>
      <c r="J540" s="32" t="s">
        <v>36</v>
      </c>
      <c r="K540" s="33" t="s">
        <v>6</v>
      </c>
      <c r="L540" s="46"/>
      <c r="M540" s="120"/>
      <c r="N540" s="120"/>
      <c r="O540" s="120"/>
      <c r="P540" s="122"/>
      <c r="Q540" s="122"/>
      <c r="R540" s="122"/>
      <c r="S540" s="122"/>
    </row>
    <row r="541" spans="1:19" s="61" customFormat="1">
      <c r="A541" s="142"/>
      <c r="B541" s="144"/>
      <c r="C541" s="43" t="s">
        <v>228</v>
      </c>
      <c r="D541" s="62">
        <v>2</v>
      </c>
      <c r="E541" s="30" t="str">
        <f t="shared" si="751"/>
        <v>16:15</v>
      </c>
      <c r="F541" s="30" t="s">
        <v>154</v>
      </c>
      <c r="G541" s="30" t="s">
        <v>154</v>
      </c>
      <c r="H541" s="64" t="s">
        <v>155</v>
      </c>
      <c r="I541" s="30" t="s">
        <v>68</v>
      </c>
      <c r="J541" s="32" t="s">
        <v>36</v>
      </c>
      <c r="K541" s="33" t="s">
        <v>6</v>
      </c>
      <c r="L541" s="46"/>
      <c r="M541" s="120"/>
      <c r="N541" s="120"/>
      <c r="O541" s="120"/>
      <c r="P541" s="122"/>
      <c r="Q541" s="122"/>
      <c r="R541" s="122"/>
      <c r="S541" s="122"/>
    </row>
    <row r="542" spans="1:19" s="61" customFormat="1">
      <c r="A542" s="142"/>
      <c r="B542" s="144"/>
      <c r="C542" s="43" t="s">
        <v>229</v>
      </c>
      <c r="D542" s="62">
        <v>1</v>
      </c>
      <c r="E542" s="30" t="str">
        <f t="shared" si="751"/>
        <v>14:14</v>
      </c>
      <c r="F542" s="30" t="s">
        <v>7</v>
      </c>
      <c r="G542" s="30" t="s">
        <v>7</v>
      </c>
      <c r="H542" s="65" t="s">
        <v>163</v>
      </c>
      <c r="I542" s="30" t="s">
        <v>68</v>
      </c>
      <c r="J542" s="32" t="s">
        <v>36</v>
      </c>
      <c r="K542" s="33" t="s">
        <v>6</v>
      </c>
      <c r="L542" s="46"/>
      <c r="M542" s="120"/>
      <c r="N542" s="120"/>
      <c r="O542" s="120"/>
      <c r="P542" s="122"/>
      <c r="Q542" s="122"/>
      <c r="R542" s="122"/>
      <c r="S542" s="122"/>
    </row>
    <row r="543" spans="1:19" s="61" customFormat="1">
      <c r="A543" s="142"/>
      <c r="B543" s="144"/>
      <c r="C543" s="43" t="s">
        <v>230</v>
      </c>
      <c r="D543" s="62">
        <v>2</v>
      </c>
      <c r="E543" s="30" t="str">
        <f t="shared" si="751"/>
        <v>13:12</v>
      </c>
      <c r="F543" s="30" t="s">
        <v>154</v>
      </c>
      <c r="G543" s="30" t="s">
        <v>154</v>
      </c>
      <c r="H543" s="64" t="s">
        <v>155</v>
      </c>
      <c r="I543" s="30" t="s">
        <v>68</v>
      </c>
      <c r="J543" s="32" t="s">
        <v>36</v>
      </c>
      <c r="K543" s="33" t="s">
        <v>6</v>
      </c>
      <c r="L543" s="46"/>
      <c r="M543" s="120"/>
      <c r="N543" s="120"/>
      <c r="O543" s="120"/>
      <c r="P543" s="122"/>
      <c r="Q543" s="122"/>
      <c r="R543" s="122"/>
      <c r="S543" s="122"/>
    </row>
    <row r="544" spans="1:19" s="61" customFormat="1">
      <c r="A544" s="142"/>
      <c r="B544" s="144"/>
      <c r="C544" s="43" t="s">
        <v>231</v>
      </c>
      <c r="D544" s="62">
        <v>1</v>
      </c>
      <c r="E544" s="30" t="str">
        <f t="shared" si="751"/>
        <v>11:11</v>
      </c>
      <c r="F544" s="30" t="s">
        <v>7</v>
      </c>
      <c r="G544" s="30" t="s">
        <v>7</v>
      </c>
      <c r="H544" s="65" t="s">
        <v>166</v>
      </c>
      <c r="I544" s="30" t="s">
        <v>68</v>
      </c>
      <c r="J544" s="32" t="s">
        <v>36</v>
      </c>
      <c r="K544" s="33" t="s">
        <v>6</v>
      </c>
      <c r="L544" s="46"/>
      <c r="M544" s="120"/>
      <c r="N544" s="120"/>
      <c r="O544" s="120"/>
      <c r="P544" s="122"/>
      <c r="Q544" s="122"/>
      <c r="R544" s="122"/>
      <c r="S544" s="122"/>
    </row>
    <row r="545" spans="1:19" s="61" customFormat="1" ht="72">
      <c r="A545" s="142"/>
      <c r="B545" s="144"/>
      <c r="C545" s="43" t="s">
        <v>232</v>
      </c>
      <c r="D545" s="62">
        <v>4</v>
      </c>
      <c r="E545" s="30" t="str">
        <f t="shared" si="751"/>
        <v>10:7</v>
      </c>
      <c r="F545" s="30" t="s">
        <v>149</v>
      </c>
      <c r="G545" s="30" t="s">
        <v>149</v>
      </c>
      <c r="H545" s="65" t="s">
        <v>168</v>
      </c>
      <c r="I545" s="30" t="s">
        <v>68</v>
      </c>
      <c r="J545" s="32" t="s">
        <v>36</v>
      </c>
      <c r="K545" s="33" t="s">
        <v>6</v>
      </c>
      <c r="L545" s="46"/>
      <c r="M545" s="120"/>
      <c r="N545" s="120"/>
      <c r="O545" s="120"/>
      <c r="P545" s="122"/>
      <c r="Q545" s="122"/>
      <c r="R545" s="122"/>
      <c r="S545" s="122"/>
    </row>
    <row r="546" spans="1:19" s="61" customFormat="1" ht="115.2">
      <c r="A546" s="169"/>
      <c r="B546" s="144"/>
      <c r="C546" s="43" t="s">
        <v>233</v>
      </c>
      <c r="D546" s="62">
        <v>3</v>
      </c>
      <c r="E546" s="30" t="str">
        <f t="shared" ref="E546" si="752">(MID(str_cnvt(E545),SEARCH(":",str_cnvt(E545))+1,2)-1) &amp; ":" &amp; (MID(str_cnvt(E545),SEARCH(":",str_cnvt(E545))+1,2)-D546)</f>
        <v>6:4</v>
      </c>
      <c r="F546" s="30" t="s">
        <v>178</v>
      </c>
      <c r="G546" s="30" t="s">
        <v>178</v>
      </c>
      <c r="H546" s="65" t="s">
        <v>179</v>
      </c>
      <c r="I546" s="30" t="s">
        <v>68</v>
      </c>
      <c r="J546" s="32" t="s">
        <v>36</v>
      </c>
      <c r="K546" s="33" t="s">
        <v>6</v>
      </c>
      <c r="L546" s="66"/>
      <c r="M546" s="120"/>
      <c r="N546" s="170"/>
      <c r="O546" s="170"/>
      <c r="P546" s="171"/>
      <c r="Q546" s="122"/>
      <c r="R546" s="122"/>
      <c r="S546" s="122"/>
    </row>
    <row r="547" spans="1:19" s="61" customFormat="1" ht="15" thickBot="1">
      <c r="A547" s="169"/>
      <c r="B547" s="144"/>
      <c r="C547" s="43" t="s">
        <v>234</v>
      </c>
      <c r="D547" s="62">
        <v>4</v>
      </c>
      <c r="E547" s="30" t="str">
        <f t="shared" si="750"/>
        <v>3:0</v>
      </c>
      <c r="F547" s="30" t="s">
        <v>149</v>
      </c>
      <c r="G547" s="30" t="s">
        <v>149</v>
      </c>
      <c r="H547" s="65" t="s">
        <v>217</v>
      </c>
      <c r="I547" s="67" t="s">
        <v>68</v>
      </c>
      <c r="J547" s="68" t="s">
        <v>36</v>
      </c>
      <c r="K547" s="69" t="s">
        <v>6</v>
      </c>
      <c r="L547" s="66"/>
      <c r="M547" s="120"/>
      <c r="N547" s="170"/>
      <c r="O547" s="170"/>
      <c r="P547" s="171"/>
      <c r="Q547" s="122"/>
      <c r="R547" s="122"/>
      <c r="S547" s="122"/>
    </row>
    <row r="548" spans="1:19" s="61" customFormat="1" ht="15" customHeight="1" thickBot="1">
      <c r="A548" s="172" t="s">
        <v>235</v>
      </c>
      <c r="B548" s="175" t="str">
        <f t="shared" si="748"/>
        <v>10</v>
      </c>
      <c r="C548" s="60" t="s">
        <v>134</v>
      </c>
      <c r="D548" s="164" t="str">
        <f>bitConcat(F549:F565)</f>
        <v>32'b10000000000000000000000000000000</v>
      </c>
      <c r="E548" s="165"/>
      <c r="F548" s="165"/>
      <c r="G548" s="165"/>
      <c r="H548" s="166" t="s">
        <v>135</v>
      </c>
      <c r="I548" s="167"/>
      <c r="J548" s="168" t="str">
        <f>bitConcat(G549:G565)</f>
        <v>32'b10000000000000000000000000000000</v>
      </c>
      <c r="K548" s="166"/>
      <c r="L548" s="167"/>
      <c r="M548" s="119" t="str">
        <f t="shared" ref="M548" si="753">DEC2HEX(_xlfn.BITLSHIFT(O548,7)+4*P548)</f>
        <v>210</v>
      </c>
      <c r="N548" s="119"/>
      <c r="O548" s="119">
        <v>4</v>
      </c>
      <c r="P548" s="121">
        <v>4</v>
      </c>
      <c r="Q548" s="121" t="str">
        <f>DEC2HEX(_xlfn.BITLSHIFT(O548,5)+P548)</f>
        <v>84</v>
      </c>
      <c r="R548" s="121" t="str">
        <f>BIN2HEX(LEFT(RIGHT(D548,32),4))&amp;BIN2HEX(LEFT(RIGHT(D548,28),4))&amp;BIN2HEX(LEFT(RIGHT(D548,24),4))&amp;BIN2HEX(LEFT(RIGHT(D548,20),4))&amp;BIN2HEX(LEFT(RIGHT(D548,16),4))&amp;BIN2HEX(LEFT(RIGHT(D548,12),4))&amp;BIN2HEX(LEFT(RIGHT(D548,8),4))&amp;BIN2HEX(LEFT(RIGHT(D548,4),4))</f>
        <v>80000000</v>
      </c>
      <c r="S548" s="121" t="str">
        <f>BIN2HEX(LEFT(RIGHT(J548,32),4))&amp;BIN2HEX(LEFT(RIGHT(J548,28),4))&amp;BIN2HEX(LEFT(RIGHT(J548,24),4))&amp;BIN2HEX(LEFT(RIGHT(J548,20),4))&amp;BIN2HEX(LEFT(RIGHT(J548,16),4))&amp;BIN2HEX(LEFT(RIGHT(J548,12),4))&amp;BIN2HEX(LEFT(RIGHT(J548,8),4))&amp;BIN2HEX(LEFT(RIGHT(J548,4),4))</f>
        <v>80000000</v>
      </c>
    </row>
    <row r="549" spans="1:19" s="61" customFormat="1">
      <c r="A549" s="173"/>
      <c r="B549" s="176"/>
      <c r="C549" s="43" t="s">
        <v>145</v>
      </c>
      <c r="D549" s="62">
        <v>4</v>
      </c>
      <c r="E549" s="30" t="str">
        <f>IF(D549&gt;1,(31)&amp;":"&amp;(31-D549+1),(31-D549+1)&amp;":"&amp;(31-D549+1))</f>
        <v>31:28</v>
      </c>
      <c r="F549" s="30" t="s">
        <v>146</v>
      </c>
      <c r="G549" s="30" t="s">
        <v>146</v>
      </c>
      <c r="H549" s="63" t="s">
        <v>147</v>
      </c>
      <c r="I549" s="30" t="s">
        <v>68</v>
      </c>
      <c r="J549" s="32" t="s">
        <v>36</v>
      </c>
      <c r="K549" s="33" t="s">
        <v>6</v>
      </c>
      <c r="L549" s="46"/>
      <c r="M549" s="178"/>
      <c r="N549" s="178"/>
      <c r="O549" s="178"/>
      <c r="P549" s="179"/>
      <c r="Q549" s="122"/>
      <c r="R549" s="122"/>
      <c r="S549" s="122"/>
    </row>
    <row r="550" spans="1:19" s="61" customFormat="1">
      <c r="A550" s="173"/>
      <c r="B550" s="176"/>
      <c r="C550" s="43" t="s">
        <v>148</v>
      </c>
      <c r="D550" s="62">
        <v>4</v>
      </c>
      <c r="E550" s="30" t="str">
        <f t="shared" ref="E550:E565" si="754">(MID(str_cnvt(E549),SEARCH(":",str_cnvt(E549))+1,2)-1) &amp; ":" &amp; (MID(str_cnvt(E549),SEARCH(":",str_cnvt(E549))+1,2)-D550)</f>
        <v>27:24</v>
      </c>
      <c r="F550" s="30" t="s">
        <v>149</v>
      </c>
      <c r="G550" s="30" t="s">
        <v>149</v>
      </c>
      <c r="H550" s="64" t="s">
        <v>150</v>
      </c>
      <c r="I550" s="30" t="s">
        <v>68</v>
      </c>
      <c r="J550" s="32" t="s">
        <v>36</v>
      </c>
      <c r="K550" s="33" t="s">
        <v>6</v>
      </c>
      <c r="L550" s="46"/>
      <c r="M550" s="178"/>
      <c r="N550" s="178"/>
      <c r="O550" s="178"/>
      <c r="P550" s="179"/>
      <c r="Q550" s="122"/>
      <c r="R550" s="122"/>
      <c r="S550" s="122"/>
    </row>
    <row r="551" spans="1:19" s="61" customFormat="1">
      <c r="A551" s="173"/>
      <c r="B551" s="176"/>
      <c r="C551" s="43" t="s">
        <v>151</v>
      </c>
      <c r="D551" s="62">
        <v>1</v>
      </c>
      <c r="E551" s="30" t="str">
        <f t="shared" si="754"/>
        <v>23:23</v>
      </c>
      <c r="F551" s="30" t="s">
        <v>7</v>
      </c>
      <c r="G551" s="30" t="s">
        <v>7</v>
      </c>
      <c r="H551" s="65" t="s">
        <v>152</v>
      </c>
      <c r="I551" s="30" t="s">
        <v>68</v>
      </c>
      <c r="J551" s="32"/>
      <c r="K551" s="33"/>
      <c r="L551" s="46"/>
      <c r="M551" s="178"/>
      <c r="N551" s="178"/>
      <c r="O551" s="178"/>
      <c r="P551" s="179"/>
      <c r="Q551" s="122"/>
      <c r="R551" s="122"/>
      <c r="S551" s="122"/>
    </row>
    <row r="552" spans="1:19" s="61" customFormat="1">
      <c r="A552" s="173"/>
      <c r="B552" s="176"/>
      <c r="C552" s="43" t="s">
        <v>153</v>
      </c>
      <c r="D552" s="62">
        <v>2</v>
      </c>
      <c r="E552" s="30" t="str">
        <f t="shared" si="754"/>
        <v>22:21</v>
      </c>
      <c r="F552" s="30" t="s">
        <v>154</v>
      </c>
      <c r="G552" s="30" t="s">
        <v>154</v>
      </c>
      <c r="H552" s="64" t="s">
        <v>155</v>
      </c>
      <c r="I552" s="30" t="s">
        <v>68</v>
      </c>
      <c r="J552" s="32" t="s">
        <v>36</v>
      </c>
      <c r="K552" s="33" t="s">
        <v>6</v>
      </c>
      <c r="L552" s="46"/>
      <c r="M552" s="178"/>
      <c r="N552" s="178"/>
      <c r="O552" s="178"/>
      <c r="P552" s="179"/>
      <c r="Q552" s="122"/>
      <c r="R552" s="122"/>
      <c r="S552" s="122"/>
    </row>
    <row r="553" spans="1:19" s="61" customFormat="1">
      <c r="A553" s="173"/>
      <c r="B553" s="176"/>
      <c r="C553" s="43" t="s">
        <v>156</v>
      </c>
      <c r="D553" s="62">
        <v>1</v>
      </c>
      <c r="E553" s="30" t="str">
        <f t="shared" si="754"/>
        <v>20:20</v>
      </c>
      <c r="F553" s="30" t="s">
        <v>7</v>
      </c>
      <c r="G553" s="30" t="s">
        <v>7</v>
      </c>
      <c r="H553" s="65" t="s">
        <v>157</v>
      </c>
      <c r="I553" s="30" t="s">
        <v>68</v>
      </c>
      <c r="J553" s="32" t="s">
        <v>36</v>
      </c>
      <c r="K553" s="33" t="s">
        <v>6</v>
      </c>
      <c r="L553" s="46"/>
      <c r="M553" s="178"/>
      <c r="N553" s="178"/>
      <c r="O553" s="178"/>
      <c r="P553" s="179"/>
      <c r="Q553" s="122"/>
      <c r="R553" s="122"/>
      <c r="S553" s="122"/>
    </row>
    <row r="554" spans="1:19" s="61" customFormat="1">
      <c r="A554" s="174"/>
      <c r="B554" s="177"/>
      <c r="C554" s="43" t="s">
        <v>158</v>
      </c>
      <c r="D554" s="62">
        <v>2</v>
      </c>
      <c r="E554" s="30" t="str">
        <f t="shared" si="754"/>
        <v>19:18</v>
      </c>
      <c r="F554" s="30" t="s">
        <v>154</v>
      </c>
      <c r="G554" s="30" t="s">
        <v>154</v>
      </c>
      <c r="H554" s="64" t="s">
        <v>155</v>
      </c>
      <c r="I554" s="30" t="s">
        <v>68</v>
      </c>
      <c r="J554" s="32" t="s">
        <v>36</v>
      </c>
      <c r="K554" s="33" t="s">
        <v>6</v>
      </c>
      <c r="L554" s="46"/>
      <c r="M554" s="120"/>
      <c r="N554" s="120"/>
      <c r="O554" s="120"/>
      <c r="P554" s="122"/>
      <c r="Q554" s="122"/>
      <c r="R554" s="122"/>
      <c r="S554" s="122"/>
    </row>
    <row r="555" spans="1:19" s="61" customFormat="1">
      <c r="A555" s="174"/>
      <c r="B555" s="177"/>
      <c r="C555" s="43" t="s">
        <v>159</v>
      </c>
      <c r="D555" s="62">
        <v>1</v>
      </c>
      <c r="E555" s="30" t="str">
        <f t="shared" si="754"/>
        <v>17:17</v>
      </c>
      <c r="F555" s="30" t="s">
        <v>7</v>
      </c>
      <c r="G555" s="30" t="s">
        <v>7</v>
      </c>
      <c r="H555" s="65" t="s">
        <v>160</v>
      </c>
      <c r="I555" s="30" t="s">
        <v>68</v>
      </c>
      <c r="J555" s="32" t="s">
        <v>36</v>
      </c>
      <c r="K555" s="33" t="s">
        <v>6</v>
      </c>
      <c r="L555" s="46"/>
      <c r="M555" s="120"/>
      <c r="N555" s="120"/>
      <c r="O555" s="120"/>
      <c r="P555" s="122"/>
      <c r="Q555" s="122"/>
      <c r="R555" s="122"/>
      <c r="S555" s="122"/>
    </row>
    <row r="556" spans="1:19" s="61" customFormat="1">
      <c r="A556" s="174"/>
      <c r="B556" s="177"/>
      <c r="C556" s="43" t="s">
        <v>161</v>
      </c>
      <c r="D556" s="62">
        <v>2</v>
      </c>
      <c r="E556" s="30" t="str">
        <f t="shared" si="754"/>
        <v>16:15</v>
      </c>
      <c r="F556" s="30" t="s">
        <v>154</v>
      </c>
      <c r="G556" s="30" t="s">
        <v>154</v>
      </c>
      <c r="H556" s="64" t="s">
        <v>155</v>
      </c>
      <c r="I556" s="30" t="s">
        <v>68</v>
      </c>
      <c r="J556" s="32" t="s">
        <v>36</v>
      </c>
      <c r="K556" s="33" t="s">
        <v>6</v>
      </c>
      <c r="L556" s="46"/>
      <c r="M556" s="120"/>
      <c r="N556" s="120"/>
      <c r="O556" s="120"/>
      <c r="P556" s="122"/>
      <c r="Q556" s="122"/>
      <c r="R556" s="122"/>
      <c r="S556" s="122"/>
    </row>
    <row r="557" spans="1:19" s="61" customFormat="1">
      <c r="A557" s="174"/>
      <c r="B557" s="177"/>
      <c r="C557" s="43" t="s">
        <v>162</v>
      </c>
      <c r="D557" s="62">
        <v>1</v>
      </c>
      <c r="E557" s="30" t="str">
        <f t="shared" si="754"/>
        <v>14:14</v>
      </c>
      <c r="F557" s="30" t="s">
        <v>7</v>
      </c>
      <c r="G557" s="30" t="s">
        <v>7</v>
      </c>
      <c r="H557" s="65" t="s">
        <v>163</v>
      </c>
      <c r="I557" s="30" t="s">
        <v>68</v>
      </c>
      <c r="J557" s="32" t="s">
        <v>36</v>
      </c>
      <c r="K557" s="33" t="s">
        <v>6</v>
      </c>
      <c r="L557" s="46"/>
      <c r="M557" s="120"/>
      <c r="N557" s="120"/>
      <c r="O557" s="120"/>
      <c r="P557" s="122"/>
      <c r="Q557" s="122"/>
      <c r="R557" s="122"/>
      <c r="S557" s="122"/>
    </row>
    <row r="558" spans="1:19" s="61" customFormat="1">
      <c r="A558" s="174"/>
      <c r="B558" s="177"/>
      <c r="C558" s="43" t="s">
        <v>164</v>
      </c>
      <c r="D558" s="62">
        <v>2</v>
      </c>
      <c r="E558" s="30" t="str">
        <f t="shared" si="754"/>
        <v>13:12</v>
      </c>
      <c r="F558" s="30" t="s">
        <v>154</v>
      </c>
      <c r="G558" s="30" t="s">
        <v>154</v>
      </c>
      <c r="H558" s="64" t="s">
        <v>155</v>
      </c>
      <c r="I558" s="30" t="s">
        <v>68</v>
      </c>
      <c r="J558" s="32" t="s">
        <v>36</v>
      </c>
      <c r="K558" s="33" t="s">
        <v>6</v>
      </c>
      <c r="L558" s="46"/>
      <c r="M558" s="120"/>
      <c r="N558" s="120"/>
      <c r="O558" s="120"/>
      <c r="P558" s="122"/>
      <c r="Q558" s="122"/>
      <c r="R558" s="122"/>
      <c r="S558" s="122"/>
    </row>
    <row r="559" spans="1:19" s="61" customFormat="1">
      <c r="A559" s="174"/>
      <c r="B559" s="177"/>
      <c r="C559" s="43" t="s">
        <v>165</v>
      </c>
      <c r="D559" s="62">
        <v>1</v>
      </c>
      <c r="E559" s="30" t="str">
        <f t="shared" si="754"/>
        <v>11:11</v>
      </c>
      <c r="F559" s="30" t="s">
        <v>7</v>
      </c>
      <c r="G559" s="30" t="s">
        <v>7</v>
      </c>
      <c r="H559" s="65" t="s">
        <v>166</v>
      </c>
      <c r="I559" s="30" t="s">
        <v>68</v>
      </c>
      <c r="J559" s="32" t="s">
        <v>36</v>
      </c>
      <c r="K559" s="33" t="s">
        <v>6</v>
      </c>
      <c r="L559" s="46"/>
      <c r="M559" s="120"/>
      <c r="N559" s="120"/>
      <c r="O559" s="120"/>
      <c r="P559" s="122"/>
      <c r="Q559" s="122"/>
      <c r="R559" s="122"/>
      <c r="S559" s="122"/>
    </row>
    <row r="560" spans="1:19" s="61" customFormat="1" ht="72">
      <c r="A560" s="174"/>
      <c r="B560" s="177"/>
      <c r="C560" s="43" t="s">
        <v>167</v>
      </c>
      <c r="D560" s="62">
        <v>4</v>
      </c>
      <c r="E560" s="30" t="str">
        <f t="shared" si="754"/>
        <v>10:7</v>
      </c>
      <c r="F560" s="30" t="s">
        <v>149</v>
      </c>
      <c r="G560" s="30" t="s">
        <v>149</v>
      </c>
      <c r="H560" s="65" t="s">
        <v>168</v>
      </c>
      <c r="I560" s="30" t="s">
        <v>68</v>
      </c>
      <c r="J560" s="32" t="s">
        <v>36</v>
      </c>
      <c r="K560" s="33" t="s">
        <v>6</v>
      </c>
      <c r="L560" s="46"/>
      <c r="M560" s="120"/>
      <c r="N560" s="120"/>
      <c r="O560" s="120"/>
      <c r="P560" s="122"/>
      <c r="Q560" s="122"/>
      <c r="R560" s="122"/>
      <c r="S560" s="122"/>
    </row>
    <row r="561" spans="1:19" s="61" customFormat="1">
      <c r="A561" s="174"/>
      <c r="B561" s="177"/>
      <c r="C561" s="43" t="s">
        <v>169</v>
      </c>
      <c r="D561" s="62">
        <v>1</v>
      </c>
      <c r="E561" s="30" t="str">
        <f t="shared" si="754"/>
        <v>6:6</v>
      </c>
      <c r="F561" s="30" t="s">
        <v>7</v>
      </c>
      <c r="G561" s="30" t="s">
        <v>7</v>
      </c>
      <c r="H561" s="65" t="s">
        <v>170</v>
      </c>
      <c r="I561" s="30" t="s">
        <v>68</v>
      </c>
      <c r="J561" s="32" t="s">
        <v>36</v>
      </c>
      <c r="K561" s="33" t="s">
        <v>6</v>
      </c>
      <c r="L561" s="46"/>
      <c r="M561" s="120"/>
      <c r="N561" s="120"/>
      <c r="O561" s="120"/>
      <c r="P561" s="122"/>
      <c r="Q561" s="122"/>
      <c r="R561" s="122"/>
      <c r="S561" s="122"/>
    </row>
    <row r="562" spans="1:19" s="61" customFormat="1">
      <c r="A562" s="174"/>
      <c r="B562" s="177"/>
      <c r="C562" s="43" t="s">
        <v>171</v>
      </c>
      <c r="D562" s="62">
        <v>1</v>
      </c>
      <c r="E562" s="30" t="str">
        <f t="shared" si="754"/>
        <v>5:5</v>
      </c>
      <c r="F562" s="30" t="s">
        <v>7</v>
      </c>
      <c r="G562" s="30" t="s">
        <v>7</v>
      </c>
      <c r="H562" s="65" t="s">
        <v>172</v>
      </c>
      <c r="I562" s="30" t="s">
        <v>68</v>
      </c>
      <c r="J562" s="32" t="s">
        <v>36</v>
      </c>
      <c r="K562" s="33" t="s">
        <v>6</v>
      </c>
      <c r="L562" s="46"/>
      <c r="M562" s="120"/>
      <c r="N562" s="120"/>
      <c r="O562" s="120"/>
      <c r="P562" s="122"/>
      <c r="Q562" s="122"/>
      <c r="R562" s="122"/>
      <c r="S562" s="122"/>
    </row>
    <row r="563" spans="1:19" s="61" customFormat="1">
      <c r="A563" s="174"/>
      <c r="B563" s="177"/>
      <c r="C563" s="43" t="s">
        <v>173</v>
      </c>
      <c r="D563" s="62">
        <v>1</v>
      </c>
      <c r="E563" s="30" t="str">
        <f t="shared" si="754"/>
        <v>4:4</v>
      </c>
      <c r="F563" s="30" t="s">
        <v>7</v>
      </c>
      <c r="G563" s="30" t="s">
        <v>7</v>
      </c>
      <c r="H563" s="65" t="s">
        <v>174</v>
      </c>
      <c r="I563" s="30" t="s">
        <v>68</v>
      </c>
      <c r="J563" s="32" t="s">
        <v>36</v>
      </c>
      <c r="K563" s="33" t="s">
        <v>6</v>
      </c>
      <c r="L563" s="46"/>
      <c r="M563" s="120"/>
      <c r="N563" s="120"/>
      <c r="O563" s="120"/>
      <c r="P563" s="122"/>
      <c r="Q563" s="122"/>
      <c r="R563" s="122"/>
      <c r="S563" s="122"/>
    </row>
    <row r="564" spans="1:19" s="61" customFormat="1">
      <c r="A564" s="174"/>
      <c r="B564" s="177"/>
      <c r="C564" s="43" t="s">
        <v>175</v>
      </c>
      <c r="D564" s="62">
        <v>1</v>
      </c>
      <c r="E564" s="30" t="str">
        <f t="shared" si="754"/>
        <v>3:3</v>
      </c>
      <c r="F564" s="30" t="s">
        <v>7</v>
      </c>
      <c r="G564" s="30" t="s">
        <v>7</v>
      </c>
      <c r="H564" s="65" t="s">
        <v>176</v>
      </c>
      <c r="I564" s="30" t="s">
        <v>68</v>
      </c>
      <c r="J564" s="32" t="s">
        <v>36</v>
      </c>
      <c r="K564" s="33" t="s">
        <v>6</v>
      </c>
      <c r="L564" s="46"/>
      <c r="M564" s="120"/>
      <c r="N564" s="120"/>
      <c r="O564" s="120"/>
      <c r="P564" s="122"/>
      <c r="Q564" s="122"/>
      <c r="R564" s="122"/>
      <c r="S564" s="122"/>
    </row>
    <row r="565" spans="1:19" s="61" customFormat="1" ht="115.8" thickBot="1">
      <c r="A565" s="174"/>
      <c r="B565" s="177"/>
      <c r="C565" s="43" t="s">
        <v>177</v>
      </c>
      <c r="D565" s="62">
        <v>3</v>
      </c>
      <c r="E565" s="30" t="str">
        <f t="shared" si="754"/>
        <v>2:0</v>
      </c>
      <c r="F565" s="30" t="s">
        <v>178</v>
      </c>
      <c r="G565" s="30" t="s">
        <v>178</v>
      </c>
      <c r="H565" s="65" t="s">
        <v>179</v>
      </c>
      <c r="I565" s="30" t="s">
        <v>68</v>
      </c>
      <c r="J565" s="32" t="s">
        <v>36</v>
      </c>
      <c r="K565" s="33" t="s">
        <v>6</v>
      </c>
      <c r="L565" s="46"/>
      <c r="M565" s="120"/>
      <c r="N565" s="120"/>
      <c r="O565" s="120"/>
      <c r="P565" s="122"/>
      <c r="Q565" s="122"/>
      <c r="R565" s="122"/>
      <c r="S565" s="122"/>
    </row>
    <row r="566" spans="1:19" s="61" customFormat="1" ht="15" customHeight="1" thickBot="1">
      <c r="A566" s="174" t="s">
        <v>236</v>
      </c>
      <c r="B566" s="175" t="str">
        <f t="shared" ref="B566:B650" si="755">DEC2HEX(P566*4)</f>
        <v>14</v>
      </c>
      <c r="C566" s="60" t="s">
        <v>134</v>
      </c>
      <c r="D566" s="164" t="str">
        <f>bitConcat(F567:F583)</f>
        <v>32'b01000000000000000000000000000000</v>
      </c>
      <c r="E566" s="165"/>
      <c r="F566" s="165"/>
      <c r="G566" s="165"/>
      <c r="H566" s="166" t="s">
        <v>135</v>
      </c>
      <c r="I566" s="167"/>
      <c r="J566" s="168" t="str">
        <f>bitConcat(G567:G583)</f>
        <v>32'b01000000000000000000000000000000</v>
      </c>
      <c r="K566" s="166"/>
      <c r="L566" s="167"/>
      <c r="M566" s="119" t="str">
        <f t="shared" ref="M566" si="756">DEC2HEX(_xlfn.BITLSHIFT(O566,7)+4*P566)</f>
        <v>214</v>
      </c>
      <c r="N566" s="120"/>
      <c r="O566" s="120">
        <v>4</v>
      </c>
      <c r="P566" s="122">
        <v>5</v>
      </c>
      <c r="Q566" s="121" t="str">
        <f>DEC2HEX(_xlfn.BITLSHIFT(O566,5)+P566)</f>
        <v>85</v>
      </c>
      <c r="R566" s="121" t="str">
        <f>BIN2HEX(LEFT(RIGHT(D566,32),4))&amp;BIN2HEX(LEFT(RIGHT(D566,28),4))&amp;BIN2HEX(LEFT(RIGHT(D566,24),4))&amp;BIN2HEX(LEFT(RIGHT(D566,20),4))&amp;BIN2HEX(LEFT(RIGHT(D566,16),4))&amp;BIN2HEX(LEFT(RIGHT(D566,12),4))&amp;BIN2HEX(LEFT(RIGHT(D566,8),4))&amp;BIN2HEX(LEFT(RIGHT(D566,4),4))</f>
        <v>40000000</v>
      </c>
      <c r="S566" s="121" t="str">
        <f>BIN2HEX(LEFT(RIGHT(J566,32),4))&amp;BIN2HEX(LEFT(RIGHT(J566,28),4))&amp;BIN2HEX(LEFT(RIGHT(J566,24),4))&amp;BIN2HEX(LEFT(RIGHT(J566,20),4))&amp;BIN2HEX(LEFT(RIGHT(J566,16),4))&amp;BIN2HEX(LEFT(RIGHT(J566,12),4))&amp;BIN2HEX(LEFT(RIGHT(J566,8),4))&amp;BIN2HEX(LEFT(RIGHT(J566,4),4))</f>
        <v>40000000</v>
      </c>
    </row>
    <row r="567" spans="1:19" s="61" customFormat="1" ht="15" customHeight="1">
      <c r="A567" s="174"/>
      <c r="B567" s="176"/>
      <c r="C567" s="43" t="s">
        <v>181</v>
      </c>
      <c r="D567" s="62">
        <v>4</v>
      </c>
      <c r="E567" s="30" t="str">
        <f>IF(D567&gt;1,(31)&amp;":"&amp;(31-D567+1),(31-D567+1)&amp;":"&amp;(31-D567+1))</f>
        <v>31:28</v>
      </c>
      <c r="F567" s="30" t="s">
        <v>182</v>
      </c>
      <c r="G567" s="30" t="s">
        <v>182</v>
      </c>
      <c r="H567" s="63" t="s">
        <v>147</v>
      </c>
      <c r="I567" s="30" t="s">
        <v>68</v>
      </c>
      <c r="J567" s="32" t="s">
        <v>36</v>
      </c>
      <c r="K567" s="33" t="s">
        <v>6</v>
      </c>
      <c r="L567" s="46"/>
      <c r="M567" s="178"/>
      <c r="N567" s="120"/>
      <c r="O567" s="120"/>
      <c r="P567" s="122"/>
      <c r="Q567" s="122"/>
      <c r="R567" s="122"/>
      <c r="S567" s="122"/>
    </row>
    <row r="568" spans="1:19" s="61" customFormat="1">
      <c r="A568" s="174"/>
      <c r="B568" s="176"/>
      <c r="C568" s="43" t="s">
        <v>183</v>
      </c>
      <c r="D568" s="62">
        <v>4</v>
      </c>
      <c r="E568" s="30" t="str">
        <f t="shared" ref="E568:E583" si="757">(MID(str_cnvt(E567),SEARCH(":",str_cnvt(E567))+1,2)-1) &amp; ":" &amp; (MID(str_cnvt(E567),SEARCH(":",str_cnvt(E567))+1,2)-D568)</f>
        <v>27:24</v>
      </c>
      <c r="F568" s="30" t="s">
        <v>149</v>
      </c>
      <c r="G568" s="30" t="s">
        <v>149</v>
      </c>
      <c r="H568" s="64" t="s">
        <v>150</v>
      </c>
      <c r="I568" s="30" t="s">
        <v>68</v>
      </c>
      <c r="J568" s="32" t="s">
        <v>36</v>
      </c>
      <c r="K568" s="33" t="s">
        <v>6</v>
      </c>
      <c r="L568" s="46"/>
      <c r="M568" s="178"/>
      <c r="N568" s="120"/>
      <c r="O568" s="120"/>
      <c r="P568" s="122"/>
      <c r="Q568" s="122"/>
      <c r="R568" s="122"/>
      <c r="S568" s="122"/>
    </row>
    <row r="569" spans="1:19" s="61" customFormat="1">
      <c r="A569" s="174"/>
      <c r="B569" s="176"/>
      <c r="C569" s="43" t="s">
        <v>184</v>
      </c>
      <c r="D569" s="62">
        <v>1</v>
      </c>
      <c r="E569" s="30" t="str">
        <f t="shared" si="757"/>
        <v>23:23</v>
      </c>
      <c r="F569" s="30" t="s">
        <v>7</v>
      </c>
      <c r="G569" s="30" t="s">
        <v>7</v>
      </c>
      <c r="H569" s="65" t="s">
        <v>185</v>
      </c>
      <c r="I569" s="30" t="s">
        <v>68</v>
      </c>
      <c r="J569" s="32"/>
      <c r="K569" s="33"/>
      <c r="L569" s="46"/>
      <c r="M569" s="178"/>
      <c r="N569" s="120"/>
      <c r="O569" s="120"/>
      <c r="P569" s="122"/>
      <c r="Q569" s="122"/>
      <c r="R569" s="122"/>
      <c r="S569" s="122"/>
    </row>
    <row r="570" spans="1:19" s="61" customFormat="1">
      <c r="A570" s="174"/>
      <c r="B570" s="176"/>
      <c r="C570" s="43" t="s">
        <v>186</v>
      </c>
      <c r="D570" s="62">
        <v>2</v>
      </c>
      <c r="E570" s="30" t="str">
        <f t="shared" si="757"/>
        <v>22:21</v>
      </c>
      <c r="F570" s="30" t="s">
        <v>154</v>
      </c>
      <c r="G570" s="30" t="s">
        <v>154</v>
      </c>
      <c r="H570" s="64" t="s">
        <v>155</v>
      </c>
      <c r="I570" s="30" t="s">
        <v>68</v>
      </c>
      <c r="J570" s="32" t="s">
        <v>36</v>
      </c>
      <c r="K570" s="33" t="s">
        <v>6</v>
      </c>
      <c r="L570" s="46"/>
      <c r="M570" s="178"/>
      <c r="N570" s="120"/>
      <c r="O570" s="120"/>
      <c r="P570" s="122"/>
      <c r="Q570" s="122"/>
      <c r="R570" s="122"/>
      <c r="S570" s="122"/>
    </row>
    <row r="571" spans="1:19" s="61" customFormat="1">
      <c r="A571" s="174"/>
      <c r="B571" s="176"/>
      <c r="C571" s="43" t="s">
        <v>187</v>
      </c>
      <c r="D571" s="62">
        <v>1</v>
      </c>
      <c r="E571" s="30" t="str">
        <f t="shared" si="757"/>
        <v>20:20</v>
      </c>
      <c r="F571" s="30" t="s">
        <v>7</v>
      </c>
      <c r="G571" s="30" t="s">
        <v>7</v>
      </c>
      <c r="H571" s="65" t="s">
        <v>157</v>
      </c>
      <c r="I571" s="30" t="s">
        <v>68</v>
      </c>
      <c r="J571" s="32" t="s">
        <v>36</v>
      </c>
      <c r="K571" s="33" t="s">
        <v>6</v>
      </c>
      <c r="L571" s="46"/>
      <c r="M571" s="178"/>
      <c r="N571" s="120"/>
      <c r="O571" s="120"/>
      <c r="P571" s="122"/>
      <c r="Q571" s="122"/>
      <c r="R571" s="122"/>
      <c r="S571" s="122"/>
    </row>
    <row r="572" spans="1:19" s="61" customFormat="1">
      <c r="A572" s="174"/>
      <c r="B572" s="176"/>
      <c r="C572" s="43" t="s">
        <v>188</v>
      </c>
      <c r="D572" s="62">
        <v>2</v>
      </c>
      <c r="E572" s="30" t="str">
        <f t="shared" si="757"/>
        <v>19:18</v>
      </c>
      <c r="F572" s="30" t="s">
        <v>154</v>
      </c>
      <c r="G572" s="30" t="s">
        <v>154</v>
      </c>
      <c r="H572" s="64" t="s">
        <v>155</v>
      </c>
      <c r="I572" s="30" t="s">
        <v>68</v>
      </c>
      <c r="J572" s="32" t="s">
        <v>36</v>
      </c>
      <c r="K572" s="33" t="s">
        <v>6</v>
      </c>
      <c r="L572" s="46"/>
      <c r="M572" s="178"/>
      <c r="N572" s="120"/>
      <c r="O572" s="120"/>
      <c r="P572" s="122"/>
      <c r="Q572" s="122"/>
      <c r="R572" s="122"/>
      <c r="S572" s="122"/>
    </row>
    <row r="573" spans="1:19" s="61" customFormat="1">
      <c r="A573" s="174"/>
      <c r="B573" s="176"/>
      <c r="C573" s="43" t="s">
        <v>189</v>
      </c>
      <c r="D573" s="62">
        <v>1</v>
      </c>
      <c r="E573" s="30" t="str">
        <f t="shared" si="757"/>
        <v>17:17</v>
      </c>
      <c r="F573" s="30" t="s">
        <v>7</v>
      </c>
      <c r="G573" s="30" t="s">
        <v>7</v>
      </c>
      <c r="H573" s="65" t="s">
        <v>160</v>
      </c>
      <c r="I573" s="30" t="s">
        <v>68</v>
      </c>
      <c r="J573" s="32" t="s">
        <v>36</v>
      </c>
      <c r="K573" s="33" t="s">
        <v>6</v>
      </c>
      <c r="L573" s="46"/>
      <c r="M573" s="178"/>
      <c r="N573" s="120"/>
      <c r="O573" s="120"/>
      <c r="P573" s="122"/>
      <c r="Q573" s="122"/>
      <c r="R573" s="122"/>
      <c r="S573" s="122"/>
    </row>
    <row r="574" spans="1:19" s="61" customFormat="1">
      <c r="A574" s="174"/>
      <c r="B574" s="176"/>
      <c r="C574" s="43" t="s">
        <v>190</v>
      </c>
      <c r="D574" s="62">
        <v>2</v>
      </c>
      <c r="E574" s="30" t="str">
        <f t="shared" si="757"/>
        <v>16:15</v>
      </c>
      <c r="F574" s="30" t="s">
        <v>154</v>
      </c>
      <c r="G574" s="30" t="s">
        <v>154</v>
      </c>
      <c r="H574" s="64" t="s">
        <v>155</v>
      </c>
      <c r="I574" s="30" t="s">
        <v>68</v>
      </c>
      <c r="J574" s="32" t="s">
        <v>36</v>
      </c>
      <c r="K574" s="33" t="s">
        <v>6</v>
      </c>
      <c r="L574" s="46"/>
      <c r="M574" s="178"/>
      <c r="N574" s="120"/>
      <c r="O574" s="120"/>
      <c r="P574" s="122"/>
      <c r="Q574" s="122"/>
      <c r="R574" s="122"/>
      <c r="S574" s="122"/>
    </row>
    <row r="575" spans="1:19" s="61" customFormat="1">
      <c r="A575" s="174"/>
      <c r="B575" s="176"/>
      <c r="C575" s="43" t="s">
        <v>191</v>
      </c>
      <c r="D575" s="62">
        <v>1</v>
      </c>
      <c r="E575" s="30" t="str">
        <f t="shared" si="757"/>
        <v>14:14</v>
      </c>
      <c r="F575" s="30" t="s">
        <v>7</v>
      </c>
      <c r="G575" s="30" t="s">
        <v>7</v>
      </c>
      <c r="H575" s="65" t="s">
        <v>163</v>
      </c>
      <c r="I575" s="30" t="s">
        <v>68</v>
      </c>
      <c r="J575" s="32" t="s">
        <v>36</v>
      </c>
      <c r="K575" s="33" t="s">
        <v>6</v>
      </c>
      <c r="L575" s="46"/>
      <c r="M575" s="178"/>
      <c r="N575" s="120"/>
      <c r="O575" s="120"/>
      <c r="P575" s="122"/>
      <c r="Q575" s="122"/>
      <c r="R575" s="122"/>
      <c r="S575" s="122"/>
    </row>
    <row r="576" spans="1:19" s="61" customFormat="1">
      <c r="A576" s="174"/>
      <c r="B576" s="176"/>
      <c r="C576" s="43" t="s">
        <v>192</v>
      </c>
      <c r="D576" s="62">
        <v>2</v>
      </c>
      <c r="E576" s="30" t="str">
        <f t="shared" si="757"/>
        <v>13:12</v>
      </c>
      <c r="F576" s="30" t="s">
        <v>154</v>
      </c>
      <c r="G576" s="30" t="s">
        <v>154</v>
      </c>
      <c r="H576" s="64" t="s">
        <v>155</v>
      </c>
      <c r="I576" s="30" t="s">
        <v>68</v>
      </c>
      <c r="J576" s="32" t="s">
        <v>36</v>
      </c>
      <c r="K576" s="33" t="s">
        <v>6</v>
      </c>
      <c r="L576" s="46"/>
      <c r="M576" s="178"/>
      <c r="N576" s="120"/>
      <c r="O576" s="120"/>
      <c r="P576" s="122"/>
      <c r="Q576" s="122"/>
      <c r="R576" s="122"/>
      <c r="S576" s="122"/>
    </row>
    <row r="577" spans="1:19" s="61" customFormat="1">
      <c r="A577" s="174"/>
      <c r="B577" s="176"/>
      <c r="C577" s="43" t="s">
        <v>193</v>
      </c>
      <c r="D577" s="62">
        <v>1</v>
      </c>
      <c r="E577" s="30" t="str">
        <f t="shared" si="757"/>
        <v>11:11</v>
      </c>
      <c r="F577" s="30" t="s">
        <v>7</v>
      </c>
      <c r="G577" s="30" t="s">
        <v>7</v>
      </c>
      <c r="H577" s="65" t="s">
        <v>166</v>
      </c>
      <c r="I577" s="30" t="s">
        <v>68</v>
      </c>
      <c r="J577" s="32" t="s">
        <v>36</v>
      </c>
      <c r="K577" s="33" t="s">
        <v>6</v>
      </c>
      <c r="L577" s="46"/>
      <c r="M577" s="178"/>
      <c r="N577" s="120"/>
      <c r="O577" s="120"/>
      <c r="P577" s="122"/>
      <c r="Q577" s="122"/>
      <c r="R577" s="122"/>
      <c r="S577" s="122"/>
    </row>
    <row r="578" spans="1:19" s="61" customFormat="1" ht="72">
      <c r="A578" s="174"/>
      <c r="B578" s="176"/>
      <c r="C578" s="43" t="s">
        <v>194</v>
      </c>
      <c r="D578" s="62">
        <v>4</v>
      </c>
      <c r="E578" s="30" t="str">
        <f t="shared" si="757"/>
        <v>10:7</v>
      </c>
      <c r="F578" s="30" t="s">
        <v>149</v>
      </c>
      <c r="G578" s="30" t="s">
        <v>149</v>
      </c>
      <c r="H578" s="65" t="s">
        <v>168</v>
      </c>
      <c r="I578" s="30" t="s">
        <v>68</v>
      </c>
      <c r="J578" s="32" t="s">
        <v>36</v>
      </c>
      <c r="K578" s="33" t="s">
        <v>6</v>
      </c>
      <c r="L578" s="46"/>
      <c r="M578" s="178"/>
      <c r="N578" s="120"/>
      <c r="O578" s="120"/>
      <c r="P578" s="122"/>
      <c r="Q578" s="122"/>
      <c r="R578" s="122"/>
      <c r="S578" s="122"/>
    </row>
    <row r="579" spans="1:19" s="61" customFormat="1">
      <c r="A579" s="174"/>
      <c r="B579" s="176"/>
      <c r="C579" s="43" t="s">
        <v>195</v>
      </c>
      <c r="D579" s="62">
        <v>1</v>
      </c>
      <c r="E579" s="30" t="str">
        <f t="shared" si="757"/>
        <v>6:6</v>
      </c>
      <c r="F579" s="30" t="s">
        <v>7</v>
      </c>
      <c r="G579" s="30" t="s">
        <v>7</v>
      </c>
      <c r="H579" s="65" t="s">
        <v>170</v>
      </c>
      <c r="I579" s="30" t="s">
        <v>68</v>
      </c>
      <c r="J579" s="32" t="s">
        <v>36</v>
      </c>
      <c r="K579" s="33" t="s">
        <v>6</v>
      </c>
      <c r="L579" s="46"/>
      <c r="M579" s="178"/>
      <c r="N579" s="120"/>
      <c r="O579" s="120"/>
      <c r="P579" s="122"/>
      <c r="Q579" s="122"/>
      <c r="R579" s="122"/>
      <c r="S579" s="122"/>
    </row>
    <row r="580" spans="1:19" s="61" customFormat="1">
      <c r="A580" s="174"/>
      <c r="B580" s="177"/>
      <c r="C580" s="43" t="s">
        <v>196</v>
      </c>
      <c r="D580" s="62">
        <v>1</v>
      </c>
      <c r="E580" s="30" t="str">
        <f t="shared" si="757"/>
        <v>5:5</v>
      </c>
      <c r="F580" s="30" t="s">
        <v>7</v>
      </c>
      <c r="G580" s="30" t="s">
        <v>7</v>
      </c>
      <c r="H580" s="65" t="s">
        <v>172</v>
      </c>
      <c r="I580" s="30" t="s">
        <v>68</v>
      </c>
      <c r="J580" s="32" t="s">
        <v>36</v>
      </c>
      <c r="K580" s="33" t="s">
        <v>6</v>
      </c>
      <c r="L580" s="46"/>
      <c r="M580" s="120"/>
      <c r="N580" s="120"/>
      <c r="O580" s="120"/>
      <c r="P580" s="122"/>
      <c r="Q580" s="122"/>
      <c r="R580" s="122"/>
      <c r="S580" s="122"/>
    </row>
    <row r="581" spans="1:19" s="61" customFormat="1">
      <c r="A581" s="174"/>
      <c r="B581" s="177"/>
      <c r="C581" s="43" t="s">
        <v>197</v>
      </c>
      <c r="D581" s="62">
        <v>1</v>
      </c>
      <c r="E581" s="30" t="str">
        <f t="shared" si="757"/>
        <v>4:4</v>
      </c>
      <c r="F581" s="30" t="s">
        <v>7</v>
      </c>
      <c r="G581" s="30" t="s">
        <v>7</v>
      </c>
      <c r="H581" s="65" t="s">
        <v>174</v>
      </c>
      <c r="I581" s="30" t="s">
        <v>68</v>
      </c>
      <c r="J581" s="32" t="s">
        <v>36</v>
      </c>
      <c r="K581" s="33" t="s">
        <v>6</v>
      </c>
      <c r="L581" s="46"/>
      <c r="M581" s="120"/>
      <c r="N581" s="120"/>
      <c r="O581" s="120"/>
      <c r="P581" s="122"/>
      <c r="Q581" s="122"/>
      <c r="R581" s="122"/>
      <c r="S581" s="122"/>
    </row>
    <row r="582" spans="1:19" s="61" customFormat="1">
      <c r="A582" s="174"/>
      <c r="B582" s="177"/>
      <c r="C582" s="43" t="s">
        <v>198</v>
      </c>
      <c r="D582" s="62">
        <v>1</v>
      </c>
      <c r="E582" s="30" t="str">
        <f t="shared" si="757"/>
        <v>3:3</v>
      </c>
      <c r="F582" s="30" t="s">
        <v>7</v>
      </c>
      <c r="G582" s="30" t="s">
        <v>7</v>
      </c>
      <c r="H582" s="65" t="s">
        <v>176</v>
      </c>
      <c r="I582" s="30" t="s">
        <v>68</v>
      </c>
      <c r="J582" s="32" t="s">
        <v>36</v>
      </c>
      <c r="K582" s="33" t="s">
        <v>6</v>
      </c>
      <c r="L582" s="46"/>
      <c r="M582" s="120"/>
      <c r="N582" s="120"/>
      <c r="O582" s="120"/>
      <c r="P582" s="122"/>
      <c r="Q582" s="122"/>
      <c r="R582" s="122"/>
      <c r="S582" s="122"/>
    </row>
    <row r="583" spans="1:19" s="61" customFormat="1" ht="115.8" thickBot="1">
      <c r="A583" s="174"/>
      <c r="B583" s="177"/>
      <c r="C583" s="43" t="s">
        <v>199</v>
      </c>
      <c r="D583" s="62">
        <v>3</v>
      </c>
      <c r="E583" s="30" t="str">
        <f t="shared" si="757"/>
        <v>2:0</v>
      </c>
      <c r="F583" s="30" t="s">
        <v>178</v>
      </c>
      <c r="G583" s="30" t="s">
        <v>178</v>
      </c>
      <c r="H583" s="65" t="s">
        <v>179</v>
      </c>
      <c r="I583" s="30" t="s">
        <v>68</v>
      </c>
      <c r="J583" s="32" t="s">
        <v>36</v>
      </c>
      <c r="K583" s="33" t="s">
        <v>6</v>
      </c>
      <c r="L583" s="46"/>
      <c r="M583" s="120"/>
      <c r="N583" s="120"/>
      <c r="O583" s="120"/>
      <c r="P583" s="122"/>
      <c r="Q583" s="122"/>
      <c r="R583" s="122"/>
      <c r="S583" s="122"/>
    </row>
    <row r="584" spans="1:19" s="61" customFormat="1" ht="15" customHeight="1" thickBot="1">
      <c r="A584" s="174" t="s">
        <v>237</v>
      </c>
      <c r="B584" s="175" t="str">
        <f t="shared" si="755"/>
        <v>18</v>
      </c>
      <c r="C584" s="60" t="s">
        <v>134</v>
      </c>
      <c r="D584" s="164" t="str">
        <f>bitConcat(F585:F598)</f>
        <v>32'b00100000000000000000000000000000</v>
      </c>
      <c r="E584" s="165"/>
      <c r="F584" s="165"/>
      <c r="G584" s="165"/>
      <c r="H584" s="166" t="s">
        <v>135</v>
      </c>
      <c r="I584" s="167"/>
      <c r="J584" s="168" t="str">
        <f>bitConcat(G585:G598)</f>
        <v>32'b00100000000000000000000000000000</v>
      </c>
      <c r="K584" s="166"/>
      <c r="L584" s="167"/>
      <c r="M584" s="119" t="str">
        <f t="shared" ref="M584" si="758">DEC2HEX(_xlfn.BITLSHIFT(O584,7)+4*P584)</f>
        <v>218</v>
      </c>
      <c r="N584" s="120"/>
      <c r="O584" s="120">
        <v>4</v>
      </c>
      <c r="P584" s="122">
        <v>6</v>
      </c>
      <c r="Q584" s="121" t="str">
        <f>DEC2HEX(_xlfn.BITLSHIFT(O584,5)+P584)</f>
        <v>86</v>
      </c>
      <c r="R584" s="121" t="str">
        <f>BIN2HEX(LEFT(RIGHT(D584,32),4))&amp;BIN2HEX(LEFT(RIGHT(D584,28),4))&amp;BIN2HEX(LEFT(RIGHT(D584,24),4))&amp;BIN2HEX(LEFT(RIGHT(D584,20),4))&amp;BIN2HEX(LEFT(RIGHT(D584,16),4))&amp;BIN2HEX(LEFT(RIGHT(D584,12),4))&amp;BIN2HEX(LEFT(RIGHT(D584,8),4))&amp;BIN2HEX(LEFT(RIGHT(D584,4),4))</f>
        <v>20000000</v>
      </c>
      <c r="S584" s="121" t="str">
        <f>BIN2HEX(LEFT(RIGHT(J584,32),4))&amp;BIN2HEX(LEFT(RIGHT(J584,28),4))&amp;BIN2HEX(LEFT(RIGHT(J584,24),4))&amp;BIN2HEX(LEFT(RIGHT(J584,20),4))&amp;BIN2HEX(LEFT(RIGHT(J584,16),4))&amp;BIN2HEX(LEFT(RIGHT(J584,12),4))&amp;BIN2HEX(LEFT(RIGHT(J584,8),4))&amp;BIN2HEX(LEFT(RIGHT(J584,4),4))</f>
        <v>20000000</v>
      </c>
    </row>
    <row r="585" spans="1:19" s="61" customFormat="1">
      <c r="A585" s="174"/>
      <c r="B585" s="176"/>
      <c r="C585" s="43" t="s">
        <v>201</v>
      </c>
      <c r="D585" s="62">
        <v>4</v>
      </c>
      <c r="E585" s="30" t="str">
        <f>IF(D585&gt;1,(31)&amp;":"&amp;(31-D585+1),(31-D585+1)&amp;":"&amp;(31-D585+1))</f>
        <v>31:28</v>
      </c>
      <c r="F585" s="30" t="s">
        <v>202</v>
      </c>
      <c r="G585" s="30" t="s">
        <v>202</v>
      </c>
      <c r="H585" s="63" t="s">
        <v>147</v>
      </c>
      <c r="I585" s="30" t="s">
        <v>68</v>
      </c>
      <c r="J585" s="32" t="s">
        <v>36</v>
      </c>
      <c r="K585" s="33" t="s">
        <v>6</v>
      </c>
      <c r="L585" s="46"/>
      <c r="M585" s="178"/>
      <c r="N585" s="120"/>
      <c r="O585" s="120"/>
      <c r="P585" s="122"/>
      <c r="Q585" s="122"/>
      <c r="R585" s="122"/>
      <c r="S585" s="122"/>
    </row>
    <row r="586" spans="1:19" s="61" customFormat="1" ht="15" customHeight="1">
      <c r="A586" s="174"/>
      <c r="B586" s="176"/>
      <c r="C586" s="43" t="s">
        <v>203</v>
      </c>
      <c r="D586" s="62">
        <v>4</v>
      </c>
      <c r="E586" s="30" t="str">
        <f t="shared" ref="E586:E598" si="759">(MID(str_cnvt(E585),SEARCH(":",str_cnvt(E585))+1,2)-1) &amp; ":" &amp; (MID(str_cnvt(E585),SEARCH(":",str_cnvt(E585))+1,2)-D586)</f>
        <v>27:24</v>
      </c>
      <c r="F586" s="30" t="s">
        <v>149</v>
      </c>
      <c r="G586" s="30" t="s">
        <v>149</v>
      </c>
      <c r="H586" s="64" t="s">
        <v>150</v>
      </c>
      <c r="I586" s="30" t="s">
        <v>68</v>
      </c>
      <c r="J586" s="32" t="s">
        <v>36</v>
      </c>
      <c r="K586" s="33" t="s">
        <v>6</v>
      </c>
      <c r="L586" s="46"/>
      <c r="M586" s="178"/>
      <c r="N586" s="120"/>
      <c r="O586" s="120"/>
      <c r="P586" s="122"/>
      <c r="Q586" s="122"/>
      <c r="R586" s="122"/>
      <c r="S586" s="122"/>
    </row>
    <row r="587" spans="1:19" s="61" customFormat="1" ht="15" customHeight="1">
      <c r="A587" s="174"/>
      <c r="B587" s="176"/>
      <c r="C587" s="43" t="s">
        <v>204</v>
      </c>
      <c r="D587" s="62">
        <v>1</v>
      </c>
      <c r="E587" s="30" t="str">
        <f t="shared" si="759"/>
        <v>23:23</v>
      </c>
      <c r="F587" s="30" t="s">
        <v>7</v>
      </c>
      <c r="G587" s="30" t="s">
        <v>7</v>
      </c>
      <c r="H587" s="65" t="s">
        <v>205</v>
      </c>
      <c r="I587" s="30" t="s">
        <v>68</v>
      </c>
      <c r="J587" s="32"/>
      <c r="K587" s="33"/>
      <c r="L587" s="46"/>
      <c r="M587" s="178"/>
      <c r="N587" s="120"/>
      <c r="O587" s="120"/>
      <c r="P587" s="122"/>
      <c r="Q587" s="122"/>
      <c r="R587" s="122"/>
      <c r="S587" s="122"/>
    </row>
    <row r="588" spans="1:19" s="61" customFormat="1">
      <c r="A588" s="174"/>
      <c r="B588" s="176"/>
      <c r="C588" s="43" t="s">
        <v>206</v>
      </c>
      <c r="D588" s="62">
        <v>2</v>
      </c>
      <c r="E588" s="30" t="str">
        <f t="shared" si="759"/>
        <v>22:21</v>
      </c>
      <c r="F588" s="30" t="s">
        <v>154</v>
      </c>
      <c r="G588" s="30" t="s">
        <v>154</v>
      </c>
      <c r="H588" s="64" t="s">
        <v>155</v>
      </c>
      <c r="I588" s="30" t="s">
        <v>68</v>
      </c>
      <c r="J588" s="32" t="s">
        <v>36</v>
      </c>
      <c r="K588" s="33" t="s">
        <v>6</v>
      </c>
      <c r="L588" s="46"/>
      <c r="M588" s="178"/>
      <c r="N588" s="120"/>
      <c r="O588" s="120"/>
      <c r="P588" s="122"/>
      <c r="Q588" s="122"/>
      <c r="R588" s="122"/>
      <c r="S588" s="122"/>
    </row>
    <row r="589" spans="1:19" s="61" customFormat="1">
      <c r="A589" s="174"/>
      <c r="B589" s="176"/>
      <c r="C589" s="43" t="s">
        <v>207</v>
      </c>
      <c r="D589" s="62">
        <v>1</v>
      </c>
      <c r="E589" s="30" t="str">
        <f t="shared" si="759"/>
        <v>20:20</v>
      </c>
      <c r="F589" s="30" t="s">
        <v>7</v>
      </c>
      <c r="G589" s="30" t="s">
        <v>7</v>
      </c>
      <c r="H589" s="65" t="s">
        <v>157</v>
      </c>
      <c r="I589" s="30" t="s">
        <v>68</v>
      </c>
      <c r="J589" s="32" t="s">
        <v>36</v>
      </c>
      <c r="K589" s="33" t="s">
        <v>6</v>
      </c>
      <c r="L589" s="46"/>
      <c r="M589" s="178"/>
      <c r="N589" s="120"/>
      <c r="O589" s="120"/>
      <c r="P589" s="122"/>
      <c r="Q589" s="122"/>
      <c r="R589" s="122"/>
      <c r="S589" s="122"/>
    </row>
    <row r="590" spans="1:19" s="61" customFormat="1">
      <c r="A590" s="174"/>
      <c r="B590" s="176"/>
      <c r="C590" s="43" t="s">
        <v>208</v>
      </c>
      <c r="D590" s="62">
        <v>2</v>
      </c>
      <c r="E590" s="30" t="str">
        <f t="shared" si="759"/>
        <v>19:18</v>
      </c>
      <c r="F590" s="30" t="s">
        <v>154</v>
      </c>
      <c r="G590" s="30" t="s">
        <v>154</v>
      </c>
      <c r="H590" s="64" t="s">
        <v>155</v>
      </c>
      <c r="I590" s="30" t="s">
        <v>68</v>
      </c>
      <c r="J590" s="32" t="s">
        <v>36</v>
      </c>
      <c r="K590" s="33" t="s">
        <v>6</v>
      </c>
      <c r="L590" s="46"/>
      <c r="M590" s="178"/>
      <c r="N590" s="120"/>
      <c r="O590" s="120"/>
      <c r="P590" s="122"/>
      <c r="Q590" s="122"/>
      <c r="R590" s="122"/>
      <c r="S590" s="122"/>
    </row>
    <row r="591" spans="1:19" s="61" customFormat="1">
      <c r="A591" s="174"/>
      <c r="B591" s="176"/>
      <c r="C591" s="43" t="s">
        <v>209</v>
      </c>
      <c r="D591" s="62">
        <v>1</v>
      </c>
      <c r="E591" s="30" t="str">
        <f t="shared" si="759"/>
        <v>17:17</v>
      </c>
      <c r="F591" s="30" t="s">
        <v>7</v>
      </c>
      <c r="G591" s="30" t="s">
        <v>7</v>
      </c>
      <c r="H591" s="65" t="s">
        <v>160</v>
      </c>
      <c r="I591" s="30" t="s">
        <v>68</v>
      </c>
      <c r="J591" s="32" t="s">
        <v>36</v>
      </c>
      <c r="K591" s="33" t="s">
        <v>6</v>
      </c>
      <c r="L591" s="46"/>
      <c r="M591" s="178"/>
      <c r="N591" s="120"/>
      <c r="O591" s="120"/>
      <c r="P591" s="122"/>
      <c r="Q591" s="122"/>
      <c r="R591" s="122"/>
      <c r="S591" s="122"/>
    </row>
    <row r="592" spans="1:19" s="61" customFormat="1">
      <c r="A592" s="174"/>
      <c r="B592" s="176"/>
      <c r="C592" s="43" t="s">
        <v>210</v>
      </c>
      <c r="D592" s="62">
        <v>2</v>
      </c>
      <c r="E592" s="30" t="str">
        <f t="shared" si="759"/>
        <v>16:15</v>
      </c>
      <c r="F592" s="30" t="s">
        <v>154</v>
      </c>
      <c r="G592" s="30" t="s">
        <v>154</v>
      </c>
      <c r="H592" s="64" t="s">
        <v>155</v>
      </c>
      <c r="I592" s="30" t="s">
        <v>68</v>
      </c>
      <c r="J592" s="32" t="s">
        <v>36</v>
      </c>
      <c r="K592" s="33" t="s">
        <v>6</v>
      </c>
      <c r="L592" s="46"/>
      <c r="M592" s="178"/>
      <c r="N592" s="120"/>
      <c r="O592" s="120"/>
      <c r="P592" s="122"/>
      <c r="Q592" s="122"/>
      <c r="R592" s="122"/>
      <c r="S592" s="122"/>
    </row>
    <row r="593" spans="1:19" s="61" customFormat="1">
      <c r="A593" s="174"/>
      <c r="B593" s="176"/>
      <c r="C593" s="43" t="s">
        <v>211</v>
      </c>
      <c r="D593" s="62">
        <v>1</v>
      </c>
      <c r="E593" s="30" t="str">
        <f t="shared" si="759"/>
        <v>14:14</v>
      </c>
      <c r="F593" s="30" t="s">
        <v>7</v>
      </c>
      <c r="G593" s="30" t="s">
        <v>7</v>
      </c>
      <c r="H593" s="65" t="s">
        <v>163</v>
      </c>
      <c r="I593" s="30" t="s">
        <v>68</v>
      </c>
      <c r="J593" s="32" t="s">
        <v>36</v>
      </c>
      <c r="K593" s="33" t="s">
        <v>6</v>
      </c>
      <c r="L593" s="46"/>
      <c r="M593" s="178"/>
      <c r="N593" s="120"/>
      <c r="O593" s="120"/>
      <c r="P593" s="122"/>
      <c r="Q593" s="122"/>
      <c r="R593" s="122"/>
      <c r="S593" s="122"/>
    </row>
    <row r="594" spans="1:19" s="61" customFormat="1">
      <c r="A594" s="174"/>
      <c r="B594" s="176"/>
      <c r="C594" s="43" t="s">
        <v>212</v>
      </c>
      <c r="D594" s="62">
        <v>2</v>
      </c>
      <c r="E594" s="30" t="str">
        <f t="shared" si="759"/>
        <v>13:12</v>
      </c>
      <c r="F594" s="30" t="s">
        <v>154</v>
      </c>
      <c r="G594" s="30" t="s">
        <v>154</v>
      </c>
      <c r="H594" s="64" t="s">
        <v>155</v>
      </c>
      <c r="I594" s="30" t="s">
        <v>68</v>
      </c>
      <c r="J594" s="32" t="s">
        <v>36</v>
      </c>
      <c r="K594" s="33" t="s">
        <v>6</v>
      </c>
      <c r="L594" s="46"/>
      <c r="M594" s="178"/>
      <c r="N594" s="120"/>
      <c r="O594" s="120"/>
      <c r="P594" s="122"/>
      <c r="Q594" s="122"/>
      <c r="R594" s="122"/>
      <c r="S594" s="122"/>
    </row>
    <row r="595" spans="1:19" s="61" customFormat="1">
      <c r="A595" s="174"/>
      <c r="B595" s="176"/>
      <c r="C595" s="43" t="s">
        <v>213</v>
      </c>
      <c r="D595" s="62">
        <v>1</v>
      </c>
      <c r="E595" s="30" t="str">
        <f t="shared" si="759"/>
        <v>11:11</v>
      </c>
      <c r="F595" s="30" t="s">
        <v>7</v>
      </c>
      <c r="G595" s="30" t="s">
        <v>7</v>
      </c>
      <c r="H595" s="65" t="s">
        <v>166</v>
      </c>
      <c r="I595" s="30" t="s">
        <v>68</v>
      </c>
      <c r="J595" s="32" t="s">
        <v>36</v>
      </c>
      <c r="K595" s="33" t="s">
        <v>6</v>
      </c>
      <c r="L595" s="46"/>
      <c r="M595" s="178"/>
      <c r="N595" s="120"/>
      <c r="O595" s="120"/>
      <c r="P595" s="122"/>
      <c r="Q595" s="122"/>
      <c r="R595" s="122"/>
      <c r="S595" s="122"/>
    </row>
    <row r="596" spans="1:19" s="61" customFormat="1" ht="72">
      <c r="A596" s="174"/>
      <c r="B596" s="176"/>
      <c r="C596" s="43" t="s">
        <v>214</v>
      </c>
      <c r="D596" s="62">
        <v>4</v>
      </c>
      <c r="E596" s="30" t="str">
        <f t="shared" si="759"/>
        <v>10:7</v>
      </c>
      <c r="F596" s="30" t="s">
        <v>149</v>
      </c>
      <c r="G596" s="30" t="s">
        <v>149</v>
      </c>
      <c r="H596" s="65" t="s">
        <v>168</v>
      </c>
      <c r="I596" s="30" t="s">
        <v>68</v>
      </c>
      <c r="J596" s="32" t="s">
        <v>36</v>
      </c>
      <c r="K596" s="33" t="s">
        <v>6</v>
      </c>
      <c r="L596" s="46"/>
      <c r="M596" s="178"/>
      <c r="N596" s="120"/>
      <c r="O596" s="120"/>
      <c r="P596" s="122"/>
      <c r="Q596" s="122"/>
      <c r="R596" s="122"/>
      <c r="S596" s="122"/>
    </row>
    <row r="597" spans="1:19" s="61" customFormat="1" ht="115.2">
      <c r="A597" s="174"/>
      <c r="B597" s="176"/>
      <c r="C597" s="43" t="s">
        <v>215</v>
      </c>
      <c r="D597" s="62">
        <v>3</v>
      </c>
      <c r="E597" s="30" t="str">
        <f t="shared" si="759"/>
        <v>6:4</v>
      </c>
      <c r="F597" s="30" t="s">
        <v>178</v>
      </c>
      <c r="G597" s="30" t="s">
        <v>178</v>
      </c>
      <c r="H597" s="65" t="s">
        <v>179</v>
      </c>
      <c r="I597" s="30" t="s">
        <v>68</v>
      </c>
      <c r="J597" s="32" t="s">
        <v>36</v>
      </c>
      <c r="K597" s="33" t="s">
        <v>6</v>
      </c>
      <c r="L597" s="46"/>
      <c r="M597" s="178"/>
      <c r="N597" s="120"/>
      <c r="O597" s="120"/>
      <c r="P597" s="122"/>
      <c r="Q597" s="122"/>
      <c r="R597" s="122"/>
      <c r="S597" s="122"/>
    </row>
    <row r="598" spans="1:19" s="61" customFormat="1" ht="15" thickBot="1">
      <c r="A598" s="174"/>
      <c r="B598" s="177"/>
      <c r="C598" s="43" t="s">
        <v>216</v>
      </c>
      <c r="D598" s="62">
        <v>4</v>
      </c>
      <c r="E598" s="30" t="str">
        <f t="shared" si="759"/>
        <v>3:0</v>
      </c>
      <c r="F598" s="30" t="s">
        <v>149</v>
      </c>
      <c r="G598" s="30" t="s">
        <v>149</v>
      </c>
      <c r="H598" s="65" t="s">
        <v>217</v>
      </c>
      <c r="I598" s="30" t="s">
        <v>68</v>
      </c>
      <c r="J598" s="32" t="s">
        <v>36</v>
      </c>
      <c r="K598" s="33" t="s">
        <v>6</v>
      </c>
      <c r="L598" s="46"/>
      <c r="M598" s="120"/>
      <c r="N598" s="120"/>
      <c r="O598" s="120"/>
      <c r="P598" s="122"/>
      <c r="Q598" s="122"/>
      <c r="R598" s="122"/>
      <c r="S598" s="122"/>
    </row>
    <row r="599" spans="1:19" s="61" customFormat="1" ht="15" customHeight="1" thickBot="1">
      <c r="A599" s="174" t="s">
        <v>238</v>
      </c>
      <c r="B599" s="175" t="str">
        <f t="shared" si="755"/>
        <v>1C</v>
      </c>
      <c r="C599" s="60" t="s">
        <v>134</v>
      </c>
      <c r="D599" s="164" t="str">
        <f>bitConcat(F600:F613)</f>
        <v>32'b00010000000000000000000000000000</v>
      </c>
      <c r="E599" s="165"/>
      <c r="F599" s="165"/>
      <c r="G599" s="165"/>
      <c r="H599" s="166" t="s">
        <v>135</v>
      </c>
      <c r="I599" s="167"/>
      <c r="J599" s="168" t="str">
        <f>bitConcat(G600:G613)</f>
        <v>32'b00010000000000000000000000000000</v>
      </c>
      <c r="K599" s="166"/>
      <c r="L599" s="167"/>
      <c r="M599" s="119" t="str">
        <f t="shared" ref="M599" si="760">DEC2HEX(_xlfn.BITLSHIFT(O599,7)+4*P599)</f>
        <v>21C</v>
      </c>
      <c r="N599" s="120"/>
      <c r="O599" s="120">
        <v>4</v>
      </c>
      <c r="P599" s="122">
        <v>7</v>
      </c>
      <c r="Q599" s="121" t="str">
        <f>DEC2HEX(_xlfn.BITLSHIFT(O599,5)+P599)</f>
        <v>87</v>
      </c>
      <c r="R599" s="121" t="str">
        <f>BIN2HEX(LEFT(RIGHT(D599,32),4))&amp;BIN2HEX(LEFT(RIGHT(D599,28),4))&amp;BIN2HEX(LEFT(RIGHT(D599,24),4))&amp;BIN2HEX(LEFT(RIGHT(D599,20),4))&amp;BIN2HEX(LEFT(RIGHT(D599,16),4))&amp;BIN2HEX(LEFT(RIGHT(D599,12),4))&amp;BIN2HEX(LEFT(RIGHT(D599,8),4))&amp;BIN2HEX(LEFT(RIGHT(D599,4),4))</f>
        <v>10000000</v>
      </c>
      <c r="S599" s="121" t="str">
        <f>BIN2HEX(LEFT(RIGHT(J599,32),4))&amp;BIN2HEX(LEFT(RIGHT(J599,28),4))&amp;BIN2HEX(LEFT(RIGHT(J599,24),4))&amp;BIN2HEX(LEFT(RIGHT(J599,20),4))&amp;BIN2HEX(LEFT(RIGHT(J599,16),4))&amp;BIN2HEX(LEFT(RIGHT(J599,12),4))&amp;BIN2HEX(LEFT(RIGHT(J599,8),4))&amp;BIN2HEX(LEFT(RIGHT(J599,4),4))</f>
        <v>10000000</v>
      </c>
    </row>
    <row r="600" spans="1:19" s="61" customFormat="1">
      <c r="A600" s="174"/>
      <c r="B600" s="176"/>
      <c r="C600" s="43" t="s">
        <v>219</v>
      </c>
      <c r="D600" s="62">
        <v>4</v>
      </c>
      <c r="E600" s="30" t="str">
        <f>IF(D600&gt;1,(31)&amp;":"&amp;(31-D600+1),(31-D600+1)&amp;":"&amp;(31-D600+1))</f>
        <v>31:28</v>
      </c>
      <c r="F600" s="30" t="s">
        <v>220</v>
      </c>
      <c r="G600" s="30" t="s">
        <v>220</v>
      </c>
      <c r="H600" s="63" t="s">
        <v>147</v>
      </c>
      <c r="I600" s="30" t="s">
        <v>68</v>
      </c>
      <c r="J600" s="32" t="s">
        <v>36</v>
      </c>
      <c r="K600" s="33" t="s">
        <v>6</v>
      </c>
      <c r="L600" s="46"/>
      <c r="M600" s="178"/>
      <c r="N600" s="120"/>
      <c r="O600" s="120"/>
      <c r="P600" s="122"/>
      <c r="Q600" s="122"/>
      <c r="R600" s="122"/>
      <c r="S600" s="122"/>
    </row>
    <row r="601" spans="1:19" s="61" customFormat="1">
      <c r="A601" s="174"/>
      <c r="B601" s="176"/>
      <c r="C601" s="43" t="s">
        <v>221</v>
      </c>
      <c r="D601" s="62">
        <v>4</v>
      </c>
      <c r="E601" s="30" t="str">
        <f t="shared" ref="E601:E613" si="761">(MID(str_cnvt(E600),SEARCH(":",str_cnvt(E600))+1,2)-1) &amp; ":" &amp; (MID(str_cnvt(E600),SEARCH(":",str_cnvt(E600))+1,2)-D601)</f>
        <v>27:24</v>
      </c>
      <c r="F601" s="30" t="s">
        <v>149</v>
      </c>
      <c r="G601" s="30" t="s">
        <v>149</v>
      </c>
      <c r="H601" s="64" t="s">
        <v>150</v>
      </c>
      <c r="I601" s="30" t="s">
        <v>68</v>
      </c>
      <c r="J601" s="32" t="s">
        <v>36</v>
      </c>
      <c r="K601" s="33" t="s">
        <v>6</v>
      </c>
      <c r="L601" s="46"/>
      <c r="M601" s="178"/>
      <c r="N601" s="120"/>
      <c r="O601" s="120"/>
      <c r="P601" s="122"/>
      <c r="Q601" s="122"/>
      <c r="R601" s="122"/>
      <c r="S601" s="122"/>
    </row>
    <row r="602" spans="1:19" s="61" customFormat="1">
      <c r="A602" s="174"/>
      <c r="B602" s="176"/>
      <c r="C602" s="43" t="s">
        <v>222</v>
      </c>
      <c r="D602" s="62">
        <v>1</v>
      </c>
      <c r="E602" s="30" t="str">
        <f t="shared" si="761"/>
        <v>23:23</v>
      </c>
      <c r="F602" s="30" t="s">
        <v>7</v>
      </c>
      <c r="G602" s="30" t="s">
        <v>7</v>
      </c>
      <c r="H602" s="65" t="s">
        <v>223</v>
      </c>
      <c r="I602" s="30" t="s">
        <v>68</v>
      </c>
      <c r="J602" s="32"/>
      <c r="K602" s="33"/>
      <c r="L602" s="46"/>
      <c r="M602" s="178"/>
      <c r="N602" s="120"/>
      <c r="O602" s="120"/>
      <c r="P602" s="122"/>
      <c r="Q602" s="122"/>
      <c r="R602" s="122"/>
      <c r="S602" s="122"/>
    </row>
    <row r="603" spans="1:19" s="61" customFormat="1" ht="15" customHeight="1">
      <c r="A603" s="174"/>
      <c r="B603" s="176"/>
      <c r="C603" s="43" t="s">
        <v>224</v>
      </c>
      <c r="D603" s="62">
        <v>2</v>
      </c>
      <c r="E603" s="30" t="str">
        <f t="shared" si="761"/>
        <v>22:21</v>
      </c>
      <c r="F603" s="30" t="s">
        <v>154</v>
      </c>
      <c r="G603" s="30" t="s">
        <v>154</v>
      </c>
      <c r="H603" s="64" t="s">
        <v>155</v>
      </c>
      <c r="I603" s="30" t="s">
        <v>68</v>
      </c>
      <c r="J603" s="32" t="s">
        <v>36</v>
      </c>
      <c r="K603" s="33" t="s">
        <v>6</v>
      </c>
      <c r="L603" s="46"/>
      <c r="M603" s="178"/>
      <c r="N603" s="120"/>
      <c r="O603" s="120"/>
      <c r="P603" s="122"/>
      <c r="Q603" s="122"/>
      <c r="R603" s="122"/>
      <c r="S603" s="122"/>
    </row>
    <row r="604" spans="1:19" s="61" customFormat="1">
      <c r="A604" s="174"/>
      <c r="B604" s="176"/>
      <c r="C604" s="43" t="s">
        <v>225</v>
      </c>
      <c r="D604" s="62">
        <v>1</v>
      </c>
      <c r="E604" s="30" t="str">
        <f t="shared" si="761"/>
        <v>20:20</v>
      </c>
      <c r="F604" s="30" t="s">
        <v>7</v>
      </c>
      <c r="G604" s="30" t="s">
        <v>7</v>
      </c>
      <c r="H604" s="65" t="s">
        <v>157</v>
      </c>
      <c r="I604" s="30" t="s">
        <v>68</v>
      </c>
      <c r="J604" s="32" t="s">
        <v>36</v>
      </c>
      <c r="K604" s="33" t="s">
        <v>6</v>
      </c>
      <c r="L604" s="46"/>
      <c r="M604" s="178"/>
      <c r="N604" s="120"/>
      <c r="O604" s="120"/>
      <c r="P604" s="122"/>
      <c r="Q604" s="122"/>
      <c r="R604" s="122"/>
      <c r="S604" s="122"/>
    </row>
    <row r="605" spans="1:19" s="61" customFormat="1">
      <c r="A605" s="174"/>
      <c r="B605" s="176"/>
      <c r="C605" s="43" t="s">
        <v>226</v>
      </c>
      <c r="D605" s="62">
        <v>2</v>
      </c>
      <c r="E605" s="30" t="str">
        <f t="shared" si="761"/>
        <v>19:18</v>
      </c>
      <c r="F605" s="30" t="s">
        <v>154</v>
      </c>
      <c r="G605" s="30" t="s">
        <v>154</v>
      </c>
      <c r="H605" s="64" t="s">
        <v>155</v>
      </c>
      <c r="I605" s="30" t="s">
        <v>68</v>
      </c>
      <c r="J605" s="32" t="s">
        <v>36</v>
      </c>
      <c r="K605" s="33" t="s">
        <v>6</v>
      </c>
      <c r="L605" s="46"/>
      <c r="M605" s="178"/>
      <c r="N605" s="120"/>
      <c r="O605" s="120"/>
      <c r="P605" s="122"/>
      <c r="Q605" s="122"/>
      <c r="R605" s="122"/>
      <c r="S605" s="122"/>
    </row>
    <row r="606" spans="1:19" s="61" customFormat="1">
      <c r="A606" s="174"/>
      <c r="B606" s="176"/>
      <c r="C606" s="43" t="s">
        <v>227</v>
      </c>
      <c r="D606" s="62">
        <v>1</v>
      </c>
      <c r="E606" s="30" t="str">
        <f t="shared" si="761"/>
        <v>17:17</v>
      </c>
      <c r="F606" s="30" t="s">
        <v>7</v>
      </c>
      <c r="G606" s="30" t="s">
        <v>7</v>
      </c>
      <c r="H606" s="65" t="s">
        <v>160</v>
      </c>
      <c r="I606" s="30" t="s">
        <v>68</v>
      </c>
      <c r="J606" s="32" t="s">
        <v>36</v>
      </c>
      <c r="K606" s="33" t="s">
        <v>6</v>
      </c>
      <c r="L606" s="46"/>
      <c r="M606" s="178"/>
      <c r="N606" s="120"/>
      <c r="O606" s="120"/>
      <c r="P606" s="122"/>
      <c r="Q606" s="122"/>
      <c r="R606" s="122"/>
      <c r="S606" s="122"/>
    </row>
    <row r="607" spans="1:19" s="61" customFormat="1">
      <c r="A607" s="174"/>
      <c r="B607" s="176"/>
      <c r="C607" s="43" t="s">
        <v>228</v>
      </c>
      <c r="D607" s="62">
        <v>2</v>
      </c>
      <c r="E607" s="30" t="str">
        <f t="shared" si="761"/>
        <v>16:15</v>
      </c>
      <c r="F607" s="30" t="s">
        <v>154</v>
      </c>
      <c r="G607" s="30" t="s">
        <v>154</v>
      </c>
      <c r="H607" s="64" t="s">
        <v>155</v>
      </c>
      <c r="I607" s="30" t="s">
        <v>68</v>
      </c>
      <c r="J607" s="32" t="s">
        <v>36</v>
      </c>
      <c r="K607" s="33" t="s">
        <v>6</v>
      </c>
      <c r="L607" s="46"/>
      <c r="M607" s="178"/>
      <c r="N607" s="120"/>
      <c r="O607" s="120"/>
      <c r="P607" s="122"/>
      <c r="Q607" s="122"/>
      <c r="R607" s="122"/>
      <c r="S607" s="122"/>
    </row>
    <row r="608" spans="1:19" s="61" customFormat="1">
      <c r="A608" s="174"/>
      <c r="B608" s="176"/>
      <c r="C608" s="43" t="s">
        <v>229</v>
      </c>
      <c r="D608" s="62">
        <v>1</v>
      </c>
      <c r="E608" s="30" t="str">
        <f t="shared" si="761"/>
        <v>14:14</v>
      </c>
      <c r="F608" s="30" t="s">
        <v>7</v>
      </c>
      <c r="G608" s="30" t="s">
        <v>7</v>
      </c>
      <c r="H608" s="65" t="s">
        <v>163</v>
      </c>
      <c r="I608" s="30" t="s">
        <v>68</v>
      </c>
      <c r="J608" s="32" t="s">
        <v>36</v>
      </c>
      <c r="K608" s="33" t="s">
        <v>6</v>
      </c>
      <c r="L608" s="46"/>
      <c r="M608" s="178"/>
      <c r="N608" s="120"/>
      <c r="O608" s="120"/>
      <c r="P608" s="122"/>
      <c r="Q608" s="122"/>
      <c r="R608" s="122"/>
      <c r="S608" s="122"/>
    </row>
    <row r="609" spans="1:19" s="61" customFormat="1">
      <c r="A609" s="174"/>
      <c r="B609" s="176"/>
      <c r="C609" s="43" t="s">
        <v>230</v>
      </c>
      <c r="D609" s="62">
        <v>2</v>
      </c>
      <c r="E609" s="30" t="str">
        <f t="shared" si="761"/>
        <v>13:12</v>
      </c>
      <c r="F609" s="30" t="s">
        <v>154</v>
      </c>
      <c r="G609" s="30" t="s">
        <v>154</v>
      </c>
      <c r="H609" s="64" t="s">
        <v>155</v>
      </c>
      <c r="I609" s="30" t="s">
        <v>68</v>
      </c>
      <c r="J609" s="32" t="s">
        <v>36</v>
      </c>
      <c r="K609" s="33" t="s">
        <v>6</v>
      </c>
      <c r="L609" s="46"/>
      <c r="M609" s="178"/>
      <c r="N609" s="120"/>
      <c r="O609" s="120"/>
      <c r="P609" s="122"/>
      <c r="Q609" s="122"/>
      <c r="R609" s="122"/>
      <c r="S609" s="122"/>
    </row>
    <row r="610" spans="1:19" s="61" customFormat="1">
      <c r="A610" s="174"/>
      <c r="B610" s="176"/>
      <c r="C610" s="43" t="s">
        <v>231</v>
      </c>
      <c r="D610" s="62">
        <v>1</v>
      </c>
      <c r="E610" s="30" t="str">
        <f t="shared" si="761"/>
        <v>11:11</v>
      </c>
      <c r="F610" s="30" t="s">
        <v>7</v>
      </c>
      <c r="G610" s="30" t="s">
        <v>7</v>
      </c>
      <c r="H610" s="65" t="s">
        <v>166</v>
      </c>
      <c r="I610" s="30" t="s">
        <v>68</v>
      </c>
      <c r="J610" s="32" t="s">
        <v>36</v>
      </c>
      <c r="K610" s="33" t="s">
        <v>6</v>
      </c>
      <c r="L610" s="46"/>
      <c r="M610" s="178"/>
      <c r="N610" s="120"/>
      <c r="O610" s="120"/>
      <c r="P610" s="122"/>
      <c r="Q610" s="122"/>
      <c r="R610" s="122"/>
      <c r="S610" s="122"/>
    </row>
    <row r="611" spans="1:19" s="61" customFormat="1" ht="72">
      <c r="A611" s="174"/>
      <c r="B611" s="176"/>
      <c r="C611" s="43" t="s">
        <v>232</v>
      </c>
      <c r="D611" s="62">
        <v>4</v>
      </c>
      <c r="E611" s="30" t="str">
        <f t="shared" si="761"/>
        <v>10:7</v>
      </c>
      <c r="F611" s="30" t="s">
        <v>149</v>
      </c>
      <c r="G611" s="30" t="s">
        <v>149</v>
      </c>
      <c r="H611" s="65" t="s">
        <v>168</v>
      </c>
      <c r="I611" s="30" t="s">
        <v>68</v>
      </c>
      <c r="J611" s="32" t="s">
        <v>36</v>
      </c>
      <c r="K611" s="33" t="s">
        <v>6</v>
      </c>
      <c r="L611" s="46"/>
      <c r="M611" s="178"/>
      <c r="N611" s="120"/>
      <c r="O611" s="120"/>
      <c r="P611" s="122"/>
      <c r="Q611" s="122"/>
      <c r="R611" s="122"/>
      <c r="S611" s="122"/>
    </row>
    <row r="612" spans="1:19" s="61" customFormat="1" ht="115.2">
      <c r="A612" s="174"/>
      <c r="B612" s="176"/>
      <c r="C612" s="43" t="s">
        <v>233</v>
      </c>
      <c r="D612" s="62">
        <v>3</v>
      </c>
      <c r="E612" s="30" t="str">
        <f t="shared" si="761"/>
        <v>6:4</v>
      </c>
      <c r="F612" s="30" t="s">
        <v>178</v>
      </c>
      <c r="G612" s="30" t="s">
        <v>178</v>
      </c>
      <c r="H612" s="65" t="s">
        <v>179</v>
      </c>
      <c r="I612" s="30" t="s">
        <v>68</v>
      </c>
      <c r="J612" s="32" t="s">
        <v>36</v>
      </c>
      <c r="K612" s="33" t="s">
        <v>6</v>
      </c>
      <c r="L612" s="66"/>
      <c r="M612" s="178"/>
      <c r="N612" s="120"/>
      <c r="O612" s="120"/>
      <c r="P612" s="122"/>
      <c r="Q612" s="122"/>
      <c r="R612" s="122"/>
      <c r="S612" s="122"/>
    </row>
    <row r="613" spans="1:19" s="61" customFormat="1" ht="15" thickBot="1">
      <c r="A613" s="174"/>
      <c r="B613" s="177"/>
      <c r="C613" s="43" t="s">
        <v>234</v>
      </c>
      <c r="D613" s="62">
        <v>4</v>
      </c>
      <c r="E613" s="30" t="str">
        <f t="shared" si="761"/>
        <v>3:0</v>
      </c>
      <c r="F613" s="30" t="s">
        <v>149</v>
      </c>
      <c r="G613" s="30" t="s">
        <v>149</v>
      </c>
      <c r="H613" s="65" t="s">
        <v>217</v>
      </c>
      <c r="I613" s="67" t="s">
        <v>68</v>
      </c>
      <c r="J613" s="68" t="s">
        <v>36</v>
      </c>
      <c r="K613" s="69" t="s">
        <v>6</v>
      </c>
      <c r="L613" s="66"/>
      <c r="M613" s="120"/>
      <c r="N613" s="120"/>
      <c r="O613" s="120"/>
      <c r="P613" s="122"/>
      <c r="Q613" s="122"/>
      <c r="R613" s="122"/>
      <c r="S613" s="122"/>
    </row>
    <row r="614" spans="1:19" s="61" customFormat="1" ht="15" customHeight="1" thickBot="1">
      <c r="A614" s="137" t="s">
        <v>239</v>
      </c>
      <c r="B614" s="139" t="str">
        <f t="shared" si="755"/>
        <v>20</v>
      </c>
      <c r="C614" s="60" t="s">
        <v>134</v>
      </c>
      <c r="D614" s="164" t="str">
        <f>bitConcat(F615:F631)</f>
        <v>32'b10000000000000000000000000000000</v>
      </c>
      <c r="E614" s="165"/>
      <c r="F614" s="165"/>
      <c r="G614" s="165"/>
      <c r="H614" s="166" t="s">
        <v>135</v>
      </c>
      <c r="I614" s="167"/>
      <c r="J614" s="168" t="str">
        <f>bitConcat(G615:G631)</f>
        <v>32'b10000000000000000000000000000000</v>
      </c>
      <c r="K614" s="166"/>
      <c r="L614" s="167"/>
      <c r="M614" s="119" t="str">
        <f t="shared" ref="M614" si="762">DEC2HEX(_xlfn.BITLSHIFT(O614,7)+4*P614)</f>
        <v>220</v>
      </c>
      <c r="N614" s="119"/>
      <c r="O614" s="119">
        <v>4</v>
      </c>
      <c r="P614" s="121">
        <v>8</v>
      </c>
      <c r="Q614" s="121" t="str">
        <f>DEC2HEX(_xlfn.BITLSHIFT(O614,5)+P614)</f>
        <v>88</v>
      </c>
      <c r="R614" s="121" t="str">
        <f>BIN2HEX(LEFT(RIGHT(D614,32),4))&amp;BIN2HEX(LEFT(RIGHT(D614,28),4))&amp;BIN2HEX(LEFT(RIGHT(D614,24),4))&amp;BIN2HEX(LEFT(RIGHT(D614,20),4))&amp;BIN2HEX(LEFT(RIGHT(D614,16),4))&amp;BIN2HEX(LEFT(RIGHT(D614,12),4))&amp;BIN2HEX(LEFT(RIGHT(D614,8),4))&amp;BIN2HEX(LEFT(RIGHT(D614,4),4))</f>
        <v>80000000</v>
      </c>
      <c r="S614" s="121" t="str">
        <f>BIN2HEX(LEFT(RIGHT(J614,32),4))&amp;BIN2HEX(LEFT(RIGHT(J614,28),4))&amp;BIN2HEX(LEFT(RIGHT(J614,24),4))&amp;BIN2HEX(LEFT(RIGHT(J614,20),4))&amp;BIN2HEX(LEFT(RIGHT(J614,16),4))&amp;BIN2HEX(LEFT(RIGHT(J614,12),4))&amp;BIN2HEX(LEFT(RIGHT(J614,8),4))&amp;BIN2HEX(LEFT(RIGHT(J614,4),4))</f>
        <v>80000000</v>
      </c>
    </row>
    <row r="615" spans="1:19" s="61" customFormat="1">
      <c r="A615" s="180"/>
      <c r="B615" s="181"/>
      <c r="C615" s="43" t="s">
        <v>145</v>
      </c>
      <c r="D615" s="62">
        <v>4</v>
      </c>
      <c r="E615" s="30" t="str">
        <f>IF(D615&gt;1,(31)&amp;":"&amp;(31-D615+1),(31-D615+1)&amp;":"&amp;(31-D615+1))</f>
        <v>31:28</v>
      </c>
      <c r="F615" s="30" t="s">
        <v>146</v>
      </c>
      <c r="G615" s="30" t="s">
        <v>146</v>
      </c>
      <c r="H615" s="63" t="s">
        <v>147</v>
      </c>
      <c r="I615" s="30" t="s">
        <v>68</v>
      </c>
      <c r="J615" s="32" t="s">
        <v>36</v>
      </c>
      <c r="K615" s="33" t="s">
        <v>6</v>
      </c>
      <c r="L615" s="46"/>
      <c r="M615" s="178"/>
      <c r="N615" s="178"/>
      <c r="O615" s="178"/>
      <c r="P615" s="179"/>
      <c r="Q615" s="122"/>
      <c r="R615" s="122"/>
      <c r="S615" s="122"/>
    </row>
    <row r="616" spans="1:19" s="61" customFormat="1">
      <c r="A616" s="180"/>
      <c r="B616" s="181"/>
      <c r="C616" s="43" t="s">
        <v>148</v>
      </c>
      <c r="D616" s="62">
        <v>4</v>
      </c>
      <c r="E616" s="30" t="str">
        <f t="shared" ref="E616:E631" si="763">(MID(str_cnvt(E615),SEARCH(":",str_cnvt(E615))+1,2)-1) &amp; ":" &amp; (MID(str_cnvt(E615),SEARCH(":",str_cnvt(E615))+1,2)-D616)</f>
        <v>27:24</v>
      </c>
      <c r="F616" s="30" t="s">
        <v>149</v>
      </c>
      <c r="G616" s="30" t="s">
        <v>149</v>
      </c>
      <c r="H616" s="64" t="s">
        <v>150</v>
      </c>
      <c r="I616" s="30" t="s">
        <v>68</v>
      </c>
      <c r="J616" s="32" t="s">
        <v>36</v>
      </c>
      <c r="K616" s="33" t="s">
        <v>6</v>
      </c>
      <c r="L616" s="46"/>
      <c r="M616" s="178"/>
      <c r="N616" s="178"/>
      <c r="O616" s="178"/>
      <c r="P616" s="179"/>
      <c r="Q616" s="122"/>
      <c r="R616" s="122"/>
      <c r="S616" s="122"/>
    </row>
    <row r="617" spans="1:19" s="61" customFormat="1">
      <c r="A617" s="180"/>
      <c r="B617" s="181"/>
      <c r="C617" s="43" t="s">
        <v>151</v>
      </c>
      <c r="D617" s="62">
        <v>1</v>
      </c>
      <c r="E617" s="30" t="str">
        <f t="shared" si="763"/>
        <v>23:23</v>
      </c>
      <c r="F617" s="30" t="s">
        <v>7</v>
      </c>
      <c r="G617" s="30" t="s">
        <v>7</v>
      </c>
      <c r="H617" s="65" t="s">
        <v>152</v>
      </c>
      <c r="I617" s="30" t="s">
        <v>68</v>
      </c>
      <c r="J617" s="32"/>
      <c r="K617" s="33"/>
      <c r="L617" s="46"/>
      <c r="M617" s="178"/>
      <c r="N617" s="178"/>
      <c r="O617" s="178"/>
      <c r="P617" s="179"/>
      <c r="Q617" s="122"/>
      <c r="R617" s="122"/>
      <c r="S617" s="122"/>
    </row>
    <row r="618" spans="1:19" s="61" customFormat="1">
      <c r="A618" s="180"/>
      <c r="B618" s="181"/>
      <c r="C618" s="43" t="s">
        <v>153</v>
      </c>
      <c r="D618" s="62">
        <v>2</v>
      </c>
      <c r="E618" s="30" t="str">
        <f t="shared" si="763"/>
        <v>22:21</v>
      </c>
      <c r="F618" s="30" t="s">
        <v>154</v>
      </c>
      <c r="G618" s="30" t="s">
        <v>154</v>
      </c>
      <c r="H618" s="64" t="s">
        <v>155</v>
      </c>
      <c r="I618" s="30" t="s">
        <v>68</v>
      </c>
      <c r="J618" s="32" t="s">
        <v>36</v>
      </c>
      <c r="K618" s="33" t="s">
        <v>6</v>
      </c>
      <c r="L618" s="46"/>
      <c r="M618" s="178"/>
      <c r="N618" s="178"/>
      <c r="O618" s="178"/>
      <c r="P618" s="179"/>
      <c r="Q618" s="122"/>
      <c r="R618" s="122"/>
      <c r="S618" s="122"/>
    </row>
    <row r="619" spans="1:19" s="61" customFormat="1">
      <c r="A619" s="180"/>
      <c r="B619" s="181"/>
      <c r="C619" s="43" t="s">
        <v>156</v>
      </c>
      <c r="D619" s="62">
        <v>1</v>
      </c>
      <c r="E619" s="30" t="str">
        <f t="shared" si="763"/>
        <v>20:20</v>
      </c>
      <c r="F619" s="30" t="s">
        <v>7</v>
      </c>
      <c r="G619" s="30" t="s">
        <v>7</v>
      </c>
      <c r="H619" s="65" t="s">
        <v>157</v>
      </c>
      <c r="I619" s="30" t="s">
        <v>68</v>
      </c>
      <c r="J619" s="32" t="s">
        <v>36</v>
      </c>
      <c r="K619" s="33" t="s">
        <v>6</v>
      </c>
      <c r="L619" s="46"/>
      <c r="M619" s="178"/>
      <c r="N619" s="178"/>
      <c r="O619" s="178"/>
      <c r="P619" s="179"/>
      <c r="Q619" s="122"/>
      <c r="R619" s="122"/>
      <c r="S619" s="122"/>
    </row>
    <row r="620" spans="1:19" s="61" customFormat="1">
      <c r="A620" s="180"/>
      <c r="B620" s="181"/>
      <c r="C620" s="43" t="s">
        <v>158</v>
      </c>
      <c r="D620" s="62">
        <v>2</v>
      </c>
      <c r="E620" s="30" t="str">
        <f t="shared" si="763"/>
        <v>19:18</v>
      </c>
      <c r="F620" s="30" t="s">
        <v>154</v>
      </c>
      <c r="G620" s="30" t="s">
        <v>154</v>
      </c>
      <c r="H620" s="64" t="s">
        <v>155</v>
      </c>
      <c r="I620" s="30" t="s">
        <v>68</v>
      </c>
      <c r="J620" s="32" t="s">
        <v>36</v>
      </c>
      <c r="K620" s="33" t="s">
        <v>6</v>
      </c>
      <c r="L620" s="46"/>
      <c r="M620" s="178"/>
      <c r="N620" s="178"/>
      <c r="O620" s="178"/>
      <c r="P620" s="179"/>
      <c r="Q620" s="122"/>
      <c r="R620" s="122"/>
      <c r="S620" s="122"/>
    </row>
    <row r="621" spans="1:19" s="61" customFormat="1">
      <c r="A621" s="180"/>
      <c r="B621" s="181"/>
      <c r="C621" s="43" t="s">
        <v>159</v>
      </c>
      <c r="D621" s="62">
        <v>1</v>
      </c>
      <c r="E621" s="30" t="str">
        <f t="shared" si="763"/>
        <v>17:17</v>
      </c>
      <c r="F621" s="30" t="s">
        <v>7</v>
      </c>
      <c r="G621" s="30" t="s">
        <v>7</v>
      </c>
      <c r="H621" s="65" t="s">
        <v>160</v>
      </c>
      <c r="I621" s="30" t="s">
        <v>68</v>
      </c>
      <c r="J621" s="32" t="s">
        <v>36</v>
      </c>
      <c r="K621" s="33" t="s">
        <v>6</v>
      </c>
      <c r="L621" s="46"/>
      <c r="M621" s="178"/>
      <c r="N621" s="178"/>
      <c r="O621" s="178"/>
      <c r="P621" s="179"/>
      <c r="Q621" s="122"/>
      <c r="R621" s="122"/>
      <c r="S621" s="122"/>
    </row>
    <row r="622" spans="1:19" s="61" customFormat="1">
      <c r="A622" s="180"/>
      <c r="B622" s="181"/>
      <c r="C622" s="43" t="s">
        <v>161</v>
      </c>
      <c r="D622" s="62">
        <v>2</v>
      </c>
      <c r="E622" s="30" t="str">
        <f t="shared" si="763"/>
        <v>16:15</v>
      </c>
      <c r="F622" s="30" t="s">
        <v>154</v>
      </c>
      <c r="G622" s="30" t="s">
        <v>154</v>
      </c>
      <c r="H622" s="64" t="s">
        <v>155</v>
      </c>
      <c r="I622" s="30" t="s">
        <v>68</v>
      </c>
      <c r="J622" s="32" t="s">
        <v>36</v>
      </c>
      <c r="K622" s="33" t="s">
        <v>6</v>
      </c>
      <c r="L622" s="46"/>
      <c r="M622" s="178"/>
      <c r="N622" s="178"/>
      <c r="O622" s="178"/>
      <c r="P622" s="179"/>
      <c r="Q622" s="122"/>
      <c r="R622" s="122"/>
      <c r="S622" s="122"/>
    </row>
    <row r="623" spans="1:19" s="61" customFormat="1">
      <c r="A623" s="180"/>
      <c r="B623" s="181"/>
      <c r="C623" s="43" t="s">
        <v>162</v>
      </c>
      <c r="D623" s="62">
        <v>1</v>
      </c>
      <c r="E623" s="30" t="str">
        <f t="shared" si="763"/>
        <v>14:14</v>
      </c>
      <c r="F623" s="30" t="s">
        <v>7</v>
      </c>
      <c r="G623" s="30" t="s">
        <v>7</v>
      </c>
      <c r="H623" s="65" t="s">
        <v>163</v>
      </c>
      <c r="I623" s="30" t="s">
        <v>68</v>
      </c>
      <c r="J623" s="32" t="s">
        <v>36</v>
      </c>
      <c r="K623" s="33" t="s">
        <v>6</v>
      </c>
      <c r="L623" s="46"/>
      <c r="M623" s="178"/>
      <c r="N623" s="178"/>
      <c r="O623" s="178"/>
      <c r="P623" s="179"/>
      <c r="Q623" s="122"/>
      <c r="R623" s="122"/>
      <c r="S623" s="122"/>
    </row>
    <row r="624" spans="1:19" s="61" customFormat="1">
      <c r="A624" s="138"/>
      <c r="B624" s="140"/>
      <c r="C624" s="43" t="s">
        <v>164</v>
      </c>
      <c r="D624" s="62">
        <v>2</v>
      </c>
      <c r="E624" s="30" t="str">
        <f t="shared" si="763"/>
        <v>13:12</v>
      </c>
      <c r="F624" s="30" t="s">
        <v>154</v>
      </c>
      <c r="G624" s="30" t="s">
        <v>154</v>
      </c>
      <c r="H624" s="64" t="s">
        <v>155</v>
      </c>
      <c r="I624" s="30" t="s">
        <v>68</v>
      </c>
      <c r="J624" s="32" t="s">
        <v>36</v>
      </c>
      <c r="K624" s="33" t="s">
        <v>6</v>
      </c>
      <c r="L624" s="46"/>
      <c r="M624" s="120"/>
      <c r="N624" s="120"/>
      <c r="O624" s="120"/>
      <c r="P624" s="122"/>
      <c r="Q624" s="122"/>
      <c r="R624" s="122"/>
      <c r="S624" s="122"/>
    </row>
    <row r="625" spans="1:19" s="61" customFormat="1">
      <c r="A625" s="138"/>
      <c r="B625" s="140"/>
      <c r="C625" s="43" t="s">
        <v>165</v>
      </c>
      <c r="D625" s="62">
        <v>1</v>
      </c>
      <c r="E625" s="30" t="str">
        <f t="shared" si="763"/>
        <v>11:11</v>
      </c>
      <c r="F625" s="30" t="s">
        <v>7</v>
      </c>
      <c r="G625" s="30" t="s">
        <v>7</v>
      </c>
      <c r="H625" s="65" t="s">
        <v>166</v>
      </c>
      <c r="I625" s="30" t="s">
        <v>68</v>
      </c>
      <c r="J625" s="32" t="s">
        <v>36</v>
      </c>
      <c r="K625" s="33" t="s">
        <v>6</v>
      </c>
      <c r="L625" s="46"/>
      <c r="M625" s="120"/>
      <c r="N625" s="120"/>
      <c r="O625" s="120"/>
      <c r="P625" s="122"/>
      <c r="Q625" s="122"/>
      <c r="R625" s="122"/>
      <c r="S625" s="122"/>
    </row>
    <row r="626" spans="1:19" s="61" customFormat="1" ht="72">
      <c r="A626" s="138"/>
      <c r="B626" s="140"/>
      <c r="C626" s="43" t="s">
        <v>167</v>
      </c>
      <c r="D626" s="62">
        <v>4</v>
      </c>
      <c r="E626" s="30" t="str">
        <f t="shared" si="763"/>
        <v>10:7</v>
      </c>
      <c r="F626" s="30" t="s">
        <v>149</v>
      </c>
      <c r="G626" s="30" t="s">
        <v>149</v>
      </c>
      <c r="H626" s="65" t="s">
        <v>168</v>
      </c>
      <c r="I626" s="30" t="s">
        <v>68</v>
      </c>
      <c r="J626" s="32" t="s">
        <v>36</v>
      </c>
      <c r="K626" s="33" t="s">
        <v>6</v>
      </c>
      <c r="L626" s="46"/>
      <c r="M626" s="120"/>
      <c r="N626" s="120"/>
      <c r="O626" s="120"/>
      <c r="P626" s="122"/>
      <c r="Q626" s="122"/>
      <c r="R626" s="122"/>
      <c r="S626" s="122"/>
    </row>
    <row r="627" spans="1:19" s="61" customFormat="1">
      <c r="A627" s="138"/>
      <c r="B627" s="140"/>
      <c r="C627" s="43" t="s">
        <v>169</v>
      </c>
      <c r="D627" s="62">
        <v>1</v>
      </c>
      <c r="E627" s="30" t="str">
        <f t="shared" si="763"/>
        <v>6:6</v>
      </c>
      <c r="F627" s="30" t="s">
        <v>7</v>
      </c>
      <c r="G627" s="30" t="s">
        <v>7</v>
      </c>
      <c r="H627" s="65" t="s">
        <v>170</v>
      </c>
      <c r="I627" s="30" t="s">
        <v>68</v>
      </c>
      <c r="J627" s="32" t="s">
        <v>36</v>
      </c>
      <c r="K627" s="33" t="s">
        <v>6</v>
      </c>
      <c r="L627" s="46"/>
      <c r="M627" s="120"/>
      <c r="N627" s="120"/>
      <c r="O627" s="120"/>
      <c r="P627" s="122"/>
      <c r="Q627" s="122"/>
      <c r="R627" s="122"/>
      <c r="S627" s="122"/>
    </row>
    <row r="628" spans="1:19" s="61" customFormat="1">
      <c r="A628" s="138"/>
      <c r="B628" s="140"/>
      <c r="C628" s="43" t="s">
        <v>171</v>
      </c>
      <c r="D628" s="62">
        <v>1</v>
      </c>
      <c r="E628" s="30" t="str">
        <f t="shared" si="763"/>
        <v>5:5</v>
      </c>
      <c r="F628" s="30" t="s">
        <v>7</v>
      </c>
      <c r="G628" s="30" t="s">
        <v>7</v>
      </c>
      <c r="H628" s="65" t="s">
        <v>172</v>
      </c>
      <c r="I628" s="30" t="s">
        <v>68</v>
      </c>
      <c r="J628" s="32" t="s">
        <v>36</v>
      </c>
      <c r="K628" s="33" t="s">
        <v>6</v>
      </c>
      <c r="L628" s="46"/>
      <c r="M628" s="120"/>
      <c r="N628" s="120"/>
      <c r="O628" s="120"/>
      <c r="P628" s="122"/>
      <c r="Q628" s="122"/>
      <c r="R628" s="122"/>
      <c r="S628" s="122"/>
    </row>
    <row r="629" spans="1:19" s="61" customFormat="1">
      <c r="A629" s="138"/>
      <c r="B629" s="140"/>
      <c r="C629" s="43" t="s">
        <v>173</v>
      </c>
      <c r="D629" s="62">
        <v>1</v>
      </c>
      <c r="E629" s="30" t="str">
        <f t="shared" si="763"/>
        <v>4:4</v>
      </c>
      <c r="F629" s="30" t="s">
        <v>7</v>
      </c>
      <c r="G629" s="30" t="s">
        <v>7</v>
      </c>
      <c r="H629" s="65" t="s">
        <v>174</v>
      </c>
      <c r="I629" s="30" t="s">
        <v>68</v>
      </c>
      <c r="J629" s="32" t="s">
        <v>36</v>
      </c>
      <c r="K629" s="33" t="s">
        <v>6</v>
      </c>
      <c r="L629" s="46"/>
      <c r="M629" s="120"/>
      <c r="N629" s="120"/>
      <c r="O629" s="120"/>
      <c r="P629" s="122"/>
      <c r="Q629" s="122"/>
      <c r="R629" s="122"/>
      <c r="S629" s="122"/>
    </row>
    <row r="630" spans="1:19" s="61" customFormat="1">
      <c r="A630" s="138"/>
      <c r="B630" s="140"/>
      <c r="C630" s="43" t="s">
        <v>175</v>
      </c>
      <c r="D630" s="62">
        <v>1</v>
      </c>
      <c r="E630" s="30" t="str">
        <f t="shared" si="763"/>
        <v>3:3</v>
      </c>
      <c r="F630" s="30" t="s">
        <v>7</v>
      </c>
      <c r="G630" s="30" t="s">
        <v>7</v>
      </c>
      <c r="H630" s="65" t="s">
        <v>176</v>
      </c>
      <c r="I630" s="30" t="s">
        <v>68</v>
      </c>
      <c r="J630" s="32" t="s">
        <v>36</v>
      </c>
      <c r="K630" s="33" t="s">
        <v>6</v>
      </c>
      <c r="L630" s="46"/>
      <c r="M630" s="120"/>
      <c r="N630" s="120"/>
      <c r="O630" s="120"/>
      <c r="P630" s="122"/>
      <c r="Q630" s="122"/>
      <c r="R630" s="122"/>
      <c r="S630" s="122"/>
    </row>
    <row r="631" spans="1:19" s="61" customFormat="1" ht="115.8" thickBot="1">
      <c r="A631" s="138"/>
      <c r="B631" s="140"/>
      <c r="C631" s="43" t="s">
        <v>177</v>
      </c>
      <c r="D631" s="62">
        <v>3</v>
      </c>
      <c r="E631" s="30" t="str">
        <f t="shared" si="763"/>
        <v>2:0</v>
      </c>
      <c r="F631" s="30" t="s">
        <v>178</v>
      </c>
      <c r="G631" s="30" t="s">
        <v>178</v>
      </c>
      <c r="H631" s="65" t="s">
        <v>179</v>
      </c>
      <c r="I631" s="30" t="s">
        <v>68</v>
      </c>
      <c r="J631" s="32" t="s">
        <v>36</v>
      </c>
      <c r="K631" s="33" t="s">
        <v>6</v>
      </c>
      <c r="L631" s="46"/>
      <c r="M631" s="120"/>
      <c r="N631" s="120"/>
      <c r="O631" s="120"/>
      <c r="P631" s="122"/>
      <c r="Q631" s="122"/>
      <c r="R631" s="122"/>
      <c r="S631" s="122"/>
    </row>
    <row r="632" spans="1:19" s="61" customFormat="1" ht="15" customHeight="1" thickBot="1">
      <c r="A632" s="138" t="s">
        <v>240</v>
      </c>
      <c r="B632" s="139" t="str">
        <f t="shared" si="755"/>
        <v>24</v>
      </c>
      <c r="C632" s="60" t="s">
        <v>134</v>
      </c>
      <c r="D632" s="164" t="str">
        <f>bitConcat(F633:F649)</f>
        <v>32'b01000000000000000000000000000000</v>
      </c>
      <c r="E632" s="165"/>
      <c r="F632" s="165"/>
      <c r="G632" s="165"/>
      <c r="H632" s="166" t="s">
        <v>135</v>
      </c>
      <c r="I632" s="167"/>
      <c r="J632" s="168" t="str">
        <f>bitConcat(G633:G649)</f>
        <v>32'b01000000000000000000000000000000</v>
      </c>
      <c r="K632" s="166"/>
      <c r="L632" s="167"/>
      <c r="M632" s="119" t="str">
        <f t="shared" ref="M632" si="764">DEC2HEX(_xlfn.BITLSHIFT(O632,7)+4*P632)</f>
        <v>224</v>
      </c>
      <c r="N632" s="120"/>
      <c r="O632" s="120">
        <v>4</v>
      </c>
      <c r="P632" s="122">
        <v>9</v>
      </c>
      <c r="Q632" s="121" t="str">
        <f>DEC2HEX(_xlfn.BITLSHIFT(O632,5)+P632)</f>
        <v>89</v>
      </c>
      <c r="R632" s="121" t="str">
        <f>BIN2HEX(LEFT(RIGHT(D632,32),4))&amp;BIN2HEX(LEFT(RIGHT(D632,28),4))&amp;BIN2HEX(LEFT(RIGHT(D632,24),4))&amp;BIN2HEX(LEFT(RIGHT(D632,20),4))&amp;BIN2HEX(LEFT(RIGHT(D632,16),4))&amp;BIN2HEX(LEFT(RIGHT(D632,12),4))&amp;BIN2HEX(LEFT(RIGHT(D632,8),4))&amp;BIN2HEX(LEFT(RIGHT(D632,4),4))</f>
        <v>40000000</v>
      </c>
      <c r="S632" s="121" t="str">
        <f>BIN2HEX(LEFT(RIGHT(J632,32),4))&amp;BIN2HEX(LEFT(RIGHT(J632,28),4))&amp;BIN2HEX(LEFT(RIGHT(J632,24),4))&amp;BIN2HEX(LEFT(RIGHT(J632,20),4))&amp;BIN2HEX(LEFT(RIGHT(J632,16),4))&amp;BIN2HEX(LEFT(RIGHT(J632,12),4))&amp;BIN2HEX(LEFT(RIGHT(J632,8),4))&amp;BIN2HEX(LEFT(RIGHT(J632,4),4))</f>
        <v>40000000</v>
      </c>
    </row>
    <row r="633" spans="1:19" s="61" customFormat="1">
      <c r="A633" s="138"/>
      <c r="B633" s="181"/>
      <c r="C633" s="43" t="s">
        <v>181</v>
      </c>
      <c r="D633" s="62">
        <v>4</v>
      </c>
      <c r="E633" s="30" t="str">
        <f>IF(D633&gt;1,(31)&amp;":"&amp;(31-D633+1),(31-D633+1)&amp;":"&amp;(31-D633+1))</f>
        <v>31:28</v>
      </c>
      <c r="F633" s="30" t="s">
        <v>182</v>
      </c>
      <c r="G633" s="30" t="s">
        <v>182</v>
      </c>
      <c r="H633" s="63" t="s">
        <v>147</v>
      </c>
      <c r="I633" s="30" t="s">
        <v>68</v>
      </c>
      <c r="J633" s="32" t="s">
        <v>36</v>
      </c>
      <c r="K633" s="33" t="s">
        <v>6</v>
      </c>
      <c r="L633" s="46"/>
      <c r="M633" s="178"/>
      <c r="N633" s="120"/>
      <c r="O633" s="120"/>
      <c r="P633" s="122"/>
      <c r="Q633" s="122"/>
      <c r="R633" s="122"/>
      <c r="S633" s="122"/>
    </row>
    <row r="634" spans="1:19" s="61" customFormat="1">
      <c r="A634" s="138"/>
      <c r="B634" s="181"/>
      <c r="C634" s="43" t="s">
        <v>183</v>
      </c>
      <c r="D634" s="62">
        <v>4</v>
      </c>
      <c r="E634" s="30" t="str">
        <f t="shared" ref="E634:E649" si="765">(MID(str_cnvt(E633),SEARCH(":",str_cnvt(E633))+1,2)-1) &amp; ":" &amp; (MID(str_cnvt(E633),SEARCH(":",str_cnvt(E633))+1,2)-D634)</f>
        <v>27:24</v>
      </c>
      <c r="F634" s="30" t="s">
        <v>149</v>
      </c>
      <c r="G634" s="30" t="s">
        <v>149</v>
      </c>
      <c r="H634" s="64" t="s">
        <v>150</v>
      </c>
      <c r="I634" s="30" t="s">
        <v>68</v>
      </c>
      <c r="J634" s="32" t="s">
        <v>36</v>
      </c>
      <c r="K634" s="33" t="s">
        <v>6</v>
      </c>
      <c r="L634" s="46"/>
      <c r="M634" s="178"/>
      <c r="N634" s="120"/>
      <c r="O634" s="120"/>
      <c r="P634" s="122"/>
      <c r="Q634" s="122"/>
      <c r="R634" s="122"/>
      <c r="S634" s="122"/>
    </row>
    <row r="635" spans="1:19" s="61" customFormat="1">
      <c r="A635" s="138"/>
      <c r="B635" s="181"/>
      <c r="C635" s="43" t="s">
        <v>184</v>
      </c>
      <c r="D635" s="62">
        <v>1</v>
      </c>
      <c r="E635" s="30" t="str">
        <f t="shared" si="765"/>
        <v>23:23</v>
      </c>
      <c r="F635" s="30" t="s">
        <v>7</v>
      </c>
      <c r="G635" s="30" t="s">
        <v>7</v>
      </c>
      <c r="H635" s="65" t="s">
        <v>185</v>
      </c>
      <c r="I635" s="30" t="s">
        <v>68</v>
      </c>
      <c r="J635" s="32"/>
      <c r="K635" s="33"/>
      <c r="L635" s="46"/>
      <c r="M635" s="178"/>
      <c r="N635" s="120"/>
      <c r="O635" s="120"/>
      <c r="P635" s="122"/>
      <c r="Q635" s="122"/>
      <c r="R635" s="122"/>
      <c r="S635" s="122"/>
    </row>
    <row r="636" spans="1:19" s="61" customFormat="1">
      <c r="A636" s="138"/>
      <c r="B636" s="181"/>
      <c r="C636" s="43" t="s">
        <v>186</v>
      </c>
      <c r="D636" s="62">
        <v>2</v>
      </c>
      <c r="E636" s="30" t="str">
        <f t="shared" si="765"/>
        <v>22:21</v>
      </c>
      <c r="F636" s="30" t="s">
        <v>154</v>
      </c>
      <c r="G636" s="30" t="s">
        <v>154</v>
      </c>
      <c r="H636" s="64" t="s">
        <v>155</v>
      </c>
      <c r="I636" s="30" t="s">
        <v>68</v>
      </c>
      <c r="J636" s="32" t="s">
        <v>36</v>
      </c>
      <c r="K636" s="33" t="s">
        <v>6</v>
      </c>
      <c r="L636" s="46"/>
      <c r="M636" s="178"/>
      <c r="N636" s="120"/>
      <c r="O636" s="120"/>
      <c r="P636" s="122"/>
      <c r="Q636" s="122"/>
      <c r="R636" s="122"/>
      <c r="S636" s="122"/>
    </row>
    <row r="637" spans="1:19" s="61" customFormat="1">
      <c r="A637" s="138"/>
      <c r="B637" s="181"/>
      <c r="C637" s="43" t="s">
        <v>187</v>
      </c>
      <c r="D637" s="62">
        <v>1</v>
      </c>
      <c r="E637" s="30" t="str">
        <f t="shared" si="765"/>
        <v>20:20</v>
      </c>
      <c r="F637" s="30" t="s">
        <v>7</v>
      </c>
      <c r="G637" s="30" t="s">
        <v>7</v>
      </c>
      <c r="H637" s="65" t="s">
        <v>157</v>
      </c>
      <c r="I637" s="30" t="s">
        <v>68</v>
      </c>
      <c r="J637" s="32" t="s">
        <v>36</v>
      </c>
      <c r="K637" s="33" t="s">
        <v>6</v>
      </c>
      <c r="L637" s="46"/>
      <c r="M637" s="178"/>
      <c r="N637" s="120"/>
      <c r="O637" s="120"/>
      <c r="P637" s="122"/>
      <c r="Q637" s="122"/>
      <c r="R637" s="122"/>
      <c r="S637" s="122"/>
    </row>
    <row r="638" spans="1:19" s="61" customFormat="1">
      <c r="A638" s="138"/>
      <c r="B638" s="181"/>
      <c r="C638" s="43" t="s">
        <v>188</v>
      </c>
      <c r="D638" s="62">
        <v>2</v>
      </c>
      <c r="E638" s="30" t="str">
        <f t="shared" si="765"/>
        <v>19:18</v>
      </c>
      <c r="F638" s="30" t="s">
        <v>154</v>
      </c>
      <c r="G638" s="30" t="s">
        <v>154</v>
      </c>
      <c r="H638" s="64" t="s">
        <v>155</v>
      </c>
      <c r="I638" s="30" t="s">
        <v>68</v>
      </c>
      <c r="J638" s="32" t="s">
        <v>36</v>
      </c>
      <c r="K638" s="33" t="s">
        <v>6</v>
      </c>
      <c r="L638" s="46"/>
      <c r="M638" s="178"/>
      <c r="N638" s="120"/>
      <c r="O638" s="120"/>
      <c r="P638" s="122"/>
      <c r="Q638" s="122"/>
      <c r="R638" s="122"/>
      <c r="S638" s="122"/>
    </row>
    <row r="639" spans="1:19" s="61" customFormat="1">
      <c r="A639" s="138"/>
      <c r="B639" s="181"/>
      <c r="C639" s="43" t="s">
        <v>189</v>
      </c>
      <c r="D639" s="62">
        <v>1</v>
      </c>
      <c r="E639" s="30" t="str">
        <f t="shared" si="765"/>
        <v>17:17</v>
      </c>
      <c r="F639" s="30" t="s">
        <v>7</v>
      </c>
      <c r="G639" s="30" t="s">
        <v>7</v>
      </c>
      <c r="H639" s="65" t="s">
        <v>160</v>
      </c>
      <c r="I639" s="30" t="s">
        <v>68</v>
      </c>
      <c r="J639" s="32" t="s">
        <v>36</v>
      </c>
      <c r="K639" s="33" t="s">
        <v>6</v>
      </c>
      <c r="L639" s="46"/>
      <c r="M639" s="178"/>
      <c r="N639" s="120"/>
      <c r="O639" s="120"/>
      <c r="P639" s="122"/>
      <c r="Q639" s="122"/>
      <c r="R639" s="122"/>
      <c r="S639" s="122"/>
    </row>
    <row r="640" spans="1:19" s="61" customFormat="1">
      <c r="A640" s="138"/>
      <c r="B640" s="181"/>
      <c r="C640" s="43" t="s">
        <v>190</v>
      </c>
      <c r="D640" s="62">
        <v>2</v>
      </c>
      <c r="E640" s="30" t="str">
        <f t="shared" si="765"/>
        <v>16:15</v>
      </c>
      <c r="F640" s="30" t="s">
        <v>154</v>
      </c>
      <c r="G640" s="30" t="s">
        <v>154</v>
      </c>
      <c r="H640" s="64" t="s">
        <v>155</v>
      </c>
      <c r="I640" s="30" t="s">
        <v>68</v>
      </c>
      <c r="J640" s="32" t="s">
        <v>36</v>
      </c>
      <c r="K640" s="33" t="s">
        <v>6</v>
      </c>
      <c r="L640" s="46"/>
      <c r="M640" s="178"/>
      <c r="N640" s="120"/>
      <c r="O640" s="120"/>
      <c r="P640" s="122"/>
      <c r="Q640" s="122"/>
      <c r="R640" s="122"/>
      <c r="S640" s="122"/>
    </row>
    <row r="641" spans="1:19" s="61" customFormat="1">
      <c r="A641" s="138"/>
      <c r="B641" s="181"/>
      <c r="C641" s="43" t="s">
        <v>191</v>
      </c>
      <c r="D641" s="62">
        <v>1</v>
      </c>
      <c r="E641" s="30" t="str">
        <f t="shared" si="765"/>
        <v>14:14</v>
      </c>
      <c r="F641" s="30" t="s">
        <v>7</v>
      </c>
      <c r="G641" s="30" t="s">
        <v>7</v>
      </c>
      <c r="H641" s="65" t="s">
        <v>163</v>
      </c>
      <c r="I641" s="30" t="s">
        <v>68</v>
      </c>
      <c r="J641" s="32" t="s">
        <v>36</v>
      </c>
      <c r="K641" s="33" t="s">
        <v>6</v>
      </c>
      <c r="L641" s="46"/>
      <c r="M641" s="178"/>
      <c r="N641" s="120"/>
      <c r="O641" s="120"/>
      <c r="P641" s="122"/>
      <c r="Q641" s="122"/>
      <c r="R641" s="122"/>
      <c r="S641" s="122"/>
    </row>
    <row r="642" spans="1:19" s="61" customFormat="1">
      <c r="A642" s="138"/>
      <c r="B642" s="181"/>
      <c r="C642" s="43" t="s">
        <v>192</v>
      </c>
      <c r="D642" s="62">
        <v>2</v>
      </c>
      <c r="E642" s="30" t="str">
        <f t="shared" si="765"/>
        <v>13:12</v>
      </c>
      <c r="F642" s="30" t="s">
        <v>154</v>
      </c>
      <c r="G642" s="30" t="s">
        <v>154</v>
      </c>
      <c r="H642" s="64" t="s">
        <v>155</v>
      </c>
      <c r="I642" s="30" t="s">
        <v>68</v>
      </c>
      <c r="J642" s="32" t="s">
        <v>36</v>
      </c>
      <c r="K642" s="33" t="s">
        <v>6</v>
      </c>
      <c r="L642" s="46"/>
      <c r="M642" s="178"/>
      <c r="N642" s="120"/>
      <c r="O642" s="120"/>
      <c r="P642" s="122"/>
      <c r="Q642" s="122"/>
      <c r="R642" s="122"/>
      <c r="S642" s="122"/>
    </row>
    <row r="643" spans="1:19" s="61" customFormat="1">
      <c r="A643" s="138"/>
      <c r="B643" s="140"/>
      <c r="C643" s="43" t="s">
        <v>193</v>
      </c>
      <c r="D643" s="62">
        <v>1</v>
      </c>
      <c r="E643" s="30" t="str">
        <f t="shared" si="765"/>
        <v>11:11</v>
      </c>
      <c r="F643" s="30" t="s">
        <v>7</v>
      </c>
      <c r="G643" s="30" t="s">
        <v>7</v>
      </c>
      <c r="H643" s="65" t="s">
        <v>166</v>
      </c>
      <c r="I643" s="30" t="s">
        <v>68</v>
      </c>
      <c r="J643" s="32" t="s">
        <v>36</v>
      </c>
      <c r="K643" s="33" t="s">
        <v>6</v>
      </c>
      <c r="L643" s="46"/>
      <c r="M643" s="120"/>
      <c r="N643" s="120"/>
      <c r="O643" s="120"/>
      <c r="P643" s="122"/>
      <c r="Q643" s="122"/>
      <c r="R643" s="122"/>
      <c r="S643" s="122"/>
    </row>
    <row r="644" spans="1:19" s="61" customFormat="1" ht="72">
      <c r="A644" s="138"/>
      <c r="B644" s="140"/>
      <c r="C644" s="43" t="s">
        <v>194</v>
      </c>
      <c r="D644" s="62">
        <v>4</v>
      </c>
      <c r="E644" s="30" t="str">
        <f t="shared" si="765"/>
        <v>10:7</v>
      </c>
      <c r="F644" s="30" t="s">
        <v>149</v>
      </c>
      <c r="G644" s="30" t="s">
        <v>149</v>
      </c>
      <c r="H644" s="65" t="s">
        <v>168</v>
      </c>
      <c r="I644" s="30" t="s">
        <v>68</v>
      </c>
      <c r="J644" s="32" t="s">
        <v>36</v>
      </c>
      <c r="K644" s="33" t="s">
        <v>6</v>
      </c>
      <c r="L644" s="46"/>
      <c r="M644" s="120"/>
      <c r="N644" s="120"/>
      <c r="O644" s="120"/>
      <c r="P644" s="122"/>
      <c r="Q644" s="122"/>
      <c r="R644" s="122"/>
      <c r="S644" s="122"/>
    </row>
    <row r="645" spans="1:19" s="61" customFormat="1">
      <c r="A645" s="138"/>
      <c r="B645" s="140"/>
      <c r="C645" s="43" t="s">
        <v>195</v>
      </c>
      <c r="D645" s="62">
        <v>1</v>
      </c>
      <c r="E645" s="30" t="str">
        <f t="shared" si="765"/>
        <v>6:6</v>
      </c>
      <c r="F645" s="30" t="s">
        <v>7</v>
      </c>
      <c r="G645" s="30" t="s">
        <v>7</v>
      </c>
      <c r="H645" s="65" t="s">
        <v>170</v>
      </c>
      <c r="I645" s="30" t="s">
        <v>68</v>
      </c>
      <c r="J645" s="32" t="s">
        <v>36</v>
      </c>
      <c r="K645" s="33" t="s">
        <v>6</v>
      </c>
      <c r="L645" s="46"/>
      <c r="M645" s="120"/>
      <c r="N645" s="120"/>
      <c r="O645" s="120"/>
      <c r="P645" s="122"/>
      <c r="Q645" s="122"/>
      <c r="R645" s="122"/>
      <c r="S645" s="122"/>
    </row>
    <row r="646" spans="1:19" s="61" customFormat="1">
      <c r="A646" s="138"/>
      <c r="B646" s="140"/>
      <c r="C646" s="43" t="s">
        <v>196</v>
      </c>
      <c r="D646" s="62">
        <v>1</v>
      </c>
      <c r="E646" s="30" t="str">
        <f t="shared" si="765"/>
        <v>5:5</v>
      </c>
      <c r="F646" s="30" t="s">
        <v>7</v>
      </c>
      <c r="G646" s="30" t="s">
        <v>7</v>
      </c>
      <c r="H646" s="65" t="s">
        <v>172</v>
      </c>
      <c r="I646" s="30" t="s">
        <v>68</v>
      </c>
      <c r="J646" s="32" t="s">
        <v>36</v>
      </c>
      <c r="K646" s="33" t="s">
        <v>6</v>
      </c>
      <c r="L646" s="46"/>
      <c r="M646" s="120"/>
      <c r="N646" s="120"/>
      <c r="O646" s="120"/>
      <c r="P646" s="122"/>
      <c r="Q646" s="122"/>
      <c r="R646" s="122"/>
      <c r="S646" s="122"/>
    </row>
    <row r="647" spans="1:19" s="61" customFormat="1">
      <c r="A647" s="138"/>
      <c r="B647" s="140"/>
      <c r="C647" s="43" t="s">
        <v>197</v>
      </c>
      <c r="D647" s="62">
        <v>1</v>
      </c>
      <c r="E647" s="30" t="str">
        <f t="shared" si="765"/>
        <v>4:4</v>
      </c>
      <c r="F647" s="30" t="s">
        <v>7</v>
      </c>
      <c r="G647" s="30" t="s">
        <v>7</v>
      </c>
      <c r="H647" s="65" t="s">
        <v>174</v>
      </c>
      <c r="I647" s="30" t="s">
        <v>68</v>
      </c>
      <c r="J647" s="32" t="s">
        <v>36</v>
      </c>
      <c r="K647" s="33" t="s">
        <v>6</v>
      </c>
      <c r="L647" s="46"/>
      <c r="M647" s="120"/>
      <c r="N647" s="120"/>
      <c r="O647" s="120"/>
      <c r="P647" s="122"/>
      <c r="Q647" s="122"/>
      <c r="R647" s="122"/>
      <c r="S647" s="122"/>
    </row>
    <row r="648" spans="1:19" s="61" customFormat="1">
      <c r="A648" s="138"/>
      <c r="B648" s="140"/>
      <c r="C648" s="43" t="s">
        <v>198</v>
      </c>
      <c r="D648" s="62">
        <v>1</v>
      </c>
      <c r="E648" s="30" t="str">
        <f t="shared" si="765"/>
        <v>3:3</v>
      </c>
      <c r="F648" s="30" t="s">
        <v>7</v>
      </c>
      <c r="G648" s="30" t="s">
        <v>7</v>
      </c>
      <c r="H648" s="65" t="s">
        <v>176</v>
      </c>
      <c r="I648" s="30" t="s">
        <v>68</v>
      </c>
      <c r="J648" s="32" t="s">
        <v>36</v>
      </c>
      <c r="K648" s="33" t="s">
        <v>6</v>
      </c>
      <c r="L648" s="46"/>
      <c r="M648" s="120"/>
      <c r="N648" s="120"/>
      <c r="O648" s="120"/>
      <c r="P648" s="122"/>
      <c r="Q648" s="122"/>
      <c r="R648" s="122"/>
      <c r="S648" s="122"/>
    </row>
    <row r="649" spans="1:19" s="61" customFormat="1" ht="115.8" thickBot="1">
      <c r="A649" s="138"/>
      <c r="B649" s="140"/>
      <c r="C649" s="43" t="s">
        <v>199</v>
      </c>
      <c r="D649" s="62">
        <v>3</v>
      </c>
      <c r="E649" s="30" t="str">
        <f t="shared" si="765"/>
        <v>2:0</v>
      </c>
      <c r="F649" s="30" t="s">
        <v>178</v>
      </c>
      <c r="G649" s="30" t="s">
        <v>178</v>
      </c>
      <c r="H649" s="65" t="s">
        <v>179</v>
      </c>
      <c r="I649" s="30" t="s">
        <v>68</v>
      </c>
      <c r="J649" s="32" t="s">
        <v>36</v>
      </c>
      <c r="K649" s="33" t="s">
        <v>6</v>
      </c>
      <c r="L649" s="46"/>
      <c r="M649" s="120"/>
      <c r="N649" s="120"/>
      <c r="O649" s="120"/>
      <c r="P649" s="122"/>
      <c r="Q649" s="122"/>
      <c r="R649" s="122"/>
      <c r="S649" s="122"/>
    </row>
    <row r="650" spans="1:19" s="61" customFormat="1" ht="15" customHeight="1" thickBot="1">
      <c r="A650" s="138" t="s">
        <v>241</v>
      </c>
      <c r="B650" s="139" t="str">
        <f t="shared" si="755"/>
        <v>28</v>
      </c>
      <c r="C650" s="60" t="s">
        <v>134</v>
      </c>
      <c r="D650" s="164" t="str">
        <f>bitConcat(F651:F664)</f>
        <v>32'b00100000000000000000000000000000</v>
      </c>
      <c r="E650" s="165"/>
      <c r="F650" s="165"/>
      <c r="G650" s="165"/>
      <c r="H650" s="166" t="s">
        <v>135</v>
      </c>
      <c r="I650" s="167"/>
      <c r="J650" s="168" t="str">
        <f>bitConcat(G651:G664)</f>
        <v>32'b00100000000000000000000000000000</v>
      </c>
      <c r="K650" s="166"/>
      <c r="L650" s="167"/>
      <c r="M650" s="119" t="str">
        <f t="shared" ref="M650" si="766">DEC2HEX(_xlfn.BITLSHIFT(O650,7)+4*P650)</f>
        <v>228</v>
      </c>
      <c r="N650" s="120"/>
      <c r="O650" s="120">
        <v>4</v>
      </c>
      <c r="P650" s="122">
        <v>10</v>
      </c>
      <c r="Q650" s="121" t="str">
        <f>DEC2HEX(_xlfn.BITLSHIFT(O650,5)+P650)</f>
        <v>8A</v>
      </c>
      <c r="R650" s="121" t="str">
        <f>BIN2HEX(LEFT(RIGHT(D650,32),4))&amp;BIN2HEX(LEFT(RIGHT(D650,28),4))&amp;BIN2HEX(LEFT(RIGHT(D650,24),4))&amp;BIN2HEX(LEFT(RIGHT(D650,20),4))&amp;BIN2HEX(LEFT(RIGHT(D650,16),4))&amp;BIN2HEX(LEFT(RIGHT(D650,12),4))&amp;BIN2HEX(LEFT(RIGHT(D650,8),4))&amp;BIN2HEX(LEFT(RIGHT(D650,4),4))</f>
        <v>20000000</v>
      </c>
      <c r="S650" s="121" t="str">
        <f>BIN2HEX(LEFT(RIGHT(J650,32),4))&amp;BIN2HEX(LEFT(RIGHT(J650,28),4))&amp;BIN2HEX(LEFT(RIGHT(J650,24),4))&amp;BIN2HEX(LEFT(RIGHT(J650,20),4))&amp;BIN2HEX(LEFT(RIGHT(J650,16),4))&amp;BIN2HEX(LEFT(RIGHT(J650,12),4))&amp;BIN2HEX(LEFT(RIGHT(J650,8),4))&amp;BIN2HEX(LEFT(RIGHT(J650,4),4))</f>
        <v>20000000</v>
      </c>
    </row>
    <row r="651" spans="1:19" s="61" customFormat="1">
      <c r="A651" s="138"/>
      <c r="B651" s="181"/>
      <c r="C651" s="43" t="s">
        <v>201</v>
      </c>
      <c r="D651" s="62">
        <v>4</v>
      </c>
      <c r="E651" s="30" t="str">
        <f>IF(D651&gt;1,(31)&amp;":"&amp;(31-D651+1),(31-D651+1)&amp;":"&amp;(31-D651+1))</f>
        <v>31:28</v>
      </c>
      <c r="F651" s="30" t="s">
        <v>202</v>
      </c>
      <c r="G651" s="30" t="s">
        <v>202</v>
      </c>
      <c r="H651" s="63" t="s">
        <v>147</v>
      </c>
      <c r="I651" s="30" t="s">
        <v>68</v>
      </c>
      <c r="J651" s="32" t="s">
        <v>36</v>
      </c>
      <c r="K651" s="33" t="s">
        <v>6</v>
      </c>
      <c r="L651" s="46"/>
      <c r="M651" s="178"/>
      <c r="N651" s="120"/>
      <c r="O651" s="120"/>
      <c r="P651" s="122"/>
      <c r="Q651" s="122"/>
      <c r="R651" s="122"/>
      <c r="S651" s="122"/>
    </row>
    <row r="652" spans="1:19" s="61" customFormat="1">
      <c r="A652" s="138"/>
      <c r="B652" s="181"/>
      <c r="C652" s="43" t="s">
        <v>203</v>
      </c>
      <c r="D652" s="62">
        <v>4</v>
      </c>
      <c r="E652" s="30" t="str">
        <f t="shared" ref="E652:E664" si="767">(MID(str_cnvt(E651),SEARCH(":",str_cnvt(E651))+1,2)-1) &amp; ":" &amp; (MID(str_cnvt(E651),SEARCH(":",str_cnvt(E651))+1,2)-D652)</f>
        <v>27:24</v>
      </c>
      <c r="F652" s="30" t="s">
        <v>149</v>
      </c>
      <c r="G652" s="30" t="s">
        <v>149</v>
      </c>
      <c r="H652" s="64" t="s">
        <v>150</v>
      </c>
      <c r="I652" s="30" t="s">
        <v>68</v>
      </c>
      <c r="J652" s="32" t="s">
        <v>36</v>
      </c>
      <c r="K652" s="33" t="s">
        <v>6</v>
      </c>
      <c r="L652" s="46"/>
      <c r="M652" s="178"/>
      <c r="N652" s="120"/>
      <c r="O652" s="120"/>
      <c r="P652" s="122"/>
      <c r="Q652" s="122"/>
      <c r="R652" s="122"/>
      <c r="S652" s="122"/>
    </row>
    <row r="653" spans="1:19" s="61" customFormat="1">
      <c r="A653" s="138"/>
      <c r="B653" s="181"/>
      <c r="C653" s="43" t="s">
        <v>204</v>
      </c>
      <c r="D653" s="62">
        <v>1</v>
      </c>
      <c r="E653" s="30" t="str">
        <f t="shared" si="767"/>
        <v>23:23</v>
      </c>
      <c r="F653" s="30" t="s">
        <v>7</v>
      </c>
      <c r="G653" s="30" t="s">
        <v>7</v>
      </c>
      <c r="H653" s="65" t="s">
        <v>205</v>
      </c>
      <c r="I653" s="30" t="s">
        <v>68</v>
      </c>
      <c r="J653" s="32"/>
      <c r="K653" s="33"/>
      <c r="L653" s="46"/>
      <c r="M653" s="178"/>
      <c r="N653" s="120"/>
      <c r="O653" s="120"/>
      <c r="P653" s="122"/>
      <c r="Q653" s="122"/>
      <c r="R653" s="122"/>
      <c r="S653" s="122"/>
    </row>
    <row r="654" spans="1:19" s="61" customFormat="1">
      <c r="A654" s="138"/>
      <c r="B654" s="181"/>
      <c r="C654" s="43" t="s">
        <v>206</v>
      </c>
      <c r="D654" s="62">
        <v>2</v>
      </c>
      <c r="E654" s="30" t="str">
        <f t="shared" si="767"/>
        <v>22:21</v>
      </c>
      <c r="F654" s="30" t="s">
        <v>154</v>
      </c>
      <c r="G654" s="30" t="s">
        <v>154</v>
      </c>
      <c r="H654" s="64" t="s">
        <v>155</v>
      </c>
      <c r="I654" s="30" t="s">
        <v>68</v>
      </c>
      <c r="J654" s="32" t="s">
        <v>36</v>
      </c>
      <c r="K654" s="33" t="s">
        <v>6</v>
      </c>
      <c r="L654" s="46"/>
      <c r="M654" s="178"/>
      <c r="N654" s="120"/>
      <c r="O654" s="120"/>
      <c r="P654" s="122"/>
      <c r="Q654" s="122"/>
      <c r="R654" s="122"/>
      <c r="S654" s="122"/>
    </row>
    <row r="655" spans="1:19" s="61" customFormat="1">
      <c r="A655" s="138"/>
      <c r="B655" s="181"/>
      <c r="C655" s="43" t="s">
        <v>207</v>
      </c>
      <c r="D655" s="62">
        <v>1</v>
      </c>
      <c r="E655" s="30" t="str">
        <f t="shared" si="767"/>
        <v>20:20</v>
      </c>
      <c r="F655" s="30" t="s">
        <v>7</v>
      </c>
      <c r="G655" s="30" t="s">
        <v>7</v>
      </c>
      <c r="H655" s="65" t="s">
        <v>157</v>
      </c>
      <c r="I655" s="30" t="s">
        <v>68</v>
      </c>
      <c r="J655" s="32" t="s">
        <v>36</v>
      </c>
      <c r="K655" s="33" t="s">
        <v>6</v>
      </c>
      <c r="L655" s="46"/>
      <c r="M655" s="178"/>
      <c r="N655" s="120"/>
      <c r="O655" s="120"/>
      <c r="P655" s="122"/>
      <c r="Q655" s="122"/>
      <c r="R655" s="122"/>
      <c r="S655" s="122"/>
    </row>
    <row r="656" spans="1:19" s="61" customFormat="1">
      <c r="A656" s="138"/>
      <c r="B656" s="181"/>
      <c r="C656" s="43" t="s">
        <v>208</v>
      </c>
      <c r="D656" s="62">
        <v>2</v>
      </c>
      <c r="E656" s="30" t="str">
        <f t="shared" si="767"/>
        <v>19:18</v>
      </c>
      <c r="F656" s="30" t="s">
        <v>154</v>
      </c>
      <c r="G656" s="30" t="s">
        <v>154</v>
      </c>
      <c r="H656" s="64" t="s">
        <v>155</v>
      </c>
      <c r="I656" s="30" t="s">
        <v>68</v>
      </c>
      <c r="J656" s="32" t="s">
        <v>36</v>
      </c>
      <c r="K656" s="33" t="s">
        <v>6</v>
      </c>
      <c r="L656" s="46"/>
      <c r="M656" s="178"/>
      <c r="N656" s="120"/>
      <c r="O656" s="120"/>
      <c r="P656" s="122"/>
      <c r="Q656" s="122"/>
      <c r="R656" s="122"/>
      <c r="S656" s="122"/>
    </row>
    <row r="657" spans="1:19" s="61" customFormat="1">
      <c r="A657" s="138"/>
      <c r="B657" s="181"/>
      <c r="C657" s="43" t="s">
        <v>209</v>
      </c>
      <c r="D657" s="62">
        <v>1</v>
      </c>
      <c r="E657" s="30" t="str">
        <f t="shared" si="767"/>
        <v>17:17</v>
      </c>
      <c r="F657" s="30" t="s">
        <v>7</v>
      </c>
      <c r="G657" s="30" t="s">
        <v>7</v>
      </c>
      <c r="H657" s="65" t="s">
        <v>160</v>
      </c>
      <c r="I657" s="30" t="s">
        <v>68</v>
      </c>
      <c r="J657" s="32" t="s">
        <v>36</v>
      </c>
      <c r="K657" s="33" t="s">
        <v>6</v>
      </c>
      <c r="L657" s="46"/>
      <c r="M657" s="178"/>
      <c r="N657" s="120"/>
      <c r="O657" s="120"/>
      <c r="P657" s="122"/>
      <c r="Q657" s="122"/>
      <c r="R657" s="122"/>
      <c r="S657" s="122"/>
    </row>
    <row r="658" spans="1:19" s="61" customFormat="1">
      <c r="A658" s="138"/>
      <c r="B658" s="181"/>
      <c r="C658" s="43" t="s">
        <v>210</v>
      </c>
      <c r="D658" s="62">
        <v>2</v>
      </c>
      <c r="E658" s="30" t="str">
        <f t="shared" si="767"/>
        <v>16:15</v>
      </c>
      <c r="F658" s="30" t="s">
        <v>154</v>
      </c>
      <c r="G658" s="30" t="s">
        <v>154</v>
      </c>
      <c r="H658" s="64" t="s">
        <v>155</v>
      </c>
      <c r="I658" s="30" t="s">
        <v>68</v>
      </c>
      <c r="J658" s="32" t="s">
        <v>36</v>
      </c>
      <c r="K658" s="33" t="s">
        <v>6</v>
      </c>
      <c r="L658" s="46"/>
      <c r="M658" s="178"/>
      <c r="N658" s="120"/>
      <c r="O658" s="120"/>
      <c r="P658" s="122"/>
      <c r="Q658" s="122"/>
      <c r="R658" s="122"/>
      <c r="S658" s="122"/>
    </row>
    <row r="659" spans="1:19" s="61" customFormat="1">
      <c r="A659" s="138"/>
      <c r="B659" s="181"/>
      <c r="C659" s="43" t="s">
        <v>211</v>
      </c>
      <c r="D659" s="62">
        <v>1</v>
      </c>
      <c r="E659" s="30" t="str">
        <f t="shared" si="767"/>
        <v>14:14</v>
      </c>
      <c r="F659" s="30" t="s">
        <v>7</v>
      </c>
      <c r="G659" s="30" t="s">
        <v>7</v>
      </c>
      <c r="H659" s="65" t="s">
        <v>163</v>
      </c>
      <c r="I659" s="30" t="s">
        <v>68</v>
      </c>
      <c r="J659" s="32" t="s">
        <v>36</v>
      </c>
      <c r="K659" s="33" t="s">
        <v>6</v>
      </c>
      <c r="L659" s="46"/>
      <c r="M659" s="178"/>
      <c r="N659" s="120"/>
      <c r="O659" s="120"/>
      <c r="P659" s="122"/>
      <c r="Q659" s="122"/>
      <c r="R659" s="122"/>
      <c r="S659" s="122"/>
    </row>
    <row r="660" spans="1:19" s="61" customFormat="1">
      <c r="A660" s="138"/>
      <c r="B660" s="181"/>
      <c r="C660" s="43" t="s">
        <v>212</v>
      </c>
      <c r="D660" s="62">
        <v>2</v>
      </c>
      <c r="E660" s="30" t="str">
        <f t="shared" si="767"/>
        <v>13:12</v>
      </c>
      <c r="F660" s="30" t="s">
        <v>154</v>
      </c>
      <c r="G660" s="30" t="s">
        <v>154</v>
      </c>
      <c r="H660" s="64" t="s">
        <v>155</v>
      </c>
      <c r="I660" s="30" t="s">
        <v>68</v>
      </c>
      <c r="J660" s="32" t="s">
        <v>36</v>
      </c>
      <c r="K660" s="33" t="s">
        <v>6</v>
      </c>
      <c r="L660" s="46"/>
      <c r="M660" s="178"/>
      <c r="N660" s="120"/>
      <c r="O660" s="120"/>
      <c r="P660" s="122"/>
      <c r="Q660" s="122"/>
      <c r="R660" s="122"/>
      <c r="S660" s="122"/>
    </row>
    <row r="661" spans="1:19" s="61" customFormat="1">
      <c r="A661" s="138"/>
      <c r="B661" s="181"/>
      <c r="C661" s="43" t="s">
        <v>213</v>
      </c>
      <c r="D661" s="62">
        <v>1</v>
      </c>
      <c r="E661" s="30" t="str">
        <f t="shared" si="767"/>
        <v>11:11</v>
      </c>
      <c r="F661" s="30" t="s">
        <v>7</v>
      </c>
      <c r="G661" s="30" t="s">
        <v>7</v>
      </c>
      <c r="H661" s="65" t="s">
        <v>166</v>
      </c>
      <c r="I661" s="30" t="s">
        <v>68</v>
      </c>
      <c r="J661" s="32" t="s">
        <v>36</v>
      </c>
      <c r="K661" s="33" t="s">
        <v>6</v>
      </c>
      <c r="L661" s="46"/>
      <c r="M661" s="178"/>
      <c r="N661" s="120"/>
      <c r="O661" s="120"/>
      <c r="P661" s="122"/>
      <c r="Q661" s="122"/>
      <c r="R661" s="122"/>
      <c r="S661" s="122"/>
    </row>
    <row r="662" spans="1:19" s="61" customFormat="1" ht="72">
      <c r="A662" s="138"/>
      <c r="B662" s="181"/>
      <c r="C662" s="43" t="s">
        <v>214</v>
      </c>
      <c r="D662" s="62">
        <v>4</v>
      </c>
      <c r="E662" s="30" t="str">
        <f t="shared" si="767"/>
        <v>10:7</v>
      </c>
      <c r="F662" s="30" t="s">
        <v>149</v>
      </c>
      <c r="G662" s="30" t="s">
        <v>149</v>
      </c>
      <c r="H662" s="65" t="s">
        <v>168</v>
      </c>
      <c r="I662" s="30" t="s">
        <v>68</v>
      </c>
      <c r="J662" s="32" t="s">
        <v>36</v>
      </c>
      <c r="K662" s="33" t="s">
        <v>6</v>
      </c>
      <c r="L662" s="46"/>
      <c r="M662" s="178"/>
      <c r="N662" s="120"/>
      <c r="O662" s="120"/>
      <c r="P662" s="122"/>
      <c r="Q662" s="122"/>
      <c r="R662" s="122"/>
      <c r="S662" s="122"/>
    </row>
    <row r="663" spans="1:19" s="61" customFormat="1" ht="115.2">
      <c r="A663" s="138"/>
      <c r="B663" s="140"/>
      <c r="C663" s="43" t="s">
        <v>215</v>
      </c>
      <c r="D663" s="62">
        <v>3</v>
      </c>
      <c r="E663" s="30" t="str">
        <f t="shared" si="767"/>
        <v>6:4</v>
      </c>
      <c r="F663" s="30" t="s">
        <v>178</v>
      </c>
      <c r="G663" s="30" t="s">
        <v>178</v>
      </c>
      <c r="H663" s="65" t="s">
        <v>179</v>
      </c>
      <c r="I663" s="30" t="s">
        <v>68</v>
      </c>
      <c r="J663" s="32" t="s">
        <v>36</v>
      </c>
      <c r="K663" s="33" t="s">
        <v>6</v>
      </c>
      <c r="L663" s="46"/>
      <c r="M663" s="120"/>
      <c r="N663" s="120"/>
      <c r="O663" s="120"/>
      <c r="P663" s="122"/>
      <c r="Q663" s="122"/>
      <c r="R663" s="122"/>
      <c r="S663" s="122"/>
    </row>
    <row r="664" spans="1:19" s="61" customFormat="1" ht="15" thickBot="1">
      <c r="A664" s="138"/>
      <c r="B664" s="140"/>
      <c r="C664" s="43" t="s">
        <v>216</v>
      </c>
      <c r="D664" s="62">
        <v>4</v>
      </c>
      <c r="E664" s="30" t="str">
        <f t="shared" si="767"/>
        <v>3:0</v>
      </c>
      <c r="F664" s="30" t="s">
        <v>149</v>
      </c>
      <c r="G664" s="30" t="s">
        <v>149</v>
      </c>
      <c r="H664" s="65" t="s">
        <v>217</v>
      </c>
      <c r="I664" s="30" t="s">
        <v>68</v>
      </c>
      <c r="J664" s="32" t="s">
        <v>36</v>
      </c>
      <c r="K664" s="33" t="s">
        <v>6</v>
      </c>
      <c r="L664" s="46"/>
      <c r="M664" s="120"/>
      <c r="N664" s="120"/>
      <c r="O664" s="120"/>
      <c r="P664" s="122"/>
      <c r="Q664" s="122"/>
      <c r="R664" s="122"/>
      <c r="S664" s="122"/>
    </row>
    <row r="665" spans="1:19" s="61" customFormat="1" ht="15" customHeight="1" thickBot="1">
      <c r="A665" s="138" t="s">
        <v>242</v>
      </c>
      <c r="B665" s="139" t="str">
        <f t="shared" ref="B665:B680" si="768">DEC2HEX(P665*4)</f>
        <v>2C</v>
      </c>
      <c r="C665" s="60" t="s">
        <v>134</v>
      </c>
      <c r="D665" s="164" t="str">
        <f>bitConcat(F666:F679)</f>
        <v>32'b00010000000000000000000000000000</v>
      </c>
      <c r="E665" s="165"/>
      <c r="F665" s="165"/>
      <c r="G665" s="165"/>
      <c r="H665" s="166" t="s">
        <v>135</v>
      </c>
      <c r="I665" s="167"/>
      <c r="J665" s="168" t="str">
        <f>bitConcat(G666:G679)</f>
        <v>32'b00010000000000000000000000000000</v>
      </c>
      <c r="K665" s="166"/>
      <c r="L665" s="167"/>
      <c r="M665" s="119" t="str">
        <f t="shared" ref="M665" si="769">DEC2HEX(_xlfn.BITLSHIFT(O665,7)+4*P665)</f>
        <v>22C</v>
      </c>
      <c r="N665" s="120"/>
      <c r="O665" s="120">
        <v>4</v>
      </c>
      <c r="P665" s="122">
        <v>11</v>
      </c>
      <c r="Q665" s="121" t="str">
        <f>DEC2HEX(_xlfn.BITLSHIFT(O665,5)+P665)</f>
        <v>8B</v>
      </c>
      <c r="R665" s="121" t="str">
        <f>BIN2HEX(LEFT(RIGHT(D665,32),4))&amp;BIN2HEX(LEFT(RIGHT(D665,28),4))&amp;BIN2HEX(LEFT(RIGHT(D665,24),4))&amp;BIN2HEX(LEFT(RIGHT(D665,20),4))&amp;BIN2HEX(LEFT(RIGHT(D665,16),4))&amp;BIN2HEX(LEFT(RIGHT(D665,12),4))&amp;BIN2HEX(LEFT(RIGHT(D665,8),4))&amp;BIN2HEX(LEFT(RIGHT(D665,4),4))</f>
        <v>10000000</v>
      </c>
      <c r="S665" s="121" t="str">
        <f>BIN2HEX(LEFT(RIGHT(J665,32),4))&amp;BIN2HEX(LEFT(RIGHT(J665,28),4))&amp;BIN2HEX(LEFT(RIGHT(J665,24),4))&amp;BIN2HEX(LEFT(RIGHT(J665,20),4))&amp;BIN2HEX(LEFT(RIGHT(J665,16),4))&amp;BIN2HEX(LEFT(RIGHT(J665,12),4))&amp;BIN2HEX(LEFT(RIGHT(J665,8),4))&amp;BIN2HEX(LEFT(RIGHT(J665,4),4))</f>
        <v>10000000</v>
      </c>
    </row>
    <row r="666" spans="1:19" s="61" customFormat="1">
      <c r="A666" s="138"/>
      <c r="B666" s="181"/>
      <c r="C666" s="43" t="s">
        <v>219</v>
      </c>
      <c r="D666" s="62">
        <v>4</v>
      </c>
      <c r="E666" s="30" t="str">
        <f>IF(D666&gt;1,(31)&amp;":"&amp;(31-D666+1),(31-D666+1)&amp;":"&amp;(31-D666+1))</f>
        <v>31:28</v>
      </c>
      <c r="F666" s="30" t="s">
        <v>220</v>
      </c>
      <c r="G666" s="30" t="s">
        <v>220</v>
      </c>
      <c r="H666" s="63" t="s">
        <v>147</v>
      </c>
      <c r="I666" s="30" t="s">
        <v>68</v>
      </c>
      <c r="J666" s="32" t="s">
        <v>36</v>
      </c>
      <c r="K666" s="33" t="s">
        <v>6</v>
      </c>
      <c r="L666" s="46"/>
      <c r="M666" s="178"/>
      <c r="N666" s="120"/>
      <c r="O666" s="120"/>
      <c r="P666" s="122"/>
      <c r="Q666" s="122"/>
      <c r="R666" s="122"/>
      <c r="S666" s="122"/>
    </row>
    <row r="667" spans="1:19" s="61" customFormat="1">
      <c r="A667" s="138"/>
      <c r="B667" s="181"/>
      <c r="C667" s="43" t="s">
        <v>221</v>
      </c>
      <c r="D667" s="62">
        <v>4</v>
      </c>
      <c r="E667" s="30" t="str">
        <f t="shared" ref="E667:E679" si="770">(MID(str_cnvt(E666),SEARCH(":",str_cnvt(E666))+1,2)-1) &amp; ":" &amp; (MID(str_cnvt(E666),SEARCH(":",str_cnvt(E666))+1,2)-D667)</f>
        <v>27:24</v>
      </c>
      <c r="F667" s="30" t="s">
        <v>149</v>
      </c>
      <c r="G667" s="30" t="s">
        <v>149</v>
      </c>
      <c r="H667" s="64" t="s">
        <v>150</v>
      </c>
      <c r="I667" s="30" t="s">
        <v>68</v>
      </c>
      <c r="J667" s="32" t="s">
        <v>36</v>
      </c>
      <c r="K667" s="33" t="s">
        <v>6</v>
      </c>
      <c r="L667" s="46"/>
      <c r="M667" s="178"/>
      <c r="N667" s="120"/>
      <c r="O667" s="120"/>
      <c r="P667" s="122"/>
      <c r="Q667" s="122"/>
      <c r="R667" s="122"/>
      <c r="S667" s="122"/>
    </row>
    <row r="668" spans="1:19" s="61" customFormat="1">
      <c r="A668" s="138"/>
      <c r="B668" s="181"/>
      <c r="C668" s="43" t="s">
        <v>222</v>
      </c>
      <c r="D668" s="62">
        <v>1</v>
      </c>
      <c r="E668" s="30" t="str">
        <f t="shared" si="770"/>
        <v>23:23</v>
      </c>
      <c r="F668" s="30" t="s">
        <v>7</v>
      </c>
      <c r="G668" s="30" t="s">
        <v>7</v>
      </c>
      <c r="H668" s="65" t="s">
        <v>223</v>
      </c>
      <c r="I668" s="30" t="s">
        <v>68</v>
      </c>
      <c r="J668" s="32"/>
      <c r="K668" s="33"/>
      <c r="L668" s="46"/>
      <c r="M668" s="178"/>
      <c r="N668" s="120"/>
      <c r="O668" s="120"/>
      <c r="P668" s="122"/>
      <c r="Q668" s="122"/>
      <c r="R668" s="122"/>
      <c r="S668" s="122"/>
    </row>
    <row r="669" spans="1:19" s="61" customFormat="1">
      <c r="A669" s="138"/>
      <c r="B669" s="181"/>
      <c r="C669" s="43" t="s">
        <v>224</v>
      </c>
      <c r="D669" s="62">
        <v>2</v>
      </c>
      <c r="E669" s="30" t="str">
        <f t="shared" si="770"/>
        <v>22:21</v>
      </c>
      <c r="F669" s="30" t="s">
        <v>154</v>
      </c>
      <c r="G669" s="30" t="s">
        <v>154</v>
      </c>
      <c r="H669" s="64" t="s">
        <v>155</v>
      </c>
      <c r="I669" s="30" t="s">
        <v>68</v>
      </c>
      <c r="J669" s="32" t="s">
        <v>36</v>
      </c>
      <c r="K669" s="33" t="s">
        <v>6</v>
      </c>
      <c r="L669" s="46"/>
      <c r="M669" s="178"/>
      <c r="N669" s="120"/>
      <c r="O669" s="120"/>
      <c r="P669" s="122"/>
      <c r="Q669" s="122"/>
      <c r="R669" s="122"/>
      <c r="S669" s="122"/>
    </row>
    <row r="670" spans="1:19" s="61" customFormat="1">
      <c r="A670" s="138"/>
      <c r="B670" s="181"/>
      <c r="C670" s="43" t="s">
        <v>225</v>
      </c>
      <c r="D670" s="62">
        <v>1</v>
      </c>
      <c r="E670" s="30" t="str">
        <f t="shared" si="770"/>
        <v>20:20</v>
      </c>
      <c r="F670" s="30" t="s">
        <v>7</v>
      </c>
      <c r="G670" s="30" t="s">
        <v>7</v>
      </c>
      <c r="H670" s="65" t="s">
        <v>157</v>
      </c>
      <c r="I670" s="30" t="s">
        <v>68</v>
      </c>
      <c r="J670" s="32" t="s">
        <v>36</v>
      </c>
      <c r="K670" s="33" t="s">
        <v>6</v>
      </c>
      <c r="L670" s="46"/>
      <c r="M670" s="178"/>
      <c r="N670" s="120"/>
      <c r="O670" s="120"/>
      <c r="P670" s="122"/>
      <c r="Q670" s="122"/>
      <c r="R670" s="122"/>
      <c r="S670" s="122"/>
    </row>
    <row r="671" spans="1:19" s="61" customFormat="1">
      <c r="A671" s="138"/>
      <c r="B671" s="181"/>
      <c r="C671" s="43" t="s">
        <v>226</v>
      </c>
      <c r="D671" s="62">
        <v>2</v>
      </c>
      <c r="E671" s="30" t="str">
        <f t="shared" si="770"/>
        <v>19:18</v>
      </c>
      <c r="F671" s="30" t="s">
        <v>154</v>
      </c>
      <c r="G671" s="30" t="s">
        <v>154</v>
      </c>
      <c r="H671" s="64" t="s">
        <v>155</v>
      </c>
      <c r="I671" s="30" t="s">
        <v>68</v>
      </c>
      <c r="J671" s="32" t="s">
        <v>36</v>
      </c>
      <c r="K671" s="33" t="s">
        <v>6</v>
      </c>
      <c r="L671" s="46"/>
      <c r="M671" s="178"/>
      <c r="N671" s="120"/>
      <c r="O671" s="120"/>
      <c r="P671" s="122"/>
      <c r="Q671" s="122"/>
      <c r="R671" s="122"/>
      <c r="S671" s="122"/>
    </row>
    <row r="672" spans="1:19" s="61" customFormat="1">
      <c r="A672" s="138"/>
      <c r="B672" s="181"/>
      <c r="C672" s="43" t="s">
        <v>227</v>
      </c>
      <c r="D672" s="62">
        <v>1</v>
      </c>
      <c r="E672" s="30" t="str">
        <f t="shared" si="770"/>
        <v>17:17</v>
      </c>
      <c r="F672" s="30" t="s">
        <v>7</v>
      </c>
      <c r="G672" s="30" t="s">
        <v>7</v>
      </c>
      <c r="H672" s="65" t="s">
        <v>160</v>
      </c>
      <c r="I672" s="30" t="s">
        <v>68</v>
      </c>
      <c r="J672" s="32" t="s">
        <v>36</v>
      </c>
      <c r="K672" s="33" t="s">
        <v>6</v>
      </c>
      <c r="L672" s="46"/>
      <c r="M672" s="178"/>
      <c r="N672" s="120"/>
      <c r="O672" s="120"/>
      <c r="P672" s="122"/>
      <c r="Q672" s="122"/>
      <c r="R672" s="122"/>
      <c r="S672" s="122"/>
    </row>
    <row r="673" spans="1:19" s="61" customFormat="1">
      <c r="A673" s="138"/>
      <c r="B673" s="181"/>
      <c r="C673" s="43" t="s">
        <v>228</v>
      </c>
      <c r="D673" s="62">
        <v>2</v>
      </c>
      <c r="E673" s="30" t="str">
        <f t="shared" si="770"/>
        <v>16:15</v>
      </c>
      <c r="F673" s="30" t="s">
        <v>154</v>
      </c>
      <c r="G673" s="30" t="s">
        <v>154</v>
      </c>
      <c r="H673" s="64" t="s">
        <v>155</v>
      </c>
      <c r="I673" s="30" t="s">
        <v>68</v>
      </c>
      <c r="J673" s="32" t="s">
        <v>36</v>
      </c>
      <c r="K673" s="33" t="s">
        <v>6</v>
      </c>
      <c r="L673" s="46"/>
      <c r="M673" s="178"/>
      <c r="N673" s="120"/>
      <c r="O673" s="120"/>
      <c r="P673" s="122"/>
      <c r="Q673" s="122"/>
      <c r="R673" s="122"/>
      <c r="S673" s="122"/>
    </row>
    <row r="674" spans="1:19" s="61" customFormat="1">
      <c r="A674" s="138"/>
      <c r="B674" s="181"/>
      <c r="C674" s="43" t="s">
        <v>229</v>
      </c>
      <c r="D674" s="62">
        <v>1</v>
      </c>
      <c r="E674" s="30" t="str">
        <f t="shared" si="770"/>
        <v>14:14</v>
      </c>
      <c r="F674" s="30" t="s">
        <v>7</v>
      </c>
      <c r="G674" s="30" t="s">
        <v>7</v>
      </c>
      <c r="H674" s="65" t="s">
        <v>163</v>
      </c>
      <c r="I674" s="30" t="s">
        <v>68</v>
      </c>
      <c r="J674" s="32" t="s">
        <v>36</v>
      </c>
      <c r="K674" s="33" t="s">
        <v>6</v>
      </c>
      <c r="L674" s="46"/>
      <c r="M674" s="178"/>
      <c r="N674" s="120"/>
      <c r="O674" s="120"/>
      <c r="P674" s="122"/>
      <c r="Q674" s="122"/>
      <c r="R674" s="122"/>
      <c r="S674" s="122"/>
    </row>
    <row r="675" spans="1:19" s="61" customFormat="1">
      <c r="A675" s="138"/>
      <c r="B675" s="181"/>
      <c r="C675" s="43" t="s">
        <v>230</v>
      </c>
      <c r="D675" s="62">
        <v>2</v>
      </c>
      <c r="E675" s="30" t="str">
        <f t="shared" si="770"/>
        <v>13:12</v>
      </c>
      <c r="F675" s="30" t="s">
        <v>154</v>
      </c>
      <c r="G675" s="30" t="s">
        <v>154</v>
      </c>
      <c r="H675" s="64" t="s">
        <v>155</v>
      </c>
      <c r="I675" s="30" t="s">
        <v>68</v>
      </c>
      <c r="J675" s="32" t="s">
        <v>36</v>
      </c>
      <c r="K675" s="33" t="s">
        <v>6</v>
      </c>
      <c r="L675" s="46"/>
      <c r="M675" s="178"/>
      <c r="N675" s="120"/>
      <c r="O675" s="120"/>
      <c r="P675" s="122"/>
      <c r="Q675" s="122"/>
      <c r="R675" s="122"/>
      <c r="S675" s="122"/>
    </row>
    <row r="676" spans="1:19" s="61" customFormat="1">
      <c r="A676" s="138"/>
      <c r="B676" s="181"/>
      <c r="C676" s="43" t="s">
        <v>231</v>
      </c>
      <c r="D676" s="62">
        <v>1</v>
      </c>
      <c r="E676" s="30" t="str">
        <f t="shared" si="770"/>
        <v>11:11</v>
      </c>
      <c r="F676" s="30" t="s">
        <v>7</v>
      </c>
      <c r="G676" s="30" t="s">
        <v>7</v>
      </c>
      <c r="H676" s="65" t="s">
        <v>166</v>
      </c>
      <c r="I676" s="30" t="s">
        <v>68</v>
      </c>
      <c r="J676" s="32" t="s">
        <v>36</v>
      </c>
      <c r="K676" s="33" t="s">
        <v>6</v>
      </c>
      <c r="L676" s="46"/>
      <c r="M676" s="178"/>
      <c r="N676" s="120"/>
      <c r="O676" s="120"/>
      <c r="P676" s="122"/>
      <c r="Q676" s="122"/>
      <c r="R676" s="122"/>
      <c r="S676" s="122"/>
    </row>
    <row r="677" spans="1:19" s="61" customFormat="1" ht="72">
      <c r="A677" s="138"/>
      <c r="B677" s="181"/>
      <c r="C677" s="43" t="s">
        <v>232</v>
      </c>
      <c r="D677" s="62">
        <v>4</v>
      </c>
      <c r="E677" s="30" t="str">
        <f t="shared" si="770"/>
        <v>10:7</v>
      </c>
      <c r="F677" s="30" t="s">
        <v>149</v>
      </c>
      <c r="G677" s="30" t="s">
        <v>149</v>
      </c>
      <c r="H677" s="65" t="s">
        <v>168</v>
      </c>
      <c r="I677" s="30" t="s">
        <v>68</v>
      </c>
      <c r="J677" s="32" t="s">
        <v>36</v>
      </c>
      <c r="K677" s="33" t="s">
        <v>6</v>
      </c>
      <c r="L677" s="46"/>
      <c r="M677" s="178"/>
      <c r="N677" s="120"/>
      <c r="O677" s="120"/>
      <c r="P677" s="122"/>
      <c r="Q677" s="122"/>
      <c r="R677" s="122"/>
      <c r="S677" s="122"/>
    </row>
    <row r="678" spans="1:19" s="61" customFormat="1" ht="115.2">
      <c r="A678" s="138"/>
      <c r="B678" s="181"/>
      <c r="C678" s="43" t="s">
        <v>233</v>
      </c>
      <c r="D678" s="62">
        <v>3</v>
      </c>
      <c r="E678" s="30" t="str">
        <f t="shared" si="770"/>
        <v>6:4</v>
      </c>
      <c r="F678" s="30" t="s">
        <v>178</v>
      </c>
      <c r="G678" s="30" t="s">
        <v>178</v>
      </c>
      <c r="H678" s="65" t="s">
        <v>179</v>
      </c>
      <c r="I678" s="30" t="s">
        <v>68</v>
      </c>
      <c r="J678" s="32" t="s">
        <v>36</v>
      </c>
      <c r="K678" s="33" t="s">
        <v>6</v>
      </c>
      <c r="L678" s="66"/>
      <c r="M678" s="178"/>
      <c r="N678" s="120"/>
      <c r="O678" s="120"/>
      <c r="P678" s="122"/>
      <c r="Q678" s="122"/>
      <c r="R678" s="122"/>
      <c r="S678" s="122"/>
    </row>
    <row r="679" spans="1:19" s="61" customFormat="1" ht="15" thickBot="1">
      <c r="A679" s="138"/>
      <c r="B679" s="140"/>
      <c r="C679" s="43" t="s">
        <v>234</v>
      </c>
      <c r="D679" s="62">
        <v>4</v>
      </c>
      <c r="E679" s="30" t="str">
        <f t="shared" si="770"/>
        <v>3:0</v>
      </c>
      <c r="F679" s="30" t="s">
        <v>149</v>
      </c>
      <c r="G679" s="30" t="s">
        <v>149</v>
      </c>
      <c r="H679" s="65" t="s">
        <v>217</v>
      </c>
      <c r="I679" s="67" t="s">
        <v>68</v>
      </c>
      <c r="J679" s="68" t="s">
        <v>36</v>
      </c>
      <c r="K679" s="69" t="s">
        <v>6</v>
      </c>
      <c r="L679" s="66"/>
      <c r="M679" s="120"/>
      <c r="N679" s="120"/>
      <c r="O679" s="120"/>
      <c r="P679" s="122"/>
      <c r="Q679" s="122"/>
      <c r="R679" s="122"/>
      <c r="S679" s="122"/>
    </row>
    <row r="680" spans="1:19" s="61" customFormat="1" ht="15" customHeight="1" thickBot="1">
      <c r="A680" s="133" t="s">
        <v>243</v>
      </c>
      <c r="B680" s="135" t="str">
        <f t="shared" si="768"/>
        <v>30</v>
      </c>
      <c r="C680" s="60" t="s">
        <v>134</v>
      </c>
      <c r="D680" s="164" t="str">
        <f>bitConcat(F681:F697)</f>
        <v>32'b10000000000000000000000000000000</v>
      </c>
      <c r="E680" s="165"/>
      <c r="F680" s="165"/>
      <c r="G680" s="165"/>
      <c r="H680" s="166" t="s">
        <v>135</v>
      </c>
      <c r="I680" s="167"/>
      <c r="J680" s="168" t="str">
        <f>bitConcat(G681:G697)</f>
        <v>32'b10000000000000000000000000000000</v>
      </c>
      <c r="K680" s="166"/>
      <c r="L680" s="167"/>
      <c r="M680" s="119" t="str">
        <f t="shared" ref="M680" si="771">DEC2HEX(_xlfn.BITLSHIFT(O680,7)+4*P680)</f>
        <v>230</v>
      </c>
      <c r="N680" s="119"/>
      <c r="O680" s="119">
        <v>4</v>
      </c>
      <c r="P680" s="121">
        <v>12</v>
      </c>
      <c r="Q680" s="121" t="str">
        <f>DEC2HEX(_xlfn.BITLSHIFT(O680,5)+P680)</f>
        <v>8C</v>
      </c>
      <c r="R680" s="121" t="str">
        <f>BIN2HEX(LEFT(RIGHT(D680,32),4))&amp;BIN2HEX(LEFT(RIGHT(D680,28),4))&amp;BIN2HEX(LEFT(RIGHT(D680,24),4))&amp;BIN2HEX(LEFT(RIGHT(D680,20),4))&amp;BIN2HEX(LEFT(RIGHT(D680,16),4))&amp;BIN2HEX(LEFT(RIGHT(D680,12),4))&amp;BIN2HEX(LEFT(RIGHT(D680,8),4))&amp;BIN2HEX(LEFT(RIGHT(D680,4),4))</f>
        <v>80000000</v>
      </c>
      <c r="S680" s="121" t="str">
        <f>BIN2HEX(LEFT(RIGHT(J680,32),4))&amp;BIN2HEX(LEFT(RIGHT(J680,28),4))&amp;BIN2HEX(LEFT(RIGHT(J680,24),4))&amp;BIN2HEX(LEFT(RIGHT(J680,20),4))&amp;BIN2HEX(LEFT(RIGHT(J680,16),4))&amp;BIN2HEX(LEFT(RIGHT(J680,12),4))&amp;BIN2HEX(LEFT(RIGHT(J680,8),4))&amp;BIN2HEX(LEFT(RIGHT(J680,4),4))</f>
        <v>80000000</v>
      </c>
    </row>
    <row r="681" spans="1:19" s="61" customFormat="1">
      <c r="A681" s="182"/>
      <c r="B681" s="183"/>
      <c r="C681" s="43" t="s">
        <v>145</v>
      </c>
      <c r="D681" s="62">
        <v>4</v>
      </c>
      <c r="E681" s="30" t="str">
        <f>IF(D681&gt;1,(31)&amp;":"&amp;(31-D681+1),(31-D681+1)&amp;":"&amp;(31-D681+1))</f>
        <v>31:28</v>
      </c>
      <c r="F681" s="30" t="s">
        <v>146</v>
      </c>
      <c r="G681" s="30" t="s">
        <v>146</v>
      </c>
      <c r="H681" s="63" t="s">
        <v>147</v>
      </c>
      <c r="I681" s="30" t="s">
        <v>68</v>
      </c>
      <c r="J681" s="32" t="s">
        <v>36</v>
      </c>
      <c r="K681" s="33" t="s">
        <v>6</v>
      </c>
      <c r="L681" s="46"/>
      <c r="M681" s="178"/>
      <c r="N681" s="178"/>
      <c r="O681" s="178"/>
      <c r="P681" s="179"/>
      <c r="Q681" s="122"/>
      <c r="R681" s="122"/>
      <c r="S681" s="122"/>
    </row>
    <row r="682" spans="1:19" s="61" customFormat="1">
      <c r="A682" s="182"/>
      <c r="B682" s="183"/>
      <c r="C682" s="43" t="s">
        <v>148</v>
      </c>
      <c r="D682" s="62">
        <v>4</v>
      </c>
      <c r="E682" s="30" t="str">
        <f t="shared" ref="E682:E697" si="772">(MID(str_cnvt(E681),SEARCH(":",str_cnvt(E681))+1,2)-1) &amp; ":" &amp; (MID(str_cnvt(E681),SEARCH(":",str_cnvt(E681))+1,2)-D682)</f>
        <v>27:24</v>
      </c>
      <c r="F682" s="30" t="s">
        <v>149</v>
      </c>
      <c r="G682" s="30" t="s">
        <v>149</v>
      </c>
      <c r="H682" s="64" t="s">
        <v>150</v>
      </c>
      <c r="I682" s="30" t="s">
        <v>68</v>
      </c>
      <c r="J682" s="32" t="s">
        <v>36</v>
      </c>
      <c r="K682" s="33" t="s">
        <v>6</v>
      </c>
      <c r="L682" s="46"/>
      <c r="M682" s="178"/>
      <c r="N682" s="178"/>
      <c r="O682" s="178"/>
      <c r="P682" s="179"/>
      <c r="Q682" s="122"/>
      <c r="R682" s="122"/>
      <c r="S682" s="122"/>
    </row>
    <row r="683" spans="1:19" s="61" customFormat="1">
      <c r="A683" s="182"/>
      <c r="B683" s="183"/>
      <c r="C683" s="43" t="s">
        <v>151</v>
      </c>
      <c r="D683" s="62">
        <v>1</v>
      </c>
      <c r="E683" s="30" t="str">
        <f t="shared" si="772"/>
        <v>23:23</v>
      </c>
      <c r="F683" s="30" t="s">
        <v>7</v>
      </c>
      <c r="G683" s="30" t="s">
        <v>7</v>
      </c>
      <c r="H683" s="65" t="s">
        <v>152</v>
      </c>
      <c r="I683" s="30" t="s">
        <v>68</v>
      </c>
      <c r="J683" s="32"/>
      <c r="K683" s="33"/>
      <c r="L683" s="46"/>
      <c r="M683" s="178"/>
      <c r="N683" s="178"/>
      <c r="O683" s="178"/>
      <c r="P683" s="179"/>
      <c r="Q683" s="122"/>
      <c r="R683" s="122"/>
      <c r="S683" s="122"/>
    </row>
    <row r="684" spans="1:19" s="61" customFormat="1">
      <c r="A684" s="182"/>
      <c r="B684" s="183"/>
      <c r="C684" s="43" t="s">
        <v>153</v>
      </c>
      <c r="D684" s="62">
        <v>2</v>
      </c>
      <c r="E684" s="30" t="str">
        <f t="shared" si="772"/>
        <v>22:21</v>
      </c>
      <c r="F684" s="30" t="s">
        <v>154</v>
      </c>
      <c r="G684" s="30" t="s">
        <v>154</v>
      </c>
      <c r="H684" s="64" t="s">
        <v>155</v>
      </c>
      <c r="I684" s="30" t="s">
        <v>68</v>
      </c>
      <c r="J684" s="32" t="s">
        <v>36</v>
      </c>
      <c r="K684" s="33" t="s">
        <v>6</v>
      </c>
      <c r="L684" s="46"/>
      <c r="M684" s="178"/>
      <c r="N684" s="178"/>
      <c r="O684" s="178"/>
      <c r="P684" s="179"/>
      <c r="Q684" s="122"/>
      <c r="R684" s="122"/>
      <c r="S684" s="122"/>
    </row>
    <row r="685" spans="1:19" s="61" customFormat="1">
      <c r="A685" s="182"/>
      <c r="B685" s="183"/>
      <c r="C685" s="43" t="s">
        <v>156</v>
      </c>
      <c r="D685" s="62">
        <v>1</v>
      </c>
      <c r="E685" s="30" t="str">
        <f t="shared" si="772"/>
        <v>20:20</v>
      </c>
      <c r="F685" s="30" t="s">
        <v>7</v>
      </c>
      <c r="G685" s="30" t="s">
        <v>7</v>
      </c>
      <c r="H685" s="65" t="s">
        <v>157</v>
      </c>
      <c r="I685" s="30" t="s">
        <v>68</v>
      </c>
      <c r="J685" s="32" t="s">
        <v>36</v>
      </c>
      <c r="K685" s="33" t="s">
        <v>6</v>
      </c>
      <c r="L685" s="46"/>
      <c r="M685" s="178"/>
      <c r="N685" s="178"/>
      <c r="O685" s="178"/>
      <c r="P685" s="179"/>
      <c r="Q685" s="122"/>
      <c r="R685" s="122"/>
      <c r="S685" s="122"/>
    </row>
    <row r="686" spans="1:19" s="61" customFormat="1">
      <c r="A686" s="182"/>
      <c r="B686" s="183"/>
      <c r="C686" s="43" t="s">
        <v>158</v>
      </c>
      <c r="D686" s="62">
        <v>2</v>
      </c>
      <c r="E686" s="30" t="str">
        <f t="shared" si="772"/>
        <v>19:18</v>
      </c>
      <c r="F686" s="30" t="s">
        <v>154</v>
      </c>
      <c r="G686" s="30" t="s">
        <v>154</v>
      </c>
      <c r="H686" s="64" t="s">
        <v>155</v>
      </c>
      <c r="I686" s="30" t="s">
        <v>68</v>
      </c>
      <c r="J686" s="32" t="s">
        <v>36</v>
      </c>
      <c r="K686" s="33" t="s">
        <v>6</v>
      </c>
      <c r="L686" s="46"/>
      <c r="M686" s="178"/>
      <c r="N686" s="178"/>
      <c r="O686" s="178"/>
      <c r="P686" s="179"/>
      <c r="Q686" s="122"/>
      <c r="R686" s="122"/>
      <c r="S686" s="122"/>
    </row>
    <row r="687" spans="1:19" s="61" customFormat="1">
      <c r="A687" s="182"/>
      <c r="B687" s="183"/>
      <c r="C687" s="43" t="s">
        <v>159</v>
      </c>
      <c r="D687" s="62">
        <v>1</v>
      </c>
      <c r="E687" s="30" t="str">
        <f t="shared" si="772"/>
        <v>17:17</v>
      </c>
      <c r="F687" s="30" t="s">
        <v>7</v>
      </c>
      <c r="G687" s="30" t="s">
        <v>7</v>
      </c>
      <c r="H687" s="65" t="s">
        <v>160</v>
      </c>
      <c r="I687" s="30" t="s">
        <v>68</v>
      </c>
      <c r="J687" s="32" t="s">
        <v>36</v>
      </c>
      <c r="K687" s="33" t="s">
        <v>6</v>
      </c>
      <c r="L687" s="46"/>
      <c r="M687" s="178"/>
      <c r="N687" s="178"/>
      <c r="O687" s="178"/>
      <c r="P687" s="179"/>
      <c r="Q687" s="122"/>
      <c r="R687" s="122"/>
      <c r="S687" s="122"/>
    </row>
    <row r="688" spans="1:19" s="61" customFormat="1">
      <c r="A688" s="182"/>
      <c r="B688" s="183"/>
      <c r="C688" s="43" t="s">
        <v>161</v>
      </c>
      <c r="D688" s="62">
        <v>2</v>
      </c>
      <c r="E688" s="30" t="str">
        <f t="shared" si="772"/>
        <v>16:15</v>
      </c>
      <c r="F688" s="30" t="s">
        <v>154</v>
      </c>
      <c r="G688" s="30" t="s">
        <v>154</v>
      </c>
      <c r="H688" s="64" t="s">
        <v>155</v>
      </c>
      <c r="I688" s="30" t="s">
        <v>68</v>
      </c>
      <c r="J688" s="32" t="s">
        <v>36</v>
      </c>
      <c r="K688" s="33" t="s">
        <v>6</v>
      </c>
      <c r="L688" s="46"/>
      <c r="M688" s="178"/>
      <c r="N688" s="178"/>
      <c r="O688" s="178"/>
      <c r="P688" s="179"/>
      <c r="Q688" s="122"/>
      <c r="R688" s="122"/>
      <c r="S688" s="122"/>
    </row>
    <row r="689" spans="1:19" s="61" customFormat="1">
      <c r="A689" s="182"/>
      <c r="B689" s="183"/>
      <c r="C689" s="43" t="s">
        <v>162</v>
      </c>
      <c r="D689" s="62">
        <v>1</v>
      </c>
      <c r="E689" s="30" t="str">
        <f t="shared" si="772"/>
        <v>14:14</v>
      </c>
      <c r="F689" s="30" t="s">
        <v>7</v>
      </c>
      <c r="G689" s="30" t="s">
        <v>7</v>
      </c>
      <c r="H689" s="65" t="s">
        <v>163</v>
      </c>
      <c r="I689" s="30" t="s">
        <v>68</v>
      </c>
      <c r="J689" s="32" t="s">
        <v>36</v>
      </c>
      <c r="K689" s="33" t="s">
        <v>6</v>
      </c>
      <c r="L689" s="46"/>
      <c r="M689" s="178"/>
      <c r="N689" s="178"/>
      <c r="O689" s="178"/>
      <c r="P689" s="179"/>
      <c r="Q689" s="122"/>
      <c r="R689" s="122"/>
      <c r="S689" s="122"/>
    </row>
    <row r="690" spans="1:19" s="61" customFormat="1">
      <c r="A690" s="182"/>
      <c r="B690" s="183"/>
      <c r="C690" s="43" t="s">
        <v>164</v>
      </c>
      <c r="D690" s="62">
        <v>2</v>
      </c>
      <c r="E690" s="30" t="str">
        <f t="shared" si="772"/>
        <v>13:12</v>
      </c>
      <c r="F690" s="30" t="s">
        <v>154</v>
      </c>
      <c r="G690" s="30" t="s">
        <v>154</v>
      </c>
      <c r="H690" s="64" t="s">
        <v>155</v>
      </c>
      <c r="I690" s="30" t="s">
        <v>68</v>
      </c>
      <c r="J690" s="32" t="s">
        <v>36</v>
      </c>
      <c r="K690" s="33" t="s">
        <v>6</v>
      </c>
      <c r="L690" s="46"/>
      <c r="M690" s="178"/>
      <c r="N690" s="178"/>
      <c r="O690" s="178"/>
      <c r="P690" s="179"/>
      <c r="Q690" s="122"/>
      <c r="R690" s="122"/>
      <c r="S690" s="122"/>
    </row>
    <row r="691" spans="1:19" s="61" customFormat="1">
      <c r="A691" s="182"/>
      <c r="B691" s="183"/>
      <c r="C691" s="43" t="s">
        <v>165</v>
      </c>
      <c r="D691" s="62">
        <v>1</v>
      </c>
      <c r="E691" s="30" t="str">
        <f t="shared" si="772"/>
        <v>11:11</v>
      </c>
      <c r="F691" s="30" t="s">
        <v>7</v>
      </c>
      <c r="G691" s="30" t="s">
        <v>7</v>
      </c>
      <c r="H691" s="65" t="s">
        <v>166</v>
      </c>
      <c r="I691" s="30" t="s">
        <v>68</v>
      </c>
      <c r="J691" s="32" t="s">
        <v>36</v>
      </c>
      <c r="K691" s="33" t="s">
        <v>6</v>
      </c>
      <c r="L691" s="46"/>
      <c r="M691" s="178"/>
      <c r="N691" s="178"/>
      <c r="O691" s="178"/>
      <c r="P691" s="179"/>
      <c r="Q691" s="122"/>
      <c r="R691" s="122"/>
      <c r="S691" s="122"/>
    </row>
    <row r="692" spans="1:19" s="61" customFormat="1" ht="72">
      <c r="A692" s="134"/>
      <c r="B692" s="136"/>
      <c r="C692" s="43" t="s">
        <v>167</v>
      </c>
      <c r="D692" s="62">
        <v>4</v>
      </c>
      <c r="E692" s="30" t="str">
        <f t="shared" si="772"/>
        <v>10:7</v>
      </c>
      <c r="F692" s="30" t="s">
        <v>149</v>
      </c>
      <c r="G692" s="30" t="s">
        <v>149</v>
      </c>
      <c r="H692" s="65" t="s">
        <v>168</v>
      </c>
      <c r="I692" s="30" t="s">
        <v>68</v>
      </c>
      <c r="J692" s="32" t="s">
        <v>36</v>
      </c>
      <c r="K692" s="33" t="s">
        <v>6</v>
      </c>
      <c r="L692" s="46"/>
      <c r="M692" s="120"/>
      <c r="N692" s="120"/>
      <c r="O692" s="120"/>
      <c r="P692" s="122"/>
      <c r="Q692" s="122"/>
      <c r="R692" s="122"/>
      <c r="S692" s="122"/>
    </row>
    <row r="693" spans="1:19" s="61" customFormat="1">
      <c r="A693" s="134"/>
      <c r="B693" s="136"/>
      <c r="C693" s="43" t="s">
        <v>169</v>
      </c>
      <c r="D693" s="62">
        <v>1</v>
      </c>
      <c r="E693" s="30" t="str">
        <f t="shared" si="772"/>
        <v>6:6</v>
      </c>
      <c r="F693" s="30" t="s">
        <v>7</v>
      </c>
      <c r="G693" s="30" t="s">
        <v>7</v>
      </c>
      <c r="H693" s="65" t="s">
        <v>170</v>
      </c>
      <c r="I693" s="30" t="s">
        <v>68</v>
      </c>
      <c r="J693" s="32" t="s">
        <v>36</v>
      </c>
      <c r="K693" s="33" t="s">
        <v>6</v>
      </c>
      <c r="L693" s="46"/>
      <c r="M693" s="120"/>
      <c r="N693" s="120"/>
      <c r="O693" s="120"/>
      <c r="P693" s="122"/>
      <c r="Q693" s="122"/>
      <c r="R693" s="122"/>
      <c r="S693" s="122"/>
    </row>
    <row r="694" spans="1:19" s="61" customFormat="1">
      <c r="A694" s="134"/>
      <c r="B694" s="136"/>
      <c r="C694" s="43" t="s">
        <v>171</v>
      </c>
      <c r="D694" s="62">
        <v>1</v>
      </c>
      <c r="E694" s="30" t="str">
        <f t="shared" si="772"/>
        <v>5:5</v>
      </c>
      <c r="F694" s="30" t="s">
        <v>7</v>
      </c>
      <c r="G694" s="30" t="s">
        <v>7</v>
      </c>
      <c r="H694" s="65" t="s">
        <v>172</v>
      </c>
      <c r="I694" s="30" t="s">
        <v>68</v>
      </c>
      <c r="J694" s="32" t="s">
        <v>36</v>
      </c>
      <c r="K694" s="33" t="s">
        <v>6</v>
      </c>
      <c r="L694" s="46"/>
      <c r="M694" s="120"/>
      <c r="N694" s="120"/>
      <c r="O694" s="120"/>
      <c r="P694" s="122"/>
      <c r="Q694" s="122"/>
      <c r="R694" s="122"/>
      <c r="S694" s="122"/>
    </row>
    <row r="695" spans="1:19" s="61" customFormat="1">
      <c r="A695" s="134"/>
      <c r="B695" s="136"/>
      <c r="C695" s="43" t="s">
        <v>173</v>
      </c>
      <c r="D695" s="62">
        <v>1</v>
      </c>
      <c r="E695" s="30" t="str">
        <f t="shared" si="772"/>
        <v>4:4</v>
      </c>
      <c r="F695" s="30" t="s">
        <v>7</v>
      </c>
      <c r="G695" s="30" t="s">
        <v>7</v>
      </c>
      <c r="H695" s="65" t="s">
        <v>174</v>
      </c>
      <c r="I695" s="30" t="s">
        <v>68</v>
      </c>
      <c r="J695" s="32" t="s">
        <v>36</v>
      </c>
      <c r="K695" s="33" t="s">
        <v>6</v>
      </c>
      <c r="L695" s="46"/>
      <c r="M695" s="120"/>
      <c r="N695" s="120"/>
      <c r="O695" s="120"/>
      <c r="P695" s="122"/>
      <c r="Q695" s="122"/>
      <c r="R695" s="122"/>
      <c r="S695" s="122"/>
    </row>
    <row r="696" spans="1:19" s="61" customFormat="1">
      <c r="A696" s="134"/>
      <c r="B696" s="136"/>
      <c r="C696" s="43" t="s">
        <v>175</v>
      </c>
      <c r="D696" s="62">
        <v>1</v>
      </c>
      <c r="E696" s="30" t="str">
        <f t="shared" si="772"/>
        <v>3:3</v>
      </c>
      <c r="F696" s="30" t="s">
        <v>7</v>
      </c>
      <c r="G696" s="30" t="s">
        <v>7</v>
      </c>
      <c r="H696" s="65" t="s">
        <v>176</v>
      </c>
      <c r="I696" s="30" t="s">
        <v>68</v>
      </c>
      <c r="J696" s="32" t="s">
        <v>36</v>
      </c>
      <c r="K696" s="33" t="s">
        <v>6</v>
      </c>
      <c r="L696" s="46"/>
      <c r="M696" s="120"/>
      <c r="N696" s="120"/>
      <c r="O696" s="120"/>
      <c r="P696" s="122"/>
      <c r="Q696" s="122"/>
      <c r="R696" s="122"/>
      <c r="S696" s="122"/>
    </row>
    <row r="697" spans="1:19" s="61" customFormat="1" ht="115.8" thickBot="1">
      <c r="A697" s="134"/>
      <c r="B697" s="136"/>
      <c r="C697" s="43" t="s">
        <v>177</v>
      </c>
      <c r="D697" s="62">
        <v>3</v>
      </c>
      <c r="E697" s="30" t="str">
        <f t="shared" si="772"/>
        <v>2:0</v>
      </c>
      <c r="F697" s="30" t="s">
        <v>178</v>
      </c>
      <c r="G697" s="30" t="s">
        <v>178</v>
      </c>
      <c r="H697" s="65" t="s">
        <v>179</v>
      </c>
      <c r="I697" s="30" t="s">
        <v>68</v>
      </c>
      <c r="J697" s="32" t="s">
        <v>36</v>
      </c>
      <c r="K697" s="33" t="s">
        <v>6</v>
      </c>
      <c r="L697" s="46"/>
      <c r="M697" s="120"/>
      <c r="N697" s="120"/>
      <c r="O697" s="120"/>
      <c r="P697" s="122"/>
      <c r="Q697" s="122"/>
      <c r="R697" s="122"/>
      <c r="S697" s="122"/>
    </row>
    <row r="698" spans="1:19" s="61" customFormat="1" ht="15" customHeight="1" thickBot="1">
      <c r="A698" s="134" t="s">
        <v>244</v>
      </c>
      <c r="B698" s="135" t="str">
        <f t="shared" ref="B698:B731" si="773">DEC2HEX(P698*4)</f>
        <v>34</v>
      </c>
      <c r="C698" s="60" t="s">
        <v>134</v>
      </c>
      <c r="D698" s="164" t="str">
        <f>bitConcat(F699:F715)</f>
        <v>32'b01000000000000000000000000000000</v>
      </c>
      <c r="E698" s="165"/>
      <c r="F698" s="165"/>
      <c r="G698" s="165"/>
      <c r="H698" s="166" t="s">
        <v>135</v>
      </c>
      <c r="I698" s="167"/>
      <c r="J698" s="168" t="str">
        <f>bitConcat(G699:G715)</f>
        <v>32'b01000000000000000000000000000000</v>
      </c>
      <c r="K698" s="166"/>
      <c r="L698" s="167"/>
      <c r="M698" s="119" t="str">
        <f t="shared" ref="M698" si="774">DEC2HEX(_xlfn.BITLSHIFT(O698,7)+4*P698)</f>
        <v>234</v>
      </c>
      <c r="N698" s="120"/>
      <c r="O698" s="120">
        <v>4</v>
      </c>
      <c r="P698" s="122">
        <v>13</v>
      </c>
      <c r="Q698" s="121" t="str">
        <f>DEC2HEX(_xlfn.BITLSHIFT(O698,5)+P698)</f>
        <v>8D</v>
      </c>
      <c r="R698" s="121" t="str">
        <f>BIN2HEX(LEFT(RIGHT(D698,32),4))&amp;BIN2HEX(LEFT(RIGHT(D698,28),4))&amp;BIN2HEX(LEFT(RIGHT(D698,24),4))&amp;BIN2HEX(LEFT(RIGHT(D698,20),4))&amp;BIN2HEX(LEFT(RIGHT(D698,16),4))&amp;BIN2HEX(LEFT(RIGHT(D698,12),4))&amp;BIN2HEX(LEFT(RIGHT(D698,8),4))&amp;BIN2HEX(LEFT(RIGHT(D698,4),4))</f>
        <v>40000000</v>
      </c>
      <c r="S698" s="121" t="str">
        <f>BIN2HEX(LEFT(RIGHT(J698,32),4))&amp;BIN2HEX(LEFT(RIGHT(J698,28),4))&amp;BIN2HEX(LEFT(RIGHT(J698,24),4))&amp;BIN2HEX(LEFT(RIGHT(J698,20),4))&amp;BIN2HEX(LEFT(RIGHT(J698,16),4))&amp;BIN2HEX(LEFT(RIGHT(J698,12),4))&amp;BIN2HEX(LEFT(RIGHT(J698,8),4))&amp;BIN2HEX(LEFT(RIGHT(J698,4),4))</f>
        <v>40000000</v>
      </c>
    </row>
    <row r="699" spans="1:19" s="61" customFormat="1">
      <c r="A699" s="134"/>
      <c r="B699" s="183"/>
      <c r="C699" s="43" t="s">
        <v>181</v>
      </c>
      <c r="D699" s="62">
        <v>4</v>
      </c>
      <c r="E699" s="30" t="str">
        <f>IF(D699&gt;1,(31)&amp;":"&amp;(31-D699+1),(31-D699+1)&amp;":"&amp;(31-D699+1))</f>
        <v>31:28</v>
      </c>
      <c r="F699" s="30" t="s">
        <v>182</v>
      </c>
      <c r="G699" s="30" t="s">
        <v>182</v>
      </c>
      <c r="H699" s="63" t="s">
        <v>147</v>
      </c>
      <c r="I699" s="30" t="s">
        <v>68</v>
      </c>
      <c r="J699" s="32" t="s">
        <v>36</v>
      </c>
      <c r="K699" s="33" t="s">
        <v>6</v>
      </c>
      <c r="L699" s="46"/>
      <c r="M699" s="178"/>
      <c r="N699" s="120"/>
      <c r="O699" s="120"/>
      <c r="P699" s="122"/>
      <c r="Q699" s="122"/>
      <c r="R699" s="122"/>
      <c r="S699" s="122"/>
    </row>
    <row r="700" spans="1:19" s="61" customFormat="1">
      <c r="A700" s="134"/>
      <c r="B700" s="183"/>
      <c r="C700" s="43" t="s">
        <v>183</v>
      </c>
      <c r="D700" s="62">
        <v>4</v>
      </c>
      <c r="E700" s="30" t="str">
        <f t="shared" ref="E700:E715" si="775">(MID(str_cnvt(E699),SEARCH(":",str_cnvt(E699))+1,2)-1) &amp; ":" &amp; (MID(str_cnvt(E699),SEARCH(":",str_cnvt(E699))+1,2)-D700)</f>
        <v>27:24</v>
      </c>
      <c r="F700" s="30" t="s">
        <v>149</v>
      </c>
      <c r="G700" s="30" t="s">
        <v>149</v>
      </c>
      <c r="H700" s="64" t="s">
        <v>150</v>
      </c>
      <c r="I700" s="30" t="s">
        <v>68</v>
      </c>
      <c r="J700" s="32" t="s">
        <v>36</v>
      </c>
      <c r="K700" s="33" t="s">
        <v>6</v>
      </c>
      <c r="L700" s="46"/>
      <c r="M700" s="178"/>
      <c r="N700" s="120"/>
      <c r="O700" s="120"/>
      <c r="P700" s="122"/>
      <c r="Q700" s="122"/>
      <c r="R700" s="122"/>
      <c r="S700" s="122"/>
    </row>
    <row r="701" spans="1:19" s="61" customFormat="1">
      <c r="A701" s="134"/>
      <c r="B701" s="183"/>
      <c r="C701" s="43" t="s">
        <v>184</v>
      </c>
      <c r="D701" s="62">
        <v>1</v>
      </c>
      <c r="E701" s="30" t="str">
        <f t="shared" si="775"/>
        <v>23:23</v>
      </c>
      <c r="F701" s="30" t="s">
        <v>7</v>
      </c>
      <c r="G701" s="30" t="s">
        <v>7</v>
      </c>
      <c r="H701" s="65" t="s">
        <v>185</v>
      </c>
      <c r="I701" s="30" t="s">
        <v>68</v>
      </c>
      <c r="J701" s="32"/>
      <c r="K701" s="33"/>
      <c r="L701" s="46"/>
      <c r="M701" s="178"/>
      <c r="N701" s="120"/>
      <c r="O701" s="120"/>
      <c r="P701" s="122"/>
      <c r="Q701" s="122"/>
      <c r="R701" s="122"/>
      <c r="S701" s="122"/>
    </row>
    <row r="702" spans="1:19" s="61" customFormat="1">
      <c r="A702" s="134"/>
      <c r="B702" s="183"/>
      <c r="C702" s="43" t="s">
        <v>186</v>
      </c>
      <c r="D702" s="62">
        <v>2</v>
      </c>
      <c r="E702" s="30" t="str">
        <f t="shared" si="775"/>
        <v>22:21</v>
      </c>
      <c r="F702" s="30" t="s">
        <v>154</v>
      </c>
      <c r="G702" s="30" t="s">
        <v>154</v>
      </c>
      <c r="H702" s="64" t="s">
        <v>155</v>
      </c>
      <c r="I702" s="30" t="s">
        <v>68</v>
      </c>
      <c r="J702" s="32" t="s">
        <v>36</v>
      </c>
      <c r="K702" s="33" t="s">
        <v>6</v>
      </c>
      <c r="L702" s="46"/>
      <c r="M702" s="178"/>
      <c r="N702" s="120"/>
      <c r="O702" s="120"/>
      <c r="P702" s="122"/>
      <c r="Q702" s="122"/>
      <c r="R702" s="122"/>
      <c r="S702" s="122"/>
    </row>
    <row r="703" spans="1:19" s="61" customFormat="1">
      <c r="A703" s="134"/>
      <c r="B703" s="183"/>
      <c r="C703" s="43" t="s">
        <v>187</v>
      </c>
      <c r="D703" s="62">
        <v>1</v>
      </c>
      <c r="E703" s="30" t="str">
        <f t="shared" si="775"/>
        <v>20:20</v>
      </c>
      <c r="F703" s="30" t="s">
        <v>7</v>
      </c>
      <c r="G703" s="30" t="s">
        <v>7</v>
      </c>
      <c r="H703" s="65" t="s">
        <v>157</v>
      </c>
      <c r="I703" s="30" t="s">
        <v>68</v>
      </c>
      <c r="J703" s="32" t="s">
        <v>36</v>
      </c>
      <c r="K703" s="33" t="s">
        <v>6</v>
      </c>
      <c r="L703" s="46"/>
      <c r="M703" s="178"/>
      <c r="N703" s="120"/>
      <c r="O703" s="120"/>
      <c r="P703" s="122"/>
      <c r="Q703" s="122"/>
      <c r="R703" s="122"/>
      <c r="S703" s="122"/>
    </row>
    <row r="704" spans="1:19" s="61" customFormat="1">
      <c r="A704" s="134"/>
      <c r="B704" s="183"/>
      <c r="C704" s="43" t="s">
        <v>188</v>
      </c>
      <c r="D704" s="62">
        <v>2</v>
      </c>
      <c r="E704" s="30" t="str">
        <f t="shared" si="775"/>
        <v>19:18</v>
      </c>
      <c r="F704" s="30" t="s">
        <v>154</v>
      </c>
      <c r="G704" s="30" t="s">
        <v>154</v>
      </c>
      <c r="H704" s="64" t="s">
        <v>155</v>
      </c>
      <c r="I704" s="30" t="s">
        <v>68</v>
      </c>
      <c r="J704" s="32" t="s">
        <v>36</v>
      </c>
      <c r="K704" s="33" t="s">
        <v>6</v>
      </c>
      <c r="L704" s="46"/>
      <c r="M704" s="178"/>
      <c r="N704" s="120"/>
      <c r="O704" s="120"/>
      <c r="P704" s="122"/>
      <c r="Q704" s="122"/>
      <c r="R704" s="122"/>
      <c r="S704" s="122"/>
    </row>
    <row r="705" spans="1:19" s="61" customFormat="1">
      <c r="A705" s="134"/>
      <c r="B705" s="183"/>
      <c r="C705" s="43" t="s">
        <v>189</v>
      </c>
      <c r="D705" s="62">
        <v>1</v>
      </c>
      <c r="E705" s="30" t="str">
        <f t="shared" si="775"/>
        <v>17:17</v>
      </c>
      <c r="F705" s="30" t="s">
        <v>7</v>
      </c>
      <c r="G705" s="30" t="s">
        <v>7</v>
      </c>
      <c r="H705" s="65" t="s">
        <v>160</v>
      </c>
      <c r="I705" s="30" t="s">
        <v>68</v>
      </c>
      <c r="J705" s="32" t="s">
        <v>36</v>
      </c>
      <c r="K705" s="33" t="s">
        <v>6</v>
      </c>
      <c r="L705" s="46"/>
      <c r="M705" s="178"/>
      <c r="N705" s="120"/>
      <c r="O705" s="120"/>
      <c r="P705" s="122"/>
      <c r="Q705" s="122"/>
      <c r="R705" s="122"/>
      <c r="S705" s="122"/>
    </row>
    <row r="706" spans="1:19" s="61" customFormat="1">
      <c r="A706" s="134"/>
      <c r="B706" s="183"/>
      <c r="C706" s="43" t="s">
        <v>190</v>
      </c>
      <c r="D706" s="62">
        <v>2</v>
      </c>
      <c r="E706" s="30" t="str">
        <f t="shared" si="775"/>
        <v>16:15</v>
      </c>
      <c r="F706" s="30" t="s">
        <v>154</v>
      </c>
      <c r="G706" s="30" t="s">
        <v>154</v>
      </c>
      <c r="H706" s="64" t="s">
        <v>155</v>
      </c>
      <c r="I706" s="30" t="s">
        <v>68</v>
      </c>
      <c r="J706" s="32" t="s">
        <v>36</v>
      </c>
      <c r="K706" s="33" t="s">
        <v>6</v>
      </c>
      <c r="L706" s="46"/>
      <c r="M706" s="178"/>
      <c r="N706" s="120"/>
      <c r="O706" s="120"/>
      <c r="P706" s="122"/>
      <c r="Q706" s="122"/>
      <c r="R706" s="122"/>
      <c r="S706" s="122"/>
    </row>
    <row r="707" spans="1:19" s="61" customFormat="1">
      <c r="A707" s="134"/>
      <c r="B707" s="183"/>
      <c r="C707" s="43" t="s">
        <v>191</v>
      </c>
      <c r="D707" s="62">
        <v>1</v>
      </c>
      <c r="E707" s="30" t="str">
        <f t="shared" si="775"/>
        <v>14:14</v>
      </c>
      <c r="F707" s="30" t="s">
        <v>7</v>
      </c>
      <c r="G707" s="30" t="s">
        <v>7</v>
      </c>
      <c r="H707" s="65" t="s">
        <v>163</v>
      </c>
      <c r="I707" s="30" t="s">
        <v>68</v>
      </c>
      <c r="J707" s="32" t="s">
        <v>36</v>
      </c>
      <c r="K707" s="33" t="s">
        <v>6</v>
      </c>
      <c r="L707" s="46"/>
      <c r="M707" s="178"/>
      <c r="N707" s="120"/>
      <c r="O707" s="120"/>
      <c r="P707" s="122"/>
      <c r="Q707" s="122"/>
      <c r="R707" s="122"/>
      <c r="S707" s="122"/>
    </row>
    <row r="708" spans="1:19" s="61" customFormat="1">
      <c r="A708" s="134"/>
      <c r="B708" s="183"/>
      <c r="C708" s="43" t="s">
        <v>192</v>
      </c>
      <c r="D708" s="62">
        <v>2</v>
      </c>
      <c r="E708" s="30" t="str">
        <f t="shared" si="775"/>
        <v>13:12</v>
      </c>
      <c r="F708" s="30" t="s">
        <v>154</v>
      </c>
      <c r="G708" s="30" t="s">
        <v>154</v>
      </c>
      <c r="H708" s="64" t="s">
        <v>155</v>
      </c>
      <c r="I708" s="30" t="s">
        <v>68</v>
      </c>
      <c r="J708" s="32" t="s">
        <v>36</v>
      </c>
      <c r="K708" s="33" t="s">
        <v>6</v>
      </c>
      <c r="L708" s="46"/>
      <c r="M708" s="178"/>
      <c r="N708" s="120"/>
      <c r="O708" s="120"/>
      <c r="P708" s="122"/>
      <c r="Q708" s="122"/>
      <c r="R708" s="122"/>
      <c r="S708" s="122"/>
    </row>
    <row r="709" spans="1:19" s="61" customFormat="1">
      <c r="A709" s="134"/>
      <c r="B709" s="183"/>
      <c r="C709" s="43" t="s">
        <v>193</v>
      </c>
      <c r="D709" s="62">
        <v>1</v>
      </c>
      <c r="E709" s="30" t="str">
        <f t="shared" si="775"/>
        <v>11:11</v>
      </c>
      <c r="F709" s="30" t="s">
        <v>7</v>
      </c>
      <c r="G709" s="30" t="s">
        <v>7</v>
      </c>
      <c r="H709" s="65" t="s">
        <v>166</v>
      </c>
      <c r="I709" s="30" t="s">
        <v>68</v>
      </c>
      <c r="J709" s="32" t="s">
        <v>36</v>
      </c>
      <c r="K709" s="33" t="s">
        <v>6</v>
      </c>
      <c r="L709" s="46"/>
      <c r="M709" s="178"/>
      <c r="N709" s="120"/>
      <c r="O709" s="120"/>
      <c r="P709" s="122"/>
      <c r="Q709" s="122"/>
      <c r="R709" s="122"/>
      <c r="S709" s="122"/>
    </row>
    <row r="710" spans="1:19" s="61" customFormat="1" ht="72">
      <c r="A710" s="134"/>
      <c r="B710" s="136"/>
      <c r="C710" s="43" t="s">
        <v>194</v>
      </c>
      <c r="D710" s="62">
        <v>4</v>
      </c>
      <c r="E710" s="30" t="str">
        <f t="shared" si="775"/>
        <v>10:7</v>
      </c>
      <c r="F710" s="30" t="s">
        <v>149</v>
      </c>
      <c r="G710" s="30" t="s">
        <v>149</v>
      </c>
      <c r="H710" s="65" t="s">
        <v>168</v>
      </c>
      <c r="I710" s="30" t="s">
        <v>68</v>
      </c>
      <c r="J710" s="32" t="s">
        <v>36</v>
      </c>
      <c r="K710" s="33" t="s">
        <v>6</v>
      </c>
      <c r="L710" s="46"/>
      <c r="M710" s="120"/>
      <c r="N710" s="120"/>
      <c r="O710" s="120"/>
      <c r="P710" s="122"/>
      <c r="Q710" s="122"/>
      <c r="R710" s="122"/>
      <c r="S710" s="122"/>
    </row>
    <row r="711" spans="1:19" s="61" customFormat="1">
      <c r="A711" s="134"/>
      <c r="B711" s="136"/>
      <c r="C711" s="43" t="s">
        <v>195</v>
      </c>
      <c r="D711" s="62">
        <v>1</v>
      </c>
      <c r="E711" s="30" t="str">
        <f t="shared" si="775"/>
        <v>6:6</v>
      </c>
      <c r="F711" s="30" t="s">
        <v>7</v>
      </c>
      <c r="G711" s="30" t="s">
        <v>7</v>
      </c>
      <c r="H711" s="65" t="s">
        <v>170</v>
      </c>
      <c r="I711" s="30" t="s">
        <v>68</v>
      </c>
      <c r="J711" s="32" t="s">
        <v>36</v>
      </c>
      <c r="K711" s="33" t="s">
        <v>6</v>
      </c>
      <c r="L711" s="46"/>
      <c r="M711" s="120"/>
      <c r="N711" s="120"/>
      <c r="O711" s="120"/>
      <c r="P711" s="122"/>
      <c r="Q711" s="122"/>
      <c r="R711" s="122"/>
      <c r="S711" s="122"/>
    </row>
    <row r="712" spans="1:19" s="61" customFormat="1">
      <c r="A712" s="134"/>
      <c r="B712" s="136"/>
      <c r="C712" s="43" t="s">
        <v>196</v>
      </c>
      <c r="D712" s="62">
        <v>1</v>
      </c>
      <c r="E712" s="30" t="str">
        <f t="shared" si="775"/>
        <v>5:5</v>
      </c>
      <c r="F712" s="30" t="s">
        <v>7</v>
      </c>
      <c r="G712" s="30" t="s">
        <v>7</v>
      </c>
      <c r="H712" s="65" t="s">
        <v>172</v>
      </c>
      <c r="I712" s="30" t="s">
        <v>68</v>
      </c>
      <c r="J712" s="32" t="s">
        <v>36</v>
      </c>
      <c r="K712" s="33" t="s">
        <v>6</v>
      </c>
      <c r="L712" s="46"/>
      <c r="M712" s="120"/>
      <c r="N712" s="120"/>
      <c r="O712" s="120"/>
      <c r="P712" s="122"/>
      <c r="Q712" s="122"/>
      <c r="R712" s="122"/>
      <c r="S712" s="122"/>
    </row>
    <row r="713" spans="1:19" s="61" customFormat="1">
      <c r="A713" s="134"/>
      <c r="B713" s="136"/>
      <c r="C713" s="43" t="s">
        <v>197</v>
      </c>
      <c r="D713" s="62">
        <v>1</v>
      </c>
      <c r="E713" s="30" t="str">
        <f t="shared" si="775"/>
        <v>4:4</v>
      </c>
      <c r="F713" s="30" t="s">
        <v>7</v>
      </c>
      <c r="G713" s="30" t="s">
        <v>7</v>
      </c>
      <c r="H713" s="65" t="s">
        <v>174</v>
      </c>
      <c r="I713" s="30" t="s">
        <v>68</v>
      </c>
      <c r="J713" s="32" t="s">
        <v>36</v>
      </c>
      <c r="K713" s="33" t="s">
        <v>6</v>
      </c>
      <c r="L713" s="46"/>
      <c r="M713" s="120"/>
      <c r="N713" s="120"/>
      <c r="O713" s="120"/>
      <c r="P713" s="122"/>
      <c r="Q713" s="122"/>
      <c r="R713" s="122"/>
      <c r="S713" s="122"/>
    </row>
    <row r="714" spans="1:19" s="61" customFormat="1">
      <c r="A714" s="134"/>
      <c r="B714" s="136"/>
      <c r="C714" s="43" t="s">
        <v>198</v>
      </c>
      <c r="D714" s="62">
        <v>1</v>
      </c>
      <c r="E714" s="30" t="str">
        <f t="shared" si="775"/>
        <v>3:3</v>
      </c>
      <c r="F714" s="30" t="s">
        <v>7</v>
      </c>
      <c r="G714" s="30" t="s">
        <v>7</v>
      </c>
      <c r="H714" s="65" t="s">
        <v>176</v>
      </c>
      <c r="I714" s="30" t="s">
        <v>68</v>
      </c>
      <c r="J714" s="32" t="s">
        <v>36</v>
      </c>
      <c r="K714" s="33" t="s">
        <v>6</v>
      </c>
      <c r="L714" s="46"/>
      <c r="M714" s="120"/>
      <c r="N714" s="120"/>
      <c r="O714" s="120"/>
      <c r="P714" s="122"/>
      <c r="Q714" s="122"/>
      <c r="R714" s="122"/>
      <c r="S714" s="122"/>
    </row>
    <row r="715" spans="1:19" s="61" customFormat="1" ht="115.8" thickBot="1">
      <c r="A715" s="134"/>
      <c r="B715" s="136"/>
      <c r="C715" s="43" t="s">
        <v>199</v>
      </c>
      <c r="D715" s="62">
        <v>3</v>
      </c>
      <c r="E715" s="30" t="str">
        <f t="shared" si="775"/>
        <v>2:0</v>
      </c>
      <c r="F715" s="30" t="s">
        <v>178</v>
      </c>
      <c r="G715" s="30" t="s">
        <v>178</v>
      </c>
      <c r="H715" s="65" t="s">
        <v>179</v>
      </c>
      <c r="I715" s="30" t="s">
        <v>68</v>
      </c>
      <c r="J715" s="32" t="s">
        <v>36</v>
      </c>
      <c r="K715" s="33" t="s">
        <v>6</v>
      </c>
      <c r="L715" s="46"/>
      <c r="M715" s="120"/>
      <c r="N715" s="120"/>
      <c r="O715" s="120"/>
      <c r="P715" s="122"/>
      <c r="Q715" s="122"/>
      <c r="R715" s="122"/>
      <c r="S715" s="122"/>
    </row>
    <row r="716" spans="1:19" s="61" customFormat="1" ht="15" customHeight="1" thickBot="1">
      <c r="A716" s="134" t="s">
        <v>245</v>
      </c>
      <c r="B716" s="135" t="str">
        <f t="shared" si="773"/>
        <v>38</v>
      </c>
      <c r="C716" s="60" t="s">
        <v>134</v>
      </c>
      <c r="D716" s="164" t="str">
        <f>bitConcat(F717:F730)</f>
        <v>32'b00100000000000000000000000000000</v>
      </c>
      <c r="E716" s="165"/>
      <c r="F716" s="165"/>
      <c r="G716" s="165"/>
      <c r="H716" s="166" t="s">
        <v>135</v>
      </c>
      <c r="I716" s="167"/>
      <c r="J716" s="168" t="str">
        <f>bitConcat(G717:G730)</f>
        <v>32'b00100000000000000000000000000000</v>
      </c>
      <c r="K716" s="166"/>
      <c r="L716" s="167"/>
      <c r="M716" s="119" t="str">
        <f t="shared" ref="M716" si="776">DEC2HEX(_xlfn.BITLSHIFT(O716,7)+4*P716)</f>
        <v>238</v>
      </c>
      <c r="N716" s="120"/>
      <c r="O716" s="120">
        <v>4</v>
      </c>
      <c r="P716" s="122">
        <v>14</v>
      </c>
      <c r="Q716" s="121" t="str">
        <f>DEC2HEX(_xlfn.BITLSHIFT(O716,5)+P716)</f>
        <v>8E</v>
      </c>
      <c r="R716" s="121" t="str">
        <f>BIN2HEX(LEFT(RIGHT(D716,32),4))&amp;BIN2HEX(LEFT(RIGHT(D716,28),4))&amp;BIN2HEX(LEFT(RIGHT(D716,24),4))&amp;BIN2HEX(LEFT(RIGHT(D716,20),4))&amp;BIN2HEX(LEFT(RIGHT(D716,16),4))&amp;BIN2HEX(LEFT(RIGHT(D716,12),4))&amp;BIN2HEX(LEFT(RIGHT(D716,8),4))&amp;BIN2HEX(LEFT(RIGHT(D716,4),4))</f>
        <v>20000000</v>
      </c>
      <c r="S716" s="121" t="str">
        <f>BIN2HEX(LEFT(RIGHT(J716,32),4))&amp;BIN2HEX(LEFT(RIGHT(J716,28),4))&amp;BIN2HEX(LEFT(RIGHT(J716,24),4))&amp;BIN2HEX(LEFT(RIGHT(J716,20),4))&amp;BIN2HEX(LEFT(RIGHT(J716,16),4))&amp;BIN2HEX(LEFT(RIGHT(J716,12),4))&amp;BIN2HEX(LEFT(RIGHT(J716,8),4))&amp;BIN2HEX(LEFT(RIGHT(J716,4),4))</f>
        <v>20000000</v>
      </c>
    </row>
    <row r="717" spans="1:19" s="61" customFormat="1">
      <c r="A717" s="134"/>
      <c r="B717" s="183"/>
      <c r="C717" s="43" t="s">
        <v>201</v>
      </c>
      <c r="D717" s="62">
        <v>4</v>
      </c>
      <c r="E717" s="30" t="str">
        <f>IF(D717&gt;1,(31)&amp;":"&amp;(31-D717+1),(31-D717+1)&amp;":"&amp;(31-D717+1))</f>
        <v>31:28</v>
      </c>
      <c r="F717" s="30" t="s">
        <v>202</v>
      </c>
      <c r="G717" s="30" t="s">
        <v>202</v>
      </c>
      <c r="H717" s="63" t="s">
        <v>147</v>
      </c>
      <c r="I717" s="30" t="s">
        <v>68</v>
      </c>
      <c r="J717" s="32" t="s">
        <v>36</v>
      </c>
      <c r="K717" s="33" t="s">
        <v>6</v>
      </c>
      <c r="L717" s="46"/>
      <c r="M717" s="178"/>
      <c r="N717" s="120"/>
      <c r="O717" s="120"/>
      <c r="P717" s="122"/>
      <c r="Q717" s="122"/>
      <c r="R717" s="122"/>
      <c r="S717" s="122"/>
    </row>
    <row r="718" spans="1:19" s="61" customFormat="1">
      <c r="A718" s="134"/>
      <c r="B718" s="183"/>
      <c r="C718" s="43" t="s">
        <v>203</v>
      </c>
      <c r="D718" s="62">
        <v>4</v>
      </c>
      <c r="E718" s="30" t="str">
        <f t="shared" ref="E718:E730" si="777">(MID(str_cnvt(E717),SEARCH(":",str_cnvt(E717))+1,2)-1) &amp; ":" &amp; (MID(str_cnvt(E717),SEARCH(":",str_cnvt(E717))+1,2)-D718)</f>
        <v>27:24</v>
      </c>
      <c r="F718" s="30" t="s">
        <v>149</v>
      </c>
      <c r="G718" s="30" t="s">
        <v>149</v>
      </c>
      <c r="H718" s="64" t="s">
        <v>150</v>
      </c>
      <c r="I718" s="30" t="s">
        <v>68</v>
      </c>
      <c r="J718" s="32" t="s">
        <v>36</v>
      </c>
      <c r="K718" s="33" t="s">
        <v>6</v>
      </c>
      <c r="L718" s="46"/>
      <c r="M718" s="178"/>
      <c r="N718" s="120"/>
      <c r="O718" s="120"/>
      <c r="P718" s="122"/>
      <c r="Q718" s="122"/>
      <c r="R718" s="122"/>
      <c r="S718" s="122"/>
    </row>
    <row r="719" spans="1:19" s="61" customFormat="1">
      <c r="A719" s="134"/>
      <c r="B719" s="183"/>
      <c r="C719" s="43" t="s">
        <v>204</v>
      </c>
      <c r="D719" s="62">
        <v>1</v>
      </c>
      <c r="E719" s="30" t="str">
        <f t="shared" si="777"/>
        <v>23:23</v>
      </c>
      <c r="F719" s="30" t="s">
        <v>7</v>
      </c>
      <c r="G719" s="30" t="s">
        <v>7</v>
      </c>
      <c r="H719" s="65" t="s">
        <v>205</v>
      </c>
      <c r="I719" s="30" t="s">
        <v>68</v>
      </c>
      <c r="J719" s="32"/>
      <c r="K719" s="33"/>
      <c r="L719" s="46"/>
      <c r="M719" s="178"/>
      <c r="N719" s="120"/>
      <c r="O719" s="120"/>
      <c r="P719" s="122"/>
      <c r="Q719" s="122"/>
      <c r="R719" s="122"/>
      <c r="S719" s="122"/>
    </row>
    <row r="720" spans="1:19" s="61" customFormat="1">
      <c r="A720" s="134"/>
      <c r="B720" s="183"/>
      <c r="C720" s="43" t="s">
        <v>206</v>
      </c>
      <c r="D720" s="62">
        <v>2</v>
      </c>
      <c r="E720" s="30" t="str">
        <f t="shared" si="777"/>
        <v>22:21</v>
      </c>
      <c r="F720" s="30" t="s">
        <v>154</v>
      </c>
      <c r="G720" s="30" t="s">
        <v>154</v>
      </c>
      <c r="H720" s="64" t="s">
        <v>155</v>
      </c>
      <c r="I720" s="30" t="s">
        <v>68</v>
      </c>
      <c r="J720" s="32" t="s">
        <v>36</v>
      </c>
      <c r="K720" s="33" t="s">
        <v>6</v>
      </c>
      <c r="L720" s="46"/>
      <c r="M720" s="178"/>
      <c r="N720" s="120"/>
      <c r="O720" s="120"/>
      <c r="P720" s="122"/>
      <c r="Q720" s="122"/>
      <c r="R720" s="122"/>
      <c r="S720" s="122"/>
    </row>
    <row r="721" spans="1:19" s="61" customFormat="1">
      <c r="A721" s="134"/>
      <c r="B721" s="183"/>
      <c r="C721" s="43" t="s">
        <v>207</v>
      </c>
      <c r="D721" s="62">
        <v>1</v>
      </c>
      <c r="E721" s="30" t="str">
        <f t="shared" si="777"/>
        <v>20:20</v>
      </c>
      <c r="F721" s="30" t="s">
        <v>7</v>
      </c>
      <c r="G721" s="30" t="s">
        <v>7</v>
      </c>
      <c r="H721" s="65" t="s">
        <v>157</v>
      </c>
      <c r="I721" s="30" t="s">
        <v>68</v>
      </c>
      <c r="J721" s="32" t="s">
        <v>36</v>
      </c>
      <c r="K721" s="33" t="s">
        <v>6</v>
      </c>
      <c r="L721" s="46"/>
      <c r="M721" s="178"/>
      <c r="N721" s="120"/>
      <c r="O721" s="120"/>
      <c r="P721" s="122"/>
      <c r="Q721" s="122"/>
      <c r="R721" s="122"/>
      <c r="S721" s="122"/>
    </row>
    <row r="722" spans="1:19" s="61" customFormat="1">
      <c r="A722" s="134"/>
      <c r="B722" s="183"/>
      <c r="C722" s="43" t="s">
        <v>208</v>
      </c>
      <c r="D722" s="62">
        <v>2</v>
      </c>
      <c r="E722" s="30" t="str">
        <f t="shared" si="777"/>
        <v>19:18</v>
      </c>
      <c r="F722" s="30" t="s">
        <v>154</v>
      </c>
      <c r="G722" s="30" t="s">
        <v>154</v>
      </c>
      <c r="H722" s="64" t="s">
        <v>155</v>
      </c>
      <c r="I722" s="30" t="s">
        <v>68</v>
      </c>
      <c r="J722" s="32" t="s">
        <v>36</v>
      </c>
      <c r="K722" s="33" t="s">
        <v>6</v>
      </c>
      <c r="L722" s="46"/>
      <c r="M722" s="178"/>
      <c r="N722" s="120"/>
      <c r="O722" s="120"/>
      <c r="P722" s="122"/>
      <c r="Q722" s="122"/>
      <c r="R722" s="122"/>
      <c r="S722" s="122"/>
    </row>
    <row r="723" spans="1:19" s="61" customFormat="1">
      <c r="A723" s="134"/>
      <c r="B723" s="183"/>
      <c r="C723" s="43" t="s">
        <v>209</v>
      </c>
      <c r="D723" s="62">
        <v>1</v>
      </c>
      <c r="E723" s="30" t="str">
        <f t="shared" si="777"/>
        <v>17:17</v>
      </c>
      <c r="F723" s="30" t="s">
        <v>7</v>
      </c>
      <c r="G723" s="30" t="s">
        <v>7</v>
      </c>
      <c r="H723" s="65" t="s">
        <v>160</v>
      </c>
      <c r="I723" s="30" t="s">
        <v>68</v>
      </c>
      <c r="J723" s="32" t="s">
        <v>36</v>
      </c>
      <c r="K723" s="33" t="s">
        <v>6</v>
      </c>
      <c r="L723" s="46"/>
      <c r="M723" s="178"/>
      <c r="N723" s="120"/>
      <c r="O723" s="120"/>
      <c r="P723" s="122"/>
      <c r="Q723" s="122"/>
      <c r="R723" s="122"/>
      <c r="S723" s="122"/>
    </row>
    <row r="724" spans="1:19" s="61" customFormat="1">
      <c r="A724" s="134"/>
      <c r="B724" s="183"/>
      <c r="C724" s="43" t="s">
        <v>210</v>
      </c>
      <c r="D724" s="62">
        <v>2</v>
      </c>
      <c r="E724" s="30" t="str">
        <f t="shared" si="777"/>
        <v>16:15</v>
      </c>
      <c r="F724" s="30" t="s">
        <v>154</v>
      </c>
      <c r="G724" s="30" t="s">
        <v>154</v>
      </c>
      <c r="H724" s="64" t="s">
        <v>155</v>
      </c>
      <c r="I724" s="30" t="s">
        <v>68</v>
      </c>
      <c r="J724" s="32" t="s">
        <v>36</v>
      </c>
      <c r="K724" s="33" t="s">
        <v>6</v>
      </c>
      <c r="L724" s="46"/>
      <c r="M724" s="178"/>
      <c r="N724" s="120"/>
      <c r="O724" s="120"/>
      <c r="P724" s="122"/>
      <c r="Q724" s="122"/>
      <c r="R724" s="122"/>
      <c r="S724" s="122"/>
    </row>
    <row r="725" spans="1:19" s="61" customFormat="1">
      <c r="A725" s="134"/>
      <c r="B725" s="183"/>
      <c r="C725" s="43" t="s">
        <v>211</v>
      </c>
      <c r="D725" s="62">
        <v>1</v>
      </c>
      <c r="E725" s="30" t="str">
        <f t="shared" si="777"/>
        <v>14:14</v>
      </c>
      <c r="F725" s="30" t="s">
        <v>7</v>
      </c>
      <c r="G725" s="30" t="s">
        <v>7</v>
      </c>
      <c r="H725" s="65" t="s">
        <v>163</v>
      </c>
      <c r="I725" s="30" t="s">
        <v>68</v>
      </c>
      <c r="J725" s="32" t="s">
        <v>36</v>
      </c>
      <c r="K725" s="33" t="s">
        <v>6</v>
      </c>
      <c r="L725" s="46"/>
      <c r="M725" s="178"/>
      <c r="N725" s="120"/>
      <c r="O725" s="120"/>
      <c r="P725" s="122"/>
      <c r="Q725" s="122"/>
      <c r="R725" s="122"/>
      <c r="S725" s="122"/>
    </row>
    <row r="726" spans="1:19" s="61" customFormat="1">
      <c r="A726" s="134"/>
      <c r="B726" s="183"/>
      <c r="C726" s="43" t="s">
        <v>212</v>
      </c>
      <c r="D726" s="62">
        <v>2</v>
      </c>
      <c r="E726" s="30" t="str">
        <f t="shared" si="777"/>
        <v>13:12</v>
      </c>
      <c r="F726" s="30" t="s">
        <v>154</v>
      </c>
      <c r="G726" s="30" t="s">
        <v>154</v>
      </c>
      <c r="H726" s="64" t="s">
        <v>155</v>
      </c>
      <c r="I726" s="30" t="s">
        <v>68</v>
      </c>
      <c r="J726" s="32" t="s">
        <v>36</v>
      </c>
      <c r="K726" s="33" t="s">
        <v>6</v>
      </c>
      <c r="L726" s="46"/>
      <c r="M726" s="178"/>
      <c r="N726" s="120"/>
      <c r="O726" s="120"/>
      <c r="P726" s="122"/>
      <c r="Q726" s="122"/>
      <c r="R726" s="122"/>
      <c r="S726" s="122"/>
    </row>
    <row r="727" spans="1:19" s="61" customFormat="1">
      <c r="A727" s="134"/>
      <c r="B727" s="183"/>
      <c r="C727" s="43" t="s">
        <v>213</v>
      </c>
      <c r="D727" s="62">
        <v>1</v>
      </c>
      <c r="E727" s="30" t="str">
        <f t="shared" si="777"/>
        <v>11:11</v>
      </c>
      <c r="F727" s="30" t="s">
        <v>7</v>
      </c>
      <c r="G727" s="30" t="s">
        <v>7</v>
      </c>
      <c r="H727" s="65" t="s">
        <v>166</v>
      </c>
      <c r="I727" s="30" t="s">
        <v>68</v>
      </c>
      <c r="J727" s="32" t="s">
        <v>36</v>
      </c>
      <c r="K727" s="33" t="s">
        <v>6</v>
      </c>
      <c r="L727" s="46"/>
      <c r="M727" s="178"/>
      <c r="N727" s="120"/>
      <c r="O727" s="120"/>
      <c r="P727" s="122"/>
      <c r="Q727" s="122"/>
      <c r="R727" s="122"/>
      <c r="S727" s="122"/>
    </row>
    <row r="728" spans="1:19" s="61" customFormat="1" ht="72">
      <c r="A728" s="134"/>
      <c r="B728" s="183"/>
      <c r="C728" s="43" t="s">
        <v>214</v>
      </c>
      <c r="D728" s="62">
        <v>4</v>
      </c>
      <c r="E728" s="30" t="str">
        <f t="shared" si="777"/>
        <v>10:7</v>
      </c>
      <c r="F728" s="30" t="s">
        <v>149</v>
      </c>
      <c r="G728" s="30" t="s">
        <v>149</v>
      </c>
      <c r="H728" s="65" t="s">
        <v>168</v>
      </c>
      <c r="I728" s="30" t="s">
        <v>68</v>
      </c>
      <c r="J728" s="32" t="s">
        <v>36</v>
      </c>
      <c r="K728" s="33" t="s">
        <v>6</v>
      </c>
      <c r="L728" s="46"/>
      <c r="M728" s="178"/>
      <c r="N728" s="120"/>
      <c r="O728" s="120"/>
      <c r="P728" s="122"/>
      <c r="Q728" s="122"/>
      <c r="R728" s="122"/>
      <c r="S728" s="122"/>
    </row>
    <row r="729" spans="1:19" s="61" customFormat="1" ht="115.2">
      <c r="A729" s="134"/>
      <c r="B729" s="136"/>
      <c r="C729" s="43" t="s">
        <v>215</v>
      </c>
      <c r="D729" s="62">
        <v>3</v>
      </c>
      <c r="E729" s="30" t="str">
        <f t="shared" si="777"/>
        <v>6:4</v>
      </c>
      <c r="F729" s="30" t="s">
        <v>178</v>
      </c>
      <c r="G729" s="30" t="s">
        <v>178</v>
      </c>
      <c r="H729" s="65" t="s">
        <v>179</v>
      </c>
      <c r="I729" s="30" t="s">
        <v>68</v>
      </c>
      <c r="J729" s="32" t="s">
        <v>36</v>
      </c>
      <c r="K729" s="33" t="s">
        <v>6</v>
      </c>
      <c r="L729" s="46"/>
      <c r="M729" s="120"/>
      <c r="N729" s="120"/>
      <c r="O729" s="120"/>
      <c r="P729" s="122"/>
      <c r="Q729" s="122"/>
      <c r="R729" s="122"/>
      <c r="S729" s="122"/>
    </row>
    <row r="730" spans="1:19" s="61" customFormat="1" ht="15" thickBot="1">
      <c r="A730" s="134"/>
      <c r="B730" s="136"/>
      <c r="C730" s="43" t="s">
        <v>216</v>
      </c>
      <c r="D730" s="62">
        <v>4</v>
      </c>
      <c r="E730" s="30" t="str">
        <f t="shared" si="777"/>
        <v>3:0</v>
      </c>
      <c r="F730" s="30" t="s">
        <v>149</v>
      </c>
      <c r="G730" s="30" t="s">
        <v>149</v>
      </c>
      <c r="H730" s="65" t="s">
        <v>217</v>
      </c>
      <c r="I730" s="30" t="s">
        <v>68</v>
      </c>
      <c r="J730" s="32" t="s">
        <v>36</v>
      </c>
      <c r="K730" s="33" t="s">
        <v>6</v>
      </c>
      <c r="L730" s="46"/>
      <c r="M730" s="120"/>
      <c r="N730" s="120"/>
      <c r="O730" s="120"/>
      <c r="P730" s="122"/>
      <c r="Q730" s="122"/>
      <c r="R730" s="122"/>
      <c r="S730" s="122"/>
    </row>
    <row r="731" spans="1:19" s="61" customFormat="1" ht="15" customHeight="1" thickBot="1">
      <c r="A731" s="134" t="s">
        <v>246</v>
      </c>
      <c r="B731" s="135" t="str">
        <f t="shared" si="773"/>
        <v>3C</v>
      </c>
      <c r="C731" s="60" t="s">
        <v>134</v>
      </c>
      <c r="D731" s="164" t="str">
        <f>bitConcat(F732:F745)</f>
        <v>32'b00010000000000000000000000000000</v>
      </c>
      <c r="E731" s="165"/>
      <c r="F731" s="165"/>
      <c r="G731" s="165"/>
      <c r="H731" s="166" t="s">
        <v>135</v>
      </c>
      <c r="I731" s="167"/>
      <c r="J731" s="168" t="str">
        <f>bitConcat(G732:G745)</f>
        <v>32'b00010000000000000000000000000000</v>
      </c>
      <c r="K731" s="166"/>
      <c r="L731" s="167"/>
      <c r="M731" s="119" t="str">
        <f t="shared" ref="M731" si="778">DEC2HEX(_xlfn.BITLSHIFT(O731,7)+4*P731)</f>
        <v>23C</v>
      </c>
      <c r="N731" s="120"/>
      <c r="O731" s="120">
        <v>4</v>
      </c>
      <c r="P731" s="122">
        <v>15</v>
      </c>
      <c r="Q731" s="121" t="str">
        <f>DEC2HEX(_xlfn.BITLSHIFT(O731,5)+P731)</f>
        <v>8F</v>
      </c>
      <c r="R731" s="121" t="str">
        <f>BIN2HEX(LEFT(RIGHT(D731,32),4))&amp;BIN2HEX(LEFT(RIGHT(D731,28),4))&amp;BIN2HEX(LEFT(RIGHT(D731,24),4))&amp;BIN2HEX(LEFT(RIGHT(D731,20),4))&amp;BIN2HEX(LEFT(RIGHT(D731,16),4))&amp;BIN2HEX(LEFT(RIGHT(D731,12),4))&amp;BIN2HEX(LEFT(RIGHT(D731,8),4))&amp;BIN2HEX(LEFT(RIGHT(D731,4),4))</f>
        <v>10000000</v>
      </c>
      <c r="S731" s="121" t="str">
        <f>BIN2HEX(LEFT(RIGHT(J731,32),4))&amp;BIN2HEX(LEFT(RIGHT(J731,28),4))&amp;BIN2HEX(LEFT(RIGHT(J731,24),4))&amp;BIN2HEX(LEFT(RIGHT(J731,20),4))&amp;BIN2HEX(LEFT(RIGHT(J731,16),4))&amp;BIN2HEX(LEFT(RIGHT(J731,12),4))&amp;BIN2HEX(LEFT(RIGHT(J731,8),4))&amp;BIN2HEX(LEFT(RIGHT(J731,4),4))</f>
        <v>10000000</v>
      </c>
    </row>
    <row r="732" spans="1:19" s="61" customFormat="1">
      <c r="A732" s="134"/>
      <c r="B732" s="183"/>
      <c r="C732" s="43" t="s">
        <v>219</v>
      </c>
      <c r="D732" s="62">
        <v>4</v>
      </c>
      <c r="E732" s="30" t="str">
        <f>IF(D732&gt;1,(31)&amp;":"&amp;(31-D732+1),(31-D732+1)&amp;":"&amp;(31-D732+1))</f>
        <v>31:28</v>
      </c>
      <c r="F732" s="30" t="s">
        <v>220</v>
      </c>
      <c r="G732" s="30" t="s">
        <v>220</v>
      </c>
      <c r="H732" s="63" t="s">
        <v>147</v>
      </c>
      <c r="I732" s="30" t="s">
        <v>68</v>
      </c>
      <c r="J732" s="32" t="s">
        <v>36</v>
      </c>
      <c r="K732" s="33" t="s">
        <v>6</v>
      </c>
      <c r="L732" s="46"/>
      <c r="M732" s="178"/>
      <c r="N732" s="120"/>
      <c r="O732" s="120"/>
      <c r="P732" s="122"/>
      <c r="Q732" s="122"/>
      <c r="R732" s="122"/>
      <c r="S732" s="122"/>
    </row>
    <row r="733" spans="1:19" s="61" customFormat="1">
      <c r="A733" s="134"/>
      <c r="B733" s="183"/>
      <c r="C733" s="43" t="s">
        <v>221</v>
      </c>
      <c r="D733" s="62">
        <v>4</v>
      </c>
      <c r="E733" s="30" t="str">
        <f t="shared" ref="E733:E745" si="779">(MID(str_cnvt(E732),SEARCH(":",str_cnvt(E732))+1,2)-1) &amp; ":" &amp; (MID(str_cnvt(E732),SEARCH(":",str_cnvt(E732))+1,2)-D733)</f>
        <v>27:24</v>
      </c>
      <c r="F733" s="30" t="s">
        <v>149</v>
      </c>
      <c r="G733" s="30" t="s">
        <v>149</v>
      </c>
      <c r="H733" s="64" t="s">
        <v>150</v>
      </c>
      <c r="I733" s="30" t="s">
        <v>68</v>
      </c>
      <c r="J733" s="32" t="s">
        <v>36</v>
      </c>
      <c r="K733" s="33" t="s">
        <v>6</v>
      </c>
      <c r="L733" s="46"/>
      <c r="M733" s="178"/>
      <c r="N733" s="120"/>
      <c r="O733" s="120"/>
      <c r="P733" s="122"/>
      <c r="Q733" s="122"/>
      <c r="R733" s="122"/>
      <c r="S733" s="122"/>
    </row>
    <row r="734" spans="1:19" s="61" customFormat="1">
      <c r="A734" s="134"/>
      <c r="B734" s="183"/>
      <c r="C734" s="43" t="s">
        <v>222</v>
      </c>
      <c r="D734" s="62">
        <v>1</v>
      </c>
      <c r="E734" s="30" t="str">
        <f t="shared" si="779"/>
        <v>23:23</v>
      </c>
      <c r="F734" s="30" t="s">
        <v>7</v>
      </c>
      <c r="G734" s="30" t="s">
        <v>7</v>
      </c>
      <c r="H734" s="65" t="s">
        <v>223</v>
      </c>
      <c r="I734" s="30" t="s">
        <v>68</v>
      </c>
      <c r="J734" s="32"/>
      <c r="K734" s="33"/>
      <c r="L734" s="46"/>
      <c r="M734" s="178"/>
      <c r="N734" s="120"/>
      <c r="O734" s="120"/>
      <c r="P734" s="122"/>
      <c r="Q734" s="122"/>
      <c r="R734" s="122"/>
      <c r="S734" s="122"/>
    </row>
    <row r="735" spans="1:19" s="61" customFormat="1">
      <c r="A735" s="134"/>
      <c r="B735" s="183"/>
      <c r="C735" s="43" t="s">
        <v>224</v>
      </c>
      <c r="D735" s="62">
        <v>2</v>
      </c>
      <c r="E735" s="30" t="str">
        <f t="shared" si="779"/>
        <v>22:21</v>
      </c>
      <c r="F735" s="30" t="s">
        <v>154</v>
      </c>
      <c r="G735" s="30" t="s">
        <v>154</v>
      </c>
      <c r="H735" s="64" t="s">
        <v>155</v>
      </c>
      <c r="I735" s="30" t="s">
        <v>68</v>
      </c>
      <c r="J735" s="32" t="s">
        <v>36</v>
      </c>
      <c r="K735" s="33" t="s">
        <v>6</v>
      </c>
      <c r="L735" s="46"/>
      <c r="M735" s="178"/>
      <c r="N735" s="120"/>
      <c r="O735" s="120"/>
      <c r="P735" s="122"/>
      <c r="Q735" s="122"/>
      <c r="R735" s="122"/>
      <c r="S735" s="122"/>
    </row>
    <row r="736" spans="1:19" s="61" customFormat="1">
      <c r="A736" s="134"/>
      <c r="B736" s="183"/>
      <c r="C736" s="43" t="s">
        <v>225</v>
      </c>
      <c r="D736" s="62">
        <v>1</v>
      </c>
      <c r="E736" s="30" t="str">
        <f t="shared" si="779"/>
        <v>20:20</v>
      </c>
      <c r="F736" s="30" t="s">
        <v>7</v>
      </c>
      <c r="G736" s="30" t="s">
        <v>7</v>
      </c>
      <c r="H736" s="65" t="s">
        <v>157</v>
      </c>
      <c r="I736" s="30" t="s">
        <v>68</v>
      </c>
      <c r="J736" s="32" t="s">
        <v>36</v>
      </c>
      <c r="K736" s="33" t="s">
        <v>6</v>
      </c>
      <c r="L736" s="46"/>
      <c r="M736" s="178"/>
      <c r="N736" s="120"/>
      <c r="O736" s="120"/>
      <c r="P736" s="122"/>
      <c r="Q736" s="122"/>
      <c r="R736" s="122"/>
      <c r="S736" s="122"/>
    </row>
    <row r="737" spans="1:19" s="61" customFormat="1">
      <c r="A737" s="134"/>
      <c r="B737" s="183"/>
      <c r="C737" s="43" t="s">
        <v>226</v>
      </c>
      <c r="D737" s="62">
        <v>2</v>
      </c>
      <c r="E737" s="30" t="str">
        <f t="shared" si="779"/>
        <v>19:18</v>
      </c>
      <c r="F737" s="30" t="s">
        <v>154</v>
      </c>
      <c r="G737" s="30" t="s">
        <v>154</v>
      </c>
      <c r="H737" s="64" t="s">
        <v>155</v>
      </c>
      <c r="I737" s="30" t="s">
        <v>68</v>
      </c>
      <c r="J737" s="32" t="s">
        <v>36</v>
      </c>
      <c r="K737" s="33" t="s">
        <v>6</v>
      </c>
      <c r="L737" s="46"/>
      <c r="M737" s="178"/>
      <c r="N737" s="120"/>
      <c r="O737" s="120"/>
      <c r="P737" s="122"/>
      <c r="Q737" s="122"/>
      <c r="R737" s="122"/>
      <c r="S737" s="122"/>
    </row>
    <row r="738" spans="1:19" s="61" customFormat="1">
      <c r="A738" s="134"/>
      <c r="B738" s="183"/>
      <c r="C738" s="43" t="s">
        <v>227</v>
      </c>
      <c r="D738" s="62">
        <v>1</v>
      </c>
      <c r="E738" s="30" t="str">
        <f t="shared" si="779"/>
        <v>17:17</v>
      </c>
      <c r="F738" s="30" t="s">
        <v>7</v>
      </c>
      <c r="G738" s="30" t="s">
        <v>7</v>
      </c>
      <c r="H738" s="65" t="s">
        <v>160</v>
      </c>
      <c r="I738" s="30" t="s">
        <v>68</v>
      </c>
      <c r="J738" s="32" t="s">
        <v>36</v>
      </c>
      <c r="K738" s="33" t="s">
        <v>6</v>
      </c>
      <c r="L738" s="46"/>
      <c r="M738" s="178"/>
      <c r="N738" s="120"/>
      <c r="O738" s="120"/>
      <c r="P738" s="122"/>
      <c r="Q738" s="122"/>
      <c r="R738" s="122"/>
      <c r="S738" s="122"/>
    </row>
    <row r="739" spans="1:19" s="61" customFormat="1">
      <c r="A739" s="134"/>
      <c r="B739" s="183"/>
      <c r="C739" s="43" t="s">
        <v>228</v>
      </c>
      <c r="D739" s="62">
        <v>2</v>
      </c>
      <c r="E739" s="30" t="str">
        <f t="shared" si="779"/>
        <v>16:15</v>
      </c>
      <c r="F739" s="30" t="s">
        <v>154</v>
      </c>
      <c r="G739" s="30" t="s">
        <v>154</v>
      </c>
      <c r="H739" s="64" t="s">
        <v>155</v>
      </c>
      <c r="I739" s="30" t="s">
        <v>68</v>
      </c>
      <c r="J739" s="32" t="s">
        <v>36</v>
      </c>
      <c r="K739" s="33" t="s">
        <v>6</v>
      </c>
      <c r="L739" s="46"/>
      <c r="M739" s="178"/>
      <c r="N739" s="120"/>
      <c r="O739" s="120"/>
      <c r="P739" s="122"/>
      <c r="Q739" s="122"/>
      <c r="R739" s="122"/>
      <c r="S739" s="122"/>
    </row>
    <row r="740" spans="1:19" s="61" customFormat="1">
      <c r="A740" s="134"/>
      <c r="B740" s="183"/>
      <c r="C740" s="43" t="s">
        <v>229</v>
      </c>
      <c r="D740" s="62">
        <v>1</v>
      </c>
      <c r="E740" s="30" t="str">
        <f t="shared" si="779"/>
        <v>14:14</v>
      </c>
      <c r="F740" s="30" t="s">
        <v>7</v>
      </c>
      <c r="G740" s="30" t="s">
        <v>7</v>
      </c>
      <c r="H740" s="65" t="s">
        <v>163</v>
      </c>
      <c r="I740" s="30" t="s">
        <v>68</v>
      </c>
      <c r="J740" s="32" t="s">
        <v>36</v>
      </c>
      <c r="K740" s="33" t="s">
        <v>6</v>
      </c>
      <c r="L740" s="46"/>
      <c r="M740" s="178"/>
      <c r="N740" s="120"/>
      <c r="O740" s="120"/>
      <c r="P740" s="122"/>
      <c r="Q740" s="122"/>
      <c r="R740" s="122"/>
      <c r="S740" s="122"/>
    </row>
    <row r="741" spans="1:19" s="61" customFormat="1">
      <c r="A741" s="134"/>
      <c r="B741" s="183"/>
      <c r="C741" s="43" t="s">
        <v>230</v>
      </c>
      <c r="D741" s="62">
        <v>2</v>
      </c>
      <c r="E741" s="30" t="str">
        <f t="shared" si="779"/>
        <v>13:12</v>
      </c>
      <c r="F741" s="30" t="s">
        <v>154</v>
      </c>
      <c r="G741" s="30" t="s">
        <v>154</v>
      </c>
      <c r="H741" s="64" t="s">
        <v>155</v>
      </c>
      <c r="I741" s="30" t="s">
        <v>68</v>
      </c>
      <c r="J741" s="32" t="s">
        <v>36</v>
      </c>
      <c r="K741" s="33" t="s">
        <v>6</v>
      </c>
      <c r="L741" s="46"/>
      <c r="M741" s="178"/>
      <c r="N741" s="120"/>
      <c r="O741" s="120"/>
      <c r="P741" s="122"/>
      <c r="Q741" s="122"/>
      <c r="R741" s="122"/>
      <c r="S741" s="122"/>
    </row>
    <row r="742" spans="1:19" s="61" customFormat="1">
      <c r="A742" s="134"/>
      <c r="B742" s="183"/>
      <c r="C742" s="43" t="s">
        <v>231</v>
      </c>
      <c r="D742" s="62">
        <v>1</v>
      </c>
      <c r="E742" s="30" t="str">
        <f t="shared" si="779"/>
        <v>11:11</v>
      </c>
      <c r="F742" s="30" t="s">
        <v>7</v>
      </c>
      <c r="G742" s="30" t="s">
        <v>7</v>
      </c>
      <c r="H742" s="65" t="s">
        <v>166</v>
      </c>
      <c r="I742" s="30" t="s">
        <v>68</v>
      </c>
      <c r="J742" s="32" t="s">
        <v>36</v>
      </c>
      <c r="K742" s="33" t="s">
        <v>6</v>
      </c>
      <c r="L742" s="46"/>
      <c r="M742" s="178"/>
      <c r="N742" s="120"/>
      <c r="O742" s="120"/>
      <c r="P742" s="122"/>
      <c r="Q742" s="122"/>
      <c r="R742" s="122"/>
      <c r="S742" s="122"/>
    </row>
    <row r="743" spans="1:19" s="61" customFormat="1" ht="72">
      <c r="A743" s="134"/>
      <c r="B743" s="183"/>
      <c r="C743" s="43" t="s">
        <v>232</v>
      </c>
      <c r="D743" s="62">
        <v>4</v>
      </c>
      <c r="E743" s="30" t="str">
        <f t="shared" si="779"/>
        <v>10:7</v>
      </c>
      <c r="F743" s="30" t="s">
        <v>149</v>
      </c>
      <c r="G743" s="30" t="s">
        <v>149</v>
      </c>
      <c r="H743" s="65" t="s">
        <v>168</v>
      </c>
      <c r="I743" s="30" t="s">
        <v>68</v>
      </c>
      <c r="J743" s="32" t="s">
        <v>36</v>
      </c>
      <c r="K743" s="33" t="s">
        <v>6</v>
      </c>
      <c r="L743" s="46"/>
      <c r="M743" s="178"/>
      <c r="N743" s="120"/>
      <c r="O743" s="120"/>
      <c r="P743" s="122"/>
      <c r="Q743" s="122"/>
      <c r="R743" s="122"/>
      <c r="S743" s="122"/>
    </row>
    <row r="744" spans="1:19" s="61" customFormat="1" ht="115.2">
      <c r="A744" s="134"/>
      <c r="B744" s="136"/>
      <c r="C744" s="43" t="s">
        <v>233</v>
      </c>
      <c r="D744" s="62">
        <v>3</v>
      </c>
      <c r="E744" s="30" t="str">
        <f t="shared" si="779"/>
        <v>6:4</v>
      </c>
      <c r="F744" s="30" t="s">
        <v>178</v>
      </c>
      <c r="G744" s="30" t="s">
        <v>178</v>
      </c>
      <c r="H744" s="65" t="s">
        <v>179</v>
      </c>
      <c r="I744" s="30" t="s">
        <v>68</v>
      </c>
      <c r="J744" s="32" t="s">
        <v>36</v>
      </c>
      <c r="K744" s="33" t="s">
        <v>6</v>
      </c>
      <c r="L744" s="66"/>
      <c r="M744" s="120"/>
      <c r="N744" s="120"/>
      <c r="O744" s="120"/>
      <c r="P744" s="122"/>
      <c r="Q744" s="122"/>
      <c r="R744" s="122"/>
      <c r="S744" s="122"/>
    </row>
    <row r="745" spans="1:19" s="61" customFormat="1" ht="15" thickBot="1">
      <c r="A745" s="134"/>
      <c r="B745" s="136"/>
      <c r="C745" s="43" t="s">
        <v>234</v>
      </c>
      <c r="D745" s="62">
        <v>4</v>
      </c>
      <c r="E745" s="30" t="str">
        <f t="shared" si="779"/>
        <v>3:0</v>
      </c>
      <c r="F745" s="30" t="s">
        <v>149</v>
      </c>
      <c r="G745" s="30" t="s">
        <v>149</v>
      </c>
      <c r="H745" s="65" t="s">
        <v>217</v>
      </c>
      <c r="I745" s="67" t="s">
        <v>68</v>
      </c>
      <c r="J745" s="68" t="s">
        <v>36</v>
      </c>
      <c r="K745" s="69" t="s">
        <v>6</v>
      </c>
      <c r="L745" s="66"/>
      <c r="M745" s="120"/>
      <c r="N745" s="120"/>
      <c r="O745" s="120"/>
      <c r="P745" s="122"/>
      <c r="Q745" s="122"/>
      <c r="R745" s="122"/>
      <c r="S745" s="122"/>
    </row>
    <row r="746" spans="1:19" s="61" customFormat="1" ht="15" thickBot="1">
      <c r="A746" s="184" t="s">
        <v>247</v>
      </c>
      <c r="B746" s="186" t="str">
        <f>DEC2HEX(P746*4)</f>
        <v>40</v>
      </c>
      <c r="C746" s="60" t="s">
        <v>134</v>
      </c>
      <c r="D746" s="164" t="str">
        <f>bitConcat(F747:F763)</f>
        <v>32'b00000000011000100000000000000000</v>
      </c>
      <c r="E746" s="165"/>
      <c r="F746" s="165"/>
      <c r="G746" s="165"/>
      <c r="H746" s="166" t="s">
        <v>135</v>
      </c>
      <c r="I746" s="167"/>
      <c r="J746" s="168" t="str">
        <f>bitConcat(G747:G763)</f>
        <v>32'b00000000011000100000100000000000</v>
      </c>
      <c r="K746" s="166"/>
      <c r="L746" s="167"/>
      <c r="M746" s="119" t="str">
        <f>DEC2HEX(_xlfn.BITLSHIFT(O746,7)+4*P746)</f>
        <v>240</v>
      </c>
      <c r="N746" s="119"/>
      <c r="O746" s="119">
        <v>4</v>
      </c>
      <c r="P746" s="121">
        <v>16</v>
      </c>
      <c r="Q746" s="121" t="str">
        <f>DEC2HEX(_xlfn.BITLSHIFT(O746,5)+P746)</f>
        <v>90</v>
      </c>
      <c r="R746" s="121" t="str">
        <f>BIN2HEX(LEFT(RIGHT(D746,32),4))&amp;BIN2HEX(LEFT(RIGHT(D746,28),4))&amp;BIN2HEX(LEFT(RIGHT(D746,24),4))&amp;BIN2HEX(LEFT(RIGHT(D746,20),4))&amp;BIN2HEX(LEFT(RIGHT(D746,16),4))&amp;BIN2HEX(LEFT(RIGHT(D746,12),4))&amp;BIN2HEX(LEFT(RIGHT(D746,8),4))&amp;BIN2HEX(LEFT(RIGHT(D746,4),4))</f>
        <v>00620000</v>
      </c>
      <c r="S746" s="121" t="str">
        <f>BIN2HEX(LEFT(RIGHT(J746,32),4))&amp;BIN2HEX(LEFT(RIGHT(J746,28),4))&amp;BIN2HEX(LEFT(RIGHT(J746,24),4))&amp;BIN2HEX(LEFT(RIGHT(J746,20),4))&amp;BIN2HEX(LEFT(RIGHT(J746,16),4))&amp;BIN2HEX(LEFT(RIGHT(J746,12),4))&amp;BIN2HEX(LEFT(RIGHT(J746,8),4))&amp;BIN2HEX(LEFT(RIGHT(J746,4),4))</f>
        <v>00620800</v>
      </c>
    </row>
    <row r="747" spans="1:19" s="61" customFormat="1">
      <c r="A747" s="185"/>
      <c r="B747" s="187"/>
      <c r="C747" s="43" t="s">
        <v>248</v>
      </c>
      <c r="D747" s="62">
        <v>6</v>
      </c>
      <c r="E747" s="70" t="str">
        <f>IF(D747&gt;1,(31)&amp;":"&amp;(31-D747+1),(31-D747+1)&amp;":"&amp;(31-D747+1))</f>
        <v>31:26</v>
      </c>
      <c r="F747" s="30" t="s">
        <v>249</v>
      </c>
      <c r="G747" s="30" t="s">
        <v>249</v>
      </c>
      <c r="H747" s="64" t="s">
        <v>217</v>
      </c>
      <c r="I747" s="30" t="s">
        <v>68</v>
      </c>
      <c r="J747" s="32" t="s">
        <v>36</v>
      </c>
      <c r="K747" s="33" t="s">
        <v>6</v>
      </c>
      <c r="L747" s="46"/>
      <c r="M747" s="120"/>
      <c r="N747" s="120"/>
      <c r="O747" s="120"/>
      <c r="P747" s="122"/>
      <c r="Q747" s="122"/>
      <c r="R747" s="122"/>
      <c r="S747" s="122"/>
    </row>
    <row r="748" spans="1:19" s="61" customFormat="1">
      <c r="A748" s="185"/>
      <c r="B748" s="187"/>
      <c r="C748" s="43" t="s">
        <v>250</v>
      </c>
      <c r="D748" s="62">
        <v>1</v>
      </c>
      <c r="E748" s="70" t="str">
        <f t="shared" ref="E748:E763" si="780">(MID(str_cnvt(E747),SEARCH(":",str_cnvt(E747))+1,2)-1) &amp; ":" &amp; (MID(str_cnvt(E747),SEARCH(":",str_cnvt(E747))+1,2)-D748)</f>
        <v>25:25</v>
      </c>
      <c r="F748" s="30" t="s">
        <v>7</v>
      </c>
      <c r="G748" s="30" t="s">
        <v>7</v>
      </c>
      <c r="H748" s="64" t="s">
        <v>251</v>
      </c>
      <c r="I748" s="30" t="s">
        <v>68</v>
      </c>
      <c r="J748" s="32" t="s">
        <v>36</v>
      </c>
      <c r="K748" s="33" t="s">
        <v>6</v>
      </c>
      <c r="L748" s="46"/>
      <c r="M748" s="120"/>
      <c r="N748" s="120"/>
      <c r="O748" s="120"/>
      <c r="P748" s="122"/>
      <c r="Q748" s="122"/>
      <c r="R748" s="122"/>
      <c r="S748" s="122"/>
    </row>
    <row r="749" spans="1:19" s="61" customFormat="1">
      <c r="A749" s="185"/>
      <c r="B749" s="187"/>
      <c r="C749" s="43" t="s">
        <v>252</v>
      </c>
      <c r="D749" s="62">
        <v>1</v>
      </c>
      <c r="E749" s="70" t="str">
        <f t="shared" si="780"/>
        <v>24:24</v>
      </c>
      <c r="F749" s="30" t="s">
        <v>7</v>
      </c>
      <c r="G749" s="30" t="s">
        <v>7</v>
      </c>
      <c r="H749" s="65" t="s">
        <v>253</v>
      </c>
      <c r="I749" s="30" t="s">
        <v>68</v>
      </c>
      <c r="J749" s="32" t="s">
        <v>36</v>
      </c>
      <c r="K749" s="33" t="s">
        <v>6</v>
      </c>
      <c r="L749" s="46"/>
      <c r="M749" s="120"/>
      <c r="N749" s="120"/>
      <c r="O749" s="120"/>
      <c r="P749" s="122"/>
      <c r="Q749" s="122"/>
      <c r="R749" s="122"/>
      <c r="S749" s="122"/>
    </row>
    <row r="750" spans="1:19" s="61" customFormat="1">
      <c r="A750" s="185"/>
      <c r="B750" s="187"/>
      <c r="C750" s="43" t="s">
        <v>254</v>
      </c>
      <c r="D750" s="62">
        <v>1</v>
      </c>
      <c r="E750" s="70" t="str">
        <f t="shared" si="780"/>
        <v>23:23</v>
      </c>
      <c r="F750" s="30" t="s">
        <v>7</v>
      </c>
      <c r="G750" s="30" t="s">
        <v>7</v>
      </c>
      <c r="H750" s="64" t="s">
        <v>255</v>
      </c>
      <c r="I750" s="30" t="s">
        <v>68</v>
      </c>
      <c r="J750" s="32" t="s">
        <v>36</v>
      </c>
      <c r="K750" s="33" t="s">
        <v>6</v>
      </c>
      <c r="L750" s="46"/>
      <c r="M750" s="120"/>
      <c r="N750" s="120"/>
      <c r="O750" s="120"/>
      <c r="P750" s="122"/>
      <c r="Q750" s="122"/>
      <c r="R750" s="122"/>
      <c r="S750" s="122"/>
    </row>
    <row r="751" spans="1:19" s="61" customFormat="1" ht="72">
      <c r="A751" s="185"/>
      <c r="B751" s="187"/>
      <c r="C751" s="43" t="s">
        <v>256</v>
      </c>
      <c r="D751" s="62">
        <v>2</v>
      </c>
      <c r="E751" s="70" t="str">
        <f t="shared" si="780"/>
        <v>22:21</v>
      </c>
      <c r="F751" s="30" t="s">
        <v>257</v>
      </c>
      <c r="G751" s="30" t="s">
        <v>257</v>
      </c>
      <c r="H751" s="64" t="s">
        <v>258</v>
      </c>
      <c r="I751" s="30" t="s">
        <v>68</v>
      </c>
      <c r="J751" s="32" t="s">
        <v>36</v>
      </c>
      <c r="K751" s="33" t="s">
        <v>6</v>
      </c>
      <c r="L751" s="46"/>
      <c r="M751" s="120"/>
      <c r="N751" s="120"/>
      <c r="O751" s="120"/>
      <c r="P751" s="122"/>
      <c r="Q751" s="122"/>
      <c r="R751" s="122"/>
      <c r="S751" s="122"/>
    </row>
    <row r="752" spans="1:19" s="61" customFormat="1">
      <c r="A752" s="185"/>
      <c r="B752" s="187"/>
      <c r="C752" s="43" t="s">
        <v>259</v>
      </c>
      <c r="D752" s="62">
        <v>1</v>
      </c>
      <c r="E752" s="70" t="str">
        <f t="shared" si="780"/>
        <v>20:20</v>
      </c>
      <c r="F752" s="30" t="s">
        <v>7</v>
      </c>
      <c r="G752" s="30" t="s">
        <v>7</v>
      </c>
      <c r="H752" s="64" t="s">
        <v>260</v>
      </c>
      <c r="I752" s="30" t="s">
        <v>68</v>
      </c>
      <c r="J752" s="32" t="s">
        <v>36</v>
      </c>
      <c r="K752" s="33" t="s">
        <v>6</v>
      </c>
      <c r="L752" s="46"/>
      <c r="M752" s="120"/>
      <c r="N752" s="120"/>
      <c r="O752" s="120"/>
      <c r="P752" s="122"/>
      <c r="Q752" s="122"/>
      <c r="R752" s="122"/>
      <c r="S752" s="122"/>
    </row>
    <row r="753" spans="1:19" s="61" customFormat="1">
      <c r="A753" s="185"/>
      <c r="B753" s="187"/>
      <c r="C753" s="43" t="s">
        <v>261</v>
      </c>
      <c r="D753" s="62">
        <v>4</v>
      </c>
      <c r="E753" s="70" t="str">
        <f t="shared" si="780"/>
        <v>19:16</v>
      </c>
      <c r="F753" s="30" t="s">
        <v>202</v>
      </c>
      <c r="G753" s="30" t="s">
        <v>202</v>
      </c>
      <c r="H753" s="64" t="s">
        <v>262</v>
      </c>
      <c r="I753" s="30" t="s">
        <v>68</v>
      </c>
      <c r="J753" s="32" t="s">
        <v>36</v>
      </c>
      <c r="K753" s="33" t="s">
        <v>6</v>
      </c>
      <c r="L753" s="46"/>
      <c r="M753" s="120"/>
      <c r="N753" s="120"/>
      <c r="O753" s="120"/>
      <c r="P753" s="122"/>
      <c r="Q753" s="122"/>
      <c r="R753" s="122"/>
      <c r="S753" s="122"/>
    </row>
    <row r="754" spans="1:19" s="61" customFormat="1">
      <c r="A754" s="185"/>
      <c r="B754" s="187"/>
      <c r="C754" s="43" t="s">
        <v>263</v>
      </c>
      <c r="D754" s="62">
        <v>1</v>
      </c>
      <c r="E754" s="70" t="str">
        <f t="shared" si="780"/>
        <v>15:15</v>
      </c>
      <c r="F754" s="30" t="s">
        <v>7</v>
      </c>
      <c r="G754" s="30" t="s">
        <v>7</v>
      </c>
      <c r="H754" s="64" t="s">
        <v>264</v>
      </c>
      <c r="I754" s="30" t="s">
        <v>68</v>
      </c>
      <c r="J754" s="32" t="s">
        <v>36</v>
      </c>
      <c r="K754" s="33" t="s">
        <v>6</v>
      </c>
      <c r="L754" s="46"/>
      <c r="M754" s="120"/>
      <c r="N754" s="120"/>
      <c r="O754" s="120"/>
      <c r="P754" s="122"/>
      <c r="Q754" s="122"/>
      <c r="R754" s="122"/>
      <c r="S754" s="122"/>
    </row>
    <row r="755" spans="1:19" s="61" customFormat="1">
      <c r="A755" s="185"/>
      <c r="B755" s="187"/>
      <c r="C755" s="43" t="s">
        <v>265</v>
      </c>
      <c r="D755" s="62">
        <v>2</v>
      </c>
      <c r="E755" s="70" t="str">
        <f t="shared" si="780"/>
        <v>14:13</v>
      </c>
      <c r="F755" s="30" t="s">
        <v>154</v>
      </c>
      <c r="G755" s="30" t="s">
        <v>154</v>
      </c>
      <c r="H755" s="65" t="s">
        <v>266</v>
      </c>
      <c r="I755" s="30" t="s">
        <v>68</v>
      </c>
      <c r="J755" s="32" t="s">
        <v>36</v>
      </c>
      <c r="K755" s="33" t="s">
        <v>6</v>
      </c>
      <c r="L755" s="46"/>
      <c r="M755" s="120"/>
      <c r="N755" s="120"/>
      <c r="O755" s="120"/>
      <c r="P755" s="122"/>
      <c r="Q755" s="122"/>
      <c r="R755" s="122"/>
      <c r="S755" s="122"/>
    </row>
    <row r="756" spans="1:19" s="61" customFormat="1">
      <c r="A756" s="185"/>
      <c r="B756" s="187"/>
      <c r="C756" s="43" t="s">
        <v>267</v>
      </c>
      <c r="D756" s="62">
        <v>1</v>
      </c>
      <c r="E756" s="70" t="str">
        <f t="shared" si="780"/>
        <v>12:12</v>
      </c>
      <c r="F756" s="30" t="s">
        <v>7</v>
      </c>
      <c r="G756" s="30" t="s">
        <v>7</v>
      </c>
      <c r="H756" s="65" t="s">
        <v>260</v>
      </c>
      <c r="I756" s="30" t="s">
        <v>68</v>
      </c>
      <c r="J756" s="32" t="s">
        <v>36</v>
      </c>
      <c r="K756" s="33" t="s">
        <v>6</v>
      </c>
      <c r="L756" s="46"/>
      <c r="M756" s="120"/>
      <c r="N756" s="120"/>
      <c r="O756" s="120"/>
      <c r="P756" s="122"/>
      <c r="Q756" s="122"/>
      <c r="R756" s="122"/>
      <c r="S756" s="122"/>
    </row>
    <row r="757" spans="1:19" s="61" customFormat="1">
      <c r="A757" s="185"/>
      <c r="B757" s="187"/>
      <c r="C757" s="43" t="s">
        <v>268</v>
      </c>
      <c r="D757" s="62">
        <v>1</v>
      </c>
      <c r="E757" s="70" t="str">
        <f t="shared" si="780"/>
        <v>11:11</v>
      </c>
      <c r="F757" s="30" t="s">
        <v>7</v>
      </c>
      <c r="G757" s="30" t="s">
        <v>269</v>
      </c>
      <c r="H757" s="65" t="s">
        <v>270</v>
      </c>
      <c r="I757" s="30" t="s">
        <v>68</v>
      </c>
      <c r="J757" s="32" t="s">
        <v>36</v>
      </c>
      <c r="K757" s="33" t="s">
        <v>6</v>
      </c>
      <c r="L757" s="46"/>
      <c r="M757" s="120"/>
      <c r="N757" s="120"/>
      <c r="O757" s="120"/>
      <c r="P757" s="122"/>
      <c r="Q757" s="122"/>
      <c r="R757" s="122"/>
      <c r="S757" s="122"/>
    </row>
    <row r="758" spans="1:19" s="61" customFormat="1">
      <c r="A758" s="185"/>
      <c r="B758" s="187"/>
      <c r="C758" s="43" t="s">
        <v>271</v>
      </c>
      <c r="D758" s="62">
        <v>3</v>
      </c>
      <c r="E758" s="70" t="str">
        <f t="shared" si="780"/>
        <v>10:8</v>
      </c>
      <c r="F758" s="30" t="s">
        <v>272</v>
      </c>
      <c r="G758" s="30" t="s">
        <v>178</v>
      </c>
      <c r="H758" s="64" t="s">
        <v>273</v>
      </c>
      <c r="I758" s="30" t="s">
        <v>68</v>
      </c>
      <c r="J758" s="32" t="s">
        <v>36</v>
      </c>
      <c r="K758" s="33" t="s">
        <v>6</v>
      </c>
      <c r="L758" s="46"/>
      <c r="M758" s="120"/>
      <c r="N758" s="120"/>
      <c r="O758" s="120"/>
      <c r="P758" s="122"/>
      <c r="Q758" s="122"/>
      <c r="R758" s="122"/>
      <c r="S758" s="122"/>
    </row>
    <row r="759" spans="1:19" s="61" customFormat="1">
      <c r="A759" s="185"/>
      <c r="B759" s="187"/>
      <c r="C759" s="43" t="s">
        <v>274</v>
      </c>
      <c r="D759" s="62">
        <v>2</v>
      </c>
      <c r="E759" s="70" t="str">
        <f t="shared" si="780"/>
        <v>7:6</v>
      </c>
      <c r="F759" s="30" t="s">
        <v>154</v>
      </c>
      <c r="G759" s="30" t="s">
        <v>154</v>
      </c>
      <c r="H759" s="65" t="s">
        <v>275</v>
      </c>
      <c r="I759" s="30" t="s">
        <v>68</v>
      </c>
      <c r="J759" s="32" t="s">
        <v>36</v>
      </c>
      <c r="K759" s="33" t="s">
        <v>6</v>
      </c>
      <c r="L759" s="46"/>
      <c r="M759" s="120"/>
      <c r="N759" s="120"/>
      <c r="O759" s="120"/>
      <c r="P759" s="122"/>
      <c r="Q759" s="122"/>
      <c r="R759" s="122"/>
      <c r="S759" s="122"/>
    </row>
    <row r="760" spans="1:19" s="61" customFormat="1">
      <c r="A760" s="185"/>
      <c r="B760" s="187"/>
      <c r="C760" s="43" t="s">
        <v>276</v>
      </c>
      <c r="D760" s="62">
        <v>2</v>
      </c>
      <c r="E760" s="70" t="str">
        <f t="shared" si="780"/>
        <v>5:4</v>
      </c>
      <c r="F760" s="30" t="s">
        <v>154</v>
      </c>
      <c r="G760" s="30" t="s">
        <v>154</v>
      </c>
      <c r="H760" s="65" t="s">
        <v>277</v>
      </c>
      <c r="I760" s="30" t="s">
        <v>68</v>
      </c>
      <c r="J760" s="32" t="s">
        <v>36</v>
      </c>
      <c r="K760" s="33" t="s">
        <v>6</v>
      </c>
      <c r="L760" s="46"/>
      <c r="M760" s="120"/>
      <c r="N760" s="120"/>
      <c r="O760" s="120"/>
      <c r="P760" s="122"/>
      <c r="Q760" s="122"/>
      <c r="R760" s="122"/>
      <c r="S760" s="122"/>
    </row>
    <row r="761" spans="1:19" s="61" customFormat="1">
      <c r="A761" s="185"/>
      <c r="B761" s="187"/>
      <c r="C761" s="43" t="s">
        <v>278</v>
      </c>
      <c r="D761" s="62">
        <v>2</v>
      </c>
      <c r="E761" s="70" t="str">
        <f t="shared" si="780"/>
        <v>3:2</v>
      </c>
      <c r="F761" s="30" t="s">
        <v>154</v>
      </c>
      <c r="G761" s="30" t="s">
        <v>154</v>
      </c>
      <c r="H761" s="65" t="s">
        <v>279</v>
      </c>
      <c r="I761" s="30" t="s">
        <v>68</v>
      </c>
      <c r="J761" s="32" t="s">
        <v>36</v>
      </c>
      <c r="K761" s="33" t="s">
        <v>6</v>
      </c>
      <c r="M761" s="120"/>
      <c r="N761" s="120"/>
      <c r="O761" s="120"/>
      <c r="P761" s="122"/>
      <c r="Q761" s="122"/>
      <c r="R761" s="122"/>
      <c r="S761" s="122"/>
    </row>
    <row r="762" spans="1:19" s="61" customFormat="1" ht="28.8">
      <c r="A762" s="185"/>
      <c r="B762" s="187"/>
      <c r="C762" s="43" t="s">
        <v>280</v>
      </c>
      <c r="D762" s="62">
        <v>1</v>
      </c>
      <c r="E762" s="70" t="str">
        <f t="shared" si="780"/>
        <v>1:1</v>
      </c>
      <c r="F762" s="30" t="s">
        <v>7</v>
      </c>
      <c r="G762" s="30" t="s">
        <v>7</v>
      </c>
      <c r="H762" s="65" t="s">
        <v>281</v>
      </c>
      <c r="I762" s="30" t="s">
        <v>68</v>
      </c>
      <c r="J762" s="32" t="s">
        <v>36</v>
      </c>
      <c r="K762" s="33" t="s">
        <v>6</v>
      </c>
      <c r="L762" s="46"/>
      <c r="M762" s="120"/>
      <c r="N762" s="120"/>
      <c r="O762" s="120"/>
      <c r="P762" s="122"/>
      <c r="Q762" s="122"/>
      <c r="R762" s="122"/>
      <c r="S762" s="122"/>
    </row>
    <row r="763" spans="1:19" s="61" customFormat="1" ht="15" thickBot="1">
      <c r="A763" s="185"/>
      <c r="B763" s="187"/>
      <c r="C763" s="43" t="s">
        <v>282</v>
      </c>
      <c r="D763" s="62">
        <v>1</v>
      </c>
      <c r="E763" s="70" t="str">
        <f t="shared" si="780"/>
        <v>0:0</v>
      </c>
      <c r="F763" s="30" t="s">
        <v>7</v>
      </c>
      <c r="G763" s="30" t="s">
        <v>7</v>
      </c>
      <c r="H763" s="65" t="s">
        <v>283</v>
      </c>
      <c r="I763" s="30" t="s">
        <v>68</v>
      </c>
      <c r="J763" s="32" t="s">
        <v>36</v>
      </c>
      <c r="K763" s="33" t="s">
        <v>6</v>
      </c>
      <c r="L763" s="46"/>
      <c r="M763" s="120"/>
      <c r="N763" s="120"/>
      <c r="O763" s="120"/>
      <c r="P763" s="122"/>
      <c r="Q763" s="122"/>
      <c r="R763" s="122"/>
      <c r="S763" s="122"/>
    </row>
    <row r="764" spans="1:19" s="61" customFormat="1" ht="15" thickBot="1">
      <c r="A764" s="188" t="s">
        <v>284</v>
      </c>
      <c r="B764" s="190" t="str">
        <f>DEC2HEX(P764*4)</f>
        <v>44</v>
      </c>
      <c r="C764" s="71" t="s">
        <v>134</v>
      </c>
      <c r="D764" s="192" t="str">
        <f>bitConcat(F765:F788)</f>
        <v>32'b00000000000000000000000000000000</v>
      </c>
      <c r="E764" s="193"/>
      <c r="F764" s="193"/>
      <c r="G764" s="193"/>
      <c r="H764" s="166" t="s">
        <v>135</v>
      </c>
      <c r="I764" s="167"/>
      <c r="J764" s="168" t="str">
        <f>bitConcat(G765:G788)</f>
        <v>32'b00000000000000000000000000000000</v>
      </c>
      <c r="K764" s="166"/>
      <c r="L764" s="167"/>
      <c r="M764" s="194" t="str">
        <f>DEC2HEX(_xlfn.BITLSHIFT(O764,7)+4*P764)</f>
        <v>244</v>
      </c>
      <c r="N764" s="194"/>
      <c r="O764" s="194">
        <v>4</v>
      </c>
      <c r="P764" s="196">
        <v>17</v>
      </c>
      <c r="Q764" s="196" t="str">
        <f>DEC2HEX(_xlfn.BITLSHIFT(O764,5)+P764)</f>
        <v>91</v>
      </c>
      <c r="R764" s="196" t="str">
        <f>BIN2HEX(LEFT(RIGHT(D764,32),4))&amp;BIN2HEX(LEFT(RIGHT(D764,28),4))&amp;BIN2HEX(LEFT(RIGHT(D764,24),4))&amp;BIN2HEX(LEFT(RIGHT(D764,20),4))&amp;BIN2HEX(LEFT(RIGHT(D764,16),4))&amp;BIN2HEX(LEFT(RIGHT(D764,12),4))&amp;BIN2HEX(LEFT(RIGHT(D764,8),4))&amp;BIN2HEX(LEFT(RIGHT(D764,4),4))</f>
        <v>00000000</v>
      </c>
      <c r="S764" s="196" t="str">
        <f>BIN2HEX(LEFT(RIGHT(J764,32),4))&amp;BIN2HEX(LEFT(RIGHT(J764,28),4))&amp;BIN2HEX(LEFT(RIGHT(J764,24),T2397))&amp;BIN2HEX(LEFT(RIGHT(J764,20),4))&amp;BIN2HEX(LEFT(RIGHT(J764,16),4))&amp;BIN2HEX(LEFT(RIGHT(J764,12),4))&amp;BIN2HEX(LEFT(RIGHT(J764,8),4))&amp;BIN2HEX(LEFT(RIGHT(J764,4),4))</f>
        <v>00000000</v>
      </c>
    </row>
    <row r="765" spans="1:19" s="61" customFormat="1">
      <c r="A765" s="188"/>
      <c r="B765" s="190"/>
      <c r="C765" s="43" t="s">
        <v>285</v>
      </c>
      <c r="D765" s="62">
        <v>1</v>
      </c>
      <c r="E765" s="30" t="str">
        <f>IF(D765&gt;1,(31)&amp;":"&amp;(31-D765+1),(31-D765+1)&amp;":"&amp;(31-D765+1))</f>
        <v>31:31</v>
      </c>
      <c r="F765" s="30" t="s">
        <v>7</v>
      </c>
      <c r="G765" s="30" t="s">
        <v>7</v>
      </c>
      <c r="H765" s="64" t="s">
        <v>217</v>
      </c>
      <c r="I765" s="30" t="s">
        <v>68</v>
      </c>
      <c r="J765" s="32" t="s">
        <v>36</v>
      </c>
      <c r="K765" s="33" t="s">
        <v>6</v>
      </c>
      <c r="L765" s="46"/>
      <c r="M765" s="194"/>
      <c r="N765" s="194"/>
      <c r="O765" s="194"/>
      <c r="P765" s="196"/>
      <c r="Q765" s="196"/>
      <c r="R765" s="196"/>
      <c r="S765" s="196"/>
    </row>
    <row r="766" spans="1:19" s="61" customFormat="1">
      <c r="A766" s="188"/>
      <c r="B766" s="190"/>
      <c r="C766" s="43" t="s">
        <v>286</v>
      </c>
      <c r="D766" s="62">
        <v>3</v>
      </c>
      <c r="E766" s="30" t="str">
        <f t="shared" ref="E766" si="781">(MID(str_cnvt(E765),SEARCH(":",str_cnvt(E765))+1,2)-1) &amp; ":" &amp; (MID(str_cnvt(E765),SEARCH(":",str_cnvt(E765))+1,2)-D766)</f>
        <v>30:28</v>
      </c>
      <c r="F766" s="30" t="s">
        <v>178</v>
      </c>
      <c r="G766" s="30" t="s">
        <v>178</v>
      </c>
      <c r="H766" s="64"/>
      <c r="I766" s="30"/>
      <c r="J766" s="32"/>
      <c r="K766" s="33"/>
      <c r="L766" s="46"/>
      <c r="M766" s="194"/>
      <c r="N766" s="194"/>
      <c r="O766" s="194"/>
      <c r="P766" s="196"/>
      <c r="Q766" s="196"/>
      <c r="R766" s="196"/>
      <c r="S766" s="196"/>
    </row>
    <row r="767" spans="1:19" s="61" customFormat="1">
      <c r="A767" s="188"/>
      <c r="B767" s="190"/>
      <c r="C767" s="43" t="s">
        <v>287</v>
      </c>
      <c r="D767" s="62">
        <v>1</v>
      </c>
      <c r="E767" s="70" t="str">
        <f t="shared" ref="E767:E788" si="782">(MID(str_cnvt(E766),SEARCH(":",str_cnvt(E766))+1,2)-1) &amp; ":" &amp; (MID(str_cnvt(E766),SEARCH(":",str_cnvt(E766))+1,2)-D767)</f>
        <v>27:27</v>
      </c>
      <c r="F767" s="30" t="s">
        <v>7</v>
      </c>
      <c r="G767" s="30" t="s">
        <v>7</v>
      </c>
      <c r="H767" s="64" t="s">
        <v>288</v>
      </c>
      <c r="I767" s="30" t="s">
        <v>68</v>
      </c>
      <c r="J767" s="32" t="s">
        <v>36</v>
      </c>
      <c r="K767" s="33" t="s">
        <v>6</v>
      </c>
      <c r="L767" s="46"/>
      <c r="M767" s="194"/>
      <c r="N767" s="194"/>
      <c r="O767" s="194"/>
      <c r="P767" s="196"/>
      <c r="Q767" s="196"/>
      <c r="R767" s="196"/>
      <c r="S767" s="196"/>
    </row>
    <row r="768" spans="1:19" s="61" customFormat="1">
      <c r="A768" s="188"/>
      <c r="B768" s="190"/>
      <c r="C768" s="43" t="s">
        <v>289</v>
      </c>
      <c r="D768" s="62">
        <v>1</v>
      </c>
      <c r="E768" s="70" t="str">
        <f t="shared" si="782"/>
        <v>26:26</v>
      </c>
      <c r="F768" s="30" t="s">
        <v>7</v>
      </c>
      <c r="G768" s="30" t="s">
        <v>7</v>
      </c>
      <c r="H768" s="64" t="s">
        <v>290</v>
      </c>
      <c r="I768" s="30" t="s">
        <v>68</v>
      </c>
      <c r="J768" s="32" t="s">
        <v>36</v>
      </c>
      <c r="K768" s="33" t="s">
        <v>6</v>
      </c>
      <c r="L768" s="46"/>
      <c r="M768" s="194"/>
      <c r="N768" s="194"/>
      <c r="O768" s="194"/>
      <c r="P768" s="196"/>
      <c r="Q768" s="196"/>
      <c r="R768" s="196"/>
      <c r="S768" s="196"/>
    </row>
    <row r="769" spans="1:19" s="61" customFormat="1">
      <c r="A769" s="188"/>
      <c r="B769" s="190"/>
      <c r="C769" s="43" t="s">
        <v>291</v>
      </c>
      <c r="D769" s="62">
        <v>1</v>
      </c>
      <c r="E769" s="70" t="str">
        <f t="shared" si="782"/>
        <v>25:25</v>
      </c>
      <c r="F769" s="30" t="s">
        <v>7</v>
      </c>
      <c r="G769" s="30" t="s">
        <v>7</v>
      </c>
      <c r="H769" s="64" t="s">
        <v>292</v>
      </c>
      <c r="I769" s="30" t="s">
        <v>68</v>
      </c>
      <c r="J769" s="32" t="s">
        <v>36</v>
      </c>
      <c r="K769" s="33" t="s">
        <v>6</v>
      </c>
      <c r="L769" s="46"/>
      <c r="M769" s="194"/>
      <c r="N769" s="194"/>
      <c r="O769" s="194"/>
      <c r="P769" s="196"/>
      <c r="Q769" s="196"/>
      <c r="R769" s="196"/>
      <c r="S769" s="196"/>
    </row>
    <row r="770" spans="1:19" s="61" customFormat="1">
      <c r="A770" s="188"/>
      <c r="B770" s="190"/>
      <c r="C770" s="43" t="s">
        <v>293</v>
      </c>
      <c r="D770" s="62">
        <v>1</v>
      </c>
      <c r="E770" s="70" t="str">
        <f t="shared" si="782"/>
        <v>24:24</v>
      </c>
      <c r="F770" s="30" t="s">
        <v>7</v>
      </c>
      <c r="G770" s="30" t="s">
        <v>7</v>
      </c>
      <c r="H770" s="64" t="s">
        <v>294</v>
      </c>
      <c r="I770" s="30" t="s">
        <v>68</v>
      </c>
      <c r="J770" s="32" t="s">
        <v>36</v>
      </c>
      <c r="K770" s="33" t="s">
        <v>6</v>
      </c>
      <c r="L770" s="46"/>
      <c r="M770" s="194"/>
      <c r="N770" s="194"/>
      <c r="O770" s="194"/>
      <c r="P770" s="196"/>
      <c r="Q770" s="196"/>
      <c r="R770" s="196"/>
      <c r="S770" s="196"/>
    </row>
    <row r="771" spans="1:19" s="61" customFormat="1">
      <c r="A771" s="188"/>
      <c r="B771" s="190"/>
      <c r="C771" s="72" t="s">
        <v>295</v>
      </c>
      <c r="D771" s="62">
        <v>1</v>
      </c>
      <c r="E771" s="70" t="str">
        <f t="shared" si="782"/>
        <v>23:23</v>
      </c>
      <c r="F771" s="30" t="s">
        <v>7</v>
      </c>
      <c r="G771" s="30" t="s">
        <v>7</v>
      </c>
      <c r="H771" s="64" t="s">
        <v>296</v>
      </c>
      <c r="I771" s="30" t="s">
        <v>68</v>
      </c>
      <c r="J771" s="32" t="s">
        <v>36</v>
      </c>
      <c r="K771" s="33" t="s">
        <v>6</v>
      </c>
      <c r="L771" s="46"/>
      <c r="M771" s="194"/>
      <c r="N771" s="194"/>
      <c r="O771" s="194"/>
      <c r="P771" s="196"/>
      <c r="Q771" s="196"/>
      <c r="R771" s="196"/>
      <c r="S771" s="196"/>
    </row>
    <row r="772" spans="1:19" s="61" customFormat="1">
      <c r="A772" s="188"/>
      <c r="B772" s="190"/>
      <c r="C772" s="72" t="s">
        <v>297</v>
      </c>
      <c r="D772" s="62">
        <v>1</v>
      </c>
      <c r="E772" s="70" t="str">
        <f t="shared" si="782"/>
        <v>22:22</v>
      </c>
      <c r="F772" s="30" t="s">
        <v>7</v>
      </c>
      <c r="G772" s="30" t="s">
        <v>7</v>
      </c>
      <c r="H772" s="64" t="s">
        <v>298</v>
      </c>
      <c r="I772" s="30" t="s">
        <v>68</v>
      </c>
      <c r="J772" s="32" t="s">
        <v>36</v>
      </c>
      <c r="K772" s="33" t="s">
        <v>6</v>
      </c>
      <c r="L772" s="46"/>
      <c r="M772" s="194"/>
      <c r="N772" s="194"/>
      <c r="O772" s="194"/>
      <c r="P772" s="196"/>
      <c r="Q772" s="196"/>
      <c r="R772" s="196"/>
      <c r="S772" s="196"/>
    </row>
    <row r="773" spans="1:19" s="61" customFormat="1">
      <c r="A773" s="188"/>
      <c r="B773" s="190"/>
      <c r="C773" s="72" t="s">
        <v>299</v>
      </c>
      <c r="D773" s="62">
        <v>1</v>
      </c>
      <c r="E773" s="70" t="str">
        <f t="shared" si="782"/>
        <v>21:21</v>
      </c>
      <c r="F773" s="30" t="s">
        <v>7</v>
      </c>
      <c r="G773" s="30" t="s">
        <v>7</v>
      </c>
      <c r="H773" s="64" t="s">
        <v>300</v>
      </c>
      <c r="I773" s="30" t="s">
        <v>68</v>
      </c>
      <c r="J773" s="32" t="s">
        <v>36</v>
      </c>
      <c r="K773" s="33" t="s">
        <v>6</v>
      </c>
      <c r="L773" s="46"/>
      <c r="M773" s="194"/>
      <c r="N773" s="194"/>
      <c r="O773" s="194"/>
      <c r="P773" s="196"/>
      <c r="Q773" s="196"/>
      <c r="R773" s="196"/>
      <c r="S773" s="196"/>
    </row>
    <row r="774" spans="1:19" s="61" customFormat="1">
      <c r="A774" s="188"/>
      <c r="B774" s="190"/>
      <c r="C774" s="72" t="s">
        <v>301</v>
      </c>
      <c r="D774" s="62">
        <v>1</v>
      </c>
      <c r="E774" s="70" t="str">
        <f t="shared" si="782"/>
        <v>20:20</v>
      </c>
      <c r="F774" s="30" t="s">
        <v>7</v>
      </c>
      <c r="G774" s="30" t="s">
        <v>7</v>
      </c>
      <c r="H774" s="64" t="s">
        <v>302</v>
      </c>
      <c r="I774" s="30" t="s">
        <v>68</v>
      </c>
      <c r="J774" s="32" t="s">
        <v>36</v>
      </c>
      <c r="K774" s="33" t="s">
        <v>6</v>
      </c>
      <c r="L774" s="46"/>
      <c r="M774" s="194"/>
      <c r="N774" s="194"/>
      <c r="O774" s="194"/>
      <c r="P774" s="196"/>
      <c r="Q774" s="196"/>
      <c r="R774" s="196"/>
      <c r="S774" s="196"/>
    </row>
    <row r="775" spans="1:19" s="61" customFormat="1">
      <c r="A775" s="188"/>
      <c r="B775" s="190"/>
      <c r="C775" s="72" t="s">
        <v>303</v>
      </c>
      <c r="D775" s="62">
        <v>1</v>
      </c>
      <c r="E775" s="70" t="str">
        <f t="shared" si="782"/>
        <v>19:19</v>
      </c>
      <c r="F775" s="30" t="s">
        <v>7</v>
      </c>
      <c r="G775" s="30" t="s">
        <v>7</v>
      </c>
      <c r="H775" s="64" t="s">
        <v>304</v>
      </c>
      <c r="I775" s="30" t="s">
        <v>68</v>
      </c>
      <c r="J775" s="32" t="s">
        <v>36</v>
      </c>
      <c r="K775" s="33" t="s">
        <v>6</v>
      </c>
      <c r="L775" s="46"/>
      <c r="M775" s="194"/>
      <c r="N775" s="194"/>
      <c r="O775" s="194"/>
      <c r="P775" s="196"/>
      <c r="Q775" s="196"/>
      <c r="R775" s="196"/>
      <c r="S775" s="196"/>
    </row>
    <row r="776" spans="1:19" s="61" customFormat="1">
      <c r="A776" s="188"/>
      <c r="B776" s="190"/>
      <c r="C776" s="72" t="s">
        <v>305</v>
      </c>
      <c r="D776" s="62">
        <v>1</v>
      </c>
      <c r="E776" s="70" t="str">
        <f t="shared" si="782"/>
        <v>18:18</v>
      </c>
      <c r="F776" s="30" t="s">
        <v>7</v>
      </c>
      <c r="G776" s="30" t="s">
        <v>7</v>
      </c>
      <c r="H776" s="64" t="s">
        <v>306</v>
      </c>
      <c r="I776" s="30" t="s">
        <v>68</v>
      </c>
      <c r="J776" s="32" t="s">
        <v>36</v>
      </c>
      <c r="K776" s="33" t="s">
        <v>6</v>
      </c>
      <c r="L776" s="46"/>
      <c r="M776" s="194"/>
      <c r="N776" s="194"/>
      <c r="O776" s="194"/>
      <c r="P776" s="196"/>
      <c r="Q776" s="196"/>
      <c r="R776" s="196"/>
      <c r="S776" s="196"/>
    </row>
    <row r="777" spans="1:19" s="61" customFormat="1">
      <c r="A777" s="188"/>
      <c r="B777" s="190"/>
      <c r="C777" s="72" t="s">
        <v>307</v>
      </c>
      <c r="D777" s="62">
        <v>1</v>
      </c>
      <c r="E777" s="70" t="str">
        <f t="shared" si="782"/>
        <v>17:17</v>
      </c>
      <c r="F777" s="30" t="s">
        <v>7</v>
      </c>
      <c r="G777" s="30" t="s">
        <v>7</v>
      </c>
      <c r="H777" s="64" t="s">
        <v>308</v>
      </c>
      <c r="I777" s="30" t="s">
        <v>68</v>
      </c>
      <c r="J777" s="32" t="s">
        <v>36</v>
      </c>
      <c r="K777" s="33" t="s">
        <v>6</v>
      </c>
      <c r="L777" s="46"/>
      <c r="M777" s="194"/>
      <c r="N777" s="194"/>
      <c r="O777" s="194"/>
      <c r="P777" s="196"/>
      <c r="Q777" s="196"/>
      <c r="R777" s="196"/>
      <c r="S777" s="196"/>
    </row>
    <row r="778" spans="1:19" s="61" customFormat="1">
      <c r="A778" s="188"/>
      <c r="B778" s="190"/>
      <c r="C778" s="72" t="s">
        <v>309</v>
      </c>
      <c r="D778" s="62">
        <v>1</v>
      </c>
      <c r="E778" s="70" t="str">
        <f t="shared" si="782"/>
        <v>16:16</v>
      </c>
      <c r="F778" s="30" t="s">
        <v>7</v>
      </c>
      <c r="G778" s="30" t="s">
        <v>7</v>
      </c>
      <c r="H778" s="64" t="s">
        <v>310</v>
      </c>
      <c r="I778" s="30" t="s">
        <v>68</v>
      </c>
      <c r="J778" s="32" t="s">
        <v>36</v>
      </c>
      <c r="K778" s="33" t="s">
        <v>6</v>
      </c>
      <c r="L778" s="46"/>
      <c r="M778" s="194"/>
      <c r="N778" s="194"/>
      <c r="O778" s="194"/>
      <c r="P778" s="196"/>
      <c r="Q778" s="196"/>
      <c r="R778" s="196"/>
      <c r="S778" s="196"/>
    </row>
    <row r="779" spans="1:19" s="61" customFormat="1">
      <c r="A779" s="188"/>
      <c r="B779" s="190"/>
      <c r="C779" s="72" t="s">
        <v>311</v>
      </c>
      <c r="D779" s="62">
        <v>1</v>
      </c>
      <c r="E779" s="70" t="str">
        <f t="shared" si="782"/>
        <v>15:15</v>
      </c>
      <c r="F779" s="30" t="s">
        <v>7</v>
      </c>
      <c r="G779" s="30" t="s">
        <v>7</v>
      </c>
      <c r="H779" s="64" t="s">
        <v>312</v>
      </c>
      <c r="I779" s="30" t="s">
        <v>68</v>
      </c>
      <c r="J779" s="32" t="s">
        <v>36</v>
      </c>
      <c r="K779" s="33" t="s">
        <v>6</v>
      </c>
      <c r="L779" s="46"/>
      <c r="M779" s="194"/>
      <c r="N779" s="194"/>
      <c r="O779" s="194"/>
      <c r="P779" s="196"/>
      <c r="Q779" s="196"/>
      <c r="R779" s="196"/>
      <c r="S779" s="196"/>
    </row>
    <row r="780" spans="1:19" s="61" customFormat="1">
      <c r="A780" s="188"/>
      <c r="B780" s="190"/>
      <c r="C780" s="72" t="s">
        <v>313</v>
      </c>
      <c r="D780" s="62">
        <v>1</v>
      </c>
      <c r="E780" s="70" t="str">
        <f t="shared" si="782"/>
        <v>14:14</v>
      </c>
      <c r="F780" s="30" t="s">
        <v>7</v>
      </c>
      <c r="G780" s="30" t="s">
        <v>7</v>
      </c>
      <c r="H780" s="64" t="s">
        <v>314</v>
      </c>
      <c r="I780" s="30" t="s">
        <v>68</v>
      </c>
      <c r="J780" s="32" t="s">
        <v>36</v>
      </c>
      <c r="K780" s="33" t="s">
        <v>6</v>
      </c>
      <c r="L780" s="46"/>
      <c r="M780" s="194"/>
      <c r="N780" s="194"/>
      <c r="O780" s="194"/>
      <c r="P780" s="196"/>
      <c r="Q780" s="196"/>
      <c r="R780" s="196"/>
      <c r="S780" s="196"/>
    </row>
    <row r="781" spans="1:19" s="61" customFormat="1">
      <c r="A781" s="188"/>
      <c r="B781" s="190"/>
      <c r="C781" s="72" t="s">
        <v>315</v>
      </c>
      <c r="D781" s="62">
        <v>1</v>
      </c>
      <c r="E781" s="70" t="str">
        <f t="shared" si="782"/>
        <v>13:13</v>
      </c>
      <c r="F781" s="30" t="s">
        <v>7</v>
      </c>
      <c r="G781" s="30" t="s">
        <v>7</v>
      </c>
      <c r="H781" s="64" t="s">
        <v>316</v>
      </c>
      <c r="I781" s="30" t="s">
        <v>68</v>
      </c>
      <c r="J781" s="32" t="s">
        <v>36</v>
      </c>
      <c r="K781" s="33" t="s">
        <v>6</v>
      </c>
      <c r="L781" s="46"/>
      <c r="M781" s="194"/>
      <c r="N781" s="194"/>
      <c r="O781" s="194"/>
      <c r="P781" s="196"/>
      <c r="Q781" s="196"/>
      <c r="R781" s="196"/>
      <c r="S781" s="196"/>
    </row>
    <row r="782" spans="1:19" s="61" customFormat="1">
      <c r="A782" s="188"/>
      <c r="B782" s="190"/>
      <c r="C782" s="72" t="s">
        <v>317</v>
      </c>
      <c r="D782" s="62">
        <v>1</v>
      </c>
      <c r="E782" s="70" t="str">
        <f t="shared" si="782"/>
        <v>12:12</v>
      </c>
      <c r="F782" s="30" t="s">
        <v>7</v>
      </c>
      <c r="G782" s="30" t="s">
        <v>7</v>
      </c>
      <c r="H782" s="64" t="s">
        <v>318</v>
      </c>
      <c r="I782" s="30" t="s">
        <v>68</v>
      </c>
      <c r="J782" s="32" t="s">
        <v>36</v>
      </c>
      <c r="K782" s="33" t="s">
        <v>6</v>
      </c>
      <c r="L782" s="46"/>
      <c r="M782" s="194"/>
      <c r="N782" s="194"/>
      <c r="O782" s="194"/>
      <c r="P782" s="196"/>
      <c r="Q782" s="196"/>
      <c r="R782" s="196"/>
      <c r="S782" s="196"/>
    </row>
    <row r="783" spans="1:19" s="61" customFormat="1">
      <c r="A783" s="188"/>
      <c r="B783" s="190"/>
      <c r="C783" s="72" t="s">
        <v>319</v>
      </c>
      <c r="D783" s="62">
        <v>1</v>
      </c>
      <c r="E783" s="70" t="str">
        <f t="shared" si="782"/>
        <v>11:11</v>
      </c>
      <c r="F783" s="30" t="s">
        <v>7</v>
      </c>
      <c r="G783" s="30" t="s">
        <v>7</v>
      </c>
      <c r="H783" s="64" t="s">
        <v>320</v>
      </c>
      <c r="I783" s="30" t="s">
        <v>68</v>
      </c>
      <c r="J783" s="32" t="s">
        <v>36</v>
      </c>
      <c r="K783" s="33" t="s">
        <v>6</v>
      </c>
      <c r="L783" s="46"/>
      <c r="M783" s="194"/>
      <c r="N783" s="194"/>
      <c r="O783" s="194"/>
      <c r="P783" s="196"/>
      <c r="Q783" s="196"/>
      <c r="R783" s="196"/>
      <c r="S783" s="196"/>
    </row>
    <row r="784" spans="1:19" s="61" customFormat="1">
      <c r="A784" s="188"/>
      <c r="B784" s="190"/>
      <c r="C784" s="72" t="s">
        <v>321</v>
      </c>
      <c r="D784" s="62">
        <v>1</v>
      </c>
      <c r="E784" s="70" t="str">
        <f t="shared" si="782"/>
        <v>10:10</v>
      </c>
      <c r="F784" s="30" t="s">
        <v>7</v>
      </c>
      <c r="G784" s="30" t="s">
        <v>7</v>
      </c>
      <c r="H784" s="64" t="s">
        <v>322</v>
      </c>
      <c r="I784" s="30" t="s">
        <v>68</v>
      </c>
      <c r="J784" s="32" t="s">
        <v>36</v>
      </c>
      <c r="K784" s="33" t="s">
        <v>6</v>
      </c>
      <c r="L784" s="46"/>
      <c r="M784" s="194"/>
      <c r="N784" s="194"/>
      <c r="O784" s="194"/>
      <c r="P784" s="196"/>
      <c r="Q784" s="196"/>
      <c r="R784" s="196"/>
      <c r="S784" s="196"/>
    </row>
    <row r="785" spans="1:36" s="61" customFormat="1">
      <c r="A785" s="188"/>
      <c r="B785" s="190"/>
      <c r="C785" s="72" t="s">
        <v>323</v>
      </c>
      <c r="D785" s="62">
        <v>1</v>
      </c>
      <c r="E785" s="70" t="str">
        <f t="shared" si="782"/>
        <v>9:9</v>
      </c>
      <c r="F785" s="30" t="s">
        <v>7</v>
      </c>
      <c r="G785" s="30" t="s">
        <v>7</v>
      </c>
      <c r="H785" s="64" t="s">
        <v>324</v>
      </c>
      <c r="I785" s="30" t="s">
        <v>68</v>
      </c>
      <c r="J785" s="32" t="s">
        <v>36</v>
      </c>
      <c r="K785" s="33" t="s">
        <v>6</v>
      </c>
      <c r="L785" s="46"/>
      <c r="M785" s="194"/>
      <c r="N785" s="194"/>
      <c r="O785" s="194"/>
      <c r="P785" s="196"/>
      <c r="Q785" s="196"/>
      <c r="R785" s="196"/>
      <c r="S785" s="196"/>
    </row>
    <row r="786" spans="1:36" s="61" customFormat="1">
      <c r="A786" s="188"/>
      <c r="B786" s="190"/>
      <c r="C786" s="72" t="s">
        <v>325</v>
      </c>
      <c r="D786" s="62">
        <v>1</v>
      </c>
      <c r="E786" s="70" t="str">
        <f t="shared" si="782"/>
        <v>8:8</v>
      </c>
      <c r="F786" s="30" t="s">
        <v>7</v>
      </c>
      <c r="G786" s="30" t="s">
        <v>7</v>
      </c>
      <c r="H786" s="64" t="s">
        <v>326</v>
      </c>
      <c r="I786" s="30" t="s">
        <v>68</v>
      </c>
      <c r="J786" s="32" t="s">
        <v>36</v>
      </c>
      <c r="K786" s="33" t="s">
        <v>6</v>
      </c>
      <c r="L786" s="46"/>
      <c r="M786" s="194"/>
      <c r="N786" s="194"/>
      <c r="O786" s="194"/>
      <c r="P786" s="196"/>
      <c r="Q786" s="196"/>
      <c r="R786" s="196"/>
      <c r="S786" s="196"/>
    </row>
    <row r="787" spans="1:36" s="61" customFormat="1" ht="244.8">
      <c r="A787" s="189"/>
      <c r="B787" s="191"/>
      <c r="C787" s="43" t="s">
        <v>327</v>
      </c>
      <c r="D787" s="62">
        <v>4</v>
      </c>
      <c r="E787" s="70" t="str">
        <f t="shared" si="782"/>
        <v>7:4</v>
      </c>
      <c r="F787" s="30" t="s">
        <v>149</v>
      </c>
      <c r="G787" s="30" t="s">
        <v>149</v>
      </c>
      <c r="H787" s="64" t="s">
        <v>328</v>
      </c>
      <c r="I787" s="30" t="s">
        <v>68</v>
      </c>
      <c r="J787" s="32" t="s">
        <v>36</v>
      </c>
      <c r="K787" s="33" t="s">
        <v>6</v>
      </c>
      <c r="L787" s="64"/>
      <c r="M787" s="195"/>
      <c r="N787" s="195"/>
      <c r="O787" s="195"/>
      <c r="P787" s="197"/>
      <c r="Q787" s="197"/>
      <c r="R787" s="197"/>
      <c r="S787" s="197"/>
    </row>
    <row r="788" spans="1:36" s="61" customFormat="1" ht="72.599999999999994" thickBot="1">
      <c r="A788" s="189"/>
      <c r="B788" s="191"/>
      <c r="C788" s="43" t="s">
        <v>329</v>
      </c>
      <c r="D788" s="62">
        <v>4</v>
      </c>
      <c r="E788" s="70" t="str">
        <f t="shared" si="782"/>
        <v>3:0</v>
      </c>
      <c r="F788" s="30" t="s">
        <v>330</v>
      </c>
      <c r="G788" s="30" t="s">
        <v>330</v>
      </c>
      <c r="H788" s="64" t="s">
        <v>331</v>
      </c>
      <c r="I788" s="30" t="s">
        <v>68</v>
      </c>
      <c r="J788" s="32" t="s">
        <v>36</v>
      </c>
      <c r="K788" s="33" t="s">
        <v>6</v>
      </c>
      <c r="L788" s="64"/>
      <c r="M788" s="195"/>
      <c r="N788" s="195"/>
      <c r="O788" s="195"/>
      <c r="P788" s="197"/>
      <c r="Q788" s="197"/>
      <c r="R788" s="197"/>
      <c r="S788" s="197"/>
    </row>
    <row r="789" spans="1:36" s="61" customFormat="1" ht="15" thickBot="1">
      <c r="A789" s="291" t="s">
        <v>895</v>
      </c>
      <c r="B789" s="291" t="str">
        <f>DEC2HEX(P789*4)</f>
        <v>48</v>
      </c>
      <c r="C789" s="98" t="s">
        <v>383</v>
      </c>
      <c r="D789" s="294" t="str">
        <f>bitConcat(F790:F802)</f>
        <v>32'b00000000000001101100100010000000</v>
      </c>
      <c r="E789" s="295"/>
      <c r="F789" s="296"/>
      <c r="G789" s="296"/>
      <c r="H789" s="297" t="s">
        <v>860</v>
      </c>
      <c r="I789" s="298" t="str">
        <f>bitConcat(G790:G794)</f>
        <v>Less Than 32 bit Were defined (8)</v>
      </c>
      <c r="J789" s="299" t="str">
        <f>bitConcat(G790:G802)</f>
        <v>32'b00000000010101101100100010000000</v>
      </c>
      <c r="K789" s="297"/>
      <c r="L789" s="298"/>
      <c r="M789" s="288" t="str">
        <f>DEC2HEX(_xlfn.BITLSHIFT(O789,7)+4*P789)</f>
        <v>248</v>
      </c>
      <c r="N789" s="288"/>
      <c r="O789" s="288">
        <v>4</v>
      </c>
      <c r="P789" s="288">
        <v>18</v>
      </c>
      <c r="Q789" s="288" t="str">
        <f>DEC2HEX(_xlfn.BITLSHIFT(O789,5)+P789)</f>
        <v>92</v>
      </c>
      <c r="R789" s="288" t="str">
        <f>BIN2HEX(LEFT(RIGHT(D789,32),4))&amp;BIN2HEX(LEFT(RIGHT(D789,28),4))&amp;BIN2HEX(LEFT(RIGHT(D789,24),4))&amp;BIN2HEX(LEFT(RIGHT(D789,20),4))&amp;BIN2HEX(LEFT(RIGHT(D789,16),4))&amp;BIN2HEX(LEFT(RIGHT(D789,12),4))&amp;BIN2HEX(LEFT(RIGHT(D789,8),4))&amp;BIN2HEX(LEFT(RIGHT(D789,4),4))</f>
        <v>0006C880</v>
      </c>
      <c r="S789" s="288" t="str">
        <f>BIN2HEX(LEFT(RIGHT(J789,32),4))&amp;BIN2HEX(LEFT(RIGHT(J789,28),4))&amp;BIN2HEX(LEFT(RIGHT(J789,24),4))&amp;BIN2HEX(LEFT(RIGHT(J789,20),4))&amp;BIN2HEX(LEFT(RIGHT(J789,16),4))&amp;BIN2HEX(LEFT(RIGHT(J789,12),4))&amp;BIN2HEX(LEFT(RIGHT(J789,8),4))&amp;BIN2HEX(LEFT(RIGHT(J789,4),4))</f>
        <v>0056C880</v>
      </c>
      <c r="T789" s="63"/>
      <c r="U789" s="63"/>
      <c r="V789" s="63"/>
      <c r="W789" s="63"/>
      <c r="X789" s="63"/>
      <c r="Y789" s="63"/>
      <c r="Z789" s="63"/>
      <c r="AA789" s="63"/>
      <c r="AB789" s="63"/>
      <c r="AC789" s="63"/>
      <c r="AD789" s="63"/>
      <c r="AE789" s="63"/>
      <c r="AF789" s="63"/>
      <c r="AG789" s="63"/>
      <c r="AH789" s="63"/>
      <c r="AI789" s="107"/>
      <c r="AJ789" s="63"/>
    </row>
    <row r="790" spans="1:36" s="61" customFormat="1">
      <c r="A790" s="292"/>
      <c r="B790" s="292"/>
      <c r="C790" s="99" t="s">
        <v>896</v>
      </c>
      <c r="D790" s="100">
        <v>4</v>
      </c>
      <c r="E790" s="108" t="str">
        <f>IF(D790&gt;1,(31)&amp;":"&amp;(31-D790+1),(31-D790+1)&amp;":"&amp;(31-D790+1))</f>
        <v>31:28</v>
      </c>
      <c r="F790" s="109" t="s">
        <v>149</v>
      </c>
      <c r="G790" s="109" t="s">
        <v>149</v>
      </c>
      <c r="H790" s="110" t="s">
        <v>396</v>
      </c>
      <c r="I790" s="103" t="s">
        <v>68</v>
      </c>
      <c r="J790" s="104" t="s">
        <v>36</v>
      </c>
      <c r="K790" s="101" t="s">
        <v>6</v>
      </c>
      <c r="L790" s="105"/>
      <c r="M790" s="289"/>
      <c r="N790" s="289"/>
      <c r="O790" s="289"/>
      <c r="P790" s="289"/>
      <c r="Q790" s="289"/>
      <c r="R790" s="289"/>
      <c r="S790" s="289"/>
    </row>
    <row r="791" spans="1:36" s="61" customFormat="1">
      <c r="A791" s="292"/>
      <c r="B791" s="292"/>
      <c r="C791" s="99" t="s">
        <v>897</v>
      </c>
      <c r="D791" s="100">
        <v>1</v>
      </c>
      <c r="E791" s="103" t="str">
        <f t="shared" ref="E791:E802" si="783">(MID(str_cnvt(E790),SEARCH(":",str_cnvt(E790))+1,2)-1) &amp; ":" &amp; (MID(str_cnvt(E790),SEARCH(":",str_cnvt(E790))+1,2)-D791)</f>
        <v>27:27</v>
      </c>
      <c r="F791" s="109" t="s">
        <v>7</v>
      </c>
      <c r="G791" s="109" t="s">
        <v>7</v>
      </c>
      <c r="H791" s="111" t="s">
        <v>966</v>
      </c>
      <c r="I791" s="103" t="s">
        <v>68</v>
      </c>
      <c r="J791" s="104" t="s">
        <v>36</v>
      </c>
      <c r="K791" s="101" t="s">
        <v>6</v>
      </c>
      <c r="L791" s="105"/>
      <c r="M791" s="289"/>
      <c r="N791" s="289"/>
      <c r="O791" s="289"/>
      <c r="P791" s="289"/>
      <c r="Q791" s="289"/>
      <c r="R791" s="289"/>
      <c r="S791" s="289"/>
    </row>
    <row r="792" spans="1:36" s="61" customFormat="1">
      <c r="A792" s="292"/>
      <c r="B792" s="292"/>
      <c r="C792" s="99" t="s">
        <v>898</v>
      </c>
      <c r="D792" s="100">
        <v>1</v>
      </c>
      <c r="E792" s="103" t="str">
        <f t="shared" si="783"/>
        <v>26:26</v>
      </c>
      <c r="F792" s="109" t="s">
        <v>7</v>
      </c>
      <c r="G792" s="109" t="s">
        <v>7</v>
      </c>
      <c r="H792" s="111" t="s">
        <v>948</v>
      </c>
      <c r="I792" s="103" t="s">
        <v>68</v>
      </c>
      <c r="J792" s="104" t="s">
        <v>36</v>
      </c>
      <c r="K792" s="101" t="s">
        <v>6</v>
      </c>
      <c r="L792" s="105"/>
      <c r="M792" s="289"/>
      <c r="N792" s="289"/>
      <c r="O792" s="289"/>
      <c r="P792" s="289"/>
      <c r="Q792" s="289"/>
      <c r="R792" s="289"/>
      <c r="S792" s="289"/>
    </row>
    <row r="793" spans="1:36" s="61" customFormat="1">
      <c r="A793" s="292"/>
      <c r="B793" s="292"/>
      <c r="C793" s="99" t="s">
        <v>899</v>
      </c>
      <c r="D793" s="100">
        <v>1</v>
      </c>
      <c r="E793" s="103" t="str">
        <f t="shared" si="783"/>
        <v>25:25</v>
      </c>
      <c r="F793" s="109" t="s">
        <v>7</v>
      </c>
      <c r="G793" s="109" t="s">
        <v>7</v>
      </c>
      <c r="H793" s="111" t="s">
        <v>900</v>
      </c>
      <c r="I793" s="103" t="s">
        <v>68</v>
      </c>
      <c r="J793" s="104" t="s">
        <v>36</v>
      </c>
      <c r="K793" s="101" t="s">
        <v>6</v>
      </c>
      <c r="L793" s="105"/>
      <c r="M793" s="289"/>
      <c r="N793" s="289"/>
      <c r="O793" s="289"/>
      <c r="P793" s="289"/>
      <c r="Q793" s="289"/>
      <c r="R793" s="289"/>
      <c r="S793" s="289"/>
    </row>
    <row r="794" spans="1:36" s="61" customFormat="1">
      <c r="A794" s="292"/>
      <c r="B794" s="292"/>
      <c r="C794" s="99" t="s">
        <v>901</v>
      </c>
      <c r="D794" s="100">
        <v>1</v>
      </c>
      <c r="E794" s="103" t="str">
        <f t="shared" si="783"/>
        <v>24:24</v>
      </c>
      <c r="F794" s="109" t="s">
        <v>7</v>
      </c>
      <c r="G794" s="109" t="s">
        <v>7</v>
      </c>
      <c r="H794" s="111" t="s">
        <v>902</v>
      </c>
      <c r="I794" s="103" t="s">
        <v>68</v>
      </c>
      <c r="J794" s="104" t="s">
        <v>36</v>
      </c>
      <c r="K794" s="101" t="s">
        <v>6</v>
      </c>
      <c r="L794" s="105"/>
      <c r="M794" s="289"/>
      <c r="N794" s="289"/>
      <c r="O794" s="289"/>
      <c r="P794" s="289"/>
      <c r="Q794" s="289"/>
      <c r="R794" s="289"/>
      <c r="S794" s="289"/>
    </row>
    <row r="795" spans="1:36" s="61" customFormat="1">
      <c r="A795" s="292"/>
      <c r="B795" s="292"/>
      <c r="C795" s="99" t="s">
        <v>903</v>
      </c>
      <c r="D795" s="100">
        <v>5</v>
      </c>
      <c r="E795" s="103" t="str">
        <f t="shared" si="783"/>
        <v>23:19</v>
      </c>
      <c r="F795" s="109" t="s">
        <v>434</v>
      </c>
      <c r="G795" s="109" t="s">
        <v>904</v>
      </c>
      <c r="H795" s="110" t="s">
        <v>396</v>
      </c>
      <c r="I795" s="103" t="s">
        <v>68</v>
      </c>
      <c r="J795" s="104" t="s">
        <v>36</v>
      </c>
      <c r="K795" s="101" t="s">
        <v>6</v>
      </c>
      <c r="L795" s="105"/>
      <c r="M795" s="289"/>
      <c r="N795" s="289"/>
      <c r="O795" s="289"/>
      <c r="P795" s="289"/>
      <c r="Q795" s="289"/>
      <c r="R795" s="289"/>
      <c r="S795" s="289"/>
    </row>
    <row r="796" spans="1:36" s="61" customFormat="1">
      <c r="A796" s="292"/>
      <c r="B796" s="292"/>
      <c r="C796" s="99" t="s">
        <v>905</v>
      </c>
      <c r="D796" s="100">
        <v>1</v>
      </c>
      <c r="E796" s="103" t="str">
        <f t="shared" si="783"/>
        <v>18:18</v>
      </c>
      <c r="F796" s="109" t="s">
        <v>269</v>
      </c>
      <c r="G796" s="109" t="s">
        <v>269</v>
      </c>
      <c r="H796" s="111" t="s">
        <v>906</v>
      </c>
      <c r="I796" s="103" t="s">
        <v>68</v>
      </c>
      <c r="J796" s="104" t="s">
        <v>36</v>
      </c>
      <c r="K796" s="101" t="s">
        <v>6</v>
      </c>
      <c r="L796" s="105"/>
      <c r="M796" s="289"/>
      <c r="N796" s="289"/>
      <c r="O796" s="289"/>
      <c r="P796" s="289"/>
      <c r="Q796" s="289"/>
      <c r="R796" s="289"/>
      <c r="S796" s="289"/>
    </row>
    <row r="797" spans="1:36" s="61" customFormat="1">
      <c r="A797" s="292"/>
      <c r="B797" s="292"/>
      <c r="C797" s="99" t="s">
        <v>907</v>
      </c>
      <c r="D797" s="100">
        <v>1</v>
      </c>
      <c r="E797" s="103" t="str">
        <f t="shared" si="783"/>
        <v>17:17</v>
      </c>
      <c r="F797" s="109" t="s">
        <v>269</v>
      </c>
      <c r="G797" s="109" t="s">
        <v>269</v>
      </c>
      <c r="H797" s="111" t="s">
        <v>908</v>
      </c>
      <c r="I797" s="103" t="s">
        <v>68</v>
      </c>
      <c r="J797" s="104" t="s">
        <v>36</v>
      </c>
      <c r="K797" s="101" t="s">
        <v>6</v>
      </c>
      <c r="L797" s="105"/>
      <c r="M797" s="289"/>
      <c r="N797" s="289"/>
      <c r="O797" s="289"/>
      <c r="P797" s="289"/>
      <c r="Q797" s="289"/>
      <c r="R797" s="289"/>
      <c r="S797" s="289"/>
    </row>
    <row r="798" spans="1:36" s="61" customFormat="1">
      <c r="A798" s="292"/>
      <c r="B798" s="292"/>
      <c r="C798" s="99" t="s">
        <v>909</v>
      </c>
      <c r="D798" s="100">
        <v>1</v>
      </c>
      <c r="E798" s="103" t="str">
        <f t="shared" si="783"/>
        <v>16:16</v>
      </c>
      <c r="F798" s="109" t="s">
        <v>7</v>
      </c>
      <c r="G798" s="109" t="s">
        <v>7</v>
      </c>
      <c r="H798" s="111" t="s">
        <v>910</v>
      </c>
      <c r="I798" s="103" t="s">
        <v>68</v>
      </c>
      <c r="J798" s="104" t="s">
        <v>36</v>
      </c>
      <c r="K798" s="101" t="s">
        <v>6</v>
      </c>
      <c r="L798" s="105"/>
      <c r="M798" s="289"/>
      <c r="N798" s="289"/>
      <c r="O798" s="289"/>
      <c r="P798" s="289"/>
      <c r="Q798" s="289"/>
      <c r="R798" s="289"/>
      <c r="S798" s="289"/>
    </row>
    <row r="799" spans="1:36" s="61" customFormat="1">
      <c r="A799" s="292"/>
      <c r="B799" s="292"/>
      <c r="C799" s="99" t="s">
        <v>911</v>
      </c>
      <c r="D799" s="100">
        <v>4</v>
      </c>
      <c r="E799" s="103" t="str">
        <f t="shared" si="783"/>
        <v>15:12</v>
      </c>
      <c r="F799" s="109" t="s">
        <v>912</v>
      </c>
      <c r="G799" s="109" t="s">
        <v>912</v>
      </c>
      <c r="H799" s="111" t="s">
        <v>949</v>
      </c>
      <c r="I799" s="103" t="s">
        <v>68</v>
      </c>
      <c r="J799" s="104" t="s">
        <v>36</v>
      </c>
      <c r="K799" s="101" t="s">
        <v>6</v>
      </c>
      <c r="L799" s="105"/>
      <c r="M799" s="289"/>
      <c r="N799" s="289"/>
      <c r="O799" s="289"/>
      <c r="P799" s="289"/>
      <c r="Q799" s="289"/>
      <c r="R799" s="289"/>
      <c r="S799" s="289"/>
    </row>
    <row r="800" spans="1:36" s="61" customFormat="1">
      <c r="A800" s="292"/>
      <c r="B800" s="292"/>
      <c r="C800" s="99" t="s">
        <v>913</v>
      </c>
      <c r="D800" s="100">
        <v>4</v>
      </c>
      <c r="E800" s="103" t="str">
        <f t="shared" si="783"/>
        <v>11:8</v>
      </c>
      <c r="F800" s="109" t="s">
        <v>146</v>
      </c>
      <c r="G800" s="109" t="s">
        <v>146</v>
      </c>
      <c r="H800" s="111" t="s">
        <v>950</v>
      </c>
      <c r="I800" s="103" t="s">
        <v>68</v>
      </c>
      <c r="J800" s="104" t="s">
        <v>36</v>
      </c>
      <c r="K800" s="101" t="s">
        <v>6</v>
      </c>
      <c r="L800" s="105"/>
      <c r="M800" s="289"/>
      <c r="N800" s="289"/>
      <c r="O800" s="289"/>
      <c r="P800" s="289"/>
      <c r="Q800" s="289"/>
      <c r="R800" s="289"/>
      <c r="S800" s="289"/>
    </row>
    <row r="801" spans="1:19" s="61" customFormat="1">
      <c r="A801" s="292"/>
      <c r="B801" s="292"/>
      <c r="C801" s="99" t="s">
        <v>914</v>
      </c>
      <c r="D801" s="100">
        <v>3</v>
      </c>
      <c r="E801" s="103" t="str">
        <f t="shared" si="783"/>
        <v>7:5</v>
      </c>
      <c r="F801" s="109" t="s">
        <v>915</v>
      </c>
      <c r="G801" s="109" t="s">
        <v>915</v>
      </c>
      <c r="H801" s="111" t="s">
        <v>916</v>
      </c>
      <c r="I801" s="103" t="s">
        <v>68</v>
      </c>
      <c r="J801" s="104" t="s">
        <v>36</v>
      </c>
      <c r="K801" s="101" t="s">
        <v>6</v>
      </c>
      <c r="L801" s="105"/>
      <c r="M801" s="289"/>
      <c r="N801" s="289"/>
      <c r="O801" s="289"/>
      <c r="P801" s="289"/>
      <c r="Q801" s="289"/>
      <c r="R801" s="289"/>
      <c r="S801" s="289"/>
    </row>
    <row r="802" spans="1:19" s="61" customFormat="1" ht="15" thickBot="1">
      <c r="A802" s="293"/>
      <c r="B802" s="293"/>
      <c r="C802" s="99" t="s">
        <v>917</v>
      </c>
      <c r="D802" s="100">
        <v>5</v>
      </c>
      <c r="E802" s="103" t="str">
        <f t="shared" si="783"/>
        <v>4:0</v>
      </c>
      <c r="F802" s="109" t="s">
        <v>434</v>
      </c>
      <c r="G802" s="109" t="s">
        <v>434</v>
      </c>
      <c r="H802" s="110" t="s">
        <v>396</v>
      </c>
      <c r="I802" s="103" t="s">
        <v>68</v>
      </c>
      <c r="J802" s="104" t="s">
        <v>36</v>
      </c>
      <c r="K802" s="101" t="s">
        <v>6</v>
      </c>
      <c r="L802" s="105"/>
      <c r="M802" s="300"/>
      <c r="N802" s="300"/>
      <c r="O802" s="300"/>
      <c r="P802" s="300"/>
      <c r="Q802" s="300"/>
      <c r="R802" s="300"/>
      <c r="S802" s="300"/>
    </row>
    <row r="803" spans="1:19" s="61" customFormat="1" ht="15" thickBot="1">
      <c r="A803" s="307" t="s">
        <v>918</v>
      </c>
      <c r="B803" s="307" t="str">
        <f>DEC2HEX(P803*4)</f>
        <v>4C</v>
      </c>
      <c r="C803" s="98" t="s">
        <v>383</v>
      </c>
      <c r="D803" s="294" t="str">
        <f>bitConcat(F804:F824)</f>
        <v>32'b00000011000000000000001100000000</v>
      </c>
      <c r="E803" s="295"/>
      <c r="F803" s="296"/>
      <c r="G803" s="296"/>
      <c r="H803" s="297" t="s">
        <v>860</v>
      </c>
      <c r="I803" s="298" t="str">
        <f>bitConcat(G804:G807)</f>
        <v>Less Than 32 bit Were defined (8)</v>
      </c>
      <c r="J803" s="299" t="str">
        <f>bitConcat(G804:G824)</f>
        <v>32'b00000011000000000000001100000000</v>
      </c>
      <c r="K803" s="297"/>
      <c r="L803" s="298"/>
      <c r="M803" s="288" t="str">
        <f>DEC2HEX(_xlfn.BITLSHIFT(O803,7)+4*P803)</f>
        <v>24C</v>
      </c>
      <c r="N803" s="288"/>
      <c r="O803" s="288">
        <v>4</v>
      </c>
      <c r="P803" s="288">
        <v>19</v>
      </c>
      <c r="Q803" s="288" t="str">
        <f>DEC2HEX(_xlfn.BITLSHIFT(O803,5)+P803)</f>
        <v>93</v>
      </c>
      <c r="R803" s="288" t="str">
        <f>BIN2HEX(LEFT(RIGHT(D803,32),4))&amp;BIN2HEX(LEFT(RIGHT(D803,28),4))&amp;BIN2HEX(LEFT(RIGHT(D803,24),4))&amp;BIN2HEX(LEFT(RIGHT(D803,20),4))&amp;BIN2HEX(LEFT(RIGHT(D803,16),4))&amp;BIN2HEX(LEFT(RIGHT(D803,12),4))&amp;BIN2HEX(LEFT(RIGHT(D803,8),4))&amp;BIN2HEX(LEFT(RIGHT(D803,4),4))</f>
        <v>03000300</v>
      </c>
      <c r="S803" s="288" t="str">
        <f>BIN2HEX(LEFT(RIGHT(J803,32),4))&amp;BIN2HEX(LEFT(RIGHT(J803,28),4))&amp;BIN2HEX(LEFT(RIGHT(J803,24),4))&amp;BIN2HEX(LEFT(RIGHT(J803,20),4))&amp;BIN2HEX(LEFT(RIGHT(J803,16),4))&amp;BIN2HEX(LEFT(RIGHT(J803,12),4))&amp;BIN2HEX(LEFT(RIGHT(J803,8),4))&amp;BIN2HEX(LEFT(RIGHT(J803,4),4))</f>
        <v>03000300</v>
      </c>
    </row>
    <row r="804" spans="1:19" s="61" customFormat="1">
      <c r="A804" s="307"/>
      <c r="B804" s="307"/>
      <c r="C804" s="99" t="s">
        <v>919</v>
      </c>
      <c r="D804" s="100">
        <v>2</v>
      </c>
      <c r="E804" s="108" t="str">
        <f>IF(D804&gt;1,(31)&amp;":"&amp;(31-D804+1),(31-D804+1)&amp;":"&amp;(31-D804+1))</f>
        <v>31:30</v>
      </c>
      <c r="F804" s="109" t="s">
        <v>154</v>
      </c>
      <c r="G804" s="109" t="s">
        <v>154</v>
      </c>
      <c r="H804" s="117" t="s">
        <v>396</v>
      </c>
      <c r="I804" s="103" t="s">
        <v>68</v>
      </c>
      <c r="J804" s="104" t="s">
        <v>36</v>
      </c>
      <c r="K804" s="101" t="s">
        <v>6</v>
      </c>
      <c r="L804" s="105"/>
      <c r="M804" s="289"/>
      <c r="N804" s="289"/>
      <c r="O804" s="289"/>
      <c r="P804" s="289"/>
      <c r="Q804" s="289"/>
      <c r="R804" s="289"/>
      <c r="S804" s="289"/>
    </row>
    <row r="805" spans="1:19" s="61" customFormat="1">
      <c r="A805" s="307"/>
      <c r="B805" s="307"/>
      <c r="C805" s="99" t="s">
        <v>920</v>
      </c>
      <c r="D805" s="100">
        <v>1</v>
      </c>
      <c r="E805" s="103" t="str">
        <f t="shared" ref="E805:E824" si="784">(MID(str_cnvt(E804),SEARCH(":",str_cnvt(E804))+1,2)-1) &amp; ":" &amp; (MID(str_cnvt(E804),SEARCH(":",str_cnvt(E804))+1,2)-D805)</f>
        <v>29:29</v>
      </c>
      <c r="F805" s="109" t="s">
        <v>7</v>
      </c>
      <c r="G805" s="109" t="s">
        <v>7</v>
      </c>
      <c r="H805" s="117" t="s">
        <v>967</v>
      </c>
      <c r="I805" s="103" t="s">
        <v>68</v>
      </c>
      <c r="J805" s="104" t="s">
        <v>36</v>
      </c>
      <c r="K805" s="101" t="s">
        <v>6</v>
      </c>
      <c r="L805" s="105"/>
      <c r="M805" s="289"/>
      <c r="N805" s="289"/>
      <c r="O805" s="289"/>
      <c r="P805" s="289"/>
      <c r="Q805" s="289"/>
      <c r="R805" s="289"/>
      <c r="S805" s="289"/>
    </row>
    <row r="806" spans="1:19" s="61" customFormat="1">
      <c r="A806" s="307"/>
      <c r="B806" s="307"/>
      <c r="C806" s="99" t="s">
        <v>921</v>
      </c>
      <c r="D806" s="100">
        <v>1</v>
      </c>
      <c r="E806" s="103" t="str">
        <f t="shared" si="784"/>
        <v>28:28</v>
      </c>
      <c r="F806" s="109" t="s">
        <v>7</v>
      </c>
      <c r="G806" s="109" t="s">
        <v>7</v>
      </c>
      <c r="H806" s="117" t="s">
        <v>968</v>
      </c>
      <c r="I806" s="103" t="s">
        <v>68</v>
      </c>
      <c r="J806" s="104" t="s">
        <v>36</v>
      </c>
      <c r="K806" s="101" t="s">
        <v>6</v>
      </c>
      <c r="L806" s="105"/>
      <c r="M806" s="289"/>
      <c r="N806" s="289"/>
      <c r="O806" s="289"/>
      <c r="P806" s="289"/>
      <c r="Q806" s="289"/>
      <c r="R806" s="289"/>
      <c r="S806" s="289"/>
    </row>
    <row r="807" spans="1:19" s="61" customFormat="1">
      <c r="A807" s="308"/>
      <c r="B807" s="308"/>
      <c r="C807" s="99" t="s">
        <v>922</v>
      </c>
      <c r="D807" s="100">
        <v>4</v>
      </c>
      <c r="E807" s="103" t="str">
        <f t="shared" si="784"/>
        <v>27:24</v>
      </c>
      <c r="F807" s="109" t="s">
        <v>923</v>
      </c>
      <c r="G807" s="109" t="s">
        <v>923</v>
      </c>
      <c r="H807" s="117" t="s">
        <v>969</v>
      </c>
      <c r="I807" s="103" t="s">
        <v>68</v>
      </c>
      <c r="J807" s="104" t="s">
        <v>36</v>
      </c>
      <c r="K807" s="101" t="s">
        <v>6</v>
      </c>
      <c r="L807" s="105"/>
      <c r="M807" s="289"/>
      <c r="N807" s="289"/>
      <c r="O807" s="289"/>
      <c r="P807" s="289"/>
      <c r="Q807" s="289"/>
      <c r="R807" s="289"/>
      <c r="S807" s="289"/>
    </row>
    <row r="808" spans="1:19" s="61" customFormat="1">
      <c r="A808" s="308"/>
      <c r="B808" s="308"/>
      <c r="C808" s="99" t="s">
        <v>924</v>
      </c>
      <c r="D808" s="100">
        <v>3</v>
      </c>
      <c r="E808" s="103" t="str">
        <f t="shared" si="784"/>
        <v>23:21</v>
      </c>
      <c r="F808" s="109" t="s">
        <v>178</v>
      </c>
      <c r="G808" s="109" t="s">
        <v>178</v>
      </c>
      <c r="H808" s="117" t="s">
        <v>396</v>
      </c>
      <c r="I808" s="103" t="s">
        <v>68</v>
      </c>
      <c r="J808" s="104" t="s">
        <v>36</v>
      </c>
      <c r="K808" s="101" t="s">
        <v>6</v>
      </c>
      <c r="L808" s="105"/>
      <c r="M808" s="289"/>
      <c r="N808" s="289"/>
      <c r="O808" s="289"/>
      <c r="P808" s="289"/>
      <c r="Q808" s="289"/>
      <c r="R808" s="289"/>
      <c r="S808" s="289"/>
    </row>
    <row r="809" spans="1:19" s="61" customFormat="1">
      <c r="A809" s="308"/>
      <c r="B809" s="308"/>
      <c r="C809" s="99" t="s">
        <v>925</v>
      </c>
      <c r="D809" s="100">
        <v>1</v>
      </c>
      <c r="E809" s="103" t="str">
        <f t="shared" si="784"/>
        <v>20:20</v>
      </c>
      <c r="F809" s="109" t="s">
        <v>7</v>
      </c>
      <c r="G809" s="109" t="s">
        <v>7</v>
      </c>
      <c r="H809" s="117" t="s">
        <v>964</v>
      </c>
      <c r="I809" s="103" t="s">
        <v>68</v>
      </c>
      <c r="J809" s="104" t="s">
        <v>36</v>
      </c>
      <c r="K809" s="101" t="s">
        <v>6</v>
      </c>
      <c r="L809" s="105"/>
      <c r="M809" s="289"/>
      <c r="N809" s="289"/>
      <c r="O809" s="289"/>
      <c r="P809" s="289"/>
      <c r="Q809" s="289"/>
      <c r="R809" s="289"/>
      <c r="S809" s="289"/>
    </row>
    <row r="810" spans="1:19" s="61" customFormat="1">
      <c r="A810" s="308"/>
      <c r="B810" s="308"/>
      <c r="C810" s="99" t="s">
        <v>926</v>
      </c>
      <c r="D810" s="100">
        <v>3</v>
      </c>
      <c r="E810" s="103" t="str">
        <f t="shared" si="784"/>
        <v>19:17</v>
      </c>
      <c r="F810" s="109" t="s">
        <v>178</v>
      </c>
      <c r="G810" s="109" t="s">
        <v>178</v>
      </c>
      <c r="H810" s="117" t="s">
        <v>965</v>
      </c>
      <c r="I810" s="103" t="s">
        <v>68</v>
      </c>
      <c r="J810" s="104" t="s">
        <v>36</v>
      </c>
      <c r="K810" s="101" t="s">
        <v>6</v>
      </c>
      <c r="L810" s="105"/>
      <c r="M810" s="289"/>
      <c r="N810" s="289"/>
      <c r="O810" s="289"/>
      <c r="P810" s="289"/>
      <c r="Q810" s="289"/>
      <c r="R810" s="289"/>
      <c r="S810" s="289"/>
    </row>
    <row r="811" spans="1:19" s="61" customFormat="1">
      <c r="A811" s="308"/>
      <c r="B811" s="308"/>
      <c r="C811" s="99" t="s">
        <v>927</v>
      </c>
      <c r="D811" s="100">
        <v>1</v>
      </c>
      <c r="E811" s="103" t="str">
        <f t="shared" si="784"/>
        <v>16:16</v>
      </c>
      <c r="F811" s="109" t="s">
        <v>7</v>
      </c>
      <c r="G811" s="109" t="s">
        <v>7</v>
      </c>
      <c r="H811" s="118" t="s">
        <v>963</v>
      </c>
      <c r="I811" s="103" t="s">
        <v>68</v>
      </c>
      <c r="J811" s="104" t="s">
        <v>36</v>
      </c>
      <c r="K811" s="101" t="s">
        <v>6</v>
      </c>
      <c r="L811" s="105"/>
      <c r="M811" s="289"/>
      <c r="N811" s="289"/>
      <c r="O811" s="289"/>
      <c r="P811" s="289"/>
      <c r="Q811" s="289"/>
      <c r="R811" s="289"/>
      <c r="S811" s="289"/>
    </row>
    <row r="812" spans="1:19" s="61" customFormat="1">
      <c r="A812" s="308"/>
      <c r="B812" s="308"/>
      <c r="C812" s="99" t="s">
        <v>928</v>
      </c>
      <c r="D812" s="100">
        <v>1</v>
      </c>
      <c r="E812" s="103" t="str">
        <f t="shared" si="784"/>
        <v>15:15</v>
      </c>
      <c r="F812" s="109" t="s">
        <v>7</v>
      </c>
      <c r="G812" s="109" t="s">
        <v>7</v>
      </c>
      <c r="H812" s="117" t="s">
        <v>396</v>
      </c>
      <c r="I812" s="103" t="s">
        <v>68</v>
      </c>
      <c r="J812" s="104" t="s">
        <v>36</v>
      </c>
      <c r="K812" s="101" t="s">
        <v>6</v>
      </c>
      <c r="L812" s="105"/>
      <c r="M812" s="289"/>
      <c r="N812" s="289"/>
      <c r="O812" s="289"/>
      <c r="P812" s="289"/>
      <c r="Q812" s="289"/>
      <c r="R812" s="289"/>
      <c r="S812" s="289"/>
    </row>
    <row r="813" spans="1:19" s="61" customFormat="1">
      <c r="A813" s="308"/>
      <c r="B813" s="308"/>
      <c r="C813" s="99" t="s">
        <v>929</v>
      </c>
      <c r="D813" s="100">
        <v>1</v>
      </c>
      <c r="E813" s="103" t="str">
        <f t="shared" si="784"/>
        <v>14:14</v>
      </c>
      <c r="F813" s="109" t="s">
        <v>7</v>
      </c>
      <c r="G813" s="109" t="s">
        <v>7</v>
      </c>
      <c r="H813" s="118" t="s">
        <v>962</v>
      </c>
      <c r="I813" s="103" t="s">
        <v>68</v>
      </c>
      <c r="J813" s="104" t="s">
        <v>36</v>
      </c>
      <c r="K813" s="101" t="s">
        <v>6</v>
      </c>
      <c r="L813" s="105"/>
      <c r="M813" s="289"/>
      <c r="N813" s="289"/>
      <c r="O813" s="289"/>
      <c r="P813" s="289"/>
      <c r="Q813" s="289"/>
      <c r="R813" s="289"/>
      <c r="S813" s="289"/>
    </row>
    <row r="814" spans="1:19" s="61" customFormat="1">
      <c r="A814" s="308"/>
      <c r="B814" s="308"/>
      <c r="C814" s="99" t="s">
        <v>930</v>
      </c>
      <c r="D814" s="100">
        <v>1</v>
      </c>
      <c r="E814" s="103" t="str">
        <f t="shared" si="784"/>
        <v>13:13</v>
      </c>
      <c r="F814" s="109" t="s">
        <v>7</v>
      </c>
      <c r="G814" s="109" t="s">
        <v>7</v>
      </c>
      <c r="H814" s="118" t="s">
        <v>961</v>
      </c>
      <c r="I814" s="103" t="s">
        <v>68</v>
      </c>
      <c r="J814" s="104" t="s">
        <v>36</v>
      </c>
      <c r="K814" s="101" t="s">
        <v>6</v>
      </c>
      <c r="L814" s="105"/>
      <c r="M814" s="289"/>
      <c r="N814" s="289"/>
      <c r="O814" s="289"/>
      <c r="P814" s="289"/>
      <c r="Q814" s="289"/>
      <c r="R814" s="289"/>
      <c r="S814" s="289"/>
    </row>
    <row r="815" spans="1:19" s="61" customFormat="1">
      <c r="A815" s="308"/>
      <c r="B815" s="308"/>
      <c r="C815" s="99" t="s">
        <v>931</v>
      </c>
      <c r="D815" s="100">
        <v>1</v>
      </c>
      <c r="E815" s="103" t="str">
        <f t="shared" si="784"/>
        <v>12:12</v>
      </c>
      <c r="F815" s="109" t="s">
        <v>7</v>
      </c>
      <c r="G815" s="109" t="s">
        <v>7</v>
      </c>
      <c r="H815" s="118" t="s">
        <v>960</v>
      </c>
      <c r="I815" s="103" t="s">
        <v>68</v>
      </c>
      <c r="J815" s="104" t="s">
        <v>36</v>
      </c>
      <c r="K815" s="101" t="s">
        <v>6</v>
      </c>
      <c r="L815" s="105"/>
      <c r="M815" s="289"/>
      <c r="N815" s="289"/>
      <c r="O815" s="289"/>
      <c r="P815" s="289"/>
      <c r="Q815" s="289"/>
      <c r="R815" s="289"/>
      <c r="S815" s="289"/>
    </row>
    <row r="816" spans="1:19" s="61" customFormat="1">
      <c r="A816" s="308"/>
      <c r="B816" s="308"/>
      <c r="C816" s="99" t="s">
        <v>932</v>
      </c>
      <c r="D816" s="100">
        <v>4</v>
      </c>
      <c r="E816" s="103" t="str">
        <f t="shared" si="784"/>
        <v>11:8</v>
      </c>
      <c r="F816" s="109" t="s">
        <v>923</v>
      </c>
      <c r="G816" s="109" t="s">
        <v>923</v>
      </c>
      <c r="H816" s="118" t="s">
        <v>959</v>
      </c>
      <c r="I816" s="103" t="s">
        <v>68</v>
      </c>
      <c r="J816" s="104" t="s">
        <v>36</v>
      </c>
      <c r="K816" s="101" t="s">
        <v>6</v>
      </c>
      <c r="L816" s="105"/>
      <c r="M816" s="289"/>
      <c r="N816" s="289"/>
      <c r="O816" s="289"/>
      <c r="P816" s="289"/>
      <c r="Q816" s="289"/>
      <c r="R816" s="289"/>
      <c r="S816" s="289"/>
    </row>
    <row r="817" spans="1:19" s="61" customFormat="1">
      <c r="A817" s="308"/>
      <c r="B817" s="308"/>
      <c r="C817" s="99" t="s">
        <v>933</v>
      </c>
      <c r="D817" s="100">
        <v>1</v>
      </c>
      <c r="E817" s="103" t="str">
        <f t="shared" si="784"/>
        <v>7:7</v>
      </c>
      <c r="F817" s="109" t="s">
        <v>7</v>
      </c>
      <c r="G817" s="109" t="s">
        <v>7</v>
      </c>
      <c r="H817" s="118" t="s">
        <v>958</v>
      </c>
      <c r="I817" s="103" t="s">
        <v>68</v>
      </c>
      <c r="J817" s="104" t="s">
        <v>36</v>
      </c>
      <c r="K817" s="101" t="s">
        <v>6</v>
      </c>
      <c r="L817" s="105"/>
      <c r="M817" s="289"/>
      <c r="N817" s="289"/>
      <c r="O817" s="289"/>
      <c r="P817" s="289"/>
      <c r="Q817" s="289"/>
      <c r="R817" s="289"/>
      <c r="S817" s="289"/>
    </row>
    <row r="818" spans="1:19" s="61" customFormat="1">
      <c r="A818" s="308"/>
      <c r="B818" s="308"/>
      <c r="C818" s="99" t="s">
        <v>934</v>
      </c>
      <c r="D818" s="100">
        <v>1</v>
      </c>
      <c r="E818" s="103" t="str">
        <f t="shared" si="784"/>
        <v>6:6</v>
      </c>
      <c r="F818" s="109" t="s">
        <v>7</v>
      </c>
      <c r="G818" s="109" t="s">
        <v>7</v>
      </c>
      <c r="H818" s="118" t="s">
        <v>957</v>
      </c>
      <c r="I818" s="103" t="s">
        <v>68</v>
      </c>
      <c r="J818" s="104" t="s">
        <v>36</v>
      </c>
      <c r="K818" s="101" t="s">
        <v>6</v>
      </c>
      <c r="L818" s="105"/>
      <c r="M818" s="289"/>
      <c r="N818" s="289"/>
      <c r="O818" s="289"/>
      <c r="P818" s="289"/>
      <c r="Q818" s="289"/>
      <c r="R818" s="289"/>
      <c r="S818" s="289"/>
    </row>
    <row r="819" spans="1:19" s="61" customFormat="1">
      <c r="A819" s="308"/>
      <c r="B819" s="308"/>
      <c r="C819" s="99" t="s">
        <v>935</v>
      </c>
      <c r="D819" s="100">
        <v>1</v>
      </c>
      <c r="E819" s="103" t="str">
        <f t="shared" si="784"/>
        <v>5:5</v>
      </c>
      <c r="F819" s="109" t="s">
        <v>7</v>
      </c>
      <c r="G819" s="109" t="s">
        <v>7</v>
      </c>
      <c r="H819" s="118" t="s">
        <v>956</v>
      </c>
      <c r="I819" s="103" t="s">
        <v>68</v>
      </c>
      <c r="J819" s="104" t="s">
        <v>36</v>
      </c>
      <c r="K819" s="101" t="s">
        <v>6</v>
      </c>
      <c r="L819" s="105"/>
      <c r="M819" s="289"/>
      <c r="N819" s="289"/>
      <c r="O819" s="289"/>
      <c r="P819" s="289"/>
      <c r="Q819" s="289"/>
      <c r="R819" s="289"/>
      <c r="S819" s="289"/>
    </row>
    <row r="820" spans="1:19" s="61" customFormat="1">
      <c r="A820" s="308"/>
      <c r="B820" s="308"/>
      <c r="C820" s="99" t="s">
        <v>936</v>
      </c>
      <c r="D820" s="100">
        <v>1</v>
      </c>
      <c r="E820" s="103" t="str">
        <f t="shared" si="784"/>
        <v>4:4</v>
      </c>
      <c r="F820" s="109" t="s">
        <v>7</v>
      </c>
      <c r="G820" s="109" t="s">
        <v>7</v>
      </c>
      <c r="H820" s="118" t="s">
        <v>955</v>
      </c>
      <c r="I820" s="103" t="s">
        <v>68</v>
      </c>
      <c r="J820" s="104" t="s">
        <v>36</v>
      </c>
      <c r="K820" s="101" t="s">
        <v>6</v>
      </c>
      <c r="L820" s="105"/>
      <c r="M820" s="289"/>
      <c r="N820" s="289"/>
      <c r="O820" s="289"/>
      <c r="P820" s="289"/>
      <c r="Q820" s="289"/>
      <c r="R820" s="289"/>
      <c r="S820" s="289"/>
    </row>
    <row r="821" spans="1:19" s="61" customFormat="1">
      <c r="A821" s="308"/>
      <c r="B821" s="308"/>
      <c r="C821" s="99" t="s">
        <v>937</v>
      </c>
      <c r="D821" s="100">
        <v>1</v>
      </c>
      <c r="E821" s="103" t="str">
        <f t="shared" si="784"/>
        <v>3:3</v>
      </c>
      <c r="F821" s="109" t="s">
        <v>7</v>
      </c>
      <c r="G821" s="109" t="s">
        <v>7</v>
      </c>
      <c r="H821" s="118" t="s">
        <v>954</v>
      </c>
      <c r="I821" s="103" t="s">
        <v>68</v>
      </c>
      <c r="J821" s="104" t="s">
        <v>36</v>
      </c>
      <c r="K821" s="101" t="s">
        <v>6</v>
      </c>
      <c r="L821" s="105"/>
      <c r="M821" s="289"/>
      <c r="N821" s="289"/>
      <c r="O821" s="289"/>
      <c r="P821" s="289"/>
      <c r="Q821" s="289"/>
      <c r="R821" s="289"/>
      <c r="S821" s="289"/>
    </row>
    <row r="822" spans="1:19" s="61" customFormat="1">
      <c r="A822" s="308"/>
      <c r="B822" s="308"/>
      <c r="C822" s="99" t="s">
        <v>938</v>
      </c>
      <c r="D822" s="100">
        <v>1</v>
      </c>
      <c r="E822" s="103" t="str">
        <f t="shared" si="784"/>
        <v>2:2</v>
      </c>
      <c r="F822" s="109" t="s">
        <v>7</v>
      </c>
      <c r="G822" s="109" t="s">
        <v>7</v>
      </c>
      <c r="H822" s="118" t="s">
        <v>953</v>
      </c>
      <c r="I822" s="103" t="s">
        <v>68</v>
      </c>
      <c r="J822" s="104" t="s">
        <v>36</v>
      </c>
      <c r="K822" s="101" t="s">
        <v>6</v>
      </c>
      <c r="L822" s="105"/>
      <c r="M822" s="289"/>
      <c r="N822" s="289"/>
      <c r="O822" s="289"/>
      <c r="P822" s="289"/>
      <c r="Q822" s="289"/>
      <c r="R822" s="289"/>
      <c r="S822" s="289"/>
    </row>
    <row r="823" spans="1:19" s="61" customFormat="1">
      <c r="A823" s="308"/>
      <c r="B823" s="308"/>
      <c r="C823" s="99" t="s">
        <v>939</v>
      </c>
      <c r="D823" s="100">
        <v>1</v>
      </c>
      <c r="E823" s="103" t="str">
        <f t="shared" si="784"/>
        <v>1:1</v>
      </c>
      <c r="F823" s="109" t="s">
        <v>7</v>
      </c>
      <c r="G823" s="109" t="s">
        <v>7</v>
      </c>
      <c r="H823" s="118" t="s">
        <v>952</v>
      </c>
      <c r="I823" s="103" t="s">
        <v>68</v>
      </c>
      <c r="J823" s="104" t="s">
        <v>36</v>
      </c>
      <c r="K823" s="101" t="s">
        <v>6</v>
      </c>
      <c r="L823" s="105"/>
      <c r="M823" s="289"/>
      <c r="N823" s="289"/>
      <c r="O823" s="289"/>
      <c r="P823" s="289"/>
      <c r="Q823" s="289"/>
      <c r="R823" s="289"/>
      <c r="S823" s="289"/>
    </row>
    <row r="824" spans="1:19" s="61" customFormat="1" ht="15" thickBot="1">
      <c r="A824" s="309"/>
      <c r="B824" s="309"/>
      <c r="C824" s="99" t="s">
        <v>940</v>
      </c>
      <c r="D824" s="112">
        <v>1</v>
      </c>
      <c r="E824" s="112" t="str">
        <f t="shared" si="784"/>
        <v>0:0</v>
      </c>
      <c r="F824" s="113" t="s">
        <v>7</v>
      </c>
      <c r="G824" s="113" t="s">
        <v>7</v>
      </c>
      <c r="H824" s="118" t="s">
        <v>951</v>
      </c>
      <c r="I824" s="114" t="s">
        <v>68</v>
      </c>
      <c r="J824" s="115" t="s">
        <v>36</v>
      </c>
      <c r="K824" s="116" t="s">
        <v>6</v>
      </c>
      <c r="L824" s="116"/>
      <c r="M824" s="310"/>
      <c r="N824" s="310"/>
      <c r="O824" s="310"/>
      <c r="P824" s="310"/>
      <c r="Q824" s="310"/>
      <c r="R824" s="310"/>
      <c r="S824" s="310"/>
    </row>
    <row r="825" spans="1:19" s="61" customFormat="1" ht="15" customHeight="1" thickBot="1">
      <c r="A825" s="185" t="s">
        <v>332</v>
      </c>
      <c r="B825" s="187" t="str">
        <f>DEC2HEX(P825*4)</f>
        <v>5C</v>
      </c>
      <c r="C825" s="60" t="s">
        <v>134</v>
      </c>
      <c r="D825" s="192" t="str">
        <f>bitConcat(F826:F850)</f>
        <v>32'b11111110000000000000000000000000</v>
      </c>
      <c r="E825" s="193"/>
      <c r="F825" s="193"/>
      <c r="G825" s="193"/>
      <c r="H825" s="166" t="s">
        <v>135</v>
      </c>
      <c r="I825" s="167"/>
      <c r="J825" s="168" t="str">
        <f>bitConcat(G826:G850)</f>
        <v>32'b00000000000000000000000000000000</v>
      </c>
      <c r="K825" s="166"/>
      <c r="L825" s="167"/>
      <c r="M825" s="120" t="str">
        <f>DEC2HEX(_xlfn.BITLSHIFT(O825,7)+4*P825)</f>
        <v>25C</v>
      </c>
      <c r="N825" s="120"/>
      <c r="O825" s="120">
        <v>4</v>
      </c>
      <c r="P825" s="122">
        <v>23</v>
      </c>
      <c r="Q825" s="122" t="str">
        <f>DEC2HEX(_xlfn.BITLSHIFT(O825,5)+P825)</f>
        <v>97</v>
      </c>
      <c r="R825" s="122" t="str">
        <f>BIN2HEX(LEFT(RIGHT(D825,32),4))&amp;BIN2HEX(LEFT(RIGHT(D825,28),4))&amp;BIN2HEX(LEFT(RIGHT(D825,24),4))&amp;BIN2HEX(LEFT(RIGHT(D825,20),4))&amp;BIN2HEX(LEFT(RIGHT(D825,16),4))&amp;BIN2HEX(LEFT(RIGHT(D825,12),4))&amp;BIN2HEX(LEFT(RIGHT(D825,8),4))&amp;BIN2HEX(LEFT(RIGHT(D825,4),4))</f>
        <v>FE000000</v>
      </c>
      <c r="S825" s="122" t="str">
        <f>BIN2HEX(LEFT(RIGHT(J825,32),4))&amp;BIN2HEX(LEFT(RIGHT(J825,28),4))&amp;BIN2HEX(LEFT(RIGHT(J825,24),4))&amp;BIN2HEX(LEFT(RIGHT(J825,20),4))&amp;BIN2HEX(LEFT(RIGHT(J825,16),4))&amp;BIN2HEX(LEFT(RIGHT(J825,12),4))&amp;BIN2HEX(LEFT(RIGHT(J825,8),4))&amp;BIN2HEX(LEFT(RIGHT(J825,4),4))</f>
        <v>00000000</v>
      </c>
    </row>
    <row r="826" spans="1:19" s="61" customFormat="1">
      <c r="A826" s="185"/>
      <c r="B826" s="187"/>
      <c r="C826" s="43" t="s">
        <v>333</v>
      </c>
      <c r="D826" s="62">
        <v>1</v>
      </c>
      <c r="E826" s="30" t="str">
        <f>IF(D826&gt;1,(31)&amp;":"&amp;(31-D826+1),(31-D826+1)&amp;":"&amp;(31-D826+1))</f>
        <v>31:31</v>
      </c>
      <c r="F826" s="30" t="s">
        <v>269</v>
      </c>
      <c r="G826" s="30" t="s">
        <v>7</v>
      </c>
      <c r="H826" s="64" t="s">
        <v>334</v>
      </c>
      <c r="I826" s="30" t="s">
        <v>68</v>
      </c>
      <c r="J826" s="32" t="s">
        <v>36</v>
      </c>
      <c r="K826" s="33" t="s">
        <v>6</v>
      </c>
      <c r="L826" s="46"/>
      <c r="M826" s="120"/>
      <c r="N826" s="120"/>
      <c r="O826" s="120"/>
      <c r="P826" s="122"/>
      <c r="Q826" s="122"/>
      <c r="R826" s="122"/>
      <c r="S826" s="122"/>
    </row>
    <row r="827" spans="1:19" s="61" customFormat="1">
      <c r="A827" s="185"/>
      <c r="B827" s="187"/>
      <c r="C827" s="43" t="s">
        <v>335</v>
      </c>
      <c r="D827" s="62">
        <v>1</v>
      </c>
      <c r="E827" s="30" t="str">
        <f t="shared" ref="E827:E850" si="785">(MID(str_cnvt(E826),SEARCH(":",str_cnvt(E826))+1,2)-1) &amp; ":" &amp; (MID(str_cnvt(E826),SEARCH(":",str_cnvt(E826))+1,2)-D827)</f>
        <v>30:30</v>
      </c>
      <c r="F827" s="30" t="s">
        <v>269</v>
      </c>
      <c r="G827" s="30" t="s">
        <v>7</v>
      </c>
      <c r="H827" s="64" t="s">
        <v>336</v>
      </c>
      <c r="I827" s="30" t="s">
        <v>68</v>
      </c>
      <c r="J827" s="32" t="s">
        <v>36</v>
      </c>
      <c r="K827" s="33" t="s">
        <v>6</v>
      </c>
      <c r="L827" s="46"/>
      <c r="M827" s="120"/>
      <c r="N827" s="120"/>
      <c r="O827" s="120"/>
      <c r="P827" s="122"/>
      <c r="Q827" s="122"/>
      <c r="R827" s="122"/>
      <c r="S827" s="122"/>
    </row>
    <row r="828" spans="1:19" s="61" customFormat="1">
      <c r="A828" s="185"/>
      <c r="B828" s="187"/>
      <c r="C828" s="43" t="s">
        <v>337</v>
      </c>
      <c r="D828" s="62">
        <v>1</v>
      </c>
      <c r="E828" s="30" t="str">
        <f t="shared" si="785"/>
        <v>29:29</v>
      </c>
      <c r="F828" s="30" t="s">
        <v>269</v>
      </c>
      <c r="G828" s="30" t="s">
        <v>7</v>
      </c>
      <c r="H828" s="64" t="s">
        <v>338</v>
      </c>
      <c r="I828" s="30" t="s">
        <v>68</v>
      </c>
      <c r="J828" s="32" t="s">
        <v>36</v>
      </c>
      <c r="K828" s="33" t="s">
        <v>6</v>
      </c>
      <c r="L828" s="46"/>
      <c r="M828" s="120"/>
      <c r="N828" s="120"/>
      <c r="O828" s="120"/>
      <c r="P828" s="122"/>
      <c r="Q828" s="122"/>
      <c r="R828" s="122"/>
      <c r="S828" s="122"/>
    </row>
    <row r="829" spans="1:19" s="61" customFormat="1">
      <c r="A829" s="185"/>
      <c r="B829" s="187"/>
      <c r="C829" s="43" t="s">
        <v>339</v>
      </c>
      <c r="D829" s="62">
        <v>1</v>
      </c>
      <c r="E829" s="30" t="str">
        <f t="shared" si="785"/>
        <v>28:28</v>
      </c>
      <c r="F829" s="30" t="s">
        <v>269</v>
      </c>
      <c r="G829" s="30" t="s">
        <v>7</v>
      </c>
      <c r="H829" s="64" t="s">
        <v>340</v>
      </c>
      <c r="I829" s="30" t="s">
        <v>68</v>
      </c>
      <c r="J829" s="32" t="s">
        <v>36</v>
      </c>
      <c r="K829" s="33" t="s">
        <v>6</v>
      </c>
      <c r="L829" s="46"/>
      <c r="M829" s="120"/>
      <c r="N829" s="120"/>
      <c r="O829" s="120"/>
      <c r="P829" s="122"/>
      <c r="Q829" s="122"/>
      <c r="R829" s="122"/>
      <c r="S829" s="122"/>
    </row>
    <row r="830" spans="1:19" s="61" customFormat="1">
      <c r="A830" s="185"/>
      <c r="B830" s="187"/>
      <c r="C830" s="43" t="s">
        <v>341</v>
      </c>
      <c r="D830" s="62">
        <v>1</v>
      </c>
      <c r="E830" s="30" t="str">
        <f t="shared" si="785"/>
        <v>27:27</v>
      </c>
      <c r="F830" s="30" t="s">
        <v>269</v>
      </c>
      <c r="G830" s="30" t="s">
        <v>7</v>
      </c>
      <c r="H830" s="64" t="s">
        <v>342</v>
      </c>
      <c r="I830" s="30" t="s">
        <v>68</v>
      </c>
      <c r="J830" s="32" t="s">
        <v>36</v>
      </c>
      <c r="K830" s="33" t="s">
        <v>6</v>
      </c>
      <c r="L830" s="46"/>
      <c r="M830" s="120"/>
      <c r="N830" s="120"/>
      <c r="O830" s="120"/>
      <c r="P830" s="122"/>
      <c r="Q830" s="122"/>
      <c r="R830" s="122"/>
      <c r="S830" s="122"/>
    </row>
    <row r="831" spans="1:19" s="61" customFormat="1">
      <c r="A831" s="185"/>
      <c r="B831" s="187"/>
      <c r="C831" s="43" t="s">
        <v>343</v>
      </c>
      <c r="D831" s="62">
        <v>1</v>
      </c>
      <c r="E831" s="30" t="str">
        <f t="shared" si="785"/>
        <v>26:26</v>
      </c>
      <c r="F831" s="30" t="s">
        <v>269</v>
      </c>
      <c r="G831" s="30" t="s">
        <v>7</v>
      </c>
      <c r="H831" s="64" t="s">
        <v>344</v>
      </c>
      <c r="I831" s="30" t="s">
        <v>68</v>
      </c>
      <c r="J831" s="32" t="s">
        <v>36</v>
      </c>
      <c r="K831" s="33" t="s">
        <v>6</v>
      </c>
      <c r="L831" s="46"/>
      <c r="M831" s="120"/>
      <c r="N831" s="120"/>
      <c r="O831" s="120"/>
      <c r="P831" s="122"/>
      <c r="Q831" s="122"/>
      <c r="R831" s="122"/>
      <c r="S831" s="122"/>
    </row>
    <row r="832" spans="1:19" s="61" customFormat="1">
      <c r="A832" s="185"/>
      <c r="B832" s="187"/>
      <c r="C832" s="43" t="s">
        <v>345</v>
      </c>
      <c r="D832" s="62">
        <v>1</v>
      </c>
      <c r="E832" s="30" t="str">
        <f t="shared" si="785"/>
        <v>25:25</v>
      </c>
      <c r="F832" s="30" t="s">
        <v>269</v>
      </c>
      <c r="G832" s="30" t="s">
        <v>7</v>
      </c>
      <c r="H832" s="64" t="s">
        <v>346</v>
      </c>
      <c r="I832" s="30" t="s">
        <v>68</v>
      </c>
      <c r="J832" s="32" t="s">
        <v>36</v>
      </c>
      <c r="K832" s="33" t="s">
        <v>6</v>
      </c>
      <c r="L832" s="46"/>
      <c r="M832" s="120"/>
      <c r="N832" s="120"/>
      <c r="O832" s="120"/>
      <c r="P832" s="122"/>
      <c r="Q832" s="122"/>
      <c r="R832" s="122"/>
      <c r="S832" s="122"/>
    </row>
    <row r="833" spans="1:19" s="61" customFormat="1">
      <c r="A833" s="185"/>
      <c r="B833" s="187"/>
      <c r="C833" s="43" t="s">
        <v>347</v>
      </c>
      <c r="D833" s="62">
        <v>3</v>
      </c>
      <c r="E833" s="30" t="str">
        <f t="shared" si="785"/>
        <v>24:22</v>
      </c>
      <c r="F833" s="30" t="s">
        <v>178</v>
      </c>
      <c r="G833" s="30" t="s">
        <v>178</v>
      </c>
      <c r="H833" s="64" t="s">
        <v>348</v>
      </c>
      <c r="I833" s="30" t="s">
        <v>68</v>
      </c>
      <c r="J833" s="32" t="s">
        <v>36</v>
      </c>
      <c r="K833" s="33" t="s">
        <v>6</v>
      </c>
      <c r="L833" s="46"/>
      <c r="M833" s="120"/>
      <c r="N833" s="120"/>
      <c r="O833" s="120"/>
      <c r="P833" s="122"/>
      <c r="Q833" s="122"/>
      <c r="R833" s="122"/>
      <c r="S833" s="122"/>
    </row>
    <row r="834" spans="1:19" s="61" customFormat="1">
      <c r="A834" s="185"/>
      <c r="B834" s="187"/>
      <c r="C834" s="43" t="s">
        <v>349</v>
      </c>
      <c r="D834" s="62">
        <v>1</v>
      </c>
      <c r="E834" s="30" t="str">
        <f t="shared" si="785"/>
        <v>21:21</v>
      </c>
      <c r="F834" s="30" t="s">
        <v>7</v>
      </c>
      <c r="G834" s="30" t="s">
        <v>7</v>
      </c>
      <c r="H834" s="64" t="s">
        <v>350</v>
      </c>
      <c r="I834" s="30" t="s">
        <v>68</v>
      </c>
      <c r="J834" s="32" t="s">
        <v>36</v>
      </c>
      <c r="K834" s="33" t="s">
        <v>6</v>
      </c>
      <c r="L834" s="46"/>
      <c r="M834" s="120"/>
      <c r="N834" s="120"/>
      <c r="O834" s="120"/>
      <c r="P834" s="122"/>
      <c r="Q834" s="122"/>
      <c r="R834" s="122"/>
      <c r="S834" s="122"/>
    </row>
    <row r="835" spans="1:19" s="61" customFormat="1">
      <c r="A835" s="185"/>
      <c r="B835" s="187"/>
      <c r="C835" s="43" t="s">
        <v>351</v>
      </c>
      <c r="D835" s="62">
        <v>1</v>
      </c>
      <c r="E835" s="30" t="str">
        <f t="shared" si="785"/>
        <v>20:20</v>
      </c>
      <c r="F835" s="30" t="s">
        <v>7</v>
      </c>
      <c r="G835" s="30" t="s">
        <v>7</v>
      </c>
      <c r="H835" s="64" t="s">
        <v>352</v>
      </c>
      <c r="I835" s="30" t="s">
        <v>68</v>
      </c>
      <c r="J835" s="32" t="s">
        <v>36</v>
      </c>
      <c r="K835" s="33" t="s">
        <v>6</v>
      </c>
      <c r="L835" s="46"/>
      <c r="M835" s="120"/>
      <c r="N835" s="120"/>
      <c r="O835" s="120"/>
      <c r="P835" s="122"/>
      <c r="Q835" s="122"/>
      <c r="R835" s="122"/>
      <c r="S835" s="122"/>
    </row>
    <row r="836" spans="1:19" s="61" customFormat="1">
      <c r="A836" s="185"/>
      <c r="B836" s="187"/>
      <c r="C836" s="43" t="s">
        <v>353</v>
      </c>
      <c r="D836" s="62">
        <v>1</v>
      </c>
      <c r="E836" s="30" t="str">
        <f t="shared" si="785"/>
        <v>19:19</v>
      </c>
      <c r="F836" s="30" t="s">
        <v>7</v>
      </c>
      <c r="G836" s="30" t="s">
        <v>7</v>
      </c>
      <c r="H836" s="64" t="s">
        <v>354</v>
      </c>
      <c r="I836" s="30" t="s">
        <v>68</v>
      </c>
      <c r="J836" s="32" t="s">
        <v>36</v>
      </c>
      <c r="K836" s="33" t="s">
        <v>6</v>
      </c>
      <c r="L836" s="46"/>
      <c r="M836" s="120"/>
      <c r="N836" s="120"/>
      <c r="O836" s="120"/>
      <c r="P836" s="122"/>
      <c r="Q836" s="122"/>
      <c r="R836" s="122"/>
      <c r="S836" s="122"/>
    </row>
    <row r="837" spans="1:19" s="61" customFormat="1">
      <c r="A837" s="185"/>
      <c r="B837" s="187"/>
      <c r="C837" s="43" t="s">
        <v>355</v>
      </c>
      <c r="D837" s="62">
        <v>1</v>
      </c>
      <c r="E837" s="30" t="str">
        <f t="shared" si="785"/>
        <v>18:18</v>
      </c>
      <c r="F837" s="30" t="s">
        <v>7</v>
      </c>
      <c r="G837" s="30" t="s">
        <v>7</v>
      </c>
      <c r="H837" s="64" t="s">
        <v>356</v>
      </c>
      <c r="I837" s="30" t="s">
        <v>68</v>
      </c>
      <c r="J837" s="32" t="s">
        <v>36</v>
      </c>
      <c r="K837" s="33" t="s">
        <v>6</v>
      </c>
      <c r="L837" s="46"/>
      <c r="M837" s="120"/>
      <c r="N837" s="120"/>
      <c r="O837" s="120"/>
      <c r="P837" s="122"/>
      <c r="Q837" s="122"/>
      <c r="R837" s="122"/>
      <c r="S837" s="122"/>
    </row>
    <row r="838" spans="1:19" s="61" customFormat="1">
      <c r="A838" s="185"/>
      <c r="B838" s="187"/>
      <c r="C838" s="43" t="s">
        <v>357</v>
      </c>
      <c r="D838" s="62">
        <v>1</v>
      </c>
      <c r="E838" s="30" t="str">
        <f t="shared" si="785"/>
        <v>17:17</v>
      </c>
      <c r="F838" s="30" t="s">
        <v>7</v>
      </c>
      <c r="G838" s="30" t="s">
        <v>7</v>
      </c>
      <c r="H838" s="64" t="s">
        <v>358</v>
      </c>
      <c r="I838" s="30" t="s">
        <v>68</v>
      </c>
      <c r="J838" s="32" t="s">
        <v>36</v>
      </c>
      <c r="K838" s="33" t="s">
        <v>6</v>
      </c>
      <c r="L838" s="46"/>
      <c r="M838" s="120"/>
      <c r="N838" s="120"/>
      <c r="O838" s="120"/>
      <c r="P838" s="122"/>
      <c r="Q838" s="122"/>
      <c r="R838" s="122"/>
      <c r="S838" s="122"/>
    </row>
    <row r="839" spans="1:19" s="61" customFormat="1">
      <c r="A839" s="185"/>
      <c r="B839" s="187"/>
      <c r="C839" s="43" t="s">
        <v>359</v>
      </c>
      <c r="D839" s="62">
        <v>1</v>
      </c>
      <c r="E839" s="30" t="str">
        <f t="shared" si="785"/>
        <v>16:16</v>
      </c>
      <c r="F839" s="30" t="s">
        <v>7</v>
      </c>
      <c r="G839" s="30" t="s">
        <v>7</v>
      </c>
      <c r="H839" s="64" t="s">
        <v>360</v>
      </c>
      <c r="I839" s="30" t="s">
        <v>68</v>
      </c>
      <c r="J839" s="32" t="s">
        <v>36</v>
      </c>
      <c r="K839" s="33" t="s">
        <v>6</v>
      </c>
      <c r="L839" s="46"/>
      <c r="M839" s="120"/>
      <c r="N839" s="120"/>
      <c r="O839" s="120"/>
      <c r="P839" s="122"/>
      <c r="Q839" s="122"/>
      <c r="R839" s="122"/>
      <c r="S839" s="122"/>
    </row>
    <row r="840" spans="1:19" s="61" customFormat="1">
      <c r="A840" s="185"/>
      <c r="B840" s="187"/>
      <c r="C840" s="43" t="s">
        <v>361</v>
      </c>
      <c r="D840" s="62">
        <v>1</v>
      </c>
      <c r="E840" s="30" t="str">
        <f t="shared" si="785"/>
        <v>15:15</v>
      </c>
      <c r="F840" s="30" t="s">
        <v>7</v>
      </c>
      <c r="G840" s="30" t="s">
        <v>7</v>
      </c>
      <c r="H840" s="64" t="s">
        <v>362</v>
      </c>
      <c r="I840" s="30" t="s">
        <v>68</v>
      </c>
      <c r="J840" s="32" t="s">
        <v>36</v>
      </c>
      <c r="K840" s="33" t="s">
        <v>6</v>
      </c>
      <c r="L840" s="46"/>
      <c r="M840" s="120"/>
      <c r="N840" s="120"/>
      <c r="O840" s="120"/>
      <c r="P840" s="122"/>
      <c r="Q840" s="122"/>
      <c r="R840" s="122"/>
      <c r="S840" s="122"/>
    </row>
    <row r="841" spans="1:19" s="61" customFormat="1">
      <c r="A841" s="185"/>
      <c r="B841" s="187"/>
      <c r="C841" s="43" t="s">
        <v>363</v>
      </c>
      <c r="D841" s="62">
        <v>1</v>
      </c>
      <c r="E841" s="30" t="str">
        <f t="shared" si="785"/>
        <v>14:14</v>
      </c>
      <c r="F841" s="30" t="s">
        <v>7</v>
      </c>
      <c r="G841" s="30" t="s">
        <v>7</v>
      </c>
      <c r="H841" s="64" t="s">
        <v>364</v>
      </c>
      <c r="I841" s="30" t="s">
        <v>68</v>
      </c>
      <c r="J841" s="32" t="s">
        <v>36</v>
      </c>
      <c r="K841" s="33" t="s">
        <v>6</v>
      </c>
      <c r="L841" s="46"/>
      <c r="M841" s="120"/>
      <c r="N841" s="120"/>
      <c r="O841" s="120"/>
      <c r="P841" s="122"/>
      <c r="Q841" s="122"/>
      <c r="R841" s="122"/>
      <c r="S841" s="122"/>
    </row>
    <row r="842" spans="1:19" s="61" customFormat="1">
      <c r="A842" s="185"/>
      <c r="B842" s="187"/>
      <c r="C842" s="43" t="s">
        <v>365</v>
      </c>
      <c r="D842" s="62">
        <v>1</v>
      </c>
      <c r="E842" s="30" t="str">
        <f t="shared" si="785"/>
        <v>13:13</v>
      </c>
      <c r="F842" s="30" t="s">
        <v>7</v>
      </c>
      <c r="G842" s="30" t="s">
        <v>7</v>
      </c>
      <c r="H842" s="64" t="s">
        <v>366</v>
      </c>
      <c r="I842" s="30" t="s">
        <v>68</v>
      </c>
      <c r="J842" s="32" t="s">
        <v>36</v>
      </c>
      <c r="K842" s="33" t="s">
        <v>6</v>
      </c>
      <c r="L842" s="46"/>
      <c r="M842" s="120"/>
      <c r="N842" s="120"/>
      <c r="O842" s="120"/>
      <c r="P842" s="122"/>
      <c r="Q842" s="122"/>
      <c r="R842" s="122"/>
      <c r="S842" s="122"/>
    </row>
    <row r="843" spans="1:19" s="61" customFormat="1">
      <c r="A843" s="185"/>
      <c r="B843" s="187"/>
      <c r="C843" s="43" t="s">
        <v>367</v>
      </c>
      <c r="D843" s="62">
        <v>1</v>
      </c>
      <c r="E843" s="30" t="str">
        <f t="shared" si="785"/>
        <v>12:12</v>
      </c>
      <c r="F843" s="30" t="s">
        <v>7</v>
      </c>
      <c r="G843" s="30" t="s">
        <v>7</v>
      </c>
      <c r="H843" s="64" t="s">
        <v>368</v>
      </c>
      <c r="I843" s="30" t="s">
        <v>68</v>
      </c>
      <c r="J843" s="32" t="s">
        <v>36</v>
      </c>
      <c r="K843" s="33" t="s">
        <v>6</v>
      </c>
      <c r="L843" s="46"/>
      <c r="M843" s="120"/>
      <c r="N843" s="120"/>
      <c r="O843" s="120"/>
      <c r="P843" s="122"/>
      <c r="Q843" s="122"/>
      <c r="R843" s="122"/>
      <c r="S843" s="122"/>
    </row>
    <row r="844" spans="1:19" s="61" customFormat="1">
      <c r="A844" s="185"/>
      <c r="B844" s="187"/>
      <c r="C844" s="43" t="s">
        <v>369</v>
      </c>
      <c r="D844" s="62">
        <v>1</v>
      </c>
      <c r="E844" s="30" t="str">
        <f t="shared" si="785"/>
        <v>11:11</v>
      </c>
      <c r="F844" s="30" t="s">
        <v>7</v>
      </c>
      <c r="G844" s="30" t="s">
        <v>7</v>
      </c>
      <c r="H844" s="64" t="s">
        <v>370</v>
      </c>
      <c r="I844" s="30" t="s">
        <v>68</v>
      </c>
      <c r="J844" s="32" t="s">
        <v>36</v>
      </c>
      <c r="K844" s="33" t="s">
        <v>6</v>
      </c>
      <c r="L844" s="46"/>
      <c r="M844" s="120"/>
      <c r="N844" s="120"/>
      <c r="O844" s="120"/>
      <c r="P844" s="122"/>
      <c r="Q844" s="122"/>
      <c r="R844" s="122"/>
      <c r="S844" s="122"/>
    </row>
    <row r="845" spans="1:19" s="61" customFormat="1">
      <c r="A845" s="185"/>
      <c r="B845" s="187"/>
      <c r="C845" s="43" t="s">
        <v>371</v>
      </c>
      <c r="D845" s="62">
        <v>1</v>
      </c>
      <c r="E845" s="30" t="str">
        <f t="shared" si="785"/>
        <v>10:10</v>
      </c>
      <c r="F845" s="30" t="s">
        <v>7</v>
      </c>
      <c r="G845" s="30" t="s">
        <v>7</v>
      </c>
      <c r="H845" s="64" t="s">
        <v>372</v>
      </c>
      <c r="I845" s="30" t="s">
        <v>68</v>
      </c>
      <c r="J845" s="32" t="s">
        <v>36</v>
      </c>
      <c r="K845" s="33" t="s">
        <v>6</v>
      </c>
      <c r="L845" s="46"/>
      <c r="M845" s="120"/>
      <c r="N845" s="120"/>
      <c r="O845" s="120"/>
      <c r="P845" s="122"/>
      <c r="Q845" s="122"/>
      <c r="R845" s="122"/>
      <c r="S845" s="122"/>
    </row>
    <row r="846" spans="1:19" s="61" customFormat="1">
      <c r="A846" s="185"/>
      <c r="B846" s="187"/>
      <c r="C846" s="43" t="s">
        <v>373</v>
      </c>
      <c r="D846" s="62">
        <v>1</v>
      </c>
      <c r="E846" s="30" t="str">
        <f t="shared" si="785"/>
        <v>9:9</v>
      </c>
      <c r="F846" s="30" t="s">
        <v>7</v>
      </c>
      <c r="G846" s="30" t="s">
        <v>7</v>
      </c>
      <c r="H846" s="64" t="s">
        <v>374</v>
      </c>
      <c r="I846" s="30" t="s">
        <v>68</v>
      </c>
      <c r="J846" s="32" t="s">
        <v>36</v>
      </c>
      <c r="K846" s="33" t="s">
        <v>6</v>
      </c>
      <c r="L846" s="46"/>
      <c r="M846" s="120"/>
      <c r="N846" s="120"/>
      <c r="O846" s="120"/>
      <c r="P846" s="122"/>
      <c r="Q846" s="122"/>
      <c r="R846" s="122"/>
      <c r="S846" s="122"/>
    </row>
    <row r="847" spans="1:19" s="61" customFormat="1">
      <c r="A847" s="185"/>
      <c r="B847" s="187"/>
      <c r="C847" s="43" t="s">
        <v>375</v>
      </c>
      <c r="D847" s="62">
        <v>1</v>
      </c>
      <c r="E847" s="30" t="str">
        <f t="shared" si="785"/>
        <v>8:8</v>
      </c>
      <c r="F847" s="30" t="s">
        <v>7</v>
      </c>
      <c r="G847" s="30" t="s">
        <v>7</v>
      </c>
      <c r="H847" s="64" t="s">
        <v>376</v>
      </c>
      <c r="I847" s="30" t="s">
        <v>68</v>
      </c>
      <c r="J847" s="32" t="s">
        <v>36</v>
      </c>
      <c r="K847" s="33" t="s">
        <v>6</v>
      </c>
      <c r="L847" s="46"/>
      <c r="M847" s="120"/>
      <c r="N847" s="120"/>
      <c r="O847" s="120"/>
      <c r="P847" s="122"/>
      <c r="Q847" s="122"/>
      <c r="R847" s="122"/>
      <c r="S847" s="122"/>
    </row>
    <row r="848" spans="1:19" s="61" customFormat="1">
      <c r="A848" s="185"/>
      <c r="B848" s="187"/>
      <c r="C848" s="43" t="s">
        <v>377</v>
      </c>
      <c r="D848" s="62">
        <v>1</v>
      </c>
      <c r="E848" s="30" t="str">
        <f t="shared" si="785"/>
        <v>7:7</v>
      </c>
      <c r="F848" s="30" t="s">
        <v>7</v>
      </c>
      <c r="G848" s="30" t="s">
        <v>7</v>
      </c>
      <c r="H848" s="64" t="s">
        <v>378</v>
      </c>
      <c r="I848" s="30" t="s">
        <v>68</v>
      </c>
      <c r="J848" s="32" t="s">
        <v>36</v>
      </c>
      <c r="K848" s="33" t="s">
        <v>6</v>
      </c>
      <c r="L848" s="46"/>
      <c r="M848" s="120"/>
      <c r="N848" s="120"/>
      <c r="O848" s="120"/>
      <c r="P848" s="122"/>
      <c r="Q848" s="122"/>
      <c r="R848" s="122"/>
      <c r="S848" s="122"/>
    </row>
    <row r="849" spans="1:19" s="61" customFormat="1">
      <c r="A849" s="185"/>
      <c r="B849" s="187"/>
      <c r="C849" s="43" t="s">
        <v>379</v>
      </c>
      <c r="D849" s="62">
        <v>1</v>
      </c>
      <c r="E849" s="30" t="str">
        <f t="shared" si="785"/>
        <v>6:6</v>
      </c>
      <c r="F849" s="30" t="s">
        <v>7</v>
      </c>
      <c r="G849" s="30" t="s">
        <v>7</v>
      </c>
      <c r="H849" s="64" t="s">
        <v>380</v>
      </c>
      <c r="I849" s="30" t="s">
        <v>68</v>
      </c>
      <c r="J849" s="32" t="s">
        <v>36</v>
      </c>
      <c r="K849" s="33" t="s">
        <v>6</v>
      </c>
      <c r="L849" s="46"/>
      <c r="M849" s="120"/>
      <c r="N849" s="120"/>
      <c r="O849" s="120"/>
      <c r="P849" s="122"/>
      <c r="Q849" s="122"/>
      <c r="R849" s="122"/>
      <c r="S849" s="122"/>
    </row>
    <row r="850" spans="1:19" s="61" customFormat="1" ht="15" thickBot="1">
      <c r="A850" s="185"/>
      <c r="B850" s="187"/>
      <c r="C850" s="43" t="s">
        <v>947</v>
      </c>
      <c r="D850" s="62">
        <v>6</v>
      </c>
      <c r="E850" s="30" t="str">
        <f t="shared" si="785"/>
        <v>5:0</v>
      </c>
      <c r="F850" s="30" t="s">
        <v>249</v>
      </c>
      <c r="G850" s="30" t="s">
        <v>249</v>
      </c>
      <c r="H850" s="64" t="s">
        <v>381</v>
      </c>
      <c r="I850" s="30" t="s">
        <v>68</v>
      </c>
      <c r="J850" s="32" t="s">
        <v>36</v>
      </c>
      <c r="K850" s="33" t="s">
        <v>6</v>
      </c>
      <c r="L850" s="46"/>
      <c r="M850" s="120"/>
      <c r="N850" s="120"/>
      <c r="O850" s="120"/>
      <c r="P850" s="122"/>
      <c r="Q850" s="122"/>
      <c r="R850" s="122"/>
      <c r="S850" s="122"/>
    </row>
    <row r="851" spans="1:19" s="61" customFormat="1" ht="15" thickBot="1">
      <c r="A851" s="198" t="s">
        <v>382</v>
      </c>
      <c r="B851" s="200" t="str">
        <f>DEC2HEX(P851*4)</f>
        <v>0</v>
      </c>
      <c r="C851" s="56" t="s">
        <v>383</v>
      </c>
      <c r="D851" s="192" t="str">
        <f>bitConcat(F852:F859)</f>
        <v>32'b00000000000000010000101100000000</v>
      </c>
      <c r="E851" s="193"/>
      <c r="F851" s="193"/>
      <c r="G851" s="193"/>
      <c r="H851" s="73" t="s">
        <v>384</v>
      </c>
      <c r="I851" s="74"/>
      <c r="J851" s="202" t="str">
        <f>bitConcat(G852:G859)</f>
        <v>32'b00000000000000010000000000000000</v>
      </c>
      <c r="K851" s="131"/>
      <c r="L851" s="132"/>
      <c r="M851" s="119" t="str">
        <f>DEC2HEX(_xlfn.BITLSHIFT(O851,7)+4*P851)</f>
        <v>400</v>
      </c>
      <c r="N851" s="119" t="s">
        <v>385</v>
      </c>
      <c r="O851" s="119">
        <v>8</v>
      </c>
      <c r="P851" s="121">
        <v>0</v>
      </c>
      <c r="Q851" s="121" t="str">
        <f>DEC2HEX(_xlfn.BITLSHIFT(O851,5)+P851)</f>
        <v>100</v>
      </c>
      <c r="R851" s="203" t="str">
        <f>BIN2HEX(LEFT(RIGHT(D851,32),4))&amp;BIN2HEX(LEFT(RIGHT(D851,28),4))&amp;BIN2HEX(LEFT(RIGHT(D851,24),4))&amp;BIN2HEX(LEFT(RIGHT(D851,20),4))&amp;BIN2HEX(LEFT(RIGHT(D851,16),4))&amp;BIN2HEX(LEFT(RIGHT(D851,12),4))&amp;BIN2HEX(LEFT(RIGHT(D851,8),4))&amp;BIN2HEX(LEFT(RIGHT(D851,4),4))</f>
        <v>00010B00</v>
      </c>
      <c r="S851" s="203" t="str">
        <f>BIN2HEX(LEFT(RIGHT(J851,32),4))&amp;BIN2HEX(LEFT(RIGHT(J851,28),4))&amp;BIN2HEX(LEFT(RIGHT(J851,24),4))&amp;BIN2HEX(LEFT(RIGHT(J851,20),4))&amp;BIN2HEX(LEFT(RIGHT(J851,16),4))&amp;BIN2HEX(LEFT(RIGHT(J851,12),4))&amp;BIN2HEX(LEFT(RIGHT(J851,8),4))&amp;BIN2HEX(LEFT(RIGHT(J851,4),4))</f>
        <v>00010000</v>
      </c>
    </row>
    <row r="852" spans="1:19" s="61" customFormat="1">
      <c r="A852" s="199"/>
      <c r="B852" s="201"/>
      <c r="C852" s="43" t="s">
        <v>386</v>
      </c>
      <c r="D852" s="62">
        <v>1</v>
      </c>
      <c r="E852" s="70" t="str">
        <f>IF(D852&gt;1,(31)&amp;":"&amp;(31-D852+1),(31-D852+1)&amp;":"&amp;(31-D852+1))</f>
        <v>31:31</v>
      </c>
      <c r="F852" s="30" t="s">
        <v>7</v>
      </c>
      <c r="G852" s="30" t="s">
        <v>7</v>
      </c>
      <c r="H852" s="65" t="s">
        <v>387</v>
      </c>
      <c r="I852" s="30" t="s">
        <v>68</v>
      </c>
      <c r="J852" s="32" t="s">
        <v>36</v>
      </c>
      <c r="K852" s="33" t="s">
        <v>6</v>
      </c>
      <c r="L852" s="46"/>
      <c r="M852" s="120"/>
      <c r="N852" s="120"/>
      <c r="O852" s="120"/>
      <c r="P852" s="122"/>
      <c r="Q852" s="122"/>
      <c r="R852" s="204"/>
      <c r="S852" s="204"/>
    </row>
    <row r="853" spans="1:19" s="61" customFormat="1">
      <c r="A853" s="199"/>
      <c r="B853" s="201"/>
      <c r="C853" s="43" t="s">
        <v>388</v>
      </c>
      <c r="D853" s="62">
        <v>6</v>
      </c>
      <c r="E853" s="33" t="str">
        <f>(MID(E852,SEARCH(":",E852)+1,2)-1) &amp; ":" &amp; (MID(E852,SEARCH(":",E852)+1,2)-D853)</f>
        <v>30:25</v>
      </c>
      <c r="F853" s="30" t="s">
        <v>249</v>
      </c>
      <c r="G853" s="30" t="s">
        <v>249</v>
      </c>
      <c r="H853" s="65" t="s">
        <v>389</v>
      </c>
      <c r="I853" s="30" t="s">
        <v>68</v>
      </c>
      <c r="J853" s="32" t="s">
        <v>36</v>
      </c>
      <c r="K853" s="33" t="s">
        <v>6</v>
      </c>
      <c r="L853" s="46"/>
      <c r="M853" s="120"/>
      <c r="N853" s="120"/>
      <c r="O853" s="120"/>
      <c r="P853" s="122"/>
      <c r="Q853" s="122"/>
      <c r="R853" s="204"/>
      <c r="S853" s="204"/>
    </row>
    <row r="854" spans="1:19" s="61" customFormat="1">
      <c r="A854" s="199"/>
      <c r="B854" s="201"/>
      <c r="C854" s="43" t="s">
        <v>390</v>
      </c>
      <c r="D854" s="62">
        <v>4</v>
      </c>
      <c r="E854" s="33" t="str">
        <f t="shared" ref="E854:E859" si="786">(MID(E853,SEARCH(":",E853)+1,2)-1) &amp; ":" &amp; (MID(E853,SEARCH(":",E853)+1,2)-D854)</f>
        <v>24:21</v>
      </c>
      <c r="F854" s="30" t="s">
        <v>149</v>
      </c>
      <c r="G854" s="30" t="s">
        <v>149</v>
      </c>
      <c r="H854" s="65" t="s">
        <v>391</v>
      </c>
      <c r="I854" s="30" t="s">
        <v>68</v>
      </c>
      <c r="J854" s="32" t="s">
        <v>36</v>
      </c>
      <c r="K854" s="33" t="s">
        <v>6</v>
      </c>
      <c r="L854" s="46"/>
      <c r="M854" s="120"/>
      <c r="N854" s="120"/>
      <c r="O854" s="120"/>
      <c r="P854" s="122"/>
      <c r="Q854" s="122"/>
      <c r="R854" s="204"/>
      <c r="S854" s="204"/>
    </row>
    <row r="855" spans="1:19" s="61" customFormat="1">
      <c r="A855" s="199"/>
      <c r="B855" s="201"/>
      <c r="C855" s="43" t="s">
        <v>392</v>
      </c>
      <c r="D855" s="62">
        <v>5</v>
      </c>
      <c r="E855" s="33" t="str">
        <f t="shared" si="786"/>
        <v>20:16</v>
      </c>
      <c r="F855" s="30" t="s">
        <v>393</v>
      </c>
      <c r="G855" s="30" t="s">
        <v>393</v>
      </c>
      <c r="H855" s="65" t="s">
        <v>394</v>
      </c>
      <c r="I855" s="30" t="s">
        <v>68</v>
      </c>
      <c r="J855" s="32" t="s">
        <v>36</v>
      </c>
      <c r="K855" s="33" t="s">
        <v>6</v>
      </c>
      <c r="L855" s="46"/>
      <c r="M855" s="120"/>
      <c r="N855" s="120"/>
      <c r="O855" s="120"/>
      <c r="P855" s="122"/>
      <c r="Q855" s="122"/>
      <c r="R855" s="204"/>
      <c r="S855" s="204"/>
    </row>
    <row r="856" spans="1:19" s="61" customFormat="1">
      <c r="A856" s="199"/>
      <c r="B856" s="201"/>
      <c r="C856" s="43" t="s">
        <v>395</v>
      </c>
      <c r="D856" s="62">
        <v>3</v>
      </c>
      <c r="E856" s="33" t="str">
        <f t="shared" si="786"/>
        <v>15:13</v>
      </c>
      <c r="F856" s="30" t="s">
        <v>178</v>
      </c>
      <c r="G856" s="30" t="s">
        <v>178</v>
      </c>
      <c r="H856" s="65" t="s">
        <v>396</v>
      </c>
      <c r="I856" s="30" t="s">
        <v>68</v>
      </c>
      <c r="J856" s="32" t="s">
        <v>36</v>
      </c>
      <c r="K856" s="33" t="s">
        <v>6</v>
      </c>
      <c r="L856" s="46"/>
      <c r="M856" s="120"/>
      <c r="N856" s="120"/>
      <c r="O856" s="120"/>
      <c r="P856" s="122"/>
      <c r="Q856" s="122"/>
      <c r="R856" s="204"/>
      <c r="S856" s="204"/>
    </row>
    <row r="857" spans="1:19" s="61" customFormat="1">
      <c r="A857" s="199"/>
      <c r="B857" s="201"/>
      <c r="C857" s="43" t="s">
        <v>397</v>
      </c>
      <c r="D857" s="62">
        <v>1</v>
      </c>
      <c r="E857" s="33" t="str">
        <f t="shared" si="786"/>
        <v>12:12</v>
      </c>
      <c r="F857" s="30" t="s">
        <v>7</v>
      </c>
      <c r="G857" s="30" t="s">
        <v>7</v>
      </c>
      <c r="H857" s="75" t="s">
        <v>398</v>
      </c>
      <c r="I857" s="30" t="s">
        <v>68</v>
      </c>
      <c r="J857" s="32" t="s">
        <v>36</v>
      </c>
      <c r="K857" s="33" t="s">
        <v>6</v>
      </c>
      <c r="L857" s="46"/>
      <c r="M857" s="120"/>
      <c r="N857" s="120"/>
      <c r="O857" s="120"/>
      <c r="P857" s="122"/>
      <c r="Q857" s="122"/>
      <c r="R857" s="204"/>
      <c r="S857" s="204"/>
    </row>
    <row r="858" spans="1:19" s="61" customFormat="1">
      <c r="A858" s="199"/>
      <c r="B858" s="201"/>
      <c r="C858" s="43" t="s">
        <v>399</v>
      </c>
      <c r="D858" s="62">
        <v>1</v>
      </c>
      <c r="E858" s="33" t="str">
        <f t="shared" si="786"/>
        <v>11:11</v>
      </c>
      <c r="F858" s="76" t="s">
        <v>269</v>
      </c>
      <c r="G858" s="30" t="s">
        <v>7</v>
      </c>
      <c r="H858" s="65" t="s">
        <v>400</v>
      </c>
      <c r="I858" s="30" t="s">
        <v>68</v>
      </c>
      <c r="J858" s="32" t="s">
        <v>36</v>
      </c>
      <c r="K858" s="33" t="s">
        <v>6</v>
      </c>
      <c r="L858" s="46"/>
      <c r="M858" s="120"/>
      <c r="N858" s="120"/>
      <c r="O858" s="120"/>
      <c r="P858" s="122"/>
      <c r="Q858" s="122"/>
      <c r="R858" s="204"/>
      <c r="S858" s="204"/>
    </row>
    <row r="859" spans="1:19" s="61" customFormat="1" ht="15" thickBot="1">
      <c r="A859" s="199"/>
      <c r="B859" s="201"/>
      <c r="C859" s="43" t="s">
        <v>401</v>
      </c>
      <c r="D859" s="62">
        <v>11</v>
      </c>
      <c r="E859" s="33" t="str">
        <f t="shared" si="786"/>
        <v>10:0</v>
      </c>
      <c r="F859" s="76" t="s">
        <v>942</v>
      </c>
      <c r="G859" s="30" t="s">
        <v>402</v>
      </c>
      <c r="H859" s="65" t="s">
        <v>403</v>
      </c>
      <c r="I859" s="30" t="s">
        <v>68</v>
      </c>
      <c r="J859" s="32" t="s">
        <v>36</v>
      </c>
      <c r="K859" s="33" t="s">
        <v>6</v>
      </c>
      <c r="L859" s="46"/>
      <c r="M859" s="120"/>
      <c r="N859" s="120"/>
      <c r="O859" s="120"/>
      <c r="P859" s="122"/>
      <c r="Q859" s="122"/>
      <c r="R859" s="204"/>
      <c r="S859" s="204"/>
    </row>
    <row r="860" spans="1:19" s="61" customFormat="1" ht="15.75" customHeight="1">
      <c r="A860" s="199" t="s">
        <v>404</v>
      </c>
      <c r="B860" s="200" t="str">
        <f t="shared" ref="B860" si="787">DEC2HEX(P860*4)</f>
        <v>C</v>
      </c>
      <c r="C860" s="56" t="s">
        <v>383</v>
      </c>
      <c r="D860" s="129" t="str">
        <f>bitConcat(F861:F866)</f>
        <v>32'b00111111111111110000101100000000</v>
      </c>
      <c r="E860" s="130"/>
      <c r="F860" s="130"/>
      <c r="G860" s="205"/>
      <c r="H860" s="73" t="s">
        <v>384</v>
      </c>
      <c r="I860" s="74"/>
      <c r="J860" s="202" t="str">
        <f>bitConcat(G861:G866)</f>
        <v>32'b00111111111111110000001100010000</v>
      </c>
      <c r="K860" s="131"/>
      <c r="L860" s="132"/>
      <c r="M860" s="119" t="str">
        <f t="shared" ref="M860" si="788">DEC2HEX(_xlfn.BITLSHIFT(O860,7)+4*P860)</f>
        <v>40C</v>
      </c>
      <c r="N860" s="120" t="s">
        <v>385</v>
      </c>
      <c r="O860" s="120">
        <v>8</v>
      </c>
      <c r="P860" s="122">
        <v>3</v>
      </c>
      <c r="Q860" s="121" t="str">
        <f>DEC2HEX(_xlfn.BITLSHIFT(O860,5)+P860)</f>
        <v>103</v>
      </c>
      <c r="R860" s="203" t="str">
        <f>BIN2HEX(LEFT(RIGHT(D860,32),4))&amp;BIN2HEX(LEFT(RIGHT(D860,28),4))&amp;BIN2HEX(LEFT(RIGHT(D860,24),4))&amp;BIN2HEX(LEFT(RIGHT(D860,20),4))&amp;BIN2HEX(LEFT(RIGHT(D860,16),4))&amp;BIN2HEX(LEFT(RIGHT(D860,12),4))&amp;BIN2HEX(LEFT(RIGHT(D860,8),4))&amp;BIN2HEX(LEFT(RIGHT(D860,4),4))</f>
        <v>3FFF0B00</v>
      </c>
      <c r="S860" s="203" t="str">
        <f t="shared" ref="S860:S910" si="789">BIN2HEX(LEFT(RIGHT(J860,32),4))&amp;BIN2HEX(LEFT(RIGHT(J860,28),4))&amp;BIN2HEX(LEFT(RIGHT(J860,24),4))&amp;BIN2HEX(LEFT(RIGHT(J860,20),4))&amp;BIN2HEX(LEFT(RIGHT(J860,16),4))&amp;BIN2HEX(LEFT(RIGHT(J860,12),4))&amp;BIN2HEX(LEFT(RIGHT(J860,8),4))&amp;BIN2HEX(LEFT(RIGHT(J860,4),4))</f>
        <v>3FFF0310</v>
      </c>
    </row>
    <row r="861" spans="1:19" s="61" customFormat="1">
      <c r="A861" s="199"/>
      <c r="B861" s="201"/>
      <c r="C861" s="43" t="s">
        <v>405</v>
      </c>
      <c r="D861" s="62">
        <v>2</v>
      </c>
      <c r="E861" s="70" t="str">
        <f>IF(D861&gt;1,(31)&amp;":"&amp;(31-D861+1),(31-D861+1)&amp;":"&amp;(31-D861+1))</f>
        <v>31:30</v>
      </c>
      <c r="F861" s="30" t="s">
        <v>154</v>
      </c>
      <c r="G861" s="30" t="s">
        <v>154</v>
      </c>
      <c r="H861" s="64" t="s">
        <v>406</v>
      </c>
      <c r="I861" s="30" t="s">
        <v>68</v>
      </c>
      <c r="J861" s="32" t="s">
        <v>36</v>
      </c>
      <c r="K861" s="33" t="s">
        <v>6</v>
      </c>
      <c r="L861" s="46"/>
      <c r="M861" s="120"/>
      <c r="N861" s="120"/>
      <c r="O861" s="120"/>
      <c r="P861" s="122"/>
      <c r="Q861" s="122"/>
      <c r="R861" s="204"/>
      <c r="S861" s="204"/>
    </row>
    <row r="862" spans="1:19" s="61" customFormat="1">
      <c r="A862" s="199"/>
      <c r="B862" s="201"/>
      <c r="C862" s="43" t="s">
        <v>407</v>
      </c>
      <c r="D862" s="62">
        <v>14</v>
      </c>
      <c r="E862" s="33" t="str">
        <f>(MID(E861,SEARCH(":",E861)+1,2)-1) &amp; ":" &amp; (MID(E861,SEARCH(":",E861)+1,2)-D862)</f>
        <v>29:16</v>
      </c>
      <c r="F862" s="30" t="s">
        <v>408</v>
      </c>
      <c r="G862" s="30" t="s">
        <v>408</v>
      </c>
      <c r="H862" s="65" t="s">
        <v>409</v>
      </c>
      <c r="I862" s="30" t="s">
        <v>68</v>
      </c>
      <c r="J862" s="32" t="s">
        <v>36</v>
      </c>
      <c r="K862" s="33" t="s">
        <v>6</v>
      </c>
      <c r="L862" s="46"/>
      <c r="M862" s="120"/>
      <c r="N862" s="120"/>
      <c r="O862" s="120"/>
      <c r="P862" s="122"/>
      <c r="Q862" s="122"/>
      <c r="R862" s="204"/>
      <c r="S862" s="204"/>
    </row>
    <row r="863" spans="1:19" s="61" customFormat="1">
      <c r="A863" s="199"/>
      <c r="B863" s="201"/>
      <c r="C863" s="43" t="s">
        <v>410</v>
      </c>
      <c r="D863" s="62">
        <v>3</v>
      </c>
      <c r="E863" s="33" t="str">
        <f t="shared" ref="E863:E866" si="790">(MID(E862,SEARCH(":",E862)+1,2)-1) &amp; ":" &amp; (MID(E862,SEARCH(":",E862)+1,2)-D863)</f>
        <v>15:13</v>
      </c>
      <c r="F863" s="30" t="s">
        <v>178</v>
      </c>
      <c r="G863" s="30" t="s">
        <v>178</v>
      </c>
      <c r="H863" s="65" t="s">
        <v>396</v>
      </c>
      <c r="I863" s="30" t="s">
        <v>68</v>
      </c>
      <c r="J863" s="32" t="s">
        <v>36</v>
      </c>
      <c r="K863" s="33" t="s">
        <v>6</v>
      </c>
      <c r="L863" s="46"/>
      <c r="M863" s="120"/>
      <c r="N863" s="120"/>
      <c r="O863" s="120"/>
      <c r="P863" s="122"/>
      <c r="Q863" s="122"/>
      <c r="R863" s="204"/>
      <c r="S863" s="204"/>
    </row>
    <row r="864" spans="1:19" s="61" customFormat="1">
      <c r="A864" s="199"/>
      <c r="B864" s="201"/>
      <c r="C864" s="43" t="s">
        <v>411</v>
      </c>
      <c r="D864" s="62">
        <v>1</v>
      </c>
      <c r="E864" s="33" t="str">
        <f t="shared" si="790"/>
        <v>12:12</v>
      </c>
      <c r="F864" s="30" t="s">
        <v>7</v>
      </c>
      <c r="G864" s="30" t="s">
        <v>7</v>
      </c>
      <c r="H864" s="75" t="s">
        <v>398</v>
      </c>
      <c r="I864" s="30" t="s">
        <v>68</v>
      </c>
      <c r="J864" s="32" t="s">
        <v>36</v>
      </c>
      <c r="K864" s="33" t="s">
        <v>6</v>
      </c>
      <c r="L864" s="46"/>
      <c r="M864" s="120"/>
      <c r="N864" s="120"/>
      <c r="O864" s="120"/>
      <c r="P864" s="122"/>
      <c r="Q864" s="122"/>
      <c r="R864" s="204"/>
      <c r="S864" s="204"/>
    </row>
    <row r="865" spans="1:19" s="61" customFormat="1">
      <c r="A865" s="199"/>
      <c r="B865" s="201"/>
      <c r="C865" s="43" t="s">
        <v>412</v>
      </c>
      <c r="D865" s="62">
        <v>1</v>
      </c>
      <c r="E865" s="33" t="str">
        <f t="shared" si="790"/>
        <v>11:11</v>
      </c>
      <c r="F865" s="76" t="s">
        <v>269</v>
      </c>
      <c r="G865" s="30" t="s">
        <v>7</v>
      </c>
      <c r="H865" s="65" t="s">
        <v>400</v>
      </c>
      <c r="I865" s="30" t="s">
        <v>68</v>
      </c>
      <c r="J865" s="32" t="s">
        <v>36</v>
      </c>
      <c r="K865" s="33" t="s">
        <v>6</v>
      </c>
      <c r="L865" s="46"/>
      <c r="M865" s="120"/>
      <c r="N865" s="120"/>
      <c r="O865" s="120"/>
      <c r="P865" s="122"/>
      <c r="Q865" s="122"/>
      <c r="R865" s="204"/>
      <c r="S865" s="204"/>
    </row>
    <row r="866" spans="1:19" s="61" customFormat="1" ht="15" thickBot="1">
      <c r="A866" s="199"/>
      <c r="B866" s="201"/>
      <c r="C866" s="43" t="s">
        <v>413</v>
      </c>
      <c r="D866" s="62">
        <v>11</v>
      </c>
      <c r="E866" s="33" t="str">
        <f t="shared" si="790"/>
        <v>10:0</v>
      </c>
      <c r="F866" s="76" t="s">
        <v>942</v>
      </c>
      <c r="G866" s="30" t="s">
        <v>414</v>
      </c>
      <c r="H866" s="65" t="s">
        <v>403</v>
      </c>
      <c r="I866" s="30" t="s">
        <v>68</v>
      </c>
      <c r="J866" s="32" t="s">
        <v>36</v>
      </c>
      <c r="K866" s="33" t="s">
        <v>6</v>
      </c>
      <c r="L866" s="46"/>
      <c r="M866" s="120"/>
      <c r="N866" s="120"/>
      <c r="O866" s="120"/>
      <c r="P866" s="122"/>
      <c r="Q866" s="122"/>
      <c r="R866" s="204"/>
      <c r="S866" s="204"/>
    </row>
    <row r="867" spans="1:19" s="61" customFormat="1" ht="15.75" customHeight="1">
      <c r="A867" s="199" t="s">
        <v>415</v>
      </c>
      <c r="B867" s="200" t="str">
        <f t="shared" ref="B867" si="791">DEC2HEX(P867*4)</f>
        <v>4</v>
      </c>
      <c r="C867" s="56" t="s">
        <v>383</v>
      </c>
      <c r="D867" s="129" t="str">
        <f>bitConcat(F868:F876)</f>
        <v>32'b00011100000011100000101100000000</v>
      </c>
      <c r="E867" s="130"/>
      <c r="F867" s="130"/>
      <c r="G867" s="205"/>
      <c r="H867" s="73" t="s">
        <v>384</v>
      </c>
      <c r="I867" s="74"/>
      <c r="J867" s="202" t="str">
        <f>bitConcat(G868:G876)</f>
        <v>32'b00011100000011100000001100010000</v>
      </c>
      <c r="K867" s="131"/>
      <c r="L867" s="132"/>
      <c r="M867" s="119" t="str">
        <f t="shared" ref="M867" si="792">DEC2HEX(_xlfn.BITLSHIFT(O867,7)+4*P867)</f>
        <v>404</v>
      </c>
      <c r="N867" s="120" t="s">
        <v>385</v>
      </c>
      <c r="O867" s="120">
        <v>8</v>
      </c>
      <c r="P867" s="122">
        <v>1</v>
      </c>
      <c r="Q867" s="121" t="str">
        <f>DEC2HEX(_xlfn.BITLSHIFT(O867,5)+P867)</f>
        <v>101</v>
      </c>
      <c r="R867" s="203" t="str">
        <f t="shared" ref="R867:R922" si="793">BIN2HEX(LEFT(RIGHT(D867,32),4))&amp;BIN2HEX(LEFT(RIGHT(D867,28),4))&amp;BIN2HEX(LEFT(RIGHT(D867,24),4))&amp;BIN2HEX(LEFT(RIGHT(D867,20),4))&amp;BIN2HEX(LEFT(RIGHT(D867,16),4))&amp;BIN2HEX(LEFT(RIGHT(D867,12),4))&amp;BIN2HEX(LEFT(RIGHT(D867,8),4))&amp;BIN2HEX(LEFT(RIGHT(D867,4),4))</f>
        <v>1C0E0B00</v>
      </c>
      <c r="S867" s="203" t="str">
        <f t="shared" si="789"/>
        <v>1C0E0310</v>
      </c>
    </row>
    <row r="868" spans="1:19" s="61" customFormat="1">
      <c r="A868" s="199"/>
      <c r="B868" s="201"/>
      <c r="C868" s="43" t="s">
        <v>416</v>
      </c>
      <c r="D868" s="62">
        <v>2</v>
      </c>
      <c r="E868" s="70" t="str">
        <f>IF(D868&gt;1,(31)&amp;":"&amp;(31-D868+1),(31-D868+1)&amp;":"&amp;(31-D868+1))</f>
        <v>31:30</v>
      </c>
      <c r="F868" s="30" t="s">
        <v>154</v>
      </c>
      <c r="G868" s="30" t="s">
        <v>154</v>
      </c>
      <c r="H868" s="64" t="s">
        <v>406</v>
      </c>
      <c r="I868" s="30" t="s">
        <v>68</v>
      </c>
      <c r="J868" s="32" t="s">
        <v>36</v>
      </c>
      <c r="K868" s="33" t="s">
        <v>6</v>
      </c>
      <c r="L868" s="46"/>
      <c r="M868" s="120"/>
      <c r="N868" s="120"/>
      <c r="O868" s="120"/>
      <c r="P868" s="122"/>
      <c r="Q868" s="122"/>
      <c r="R868" s="204"/>
      <c r="S868" s="204"/>
    </row>
    <row r="869" spans="1:19" s="61" customFormat="1">
      <c r="A869" s="199"/>
      <c r="B869" s="201"/>
      <c r="C869" s="43" t="s">
        <v>417</v>
      </c>
      <c r="D869" s="62">
        <v>1</v>
      </c>
      <c r="E869" s="33" t="str">
        <f t="shared" ref="E869" si="794">(MID(E868,SEARCH(":",E868)+1,2)-1) &amp; ":" &amp; (MID(E868,SEARCH(":",E868)+1,2)-D869)</f>
        <v>29:29</v>
      </c>
      <c r="F869" s="30" t="s">
        <v>7</v>
      </c>
      <c r="G869" s="30" t="s">
        <v>7</v>
      </c>
      <c r="H869" s="65" t="s">
        <v>418</v>
      </c>
      <c r="I869" s="30" t="s">
        <v>68</v>
      </c>
      <c r="J869" s="32" t="s">
        <v>36</v>
      </c>
      <c r="K869" s="33" t="s">
        <v>6</v>
      </c>
      <c r="L869" s="46"/>
      <c r="M869" s="120"/>
      <c r="N869" s="120"/>
      <c r="O869" s="120"/>
      <c r="P869" s="122"/>
      <c r="Q869" s="122"/>
      <c r="R869" s="204"/>
      <c r="S869" s="204"/>
    </row>
    <row r="870" spans="1:19" s="61" customFormat="1">
      <c r="A870" s="199"/>
      <c r="B870" s="201"/>
      <c r="C870" s="43" t="s">
        <v>419</v>
      </c>
      <c r="D870" s="62">
        <v>6</v>
      </c>
      <c r="E870" s="33" t="str">
        <f>(MID(E869,SEARCH(":",E869)+1,2)-1) &amp; ":" &amp; (MID(E869,SEARCH(":",E869)+1,2)-D870)</f>
        <v>28:23</v>
      </c>
      <c r="F870" s="30" t="s">
        <v>420</v>
      </c>
      <c r="G870" s="30" t="s">
        <v>420</v>
      </c>
      <c r="H870" s="65" t="s">
        <v>421</v>
      </c>
      <c r="I870" s="30" t="s">
        <v>68</v>
      </c>
      <c r="J870" s="32" t="s">
        <v>36</v>
      </c>
      <c r="K870" s="33" t="s">
        <v>6</v>
      </c>
      <c r="L870" s="46"/>
      <c r="M870" s="120"/>
      <c r="N870" s="120"/>
      <c r="O870" s="120"/>
      <c r="P870" s="122"/>
      <c r="Q870" s="122"/>
      <c r="R870" s="204"/>
      <c r="S870" s="204"/>
    </row>
    <row r="871" spans="1:19" s="61" customFormat="1">
      <c r="A871" s="199"/>
      <c r="B871" s="201"/>
      <c r="C871" s="43" t="s">
        <v>422</v>
      </c>
      <c r="D871" s="62">
        <v>6</v>
      </c>
      <c r="E871" s="33" t="str">
        <f t="shared" ref="E871:E876" si="795">(MID(E870,SEARCH(":",E870)+1,2)-1) &amp; ":" &amp; (MID(E870,SEARCH(":",E870)+1,2)-D871)</f>
        <v>22:17</v>
      </c>
      <c r="F871" s="30" t="s">
        <v>423</v>
      </c>
      <c r="G871" s="30" t="s">
        <v>423</v>
      </c>
      <c r="H871" s="64" t="s">
        <v>421</v>
      </c>
      <c r="I871" s="30" t="s">
        <v>68</v>
      </c>
      <c r="J871" s="32" t="s">
        <v>36</v>
      </c>
      <c r="K871" s="33" t="s">
        <v>6</v>
      </c>
      <c r="L871" s="46"/>
      <c r="M871" s="120"/>
      <c r="N871" s="120"/>
      <c r="O871" s="120"/>
      <c r="P871" s="122"/>
      <c r="Q871" s="122"/>
      <c r="R871" s="204"/>
      <c r="S871" s="204"/>
    </row>
    <row r="872" spans="1:19" s="61" customFormat="1">
      <c r="A872" s="199"/>
      <c r="B872" s="201"/>
      <c r="C872" s="43" t="s">
        <v>424</v>
      </c>
      <c r="D872" s="62">
        <v>1</v>
      </c>
      <c r="E872" s="33" t="str">
        <f t="shared" si="795"/>
        <v>16:16</v>
      </c>
      <c r="F872" s="30" t="s">
        <v>7</v>
      </c>
      <c r="G872" s="30" t="s">
        <v>7</v>
      </c>
      <c r="H872" s="64" t="s">
        <v>425</v>
      </c>
      <c r="I872" s="30" t="s">
        <v>68</v>
      </c>
      <c r="J872" s="32" t="s">
        <v>36</v>
      </c>
      <c r="K872" s="33" t="s">
        <v>6</v>
      </c>
      <c r="L872" s="46"/>
      <c r="M872" s="120"/>
      <c r="N872" s="120"/>
      <c r="O872" s="120"/>
      <c r="P872" s="122"/>
      <c r="Q872" s="122"/>
      <c r="R872" s="204"/>
      <c r="S872" s="204"/>
    </row>
    <row r="873" spans="1:19" s="61" customFormat="1">
      <c r="A873" s="199"/>
      <c r="B873" s="201"/>
      <c r="C873" s="43" t="s">
        <v>426</v>
      </c>
      <c r="D873" s="62">
        <v>3</v>
      </c>
      <c r="E873" s="33" t="str">
        <f t="shared" si="795"/>
        <v>15:13</v>
      </c>
      <c r="F873" s="30" t="s">
        <v>178</v>
      </c>
      <c r="G873" s="30" t="s">
        <v>178</v>
      </c>
      <c r="H873" s="65" t="s">
        <v>396</v>
      </c>
      <c r="I873" s="30" t="s">
        <v>68</v>
      </c>
      <c r="J873" s="32" t="s">
        <v>36</v>
      </c>
      <c r="K873" s="33" t="s">
        <v>6</v>
      </c>
      <c r="L873" s="46"/>
      <c r="M873" s="120"/>
      <c r="N873" s="120"/>
      <c r="O873" s="120"/>
      <c r="P873" s="122"/>
      <c r="Q873" s="122"/>
      <c r="R873" s="204"/>
      <c r="S873" s="204"/>
    </row>
    <row r="874" spans="1:19" s="61" customFormat="1">
      <c r="A874" s="199"/>
      <c r="B874" s="201"/>
      <c r="C874" s="43" t="s">
        <v>427</v>
      </c>
      <c r="D874" s="62">
        <v>1</v>
      </c>
      <c r="E874" s="33" t="str">
        <f t="shared" si="795"/>
        <v>12:12</v>
      </c>
      <c r="F874" s="30" t="s">
        <v>7</v>
      </c>
      <c r="G874" s="30" t="s">
        <v>7</v>
      </c>
      <c r="H874" s="75" t="s">
        <v>398</v>
      </c>
      <c r="I874" s="30" t="s">
        <v>68</v>
      </c>
      <c r="J874" s="32" t="s">
        <v>36</v>
      </c>
      <c r="K874" s="33" t="s">
        <v>6</v>
      </c>
      <c r="L874" s="46"/>
      <c r="M874" s="120"/>
      <c r="N874" s="120"/>
      <c r="O874" s="120"/>
      <c r="P874" s="122"/>
      <c r="Q874" s="122"/>
      <c r="R874" s="204"/>
      <c r="S874" s="204"/>
    </row>
    <row r="875" spans="1:19" s="61" customFormat="1">
      <c r="A875" s="199"/>
      <c r="B875" s="201"/>
      <c r="C875" s="43" t="s">
        <v>428</v>
      </c>
      <c r="D875" s="62">
        <v>1</v>
      </c>
      <c r="E875" s="33" t="str">
        <f t="shared" si="795"/>
        <v>11:11</v>
      </c>
      <c r="F875" s="76" t="s">
        <v>269</v>
      </c>
      <c r="G875" s="30" t="s">
        <v>7</v>
      </c>
      <c r="H875" s="65" t="s">
        <v>400</v>
      </c>
      <c r="I875" s="30" t="s">
        <v>68</v>
      </c>
      <c r="J875" s="32" t="s">
        <v>36</v>
      </c>
      <c r="K875" s="33" t="s">
        <v>6</v>
      </c>
      <c r="L875" s="46"/>
      <c r="M875" s="120"/>
      <c r="N875" s="120"/>
      <c r="O875" s="120"/>
      <c r="P875" s="122"/>
      <c r="Q875" s="122"/>
      <c r="R875" s="204"/>
      <c r="S875" s="204"/>
    </row>
    <row r="876" spans="1:19" s="61" customFormat="1" ht="15" thickBot="1">
      <c r="A876" s="199"/>
      <c r="B876" s="201"/>
      <c r="C876" s="43" t="s">
        <v>429</v>
      </c>
      <c r="D876" s="62">
        <v>11</v>
      </c>
      <c r="E876" s="33" t="str">
        <f t="shared" si="795"/>
        <v>10:0</v>
      </c>
      <c r="F876" s="76" t="s">
        <v>942</v>
      </c>
      <c r="G876" s="30" t="s">
        <v>414</v>
      </c>
      <c r="H876" s="65" t="s">
        <v>403</v>
      </c>
      <c r="I876" s="30" t="s">
        <v>68</v>
      </c>
      <c r="J876" s="32" t="s">
        <v>36</v>
      </c>
      <c r="K876" s="33" t="s">
        <v>6</v>
      </c>
      <c r="L876" s="46"/>
      <c r="M876" s="120"/>
      <c r="N876" s="120"/>
      <c r="O876" s="120"/>
      <c r="P876" s="122"/>
      <c r="Q876" s="122"/>
      <c r="R876" s="204"/>
      <c r="S876" s="204"/>
    </row>
    <row r="877" spans="1:19" s="61" customFormat="1" ht="15.75" customHeight="1">
      <c r="A877" s="199" t="s">
        <v>430</v>
      </c>
      <c r="B877" s="200" t="str">
        <f t="shared" ref="B877:B887" si="796">DEC2HEX(P877*4)</f>
        <v>8</v>
      </c>
      <c r="C877" s="56" t="s">
        <v>383</v>
      </c>
      <c r="D877" s="129" t="str">
        <f>bitConcat(F878:F886)</f>
        <v>32'b00000000000001000000101100000000</v>
      </c>
      <c r="E877" s="130"/>
      <c r="F877" s="130"/>
      <c r="G877" s="205"/>
      <c r="H877" s="73" t="s">
        <v>384</v>
      </c>
      <c r="I877" s="74"/>
      <c r="J877" s="202" t="str">
        <f>bitConcat(G878:G886)</f>
        <v>32'b00000000000011000000001100010000</v>
      </c>
      <c r="K877" s="131"/>
      <c r="L877" s="132"/>
      <c r="M877" s="119" t="str">
        <f t="shared" ref="M877" si="797">DEC2HEX(_xlfn.BITLSHIFT(O877,7)+4*P877)</f>
        <v>408</v>
      </c>
      <c r="N877" s="120" t="s">
        <v>385</v>
      </c>
      <c r="O877" s="120">
        <v>8</v>
      </c>
      <c r="P877" s="122">
        <v>2</v>
      </c>
      <c r="Q877" s="121" t="str">
        <f>DEC2HEX(_xlfn.BITLSHIFT(O877,5)+P877)</f>
        <v>102</v>
      </c>
      <c r="R877" s="203" t="str">
        <f t="shared" si="793"/>
        <v>00040B00</v>
      </c>
      <c r="S877" s="203" t="str">
        <f t="shared" si="789"/>
        <v>000C0310</v>
      </c>
    </row>
    <row r="878" spans="1:19" s="61" customFormat="1">
      <c r="A878" s="199"/>
      <c r="B878" s="201"/>
      <c r="C878" s="43" t="s">
        <v>431</v>
      </c>
      <c r="D878" s="62">
        <v>6</v>
      </c>
      <c r="E878" s="70" t="str">
        <f>IF(D878&gt;1,(31)&amp;":"&amp;(31-D878+1),(31-D878+1)&amp;":"&amp;(31-D878+1))</f>
        <v>31:26</v>
      </c>
      <c r="F878" s="30" t="s">
        <v>249</v>
      </c>
      <c r="G878" s="30" t="s">
        <v>249</v>
      </c>
      <c r="H878" s="64" t="s">
        <v>432</v>
      </c>
      <c r="I878" s="30" t="s">
        <v>68</v>
      </c>
      <c r="J878" s="32" t="s">
        <v>36</v>
      </c>
      <c r="K878" s="33" t="s">
        <v>6</v>
      </c>
      <c r="L878" s="46"/>
      <c r="M878" s="120"/>
      <c r="N878" s="120"/>
      <c r="O878" s="120"/>
      <c r="P878" s="122"/>
      <c r="Q878" s="122"/>
      <c r="R878" s="204"/>
      <c r="S878" s="204"/>
    </row>
    <row r="879" spans="1:19" s="61" customFormat="1">
      <c r="A879" s="199"/>
      <c r="B879" s="201"/>
      <c r="C879" s="43" t="s">
        <v>433</v>
      </c>
      <c r="D879" s="62">
        <v>5</v>
      </c>
      <c r="E879" s="33" t="str">
        <f t="shared" ref="E879:E886" si="798">(MID(E878,SEARCH(":",E878)+1,2)-1) &amp; ":" &amp; (MID(E878,SEARCH(":",E878)+1,2)-D879)</f>
        <v>25:21</v>
      </c>
      <c r="F879" s="30" t="s">
        <v>434</v>
      </c>
      <c r="G879" s="30" t="s">
        <v>434</v>
      </c>
      <c r="H879" s="64" t="s">
        <v>435</v>
      </c>
      <c r="I879" s="30" t="s">
        <v>68</v>
      </c>
      <c r="J879" s="32" t="s">
        <v>36</v>
      </c>
      <c r="K879" s="33" t="s">
        <v>6</v>
      </c>
      <c r="L879" s="46"/>
      <c r="M879" s="120"/>
      <c r="N879" s="120"/>
      <c r="O879" s="120"/>
      <c r="P879" s="122"/>
      <c r="Q879" s="122"/>
      <c r="R879" s="204"/>
      <c r="S879" s="204"/>
    </row>
    <row r="880" spans="1:19" s="61" customFormat="1">
      <c r="A880" s="199"/>
      <c r="B880" s="201"/>
      <c r="C880" s="43" t="s">
        <v>436</v>
      </c>
      <c r="D880" s="62">
        <v>1</v>
      </c>
      <c r="E880" s="33" t="str">
        <f t="shared" si="798"/>
        <v>20:20</v>
      </c>
      <c r="F880" s="30" t="s">
        <v>7</v>
      </c>
      <c r="G880" s="30" t="s">
        <v>7</v>
      </c>
      <c r="H880" s="65" t="s">
        <v>437</v>
      </c>
      <c r="I880" s="30" t="s">
        <v>68</v>
      </c>
      <c r="J880" s="32" t="s">
        <v>36</v>
      </c>
      <c r="K880" s="33" t="s">
        <v>6</v>
      </c>
      <c r="L880" s="46"/>
      <c r="M880" s="120"/>
      <c r="N880" s="120"/>
      <c r="O880" s="120"/>
      <c r="P880" s="122"/>
      <c r="Q880" s="122"/>
      <c r="R880" s="204"/>
      <c r="S880" s="204"/>
    </row>
    <row r="881" spans="1:19" s="61" customFormat="1">
      <c r="A881" s="199"/>
      <c r="B881" s="201"/>
      <c r="C881" s="43" t="s">
        <v>438</v>
      </c>
      <c r="D881" s="62">
        <v>2</v>
      </c>
      <c r="E881" s="33" t="str">
        <f t="shared" si="798"/>
        <v>19:18</v>
      </c>
      <c r="F881" s="76" t="s">
        <v>943</v>
      </c>
      <c r="G881" s="30" t="s">
        <v>257</v>
      </c>
      <c r="H881" s="65" t="s">
        <v>439</v>
      </c>
      <c r="I881" s="30" t="s">
        <v>68</v>
      </c>
      <c r="J881" s="32" t="s">
        <v>36</v>
      </c>
      <c r="K881" s="33" t="s">
        <v>6</v>
      </c>
      <c r="L881" s="46"/>
      <c r="M881" s="120"/>
      <c r="N881" s="120"/>
      <c r="O881" s="120"/>
      <c r="P881" s="122"/>
      <c r="Q881" s="122"/>
      <c r="R881" s="204"/>
      <c r="S881" s="204"/>
    </row>
    <row r="882" spans="1:19" s="61" customFormat="1">
      <c r="A882" s="199"/>
      <c r="B882" s="201"/>
      <c r="C882" s="43" t="s">
        <v>440</v>
      </c>
      <c r="D882" s="62">
        <v>2</v>
      </c>
      <c r="E882" s="33" t="str">
        <f t="shared" si="798"/>
        <v>17:16</v>
      </c>
      <c r="F882" s="30" t="s">
        <v>154</v>
      </c>
      <c r="G882" s="30" t="s">
        <v>154</v>
      </c>
      <c r="H882" s="65" t="s">
        <v>441</v>
      </c>
      <c r="I882" s="30" t="s">
        <v>68</v>
      </c>
      <c r="J882" s="32" t="s">
        <v>36</v>
      </c>
      <c r="K882" s="33" t="s">
        <v>6</v>
      </c>
      <c r="L882" s="46"/>
      <c r="M882" s="120"/>
      <c r="N882" s="120"/>
      <c r="O882" s="120"/>
      <c r="P882" s="122"/>
      <c r="Q882" s="122"/>
      <c r="R882" s="204"/>
      <c r="S882" s="204"/>
    </row>
    <row r="883" spans="1:19" s="61" customFormat="1">
      <c r="A883" s="199"/>
      <c r="B883" s="201"/>
      <c r="C883" s="43" t="s">
        <v>442</v>
      </c>
      <c r="D883" s="62">
        <v>3</v>
      </c>
      <c r="E883" s="33" t="str">
        <f t="shared" si="798"/>
        <v>15:13</v>
      </c>
      <c r="F883" s="30" t="s">
        <v>178</v>
      </c>
      <c r="G883" s="30" t="s">
        <v>178</v>
      </c>
      <c r="H883" s="65" t="s">
        <v>396</v>
      </c>
      <c r="I883" s="30" t="s">
        <v>68</v>
      </c>
      <c r="J883" s="32" t="s">
        <v>36</v>
      </c>
      <c r="K883" s="33" t="s">
        <v>6</v>
      </c>
      <c r="L883" s="46"/>
      <c r="M883" s="120"/>
      <c r="N883" s="120"/>
      <c r="O883" s="120"/>
      <c r="P883" s="122"/>
      <c r="Q883" s="122"/>
      <c r="R883" s="204"/>
      <c r="S883" s="204"/>
    </row>
    <row r="884" spans="1:19" s="61" customFormat="1">
      <c r="A884" s="199"/>
      <c r="B884" s="201"/>
      <c r="C884" s="43" t="s">
        <v>443</v>
      </c>
      <c r="D884" s="62">
        <v>1</v>
      </c>
      <c r="E884" s="33" t="str">
        <f t="shared" si="798"/>
        <v>12:12</v>
      </c>
      <c r="F884" s="30" t="s">
        <v>7</v>
      </c>
      <c r="G884" s="30" t="s">
        <v>7</v>
      </c>
      <c r="H884" s="75" t="s">
        <v>398</v>
      </c>
      <c r="I884" s="30" t="s">
        <v>68</v>
      </c>
      <c r="J884" s="32" t="s">
        <v>36</v>
      </c>
      <c r="K884" s="33" t="s">
        <v>6</v>
      </c>
      <c r="L884" s="46"/>
      <c r="M884" s="120"/>
      <c r="N884" s="120"/>
      <c r="O884" s="120"/>
      <c r="P884" s="122"/>
      <c r="Q884" s="122"/>
      <c r="R884" s="204"/>
      <c r="S884" s="204"/>
    </row>
    <row r="885" spans="1:19" s="61" customFormat="1">
      <c r="A885" s="199"/>
      <c r="B885" s="201"/>
      <c r="C885" s="43" t="s">
        <v>444</v>
      </c>
      <c r="D885" s="62">
        <v>1</v>
      </c>
      <c r="E885" s="33" t="str">
        <f t="shared" si="798"/>
        <v>11:11</v>
      </c>
      <c r="F885" s="76" t="s">
        <v>269</v>
      </c>
      <c r="G885" s="30" t="s">
        <v>7</v>
      </c>
      <c r="H885" s="65" t="s">
        <v>400</v>
      </c>
      <c r="I885" s="30" t="s">
        <v>68</v>
      </c>
      <c r="J885" s="32" t="s">
        <v>36</v>
      </c>
      <c r="K885" s="33" t="s">
        <v>6</v>
      </c>
      <c r="L885" s="46"/>
      <c r="M885" s="120"/>
      <c r="N885" s="120"/>
      <c r="O885" s="120"/>
      <c r="P885" s="122"/>
      <c r="Q885" s="122"/>
      <c r="R885" s="204"/>
      <c r="S885" s="204"/>
    </row>
    <row r="886" spans="1:19" s="61" customFormat="1" ht="15" thickBot="1">
      <c r="A886" s="199"/>
      <c r="B886" s="201"/>
      <c r="C886" s="43" t="s">
        <v>445</v>
      </c>
      <c r="D886" s="62">
        <v>11</v>
      </c>
      <c r="E886" s="33" t="str">
        <f t="shared" si="798"/>
        <v>10:0</v>
      </c>
      <c r="F886" s="76" t="s">
        <v>942</v>
      </c>
      <c r="G886" s="30" t="s">
        <v>414</v>
      </c>
      <c r="H886" s="65" t="s">
        <v>403</v>
      </c>
      <c r="I886" s="30" t="s">
        <v>68</v>
      </c>
      <c r="J886" s="32" t="s">
        <v>36</v>
      </c>
      <c r="K886" s="33" t="s">
        <v>6</v>
      </c>
      <c r="L886" s="46"/>
      <c r="M886" s="120"/>
      <c r="N886" s="120"/>
      <c r="O886" s="120"/>
      <c r="P886" s="122"/>
      <c r="Q886" s="122"/>
      <c r="R886" s="204"/>
      <c r="S886" s="204"/>
    </row>
    <row r="887" spans="1:19" s="61" customFormat="1" ht="15.75" customHeight="1">
      <c r="A887" s="206" t="s">
        <v>446</v>
      </c>
      <c r="B887" s="208" t="str">
        <f t="shared" si="796"/>
        <v>0</v>
      </c>
      <c r="C887" s="56" t="s">
        <v>383</v>
      </c>
      <c r="D887" s="129" t="str">
        <f>bitConcat(F888:F891)</f>
        <v>32'b00000000000000000000000000000000</v>
      </c>
      <c r="E887" s="130"/>
      <c r="F887" s="130"/>
      <c r="G887" s="205"/>
      <c r="H887" s="73" t="s">
        <v>384</v>
      </c>
      <c r="I887" s="74"/>
      <c r="J887" s="202" t="str">
        <f>bitConcat(G888:G891)</f>
        <v>32'b00000000000000000000000000000000</v>
      </c>
      <c r="K887" s="131"/>
      <c r="L887" s="132"/>
      <c r="M887" s="119" t="str">
        <f t="shared" ref="M887" si="799">DEC2HEX(_xlfn.BITLSHIFT(O887,7)+4*P887)</f>
        <v>300</v>
      </c>
      <c r="N887" s="119" t="s">
        <v>385</v>
      </c>
      <c r="O887" s="119">
        <v>6</v>
      </c>
      <c r="P887" s="121">
        <v>0</v>
      </c>
      <c r="Q887" s="121" t="str">
        <f>DEC2HEX(_xlfn.BITLSHIFT(O887,5)+P887)</f>
        <v>C0</v>
      </c>
      <c r="R887" s="203" t="str">
        <f t="shared" si="793"/>
        <v>00000000</v>
      </c>
      <c r="S887" s="203" t="str">
        <f t="shared" si="789"/>
        <v>00000000</v>
      </c>
    </row>
    <row r="888" spans="1:19" s="61" customFormat="1">
      <c r="A888" s="207"/>
      <c r="B888" s="209"/>
      <c r="C888" s="43" t="s">
        <v>447</v>
      </c>
      <c r="D888" s="62">
        <v>8</v>
      </c>
      <c r="E888" s="70" t="str">
        <f>IF(D888&gt;1,(31)&amp;":"&amp;(31-D888+1),(31-D888+1)&amp;":"&amp;(31-D888+1))</f>
        <v>31:24</v>
      </c>
      <c r="F888" s="30" t="s">
        <v>133</v>
      </c>
      <c r="G888" s="30" t="s">
        <v>133</v>
      </c>
      <c r="H888" s="64" t="s">
        <v>448</v>
      </c>
      <c r="I888" s="30" t="s">
        <v>68</v>
      </c>
      <c r="J888" s="32" t="s">
        <v>36</v>
      </c>
      <c r="K888" s="33" t="s">
        <v>6</v>
      </c>
      <c r="L888" s="46"/>
      <c r="M888" s="120"/>
      <c r="N888" s="120"/>
      <c r="O888" s="120"/>
      <c r="P888" s="122"/>
      <c r="Q888" s="122"/>
      <c r="R888" s="204"/>
      <c r="S888" s="204"/>
    </row>
    <row r="889" spans="1:19" s="61" customFormat="1">
      <c r="A889" s="207"/>
      <c r="B889" s="209"/>
      <c r="C889" s="43" t="s">
        <v>449</v>
      </c>
      <c r="D889" s="62">
        <v>8</v>
      </c>
      <c r="E889" s="33" t="str">
        <f t="shared" ref="E889" si="800">(MID(E888,SEARCH(":",E888)+1,2)-1) &amp; ":" &amp; (MID(E888,SEARCH(":",E888)+1,2)-D889)</f>
        <v>23:16</v>
      </c>
      <c r="F889" s="30" t="s">
        <v>133</v>
      </c>
      <c r="G889" s="30" t="s">
        <v>133</v>
      </c>
      <c r="H889" s="64" t="s">
        <v>450</v>
      </c>
      <c r="I889" s="30" t="s">
        <v>68</v>
      </c>
      <c r="J889" s="32" t="s">
        <v>36</v>
      </c>
      <c r="K889" s="33" t="s">
        <v>6</v>
      </c>
      <c r="L889" s="46"/>
      <c r="M889" s="120"/>
      <c r="N889" s="120"/>
      <c r="O889" s="120"/>
      <c r="P889" s="122"/>
      <c r="Q889" s="122"/>
      <c r="R889" s="204"/>
      <c r="S889" s="204"/>
    </row>
    <row r="890" spans="1:19" s="61" customFormat="1">
      <c r="A890" s="207"/>
      <c r="B890" s="209"/>
      <c r="C890" s="43" t="s">
        <v>451</v>
      </c>
      <c r="D890" s="62">
        <v>8</v>
      </c>
      <c r="E890" s="33" t="str">
        <f>(MID(E889,SEARCH(":",E889)+1,2)-1) &amp; ":" &amp; (MID(E889,SEARCH(":",E889)+1,2)-D890)</f>
        <v>15:8</v>
      </c>
      <c r="F890" s="30" t="s">
        <v>133</v>
      </c>
      <c r="G890" s="30" t="s">
        <v>133</v>
      </c>
      <c r="H890" s="64" t="s">
        <v>452</v>
      </c>
      <c r="I890" s="30" t="s">
        <v>68</v>
      </c>
      <c r="J890" s="32" t="s">
        <v>36</v>
      </c>
      <c r="K890" s="33" t="s">
        <v>6</v>
      </c>
      <c r="L890" s="46"/>
      <c r="M890" s="120"/>
      <c r="N890" s="120"/>
      <c r="O890" s="120"/>
      <c r="P890" s="122"/>
      <c r="Q890" s="122"/>
      <c r="R890" s="204"/>
      <c r="S890" s="204"/>
    </row>
    <row r="891" spans="1:19" s="61" customFormat="1" ht="15" thickBot="1">
      <c r="A891" s="207"/>
      <c r="B891" s="209"/>
      <c r="C891" s="43" t="s">
        <v>453</v>
      </c>
      <c r="D891" s="62">
        <v>8</v>
      </c>
      <c r="E891" s="33" t="str">
        <f>(MID(E890,SEARCH(":",E890)+1,2)-1) &amp; ":" &amp; (MID(E890,SEARCH(":",E890)+1,2)-D891)</f>
        <v>7:0</v>
      </c>
      <c r="F891" s="30" t="s">
        <v>133</v>
      </c>
      <c r="G891" s="30" t="s">
        <v>133</v>
      </c>
      <c r="H891" s="64" t="s">
        <v>454</v>
      </c>
      <c r="I891" s="30" t="s">
        <v>68</v>
      </c>
      <c r="J891" s="32" t="s">
        <v>36</v>
      </c>
      <c r="K891" s="33" t="s">
        <v>6</v>
      </c>
      <c r="L891" s="46"/>
      <c r="M891" s="120"/>
      <c r="N891" s="120"/>
      <c r="O891" s="120"/>
      <c r="P891" s="122"/>
      <c r="Q891" s="122"/>
      <c r="R891" s="204"/>
      <c r="S891" s="210"/>
    </row>
    <row r="892" spans="1:19" s="61" customFormat="1">
      <c r="A892" s="211" t="s">
        <v>455</v>
      </c>
      <c r="B892" s="214" t="str">
        <f t="shared" ref="B892:B899" si="801">DEC2HEX(P892*4)</f>
        <v>4</v>
      </c>
      <c r="C892" s="56" t="s">
        <v>383</v>
      </c>
      <c r="D892" s="129" t="str">
        <f>bitConcat(F893:F898)</f>
        <v>32'b00000000000000000000000000000000</v>
      </c>
      <c r="E892" s="130"/>
      <c r="F892" s="130"/>
      <c r="G892" s="205"/>
      <c r="H892" s="73" t="s">
        <v>384</v>
      </c>
      <c r="I892" s="74"/>
      <c r="J892" s="202" t="str">
        <f>bitConcat(G893:G898)</f>
        <v>32'b00000000000000000000000000000000</v>
      </c>
      <c r="K892" s="131"/>
      <c r="L892" s="132"/>
      <c r="M892" s="217" t="str">
        <f t="shared" ref="M892" si="802">DEC2HEX(_xlfn.BITLSHIFT(O892,7)+4*P892)</f>
        <v>304</v>
      </c>
      <c r="N892" s="217" t="s">
        <v>385</v>
      </c>
      <c r="O892" s="217">
        <v>6</v>
      </c>
      <c r="P892" s="217">
        <v>1</v>
      </c>
      <c r="Q892" s="217" t="str">
        <f>DEC2HEX(_xlfn.BITLSHIFT(O892,5)+P892)</f>
        <v>C1</v>
      </c>
      <c r="R892" s="217" t="str">
        <f t="shared" si="793"/>
        <v>00000000</v>
      </c>
      <c r="S892" s="217" t="str">
        <f t="shared" si="789"/>
        <v>00000000</v>
      </c>
    </row>
    <row r="893" spans="1:19" s="61" customFormat="1">
      <c r="A893" s="212"/>
      <c r="B893" s="215"/>
      <c r="C893" s="43" t="s">
        <v>456</v>
      </c>
      <c r="D893" s="62">
        <v>16</v>
      </c>
      <c r="E893" s="70" t="str">
        <f>IF(D893&gt;1,(31)&amp;":"&amp;(31-D893+1),(31-D893+1)&amp;":"&amp;(31-D893+1))</f>
        <v>31:16</v>
      </c>
      <c r="F893" s="30" t="s">
        <v>457</v>
      </c>
      <c r="G893" s="30" t="s">
        <v>457</v>
      </c>
      <c r="H893" s="64" t="s">
        <v>458</v>
      </c>
      <c r="I893" s="30" t="s">
        <v>68</v>
      </c>
      <c r="J893" s="32" t="s">
        <v>36</v>
      </c>
      <c r="K893" s="33" t="s">
        <v>6</v>
      </c>
      <c r="L893" s="46"/>
      <c r="M893" s="218"/>
      <c r="N893" s="218"/>
      <c r="O893" s="218"/>
      <c r="P893" s="218"/>
      <c r="Q893" s="218"/>
      <c r="R893" s="218"/>
      <c r="S893" s="218"/>
    </row>
    <row r="894" spans="1:19" s="61" customFormat="1" ht="15.75" customHeight="1">
      <c r="A894" s="212"/>
      <c r="B894" s="215"/>
      <c r="C894" s="43" t="s">
        <v>459</v>
      </c>
      <c r="D894" s="62">
        <v>6</v>
      </c>
      <c r="E894" s="33" t="str">
        <f>(MID(E893,SEARCH(":",E893)+1,2)-1) &amp; ":" &amp; (MID(E893,SEARCH(":",E893)+1,2)-D894)</f>
        <v>15:10</v>
      </c>
      <c r="F894" s="30" t="s">
        <v>249</v>
      </c>
      <c r="G894" s="30" t="s">
        <v>249</v>
      </c>
      <c r="H894" s="65" t="s">
        <v>460</v>
      </c>
      <c r="I894" s="30" t="s">
        <v>68</v>
      </c>
      <c r="J894" s="32" t="s">
        <v>36</v>
      </c>
      <c r="K894" s="33" t="s">
        <v>6</v>
      </c>
      <c r="L894" s="46"/>
      <c r="M894" s="218"/>
      <c r="N894" s="218"/>
      <c r="O894" s="218"/>
      <c r="P894" s="218"/>
      <c r="Q894" s="218"/>
      <c r="R894" s="218"/>
      <c r="S894" s="218"/>
    </row>
    <row r="895" spans="1:19" s="61" customFormat="1" ht="15.75" customHeight="1">
      <c r="A895" s="212"/>
      <c r="B895" s="215"/>
      <c r="C895" s="77" t="s">
        <v>461</v>
      </c>
      <c r="D895" s="78">
        <v>5</v>
      </c>
      <c r="E895" s="33" t="str">
        <f t="shared" ref="E895:E898" si="803">(MID(E894,SEARCH(":",E894)+1,2)-1) &amp; ":" &amp; (MID(E894,SEARCH(":",E894)+1,2)-D895)</f>
        <v>9:5</v>
      </c>
      <c r="F895" s="30" t="s">
        <v>434</v>
      </c>
      <c r="G895" s="79" t="s">
        <v>434</v>
      </c>
      <c r="H895" s="80" t="s">
        <v>462</v>
      </c>
      <c r="I895" s="30" t="s">
        <v>68</v>
      </c>
      <c r="J895" s="32" t="s">
        <v>36</v>
      </c>
      <c r="K895" s="33" t="s">
        <v>6</v>
      </c>
      <c r="L895" s="81"/>
      <c r="M895" s="218"/>
      <c r="N895" s="218"/>
      <c r="O895" s="218"/>
      <c r="P895" s="218"/>
      <c r="Q895" s="218"/>
      <c r="R895" s="218"/>
      <c r="S895" s="218"/>
    </row>
    <row r="896" spans="1:19" s="61" customFormat="1" ht="15.75" customHeight="1">
      <c r="A896" s="212"/>
      <c r="B896" s="215"/>
      <c r="C896" s="77" t="s">
        <v>463</v>
      </c>
      <c r="D896" s="78">
        <v>2</v>
      </c>
      <c r="E896" s="33" t="str">
        <f t="shared" si="803"/>
        <v>4:3</v>
      </c>
      <c r="F896" s="30" t="s">
        <v>154</v>
      </c>
      <c r="G896" s="79" t="s">
        <v>154</v>
      </c>
      <c r="H896" s="80" t="s">
        <v>464</v>
      </c>
      <c r="I896" s="30" t="s">
        <v>68</v>
      </c>
      <c r="J896" s="32" t="s">
        <v>36</v>
      </c>
      <c r="K896" s="33" t="s">
        <v>6</v>
      </c>
      <c r="L896" s="81"/>
      <c r="M896" s="218"/>
      <c r="N896" s="218"/>
      <c r="O896" s="218"/>
      <c r="P896" s="218"/>
      <c r="Q896" s="218"/>
      <c r="R896" s="218"/>
      <c r="S896" s="218"/>
    </row>
    <row r="897" spans="1:19" s="61" customFormat="1" ht="15.75" customHeight="1">
      <c r="A897" s="212"/>
      <c r="B897" s="215"/>
      <c r="C897" s="77" t="s">
        <v>465</v>
      </c>
      <c r="D897" s="78">
        <v>2</v>
      </c>
      <c r="E897" s="33" t="str">
        <f t="shared" si="803"/>
        <v>2:1</v>
      </c>
      <c r="F897" s="30" t="s">
        <v>154</v>
      </c>
      <c r="G897" s="79" t="s">
        <v>154</v>
      </c>
      <c r="H897" s="80" t="s">
        <v>396</v>
      </c>
      <c r="I897" s="30" t="s">
        <v>68</v>
      </c>
      <c r="J897" s="32" t="s">
        <v>36</v>
      </c>
      <c r="K897" s="33" t="s">
        <v>6</v>
      </c>
      <c r="L897" s="81"/>
      <c r="M897" s="218"/>
      <c r="N897" s="218"/>
      <c r="O897" s="218"/>
      <c r="P897" s="218"/>
      <c r="Q897" s="218"/>
      <c r="R897" s="218"/>
      <c r="S897" s="218"/>
    </row>
    <row r="898" spans="1:19" s="61" customFormat="1" ht="15.75" customHeight="1" thickBot="1">
      <c r="A898" s="213"/>
      <c r="B898" s="216"/>
      <c r="C898" s="77" t="s">
        <v>466</v>
      </c>
      <c r="D898" s="78">
        <v>1</v>
      </c>
      <c r="E898" s="33" t="str">
        <f t="shared" si="803"/>
        <v>0:0</v>
      </c>
      <c r="F898" s="30" t="s">
        <v>7</v>
      </c>
      <c r="G898" s="79" t="s">
        <v>7</v>
      </c>
      <c r="H898" s="80" t="s">
        <v>396</v>
      </c>
      <c r="I898" s="30" t="s">
        <v>68</v>
      </c>
      <c r="J898" s="32" t="s">
        <v>36</v>
      </c>
      <c r="K898" s="33" t="s">
        <v>6</v>
      </c>
      <c r="L898" s="81"/>
      <c r="M898" s="219"/>
      <c r="N898" s="219"/>
      <c r="O898" s="219"/>
      <c r="P898" s="219"/>
      <c r="Q898" s="219"/>
      <c r="R898" s="219"/>
      <c r="S898" s="219"/>
    </row>
    <row r="899" spans="1:19" s="61" customFormat="1">
      <c r="A899" s="207" t="s">
        <v>467</v>
      </c>
      <c r="B899" s="208" t="str">
        <f t="shared" si="801"/>
        <v>8</v>
      </c>
      <c r="C899" s="56" t="s">
        <v>383</v>
      </c>
      <c r="D899" s="129" t="str">
        <f>bitConcat(F900:F905)</f>
        <v>32'b00000000101100110001100000100000</v>
      </c>
      <c r="E899" s="130"/>
      <c r="F899" s="130"/>
      <c r="G899" s="205"/>
      <c r="H899" s="73" t="s">
        <v>384</v>
      </c>
      <c r="I899" s="74"/>
      <c r="J899" s="202" t="str">
        <f>bitConcat(G900:G905)</f>
        <v>32'b00000000000000000001100000000000</v>
      </c>
      <c r="K899" s="131"/>
      <c r="L899" s="132"/>
      <c r="M899" s="119" t="str">
        <f t="shared" ref="M899" si="804">DEC2HEX(_xlfn.BITLSHIFT(O899,7)+4*P899)</f>
        <v>308</v>
      </c>
      <c r="N899" s="120" t="s">
        <v>385</v>
      </c>
      <c r="O899" s="120">
        <v>6</v>
      </c>
      <c r="P899" s="122">
        <v>2</v>
      </c>
      <c r="Q899" s="121" t="str">
        <f>DEC2HEX(_xlfn.BITLSHIFT(O899,5)+P899)</f>
        <v>C2</v>
      </c>
      <c r="R899" s="203" t="str">
        <f t="shared" si="793"/>
        <v>00B31820</v>
      </c>
      <c r="S899" s="203" t="str">
        <f t="shared" si="789"/>
        <v>00001800</v>
      </c>
    </row>
    <row r="900" spans="1:19" s="61" customFormat="1">
      <c r="A900" s="207"/>
      <c r="B900" s="209"/>
      <c r="C900" s="43" t="s">
        <v>468</v>
      </c>
      <c r="D900" s="62">
        <v>8</v>
      </c>
      <c r="E900" s="70" t="str">
        <f>IF(D900&gt;1,(31)&amp;":"&amp;(31-D900+1),(31-D900+1)&amp;":"&amp;(31-D900+1))</f>
        <v>31:24</v>
      </c>
      <c r="F900" s="30" t="s">
        <v>133</v>
      </c>
      <c r="G900" s="30" t="s">
        <v>133</v>
      </c>
      <c r="H900" s="64" t="s">
        <v>469</v>
      </c>
      <c r="I900" s="30" t="s">
        <v>68</v>
      </c>
      <c r="J900" s="32" t="s">
        <v>36</v>
      </c>
      <c r="K900" s="33" t="s">
        <v>6</v>
      </c>
      <c r="L900" s="46"/>
      <c r="M900" s="120"/>
      <c r="N900" s="120"/>
      <c r="O900" s="120"/>
      <c r="P900" s="122"/>
      <c r="Q900" s="122"/>
      <c r="R900" s="204"/>
      <c r="S900" s="204"/>
    </row>
    <row r="901" spans="1:19" s="61" customFormat="1">
      <c r="A901" s="207"/>
      <c r="B901" s="209"/>
      <c r="C901" s="43" t="s">
        <v>470</v>
      </c>
      <c r="D901" s="62">
        <v>8</v>
      </c>
      <c r="E901" s="33" t="str">
        <f>(MID(E900,SEARCH(":",E900)+1,2)-1) &amp; ":" &amp; (MID(E900,SEARCH(":",E900)+1,2)-D901)</f>
        <v>23:16</v>
      </c>
      <c r="F901" s="30" t="s">
        <v>471</v>
      </c>
      <c r="G901" s="30" t="s">
        <v>133</v>
      </c>
      <c r="H901" s="65" t="s">
        <v>472</v>
      </c>
      <c r="I901" s="30" t="s">
        <v>68</v>
      </c>
      <c r="J901" s="32" t="s">
        <v>36</v>
      </c>
      <c r="K901" s="33" t="s">
        <v>6</v>
      </c>
      <c r="L901" s="46"/>
      <c r="M901" s="120"/>
      <c r="N901" s="120"/>
      <c r="O901" s="120"/>
      <c r="P901" s="122"/>
      <c r="Q901" s="122"/>
      <c r="R901" s="204"/>
      <c r="S901" s="204"/>
    </row>
    <row r="902" spans="1:19" s="61" customFormat="1">
      <c r="A902" s="207"/>
      <c r="B902" s="209"/>
      <c r="C902" s="43" t="s">
        <v>473</v>
      </c>
      <c r="D902" s="62">
        <v>10</v>
      </c>
      <c r="E902" s="33" t="str">
        <f t="shared" ref="E902:E904" si="805">(MID(E901,SEARCH(":",E901)+1,2)-1) &amp; ":" &amp; (MID(E901,SEARCH(":",E901)+1,2)-D902)</f>
        <v>15:6</v>
      </c>
      <c r="F902" s="30" t="s">
        <v>474</v>
      </c>
      <c r="G902" s="30" t="s">
        <v>474</v>
      </c>
      <c r="H902" s="64" t="s">
        <v>475</v>
      </c>
      <c r="I902" s="30" t="s">
        <v>68</v>
      </c>
      <c r="J902" s="32" t="s">
        <v>36</v>
      </c>
      <c r="K902" s="33" t="s">
        <v>6</v>
      </c>
      <c r="L902" s="46"/>
      <c r="M902" s="120"/>
      <c r="N902" s="120"/>
      <c r="O902" s="120"/>
      <c r="P902" s="122"/>
      <c r="Q902" s="122"/>
      <c r="R902" s="204"/>
      <c r="S902" s="204"/>
    </row>
    <row r="903" spans="1:19" s="61" customFormat="1" ht="15.75" customHeight="1">
      <c r="A903" s="207"/>
      <c r="B903" s="209"/>
      <c r="C903" s="43" t="s">
        <v>476</v>
      </c>
      <c r="D903" s="62">
        <v>1</v>
      </c>
      <c r="E903" s="33" t="str">
        <f t="shared" si="805"/>
        <v>5:5</v>
      </c>
      <c r="F903" s="30" t="s">
        <v>269</v>
      </c>
      <c r="G903" s="30" t="s">
        <v>7</v>
      </c>
      <c r="H903" s="65" t="s">
        <v>477</v>
      </c>
      <c r="I903" s="30" t="s">
        <v>68</v>
      </c>
      <c r="J903" s="32" t="s">
        <v>36</v>
      </c>
      <c r="K903" s="33" t="s">
        <v>6</v>
      </c>
      <c r="L903" s="46"/>
      <c r="M903" s="120"/>
      <c r="N903" s="120"/>
      <c r="O903" s="120"/>
      <c r="P903" s="122"/>
      <c r="Q903" s="122"/>
      <c r="R903" s="204"/>
      <c r="S903" s="204"/>
    </row>
    <row r="904" spans="1:19" s="61" customFormat="1" ht="15" thickBot="1">
      <c r="A904" s="207"/>
      <c r="B904" s="209"/>
      <c r="C904" s="43" t="s">
        <v>478</v>
      </c>
      <c r="D904" s="62">
        <v>5</v>
      </c>
      <c r="E904" s="33" t="str">
        <f t="shared" si="805"/>
        <v>4:0</v>
      </c>
      <c r="F904" s="30" t="s">
        <v>434</v>
      </c>
      <c r="G904" s="30" t="s">
        <v>434</v>
      </c>
      <c r="H904" s="65" t="s">
        <v>479</v>
      </c>
      <c r="I904" s="30" t="s">
        <v>68</v>
      </c>
      <c r="J904" s="32" t="s">
        <v>36</v>
      </c>
      <c r="K904" s="33" t="s">
        <v>6</v>
      </c>
      <c r="L904" s="46"/>
      <c r="M904" s="120"/>
      <c r="N904" s="120"/>
      <c r="O904" s="120"/>
      <c r="P904" s="122"/>
      <c r="Q904" s="122"/>
      <c r="R904" s="210"/>
      <c r="S904" s="210"/>
    </row>
    <row r="905" spans="1:19" s="61" customFormat="1" ht="15.75" customHeight="1">
      <c r="A905" s="206" t="s">
        <v>480</v>
      </c>
      <c r="B905" s="208" t="str">
        <f t="shared" ref="B905" si="806">DEC2HEX(P905*4)</f>
        <v>C</v>
      </c>
      <c r="C905" s="56" t="s">
        <v>383</v>
      </c>
      <c r="D905" s="129" t="str">
        <f>bitConcat(F906:F909)</f>
        <v>32'b00000000000000000000000000000000</v>
      </c>
      <c r="E905" s="130"/>
      <c r="F905" s="130"/>
      <c r="G905" s="205"/>
      <c r="H905" s="73" t="s">
        <v>384</v>
      </c>
      <c r="I905" s="74"/>
      <c r="J905" s="202" t="str">
        <f>bitConcat(G906:G909)</f>
        <v>32'b00000000000000000000000000000000</v>
      </c>
      <c r="K905" s="131"/>
      <c r="L905" s="132"/>
      <c r="M905" s="119" t="str">
        <f t="shared" ref="M905" si="807">DEC2HEX(_xlfn.BITLSHIFT(O905,7)+4*P905)</f>
        <v>30C</v>
      </c>
      <c r="N905" s="119" t="s">
        <v>385</v>
      </c>
      <c r="O905" s="119">
        <v>6</v>
      </c>
      <c r="P905" s="121">
        <v>3</v>
      </c>
      <c r="Q905" s="121" t="str">
        <f>DEC2HEX(_xlfn.BITLSHIFT(O905,5)+P905)</f>
        <v>C3</v>
      </c>
      <c r="R905" s="203" t="str">
        <f t="shared" si="793"/>
        <v>00000000</v>
      </c>
      <c r="S905" s="203" t="str">
        <f t="shared" si="789"/>
        <v>00000000</v>
      </c>
    </row>
    <row r="906" spans="1:19" s="61" customFormat="1">
      <c r="A906" s="207"/>
      <c r="B906" s="209"/>
      <c r="C906" s="43" t="s">
        <v>481</v>
      </c>
      <c r="D906" s="62">
        <v>8</v>
      </c>
      <c r="E906" s="70" t="str">
        <f>IF(D906&gt;1,(31)&amp;":"&amp;(31-D906+1),(31-D906+1)&amp;":"&amp;(31-D906+1))</f>
        <v>31:24</v>
      </c>
      <c r="F906" s="30" t="s">
        <v>133</v>
      </c>
      <c r="G906" s="30" t="s">
        <v>133</v>
      </c>
      <c r="H906" s="64" t="s">
        <v>448</v>
      </c>
      <c r="I906" s="30" t="s">
        <v>68</v>
      </c>
      <c r="J906" s="32" t="s">
        <v>36</v>
      </c>
      <c r="K906" s="33" t="s">
        <v>6</v>
      </c>
      <c r="L906" s="46"/>
      <c r="M906" s="120"/>
      <c r="N906" s="120"/>
      <c r="O906" s="120"/>
      <c r="P906" s="122"/>
      <c r="Q906" s="122"/>
      <c r="R906" s="204"/>
      <c r="S906" s="204"/>
    </row>
    <row r="907" spans="1:19" s="61" customFormat="1">
      <c r="A907" s="207"/>
      <c r="B907" s="209"/>
      <c r="C907" s="43" t="s">
        <v>482</v>
      </c>
      <c r="D907" s="62">
        <v>8</v>
      </c>
      <c r="E907" s="33" t="str">
        <f t="shared" ref="E907" si="808">(MID(E906,SEARCH(":",E906)+1,2)-1) &amp; ":" &amp; (MID(E906,SEARCH(":",E906)+1,2)-D907)</f>
        <v>23:16</v>
      </c>
      <c r="F907" s="30" t="s">
        <v>133</v>
      </c>
      <c r="G907" s="30" t="s">
        <v>133</v>
      </c>
      <c r="H907" s="64" t="s">
        <v>450</v>
      </c>
      <c r="I907" s="30" t="s">
        <v>68</v>
      </c>
      <c r="J907" s="32" t="s">
        <v>36</v>
      </c>
      <c r="K907" s="33" t="s">
        <v>6</v>
      </c>
      <c r="L907" s="46"/>
      <c r="M907" s="120"/>
      <c r="N907" s="120"/>
      <c r="O907" s="120"/>
      <c r="P907" s="122"/>
      <c r="Q907" s="122"/>
      <c r="R907" s="204"/>
      <c r="S907" s="204"/>
    </row>
    <row r="908" spans="1:19" s="61" customFormat="1">
      <c r="A908" s="207"/>
      <c r="B908" s="209"/>
      <c r="C908" s="43" t="s">
        <v>483</v>
      </c>
      <c r="D908" s="62">
        <v>8</v>
      </c>
      <c r="E908" s="33" t="str">
        <f>(MID(E907,SEARCH(":",E907)+1,2)-1) &amp; ":" &amp; (MID(E907,SEARCH(":",E907)+1,2)-D908)</f>
        <v>15:8</v>
      </c>
      <c r="F908" s="30" t="s">
        <v>133</v>
      </c>
      <c r="G908" s="30" t="s">
        <v>133</v>
      </c>
      <c r="H908" s="64" t="s">
        <v>452</v>
      </c>
      <c r="I908" s="30" t="s">
        <v>68</v>
      </c>
      <c r="J908" s="32" t="s">
        <v>36</v>
      </c>
      <c r="K908" s="33" t="s">
        <v>6</v>
      </c>
      <c r="L908" s="46"/>
      <c r="M908" s="120"/>
      <c r="N908" s="120"/>
      <c r="O908" s="120"/>
      <c r="P908" s="122"/>
      <c r="Q908" s="122"/>
      <c r="R908" s="204"/>
      <c r="S908" s="204"/>
    </row>
    <row r="909" spans="1:19" s="61" customFormat="1" ht="15" thickBot="1">
      <c r="A909" s="207"/>
      <c r="B909" s="209"/>
      <c r="C909" s="43" t="s">
        <v>484</v>
      </c>
      <c r="D909" s="62">
        <v>8</v>
      </c>
      <c r="E909" s="33" t="str">
        <f>(MID(E908,SEARCH(":",E908)+1,2)-1) &amp; ":" &amp; (MID(E908,SEARCH(":",E908)+1,2)-D909)</f>
        <v>7:0</v>
      </c>
      <c r="F909" s="30" t="s">
        <v>133</v>
      </c>
      <c r="G909" s="30" t="s">
        <v>133</v>
      </c>
      <c r="H909" s="64" t="s">
        <v>454</v>
      </c>
      <c r="I909" s="30" t="s">
        <v>68</v>
      </c>
      <c r="J909" s="32" t="s">
        <v>36</v>
      </c>
      <c r="K909" s="33" t="s">
        <v>6</v>
      </c>
      <c r="L909" s="46"/>
      <c r="M909" s="120"/>
      <c r="N909" s="120"/>
      <c r="O909" s="120"/>
      <c r="P909" s="122"/>
      <c r="Q909" s="122"/>
      <c r="R909" s="210"/>
      <c r="S909" s="210"/>
    </row>
    <row r="910" spans="1:19" s="61" customFormat="1" ht="15" customHeight="1">
      <c r="A910" s="207" t="s">
        <v>485</v>
      </c>
      <c r="B910" s="208" t="str">
        <f t="shared" ref="B910" si="809">DEC2HEX(P910*4)</f>
        <v>10</v>
      </c>
      <c r="C910" s="56" t="s">
        <v>383</v>
      </c>
      <c r="D910" s="129" t="str">
        <f>bitConcat(F911:F916)</f>
        <v>32'b00000000000000000000000000000000</v>
      </c>
      <c r="E910" s="130"/>
      <c r="F910" s="130"/>
      <c r="G910" s="205"/>
      <c r="H910" s="73" t="s">
        <v>384</v>
      </c>
      <c r="I910" s="74"/>
      <c r="J910" s="202" t="str">
        <f>bitConcat(G911:G916)</f>
        <v>32'b00000000000000000000000000000000</v>
      </c>
      <c r="K910" s="131"/>
      <c r="L910" s="132"/>
      <c r="M910" s="119" t="str">
        <f t="shared" ref="M910" si="810">DEC2HEX(_xlfn.BITLSHIFT(O910,7)+4*P910)</f>
        <v>310</v>
      </c>
      <c r="N910" s="120" t="s">
        <v>385</v>
      </c>
      <c r="O910" s="120">
        <v>6</v>
      </c>
      <c r="P910" s="122">
        <v>4</v>
      </c>
      <c r="Q910" s="121" t="str">
        <f>DEC2HEX(_xlfn.BITLSHIFT(O910,5)+P910)</f>
        <v>C4</v>
      </c>
      <c r="R910" s="203" t="str">
        <f t="shared" si="793"/>
        <v>00000000</v>
      </c>
      <c r="S910" s="203" t="str">
        <f t="shared" si="789"/>
        <v>00000000</v>
      </c>
    </row>
    <row r="911" spans="1:19" s="61" customFormat="1">
      <c r="A911" s="207"/>
      <c r="B911" s="209"/>
      <c r="C911" s="43" t="s">
        <v>486</v>
      </c>
      <c r="D911" s="62">
        <v>16</v>
      </c>
      <c r="E911" s="70" t="str">
        <f>IF(D911&gt;1,(31)&amp;":"&amp;(31-D911+1),(31-D911+1)&amp;":"&amp;(31-D911+1))</f>
        <v>31:16</v>
      </c>
      <c r="F911" s="30" t="s">
        <v>457</v>
      </c>
      <c r="G911" s="30" t="s">
        <v>457</v>
      </c>
      <c r="H911" s="64" t="s">
        <v>458</v>
      </c>
      <c r="I911" s="30" t="s">
        <v>68</v>
      </c>
      <c r="J911" s="32" t="s">
        <v>36</v>
      </c>
      <c r="K911" s="33" t="s">
        <v>6</v>
      </c>
      <c r="L911" s="46"/>
      <c r="M911" s="120"/>
      <c r="N911" s="120"/>
      <c r="O911" s="120"/>
      <c r="P911" s="122"/>
      <c r="Q911" s="122"/>
      <c r="R911" s="204"/>
      <c r="S911" s="204"/>
    </row>
    <row r="912" spans="1:19" s="61" customFormat="1">
      <c r="A912" s="207"/>
      <c r="B912" s="209"/>
      <c r="C912" s="43" t="s">
        <v>487</v>
      </c>
      <c r="D912" s="62">
        <v>4</v>
      </c>
      <c r="E912" s="70" t="str">
        <f>(MID(E911,SEARCH(":",E911)+1,2)-1) &amp; ":" &amp; (MID(E911,SEARCH(":",E911)+1,2)-D912)</f>
        <v>15:12</v>
      </c>
      <c r="F912" s="30" t="s">
        <v>149</v>
      </c>
      <c r="G912" s="30" t="s">
        <v>149</v>
      </c>
      <c r="H912" s="64" t="s">
        <v>488</v>
      </c>
      <c r="I912" s="30" t="s">
        <v>68</v>
      </c>
      <c r="J912" s="32" t="s">
        <v>36</v>
      </c>
      <c r="K912" s="33" t="s">
        <v>6</v>
      </c>
      <c r="L912" s="46"/>
      <c r="M912" s="120"/>
      <c r="N912" s="120"/>
      <c r="O912" s="120"/>
      <c r="P912" s="122"/>
      <c r="Q912" s="122"/>
      <c r="R912" s="204"/>
      <c r="S912" s="204"/>
    </row>
    <row r="913" spans="1:19" s="61" customFormat="1">
      <c r="A913" s="207"/>
      <c r="B913" s="209"/>
      <c r="C913" s="43" t="s">
        <v>489</v>
      </c>
      <c r="D913" s="62">
        <v>1</v>
      </c>
      <c r="E913" s="70" t="str">
        <f t="shared" ref="E913:E915" si="811">(MID(E912,SEARCH(":",E912)+1,2)-1) &amp; ":" &amp; (MID(E912,SEARCH(":",E912)+1,2)-D913)</f>
        <v>11:11</v>
      </c>
      <c r="F913" s="30" t="s">
        <v>7</v>
      </c>
      <c r="G913" s="30" t="s">
        <v>7</v>
      </c>
      <c r="H913" s="64" t="s">
        <v>490</v>
      </c>
      <c r="I913" s="30" t="s">
        <v>68</v>
      </c>
      <c r="J913" s="32" t="s">
        <v>36</v>
      </c>
      <c r="K913" s="33" t="s">
        <v>6</v>
      </c>
      <c r="L913" s="46"/>
      <c r="M913" s="120"/>
      <c r="N913" s="120"/>
      <c r="O913" s="120"/>
      <c r="P913" s="122"/>
      <c r="Q913" s="122"/>
      <c r="R913" s="204"/>
      <c r="S913" s="204"/>
    </row>
    <row r="914" spans="1:19" s="61" customFormat="1">
      <c r="A914" s="207"/>
      <c r="B914" s="209"/>
      <c r="C914" s="43" t="s">
        <v>491</v>
      </c>
      <c r="D914" s="62">
        <v>6</v>
      </c>
      <c r="E914" s="70" t="str">
        <f t="shared" si="811"/>
        <v>10:5</v>
      </c>
      <c r="F914" s="30" t="s">
        <v>249</v>
      </c>
      <c r="G914" s="30" t="s">
        <v>249</v>
      </c>
      <c r="H914" s="64" t="s">
        <v>492</v>
      </c>
      <c r="I914" s="30" t="s">
        <v>68</v>
      </c>
      <c r="J914" s="32" t="s">
        <v>36</v>
      </c>
      <c r="K914" s="33" t="s">
        <v>6</v>
      </c>
      <c r="L914" s="46"/>
      <c r="M914" s="120"/>
      <c r="N914" s="120"/>
      <c r="O914" s="120"/>
      <c r="P914" s="122"/>
      <c r="Q914" s="122"/>
      <c r="R914" s="204"/>
      <c r="S914" s="204"/>
    </row>
    <row r="915" spans="1:19" s="61" customFormat="1" ht="15" thickBot="1">
      <c r="A915" s="207"/>
      <c r="B915" s="209"/>
      <c r="C915" s="43" t="s">
        <v>493</v>
      </c>
      <c r="D915" s="62">
        <v>5</v>
      </c>
      <c r="E915" s="70" t="str">
        <f t="shared" si="811"/>
        <v>4:0</v>
      </c>
      <c r="F915" s="30" t="s">
        <v>434</v>
      </c>
      <c r="G915" s="30" t="s">
        <v>434</v>
      </c>
      <c r="H915" s="64" t="s">
        <v>462</v>
      </c>
      <c r="I915" s="30" t="s">
        <v>68</v>
      </c>
      <c r="J915" s="32" t="s">
        <v>36</v>
      </c>
      <c r="K915" s="33" t="s">
        <v>6</v>
      </c>
      <c r="L915" s="46"/>
      <c r="M915" s="120"/>
      <c r="N915" s="120"/>
      <c r="O915" s="120"/>
      <c r="P915" s="122"/>
      <c r="Q915" s="122"/>
      <c r="R915" s="204"/>
      <c r="S915" s="204"/>
    </row>
    <row r="916" spans="1:19" s="61" customFormat="1">
      <c r="A916" s="207" t="s">
        <v>494</v>
      </c>
      <c r="B916" s="208" t="str">
        <f t="shared" ref="B916" si="812">DEC2HEX(P916*4)</f>
        <v>14</v>
      </c>
      <c r="C916" s="56" t="s">
        <v>383</v>
      </c>
      <c r="D916" s="129" t="str">
        <f>bitConcat(F917:F922)</f>
        <v>32'b00000000101100110001100000100000</v>
      </c>
      <c r="E916" s="130"/>
      <c r="F916" s="130"/>
      <c r="G916" s="205"/>
      <c r="H916" s="73" t="s">
        <v>384</v>
      </c>
      <c r="I916" s="74"/>
      <c r="J916" s="202" t="str">
        <f>bitConcat(G917:G922)</f>
        <v>32'b00000000000000000001100000000000</v>
      </c>
      <c r="K916" s="131"/>
      <c r="L916" s="132"/>
      <c r="M916" s="119" t="str">
        <f t="shared" ref="M916" si="813">DEC2HEX(_xlfn.BITLSHIFT(O916,7)+4*P916)</f>
        <v>314</v>
      </c>
      <c r="N916" s="120" t="s">
        <v>385</v>
      </c>
      <c r="O916" s="120">
        <v>6</v>
      </c>
      <c r="P916" s="122">
        <v>5</v>
      </c>
      <c r="Q916" s="121" t="str">
        <f>DEC2HEX(_xlfn.BITLSHIFT(O916,5)+P916)</f>
        <v>C5</v>
      </c>
      <c r="R916" s="203" t="str">
        <f t="shared" si="793"/>
        <v>00B31820</v>
      </c>
      <c r="S916" s="203" t="str">
        <f t="shared" ref="S916:S984" si="814">BIN2HEX(LEFT(RIGHT(J916,32),4))&amp;BIN2HEX(LEFT(RIGHT(J916,28),4))&amp;BIN2HEX(LEFT(RIGHT(J916,24),4))&amp;BIN2HEX(LEFT(RIGHT(J916,20),4))&amp;BIN2HEX(LEFT(RIGHT(J916,16),4))&amp;BIN2HEX(LEFT(RIGHT(J916,12),4))&amp;BIN2HEX(LEFT(RIGHT(J916,8),4))&amp;BIN2HEX(LEFT(RIGHT(J916,4),4))</f>
        <v>00001800</v>
      </c>
    </row>
    <row r="917" spans="1:19" s="61" customFormat="1">
      <c r="A917" s="207"/>
      <c r="B917" s="209"/>
      <c r="C917" s="43" t="s">
        <v>495</v>
      </c>
      <c r="D917" s="62">
        <v>8</v>
      </c>
      <c r="E917" s="70" t="str">
        <f>IF(D917&gt;1,(31)&amp;":"&amp;(31-D917+1),(31-D917+1)&amp;":"&amp;(31-D917+1))</f>
        <v>31:24</v>
      </c>
      <c r="F917" s="30" t="s">
        <v>133</v>
      </c>
      <c r="G917" s="30" t="s">
        <v>133</v>
      </c>
      <c r="H917" s="64" t="s">
        <v>469</v>
      </c>
      <c r="I917" s="30" t="s">
        <v>68</v>
      </c>
      <c r="J917" s="32" t="s">
        <v>36</v>
      </c>
      <c r="K917" s="33" t="s">
        <v>6</v>
      </c>
      <c r="L917" s="46"/>
      <c r="M917" s="120"/>
      <c r="N917" s="120"/>
      <c r="O917" s="120"/>
      <c r="P917" s="122"/>
      <c r="Q917" s="122"/>
      <c r="R917" s="204"/>
      <c r="S917" s="204"/>
    </row>
    <row r="918" spans="1:19" s="61" customFormat="1">
      <c r="A918" s="207"/>
      <c r="B918" s="209"/>
      <c r="C918" s="43" t="s">
        <v>496</v>
      </c>
      <c r="D918" s="62">
        <v>8</v>
      </c>
      <c r="E918" s="33" t="str">
        <f>(MID(E917,SEARCH(":",E917)+1,2)-1) &amp; ":" &amp; (MID(E917,SEARCH(":",E917)+1,2)-D918)</f>
        <v>23:16</v>
      </c>
      <c r="F918" s="30" t="s">
        <v>471</v>
      </c>
      <c r="G918" s="30" t="s">
        <v>133</v>
      </c>
      <c r="H918" s="65" t="s">
        <v>472</v>
      </c>
      <c r="I918" s="30" t="s">
        <v>68</v>
      </c>
      <c r="J918" s="32" t="s">
        <v>36</v>
      </c>
      <c r="K918" s="33" t="s">
        <v>6</v>
      </c>
      <c r="L918" s="46"/>
      <c r="M918" s="120"/>
      <c r="N918" s="120"/>
      <c r="O918" s="120"/>
      <c r="P918" s="122"/>
      <c r="Q918" s="122"/>
      <c r="R918" s="204"/>
      <c r="S918" s="204"/>
    </row>
    <row r="919" spans="1:19" s="61" customFormat="1">
      <c r="A919" s="207"/>
      <c r="B919" s="209"/>
      <c r="C919" s="43" t="s">
        <v>497</v>
      </c>
      <c r="D919" s="62">
        <v>10</v>
      </c>
      <c r="E919" s="33" t="str">
        <f t="shared" ref="E919:E921" si="815">(MID(E918,SEARCH(":",E918)+1,2)-1) &amp; ":" &amp; (MID(E918,SEARCH(":",E918)+1,2)-D919)</f>
        <v>15:6</v>
      </c>
      <c r="F919" s="30" t="s">
        <v>474</v>
      </c>
      <c r="G919" s="30" t="s">
        <v>474</v>
      </c>
      <c r="H919" s="64" t="s">
        <v>475</v>
      </c>
      <c r="I919" s="30" t="s">
        <v>68</v>
      </c>
      <c r="J919" s="32" t="s">
        <v>36</v>
      </c>
      <c r="K919" s="33" t="s">
        <v>6</v>
      </c>
      <c r="L919" s="46"/>
      <c r="M919" s="120"/>
      <c r="N919" s="120"/>
      <c r="O919" s="120"/>
      <c r="P919" s="122"/>
      <c r="Q919" s="122"/>
      <c r="R919" s="204"/>
      <c r="S919" s="204"/>
    </row>
    <row r="920" spans="1:19" s="61" customFormat="1" ht="15.75" customHeight="1">
      <c r="A920" s="207"/>
      <c r="B920" s="209"/>
      <c r="C920" s="43" t="s">
        <v>498</v>
      </c>
      <c r="D920" s="62">
        <v>1</v>
      </c>
      <c r="E920" s="33" t="str">
        <f t="shared" si="815"/>
        <v>5:5</v>
      </c>
      <c r="F920" s="30" t="s">
        <v>269</v>
      </c>
      <c r="G920" s="30" t="s">
        <v>7</v>
      </c>
      <c r="H920" s="65" t="s">
        <v>477</v>
      </c>
      <c r="I920" s="30" t="s">
        <v>68</v>
      </c>
      <c r="J920" s="32" t="s">
        <v>36</v>
      </c>
      <c r="K920" s="33" t="s">
        <v>6</v>
      </c>
      <c r="L920" s="46"/>
      <c r="M920" s="120"/>
      <c r="N920" s="120"/>
      <c r="O920" s="120"/>
      <c r="P920" s="122"/>
      <c r="Q920" s="122"/>
      <c r="R920" s="204"/>
      <c r="S920" s="204"/>
    </row>
    <row r="921" spans="1:19" s="61" customFormat="1" ht="15" thickBot="1">
      <c r="A921" s="207"/>
      <c r="B921" s="209"/>
      <c r="C921" s="43" t="s">
        <v>499</v>
      </c>
      <c r="D921" s="62">
        <v>5</v>
      </c>
      <c r="E921" s="33" t="str">
        <f t="shared" si="815"/>
        <v>4:0</v>
      </c>
      <c r="F921" s="30" t="s">
        <v>434</v>
      </c>
      <c r="G921" s="30" t="s">
        <v>434</v>
      </c>
      <c r="H921" s="65" t="s">
        <v>479</v>
      </c>
      <c r="I921" s="30" t="s">
        <v>68</v>
      </c>
      <c r="J921" s="32" t="s">
        <v>36</v>
      </c>
      <c r="K921" s="33" t="s">
        <v>6</v>
      </c>
      <c r="L921" s="46"/>
      <c r="M921" s="120"/>
      <c r="N921" s="120"/>
      <c r="O921" s="120"/>
      <c r="P921" s="122"/>
      <c r="Q921" s="122"/>
      <c r="R921" s="210"/>
      <c r="S921" s="210"/>
    </row>
    <row r="922" spans="1:19" s="61" customFormat="1" ht="15.75" customHeight="1">
      <c r="A922" s="206" t="s">
        <v>500</v>
      </c>
      <c r="B922" s="208" t="str">
        <f t="shared" ref="B922" si="816">DEC2HEX(P922*4)</f>
        <v>18</v>
      </c>
      <c r="C922" s="56" t="s">
        <v>383</v>
      </c>
      <c r="D922" s="129" t="str">
        <f>bitConcat(F923:F926)</f>
        <v>32'b00000000000000000000000000000000</v>
      </c>
      <c r="E922" s="130"/>
      <c r="F922" s="130"/>
      <c r="G922" s="205"/>
      <c r="H922" s="73" t="s">
        <v>384</v>
      </c>
      <c r="I922" s="74"/>
      <c r="J922" s="202" t="str">
        <f>bitConcat(G923:G926)</f>
        <v>32'b00000000000000000000000000000000</v>
      </c>
      <c r="K922" s="131"/>
      <c r="L922" s="132"/>
      <c r="M922" s="119" t="str">
        <f t="shared" ref="M922" si="817">DEC2HEX(_xlfn.BITLSHIFT(O922,7)+4*P922)</f>
        <v>318</v>
      </c>
      <c r="N922" s="119" t="s">
        <v>385</v>
      </c>
      <c r="O922" s="119">
        <v>6</v>
      </c>
      <c r="P922" s="121">
        <v>6</v>
      </c>
      <c r="Q922" s="121" t="str">
        <f>DEC2HEX(_xlfn.BITLSHIFT(O922,5)+P922)</f>
        <v>C6</v>
      </c>
      <c r="R922" s="203" t="str">
        <f t="shared" si="793"/>
        <v>00000000</v>
      </c>
      <c r="S922" s="203" t="str">
        <f t="shared" si="814"/>
        <v>00000000</v>
      </c>
    </row>
    <row r="923" spans="1:19" s="61" customFormat="1">
      <c r="A923" s="207"/>
      <c r="B923" s="209"/>
      <c r="C923" s="43" t="s">
        <v>501</v>
      </c>
      <c r="D923" s="62">
        <v>8</v>
      </c>
      <c r="E923" s="70" t="str">
        <f>IF(D923&gt;1,(31)&amp;":"&amp;(31-D923+1),(31-D923+1)&amp;":"&amp;(31-D923+1))</f>
        <v>31:24</v>
      </c>
      <c r="F923" s="30" t="s">
        <v>133</v>
      </c>
      <c r="G923" s="30" t="s">
        <v>133</v>
      </c>
      <c r="H923" s="64" t="s">
        <v>448</v>
      </c>
      <c r="I923" s="30" t="s">
        <v>68</v>
      </c>
      <c r="J923" s="32" t="s">
        <v>36</v>
      </c>
      <c r="K923" s="33" t="s">
        <v>6</v>
      </c>
      <c r="L923" s="46"/>
      <c r="M923" s="120"/>
      <c r="N923" s="120"/>
      <c r="O923" s="120"/>
      <c r="P923" s="122"/>
      <c r="Q923" s="122"/>
      <c r="R923" s="204"/>
      <c r="S923" s="204"/>
    </row>
    <row r="924" spans="1:19" s="61" customFormat="1">
      <c r="A924" s="207"/>
      <c r="B924" s="209"/>
      <c r="C924" s="43" t="s">
        <v>502</v>
      </c>
      <c r="D924" s="62">
        <v>8</v>
      </c>
      <c r="E924" s="33" t="str">
        <f t="shared" ref="E924" si="818">(MID(E923,SEARCH(":",E923)+1,2)-1) &amp; ":" &amp; (MID(E923,SEARCH(":",E923)+1,2)-D924)</f>
        <v>23:16</v>
      </c>
      <c r="F924" s="30" t="s">
        <v>133</v>
      </c>
      <c r="G924" s="30" t="s">
        <v>133</v>
      </c>
      <c r="H924" s="64" t="s">
        <v>450</v>
      </c>
      <c r="I924" s="30" t="s">
        <v>68</v>
      </c>
      <c r="J924" s="32" t="s">
        <v>36</v>
      </c>
      <c r="K924" s="33" t="s">
        <v>6</v>
      </c>
      <c r="L924" s="46"/>
      <c r="M924" s="120"/>
      <c r="N924" s="120"/>
      <c r="O924" s="120"/>
      <c r="P924" s="122"/>
      <c r="Q924" s="122"/>
      <c r="R924" s="204"/>
      <c r="S924" s="204"/>
    </row>
    <row r="925" spans="1:19" s="61" customFormat="1">
      <c r="A925" s="207"/>
      <c r="B925" s="209"/>
      <c r="C925" s="43" t="s">
        <v>503</v>
      </c>
      <c r="D925" s="62">
        <v>8</v>
      </c>
      <c r="E925" s="33" t="str">
        <f>(MID(E924,SEARCH(":",E924)+1,2)-1) &amp; ":" &amp; (MID(E924,SEARCH(":",E924)+1,2)-D925)</f>
        <v>15:8</v>
      </c>
      <c r="F925" s="30" t="s">
        <v>133</v>
      </c>
      <c r="G925" s="30" t="s">
        <v>133</v>
      </c>
      <c r="H925" s="64" t="s">
        <v>452</v>
      </c>
      <c r="I925" s="30" t="s">
        <v>68</v>
      </c>
      <c r="J925" s="32" t="s">
        <v>36</v>
      </c>
      <c r="K925" s="33" t="s">
        <v>6</v>
      </c>
      <c r="L925" s="46"/>
      <c r="M925" s="120"/>
      <c r="N925" s="120"/>
      <c r="O925" s="120"/>
      <c r="P925" s="122"/>
      <c r="Q925" s="122"/>
      <c r="R925" s="204"/>
      <c r="S925" s="204"/>
    </row>
    <row r="926" spans="1:19" s="61" customFormat="1" ht="15" thickBot="1">
      <c r="A926" s="207"/>
      <c r="B926" s="209"/>
      <c r="C926" s="43" t="s">
        <v>504</v>
      </c>
      <c r="D926" s="62">
        <v>8</v>
      </c>
      <c r="E926" s="33" t="str">
        <f>(MID(E925,SEARCH(":",E925)+1,2)-1) &amp; ":" &amp; (MID(E925,SEARCH(":",E925)+1,2)-D926)</f>
        <v>7:0</v>
      </c>
      <c r="F926" s="30" t="s">
        <v>133</v>
      </c>
      <c r="G926" s="30" t="s">
        <v>133</v>
      </c>
      <c r="H926" s="64" t="s">
        <v>454</v>
      </c>
      <c r="I926" s="30" t="s">
        <v>68</v>
      </c>
      <c r="J926" s="32" t="s">
        <v>36</v>
      </c>
      <c r="K926" s="33" t="s">
        <v>6</v>
      </c>
      <c r="L926" s="46"/>
      <c r="M926" s="120"/>
      <c r="N926" s="120"/>
      <c r="O926" s="120"/>
      <c r="P926" s="122"/>
      <c r="Q926" s="122"/>
      <c r="R926" s="210"/>
      <c r="S926" s="210"/>
    </row>
    <row r="927" spans="1:19" s="61" customFormat="1">
      <c r="A927" s="207" t="s">
        <v>505</v>
      </c>
      <c r="B927" s="208" t="str">
        <f t="shared" ref="B927" si="819">DEC2HEX(P927*4)</f>
        <v>1C</v>
      </c>
      <c r="C927" s="56" t="s">
        <v>383</v>
      </c>
      <c r="D927" s="129" t="str">
        <f>bitConcat(F928:F933)</f>
        <v>32'b00000000000000000000000000000000</v>
      </c>
      <c r="E927" s="130"/>
      <c r="F927" s="130"/>
      <c r="G927" s="205"/>
      <c r="H927" s="73" t="s">
        <v>384</v>
      </c>
      <c r="I927" s="74"/>
      <c r="J927" s="202" t="str">
        <f>bitConcat(G928:G933)</f>
        <v>32'b00000000000000000000000000000000</v>
      </c>
      <c r="K927" s="131"/>
      <c r="L927" s="132"/>
      <c r="M927" s="119" t="str">
        <f t="shared" ref="M927" si="820">DEC2HEX(_xlfn.BITLSHIFT(O927,7)+4*P927)</f>
        <v>31C</v>
      </c>
      <c r="N927" s="120" t="s">
        <v>385</v>
      </c>
      <c r="O927" s="120">
        <v>6</v>
      </c>
      <c r="P927" s="122">
        <v>7</v>
      </c>
      <c r="Q927" s="121" t="str">
        <f>DEC2HEX(_xlfn.BITLSHIFT(O927,5)+P927)</f>
        <v>C7</v>
      </c>
      <c r="R927" s="203" t="str">
        <f t="shared" ref="R927:R944" si="821">BIN2HEX(LEFT(RIGHT(D927,32),4))&amp;BIN2HEX(LEFT(RIGHT(D927,28),4))&amp;BIN2HEX(LEFT(RIGHT(D927,24),4))&amp;BIN2HEX(LEFT(RIGHT(D927,20),4))&amp;BIN2HEX(LEFT(RIGHT(D927,16),4))&amp;BIN2HEX(LEFT(RIGHT(D927,12),4))&amp;BIN2HEX(LEFT(RIGHT(D927,8),4))&amp;BIN2HEX(LEFT(RIGHT(D927,4),4))</f>
        <v>00000000</v>
      </c>
      <c r="S927" s="203" t="str">
        <f t="shared" si="814"/>
        <v>00000000</v>
      </c>
    </row>
    <row r="928" spans="1:19" s="61" customFormat="1">
      <c r="A928" s="207"/>
      <c r="B928" s="209"/>
      <c r="C928" s="43" t="s">
        <v>506</v>
      </c>
      <c r="D928" s="62">
        <v>16</v>
      </c>
      <c r="E928" s="70" t="str">
        <f>IF(D928&gt;1,(31)&amp;":"&amp;(31-D928+1),(31-D928+1)&amp;":"&amp;(31-D928+1))</f>
        <v>31:16</v>
      </c>
      <c r="F928" s="30" t="s">
        <v>457</v>
      </c>
      <c r="G928" s="30" t="s">
        <v>457</v>
      </c>
      <c r="H928" s="64" t="s">
        <v>507</v>
      </c>
      <c r="I928" s="30" t="s">
        <v>68</v>
      </c>
      <c r="J928" s="32" t="s">
        <v>36</v>
      </c>
      <c r="K928" s="33" t="s">
        <v>6</v>
      </c>
      <c r="L928" s="46"/>
      <c r="M928" s="120"/>
      <c r="N928" s="120"/>
      <c r="O928" s="120"/>
      <c r="P928" s="122"/>
      <c r="Q928" s="122"/>
      <c r="R928" s="204"/>
      <c r="S928" s="204"/>
    </row>
    <row r="929" spans="1:19" s="61" customFormat="1">
      <c r="A929" s="207"/>
      <c r="B929" s="209"/>
      <c r="C929" s="43" t="s">
        <v>508</v>
      </c>
      <c r="D929" s="62">
        <v>4</v>
      </c>
      <c r="E929" s="70" t="str">
        <f>(MID(E928,SEARCH(":",E928)+1,2)-1) &amp; ":" &amp; (MID(E928,SEARCH(":",E928)+1,2)-D929)</f>
        <v>15:12</v>
      </c>
      <c r="F929" s="30" t="s">
        <v>149</v>
      </c>
      <c r="G929" s="30" t="s">
        <v>149</v>
      </c>
      <c r="H929" s="64" t="s">
        <v>509</v>
      </c>
      <c r="I929" s="30" t="s">
        <v>68</v>
      </c>
      <c r="J929" s="32" t="s">
        <v>36</v>
      </c>
      <c r="K929" s="33" t="s">
        <v>6</v>
      </c>
      <c r="L929" s="46"/>
      <c r="M929" s="120"/>
      <c r="N929" s="120"/>
      <c r="O929" s="120"/>
      <c r="P929" s="122"/>
      <c r="Q929" s="122"/>
      <c r="R929" s="204"/>
      <c r="S929" s="204"/>
    </row>
    <row r="930" spans="1:19" s="61" customFormat="1">
      <c r="A930" s="207"/>
      <c r="B930" s="209"/>
      <c r="C930" s="43" t="s">
        <v>510</v>
      </c>
      <c r="D930" s="62">
        <v>1</v>
      </c>
      <c r="E930" s="70" t="str">
        <f t="shared" ref="E930:E932" si="822">(MID(E929,SEARCH(":",E929)+1,2)-1) &amp; ":" &amp; (MID(E929,SEARCH(":",E929)+1,2)-D930)</f>
        <v>11:11</v>
      </c>
      <c r="F930" s="30" t="s">
        <v>7</v>
      </c>
      <c r="G930" s="30" t="s">
        <v>7</v>
      </c>
      <c r="H930" s="64" t="s">
        <v>490</v>
      </c>
      <c r="I930" s="30" t="s">
        <v>68</v>
      </c>
      <c r="J930" s="32" t="s">
        <v>36</v>
      </c>
      <c r="K930" s="33" t="s">
        <v>6</v>
      </c>
      <c r="L930" s="46"/>
      <c r="M930" s="120"/>
      <c r="N930" s="120"/>
      <c r="O930" s="120"/>
      <c r="P930" s="122"/>
      <c r="Q930" s="122"/>
      <c r="R930" s="204"/>
      <c r="S930" s="204"/>
    </row>
    <row r="931" spans="1:19" s="61" customFormat="1">
      <c r="A931" s="207"/>
      <c r="B931" s="209"/>
      <c r="C931" s="43" t="s">
        <v>511</v>
      </c>
      <c r="D931" s="62">
        <v>6</v>
      </c>
      <c r="E931" s="70" t="str">
        <f t="shared" si="822"/>
        <v>10:5</v>
      </c>
      <c r="F931" s="30" t="s">
        <v>249</v>
      </c>
      <c r="G931" s="30" t="s">
        <v>249</v>
      </c>
      <c r="H931" s="64" t="s">
        <v>492</v>
      </c>
      <c r="I931" s="30" t="s">
        <v>68</v>
      </c>
      <c r="J931" s="32" t="s">
        <v>36</v>
      </c>
      <c r="K931" s="33" t="s">
        <v>6</v>
      </c>
      <c r="L931" s="46"/>
      <c r="M931" s="120"/>
      <c r="N931" s="120"/>
      <c r="O931" s="120"/>
      <c r="P931" s="122"/>
      <c r="Q931" s="122"/>
      <c r="R931" s="204"/>
      <c r="S931" s="204"/>
    </row>
    <row r="932" spans="1:19" s="61" customFormat="1" ht="15.75" customHeight="1" thickBot="1">
      <c r="A932" s="207"/>
      <c r="B932" s="209"/>
      <c r="C932" s="43" t="s">
        <v>512</v>
      </c>
      <c r="D932" s="62">
        <v>5</v>
      </c>
      <c r="E932" s="70" t="str">
        <f t="shared" si="822"/>
        <v>4:0</v>
      </c>
      <c r="F932" s="30" t="s">
        <v>434</v>
      </c>
      <c r="G932" s="30" t="s">
        <v>434</v>
      </c>
      <c r="H932" s="64" t="s">
        <v>462</v>
      </c>
      <c r="I932" s="30" t="s">
        <v>68</v>
      </c>
      <c r="J932" s="32" t="s">
        <v>36</v>
      </c>
      <c r="K932" s="33" t="s">
        <v>6</v>
      </c>
      <c r="L932" s="46"/>
      <c r="M932" s="120"/>
      <c r="N932" s="120"/>
      <c r="O932" s="120"/>
      <c r="P932" s="122"/>
      <c r="Q932" s="122"/>
      <c r="R932" s="210"/>
      <c r="S932" s="210"/>
    </row>
    <row r="933" spans="1:19" s="61" customFormat="1">
      <c r="A933" s="207" t="s">
        <v>513</v>
      </c>
      <c r="B933" s="208" t="str">
        <f t="shared" ref="B933" si="823">DEC2HEX(P933*4)</f>
        <v>20</v>
      </c>
      <c r="C933" s="56" t="s">
        <v>383</v>
      </c>
      <c r="D933" s="129" t="str">
        <f>bitConcat(F934:F939)</f>
        <v>32'b00000000101100110001100000100000</v>
      </c>
      <c r="E933" s="130"/>
      <c r="F933" s="130"/>
      <c r="G933" s="205"/>
      <c r="H933" s="73" t="s">
        <v>384</v>
      </c>
      <c r="I933" s="74"/>
      <c r="J933" s="202" t="str">
        <f>bitConcat(G934:G939)</f>
        <v>32'b00000000000000000001100000000000</v>
      </c>
      <c r="K933" s="131"/>
      <c r="L933" s="132"/>
      <c r="M933" s="119" t="str">
        <f t="shared" ref="M933" si="824">DEC2HEX(_xlfn.BITLSHIFT(O933,7)+4*P933)</f>
        <v>320</v>
      </c>
      <c r="N933" s="120" t="s">
        <v>385</v>
      </c>
      <c r="O933" s="120">
        <v>6</v>
      </c>
      <c r="P933" s="122">
        <v>8</v>
      </c>
      <c r="Q933" s="121" t="str">
        <f t="shared" ref="Q933" si="825">DEC2HEX(_xlfn.BITLSHIFT(O933,5)+P933*4)</f>
        <v>E0</v>
      </c>
      <c r="R933" s="203" t="str">
        <f t="shared" si="821"/>
        <v>00B31820</v>
      </c>
      <c r="S933" s="203" t="str">
        <f t="shared" si="814"/>
        <v>00001800</v>
      </c>
    </row>
    <row r="934" spans="1:19" s="61" customFormat="1">
      <c r="A934" s="207"/>
      <c r="B934" s="209"/>
      <c r="C934" s="43" t="s">
        <v>514</v>
      </c>
      <c r="D934" s="62">
        <v>8</v>
      </c>
      <c r="E934" s="70" t="str">
        <f>IF(D934&gt;1,(31)&amp;":"&amp;(31-D934+1),(31-D934+1)&amp;":"&amp;(31-D934+1))</f>
        <v>31:24</v>
      </c>
      <c r="F934" s="30" t="s">
        <v>133</v>
      </c>
      <c r="G934" s="30" t="s">
        <v>133</v>
      </c>
      <c r="H934" s="64" t="s">
        <v>469</v>
      </c>
      <c r="I934" s="30" t="s">
        <v>68</v>
      </c>
      <c r="J934" s="32" t="s">
        <v>36</v>
      </c>
      <c r="K934" s="33" t="s">
        <v>6</v>
      </c>
      <c r="L934" s="46"/>
      <c r="M934" s="120"/>
      <c r="N934" s="120"/>
      <c r="O934" s="120"/>
      <c r="P934" s="122"/>
      <c r="Q934" s="122"/>
      <c r="R934" s="204"/>
      <c r="S934" s="204"/>
    </row>
    <row r="935" spans="1:19" s="61" customFormat="1">
      <c r="A935" s="207"/>
      <c r="B935" s="209"/>
      <c r="C935" s="43" t="s">
        <v>515</v>
      </c>
      <c r="D935" s="62">
        <v>8</v>
      </c>
      <c r="E935" s="33" t="str">
        <f>(MID(E934,SEARCH(":",E934)+1,2)-1) &amp; ":" &amp; (MID(E934,SEARCH(":",E934)+1,2)-D935)</f>
        <v>23:16</v>
      </c>
      <c r="F935" s="30" t="s">
        <v>471</v>
      </c>
      <c r="G935" s="30" t="s">
        <v>133</v>
      </c>
      <c r="H935" s="65" t="s">
        <v>472</v>
      </c>
      <c r="I935" s="30" t="s">
        <v>68</v>
      </c>
      <c r="J935" s="32" t="s">
        <v>36</v>
      </c>
      <c r="K935" s="33" t="s">
        <v>6</v>
      </c>
      <c r="L935" s="46"/>
      <c r="M935" s="120"/>
      <c r="N935" s="120"/>
      <c r="O935" s="120"/>
      <c r="P935" s="122"/>
      <c r="Q935" s="122"/>
      <c r="R935" s="204"/>
      <c r="S935" s="204"/>
    </row>
    <row r="936" spans="1:19" s="61" customFormat="1">
      <c r="A936" s="207"/>
      <c r="B936" s="209"/>
      <c r="C936" s="43" t="s">
        <v>516</v>
      </c>
      <c r="D936" s="62">
        <v>10</v>
      </c>
      <c r="E936" s="33" t="str">
        <f t="shared" ref="E936:E938" si="826">(MID(E935,SEARCH(":",E935)+1,2)-1) &amp; ":" &amp; (MID(E935,SEARCH(":",E935)+1,2)-D936)</f>
        <v>15:6</v>
      </c>
      <c r="F936" s="30" t="s">
        <v>474</v>
      </c>
      <c r="G936" s="30" t="s">
        <v>474</v>
      </c>
      <c r="H936" s="64" t="s">
        <v>475</v>
      </c>
      <c r="I936" s="30" t="s">
        <v>68</v>
      </c>
      <c r="J936" s="32" t="s">
        <v>36</v>
      </c>
      <c r="K936" s="33" t="s">
        <v>6</v>
      </c>
      <c r="L936" s="46"/>
      <c r="M936" s="120"/>
      <c r="N936" s="120"/>
      <c r="O936" s="120"/>
      <c r="P936" s="122"/>
      <c r="Q936" s="122"/>
      <c r="R936" s="204"/>
      <c r="S936" s="204"/>
    </row>
    <row r="937" spans="1:19" s="61" customFormat="1" ht="15.75" customHeight="1">
      <c r="A937" s="207"/>
      <c r="B937" s="209"/>
      <c r="C937" s="43" t="s">
        <v>517</v>
      </c>
      <c r="D937" s="62">
        <v>1</v>
      </c>
      <c r="E937" s="33" t="str">
        <f t="shared" si="826"/>
        <v>5:5</v>
      </c>
      <c r="F937" s="30" t="s">
        <v>269</v>
      </c>
      <c r="G937" s="30" t="s">
        <v>7</v>
      </c>
      <c r="H937" s="65" t="s">
        <v>477</v>
      </c>
      <c r="I937" s="30" t="s">
        <v>68</v>
      </c>
      <c r="J937" s="32" t="s">
        <v>36</v>
      </c>
      <c r="K937" s="33" t="s">
        <v>6</v>
      </c>
      <c r="L937" s="46"/>
      <c r="M937" s="120"/>
      <c r="N937" s="120"/>
      <c r="O937" s="120"/>
      <c r="P937" s="122"/>
      <c r="Q937" s="122"/>
      <c r="R937" s="204"/>
      <c r="S937" s="204"/>
    </row>
    <row r="938" spans="1:19" s="61" customFormat="1" ht="15" thickBot="1">
      <c r="A938" s="207"/>
      <c r="B938" s="209"/>
      <c r="C938" s="43" t="s">
        <v>518</v>
      </c>
      <c r="D938" s="62">
        <v>5</v>
      </c>
      <c r="E938" s="33" t="str">
        <f t="shared" si="826"/>
        <v>4:0</v>
      </c>
      <c r="F938" s="30" t="s">
        <v>434</v>
      </c>
      <c r="G938" s="30" t="s">
        <v>434</v>
      </c>
      <c r="H938" s="65" t="s">
        <v>479</v>
      </c>
      <c r="I938" s="30" t="s">
        <v>68</v>
      </c>
      <c r="J938" s="32" t="s">
        <v>36</v>
      </c>
      <c r="K938" s="33" t="s">
        <v>6</v>
      </c>
      <c r="L938" s="46"/>
      <c r="M938" s="120"/>
      <c r="N938" s="120"/>
      <c r="O938" s="120"/>
      <c r="P938" s="122"/>
      <c r="Q938" s="122"/>
      <c r="R938" s="210"/>
      <c r="S938" s="210"/>
    </row>
    <row r="939" spans="1:19" s="61" customFormat="1" ht="15.75" customHeight="1">
      <c r="A939" s="206" t="s">
        <v>519</v>
      </c>
      <c r="B939" s="208" t="str">
        <f t="shared" ref="B939" si="827">DEC2HEX(P939*4)</f>
        <v>24</v>
      </c>
      <c r="C939" s="56" t="s">
        <v>383</v>
      </c>
      <c r="D939" s="129" t="str">
        <f>bitConcat(F940:F943)</f>
        <v>32'b00000000000000000000000000000000</v>
      </c>
      <c r="E939" s="130"/>
      <c r="F939" s="130"/>
      <c r="G939" s="205"/>
      <c r="H939" s="73" t="s">
        <v>384</v>
      </c>
      <c r="I939" s="74"/>
      <c r="J939" s="202" t="str">
        <f>bitConcat(G940:G943)</f>
        <v>32'b00000000000000000000000000000000</v>
      </c>
      <c r="K939" s="131"/>
      <c r="L939" s="132"/>
      <c r="M939" s="119" t="str">
        <f t="shared" ref="M939" si="828">DEC2HEX(_xlfn.BITLSHIFT(O939,7)+4*P939)</f>
        <v>324</v>
      </c>
      <c r="N939" s="119" t="s">
        <v>385</v>
      </c>
      <c r="O939" s="119">
        <v>6</v>
      </c>
      <c r="P939" s="121">
        <v>9</v>
      </c>
      <c r="Q939" s="121" t="str">
        <f>DEC2HEX(_xlfn.BITLSHIFT(O939,5)+P939)</f>
        <v>C9</v>
      </c>
      <c r="R939" s="203" t="str">
        <f t="shared" si="821"/>
        <v>00000000</v>
      </c>
      <c r="S939" s="203" t="str">
        <f t="shared" si="814"/>
        <v>00000000</v>
      </c>
    </row>
    <row r="940" spans="1:19" s="61" customFormat="1">
      <c r="A940" s="207"/>
      <c r="B940" s="209"/>
      <c r="C940" s="43" t="s">
        <v>520</v>
      </c>
      <c r="D940" s="62">
        <v>8</v>
      </c>
      <c r="E940" s="70" t="str">
        <f>IF(D940&gt;1,(31)&amp;":"&amp;(31-D940+1),(31-D940+1)&amp;":"&amp;(31-D940+1))</f>
        <v>31:24</v>
      </c>
      <c r="F940" s="30" t="s">
        <v>133</v>
      </c>
      <c r="G940" s="30" t="s">
        <v>133</v>
      </c>
      <c r="H940" s="64" t="s">
        <v>448</v>
      </c>
      <c r="I940" s="30" t="s">
        <v>68</v>
      </c>
      <c r="J940" s="32" t="s">
        <v>36</v>
      </c>
      <c r="K940" s="33" t="s">
        <v>6</v>
      </c>
      <c r="L940" s="46"/>
      <c r="M940" s="120"/>
      <c r="N940" s="120"/>
      <c r="O940" s="120"/>
      <c r="P940" s="122"/>
      <c r="Q940" s="122"/>
      <c r="R940" s="204"/>
      <c r="S940" s="204"/>
    </row>
    <row r="941" spans="1:19" s="61" customFormat="1">
      <c r="A941" s="207"/>
      <c r="B941" s="209"/>
      <c r="C941" s="43" t="s">
        <v>521</v>
      </c>
      <c r="D941" s="62">
        <v>8</v>
      </c>
      <c r="E941" s="33" t="str">
        <f t="shared" ref="E941" si="829">(MID(E940,SEARCH(":",E940)+1,2)-1) &amp; ":" &amp; (MID(E940,SEARCH(":",E940)+1,2)-D941)</f>
        <v>23:16</v>
      </c>
      <c r="F941" s="30" t="s">
        <v>133</v>
      </c>
      <c r="G941" s="30" t="s">
        <v>133</v>
      </c>
      <c r="H941" s="64" t="s">
        <v>450</v>
      </c>
      <c r="I941" s="30" t="s">
        <v>68</v>
      </c>
      <c r="J941" s="32" t="s">
        <v>36</v>
      </c>
      <c r="K941" s="33" t="s">
        <v>6</v>
      </c>
      <c r="L941" s="46"/>
      <c r="M941" s="120"/>
      <c r="N941" s="120"/>
      <c r="O941" s="120"/>
      <c r="P941" s="122"/>
      <c r="Q941" s="122"/>
      <c r="R941" s="204"/>
      <c r="S941" s="204"/>
    </row>
    <row r="942" spans="1:19" s="61" customFormat="1">
      <c r="A942" s="207"/>
      <c r="B942" s="209"/>
      <c r="C942" s="43" t="s">
        <v>522</v>
      </c>
      <c r="D942" s="62">
        <v>8</v>
      </c>
      <c r="E942" s="33" t="str">
        <f>(MID(E941,SEARCH(":",E941)+1,2)-1) &amp; ":" &amp; (MID(E941,SEARCH(":",E941)+1,2)-D942)</f>
        <v>15:8</v>
      </c>
      <c r="F942" s="30" t="s">
        <v>133</v>
      </c>
      <c r="G942" s="30" t="s">
        <v>133</v>
      </c>
      <c r="H942" s="64" t="s">
        <v>452</v>
      </c>
      <c r="I942" s="30" t="s">
        <v>68</v>
      </c>
      <c r="J942" s="32" t="s">
        <v>36</v>
      </c>
      <c r="K942" s="33" t="s">
        <v>6</v>
      </c>
      <c r="L942" s="46"/>
      <c r="M942" s="120"/>
      <c r="N942" s="120"/>
      <c r="O942" s="120"/>
      <c r="P942" s="122"/>
      <c r="Q942" s="122"/>
      <c r="R942" s="204"/>
      <c r="S942" s="204"/>
    </row>
    <row r="943" spans="1:19" s="61" customFormat="1" ht="15" thickBot="1">
      <c r="A943" s="207"/>
      <c r="B943" s="209"/>
      <c r="C943" s="43" t="s">
        <v>523</v>
      </c>
      <c r="D943" s="62">
        <v>8</v>
      </c>
      <c r="E943" s="33" t="str">
        <f>(MID(E942,SEARCH(":",E942)+1,2)-1) &amp; ":" &amp; (MID(E942,SEARCH(":",E942)+1,2)-D943)</f>
        <v>7:0</v>
      </c>
      <c r="F943" s="30" t="s">
        <v>133</v>
      </c>
      <c r="G943" s="30" t="s">
        <v>133</v>
      </c>
      <c r="H943" s="64" t="s">
        <v>454</v>
      </c>
      <c r="I943" s="30" t="s">
        <v>68</v>
      </c>
      <c r="J943" s="32" t="s">
        <v>36</v>
      </c>
      <c r="K943" s="33" t="s">
        <v>6</v>
      </c>
      <c r="L943" s="46"/>
      <c r="M943" s="120"/>
      <c r="N943" s="120"/>
      <c r="O943" s="120"/>
      <c r="P943" s="122"/>
      <c r="Q943" s="122"/>
      <c r="R943" s="210"/>
      <c r="S943" s="210"/>
    </row>
    <row r="944" spans="1:19" s="61" customFormat="1">
      <c r="A944" s="207" t="s">
        <v>524</v>
      </c>
      <c r="B944" s="208" t="str">
        <f t="shared" ref="B944" si="830">DEC2HEX(P944*4)</f>
        <v>28</v>
      </c>
      <c r="C944" s="56" t="s">
        <v>383</v>
      </c>
      <c r="D944" s="129" t="str">
        <f>bitConcat(F945:F950)</f>
        <v>32'b00000000000000000000000000000000</v>
      </c>
      <c r="E944" s="130"/>
      <c r="F944" s="130"/>
      <c r="G944" s="205"/>
      <c r="H944" s="73" t="s">
        <v>384</v>
      </c>
      <c r="I944" s="74"/>
      <c r="J944" s="202" t="str">
        <f>bitConcat(G945:G950)</f>
        <v>32'b00000000000000000000000000000000</v>
      </c>
      <c r="K944" s="131"/>
      <c r="L944" s="132"/>
      <c r="M944" s="119" t="str">
        <f t="shared" ref="M944" si="831">DEC2HEX(_xlfn.BITLSHIFT(O944,7)+4*P944)</f>
        <v>328</v>
      </c>
      <c r="N944" s="120" t="s">
        <v>385</v>
      </c>
      <c r="O944" s="120">
        <v>6</v>
      </c>
      <c r="P944" s="122">
        <v>10</v>
      </c>
      <c r="Q944" s="121" t="str">
        <f>DEC2HEX(_xlfn.BITLSHIFT(O944,5)+P944)</f>
        <v>CA</v>
      </c>
      <c r="R944" s="203" t="str">
        <f t="shared" si="821"/>
        <v>00000000</v>
      </c>
      <c r="S944" s="203" t="str">
        <f t="shared" si="814"/>
        <v>00000000</v>
      </c>
    </row>
    <row r="945" spans="1:19" s="61" customFormat="1">
      <c r="A945" s="207"/>
      <c r="B945" s="209"/>
      <c r="C945" s="43" t="s">
        <v>525</v>
      </c>
      <c r="D945" s="62">
        <v>16</v>
      </c>
      <c r="E945" s="70" t="str">
        <f>IF(D945&gt;1,(31)&amp;":"&amp;(31-D945+1),(31-D945+1)&amp;":"&amp;(31-D945+1))</f>
        <v>31:16</v>
      </c>
      <c r="F945" s="30" t="s">
        <v>457</v>
      </c>
      <c r="G945" s="30" t="s">
        <v>457</v>
      </c>
      <c r="H945" s="64" t="s">
        <v>526</v>
      </c>
      <c r="I945" s="30" t="s">
        <v>68</v>
      </c>
      <c r="J945" s="32" t="s">
        <v>36</v>
      </c>
      <c r="K945" s="33" t="s">
        <v>6</v>
      </c>
      <c r="L945" s="46"/>
      <c r="M945" s="120"/>
      <c r="N945" s="120"/>
      <c r="O945" s="120"/>
      <c r="P945" s="122"/>
      <c r="Q945" s="122"/>
      <c r="R945" s="204"/>
      <c r="S945" s="204"/>
    </row>
    <row r="946" spans="1:19" s="61" customFormat="1">
      <c r="A946" s="207"/>
      <c r="B946" s="209"/>
      <c r="C946" s="43" t="s">
        <v>527</v>
      </c>
      <c r="D946" s="62">
        <v>6</v>
      </c>
      <c r="E946" s="33" t="str">
        <f>(MID(E945,SEARCH(":",E945)+1,2)-1) &amp; ":" &amp; (MID(E945,SEARCH(":",E945)+1,2)-D946)</f>
        <v>15:10</v>
      </c>
      <c r="F946" s="30" t="s">
        <v>249</v>
      </c>
      <c r="G946" s="30" t="s">
        <v>249</v>
      </c>
      <c r="H946" s="65" t="s">
        <v>460</v>
      </c>
      <c r="I946" s="30" t="s">
        <v>68</v>
      </c>
      <c r="J946" s="32" t="s">
        <v>36</v>
      </c>
      <c r="K946" s="33" t="s">
        <v>6</v>
      </c>
      <c r="L946" s="46"/>
      <c r="M946" s="120"/>
      <c r="N946" s="120"/>
      <c r="O946" s="120"/>
      <c r="P946" s="122"/>
      <c r="Q946" s="122"/>
      <c r="R946" s="204"/>
      <c r="S946" s="204"/>
    </row>
    <row r="947" spans="1:19" s="61" customFormat="1">
      <c r="A947" s="207"/>
      <c r="B947" s="209"/>
      <c r="C947" s="77" t="s">
        <v>528</v>
      </c>
      <c r="D947" s="78">
        <v>5</v>
      </c>
      <c r="E947" s="33" t="str">
        <f t="shared" ref="E947:E950" si="832">(MID(E946,SEARCH(":",E946)+1,2)-1) &amp; ":" &amp; (MID(E946,SEARCH(":",E946)+1,2)-D947)</f>
        <v>9:5</v>
      </c>
      <c r="F947" s="30" t="s">
        <v>434</v>
      </c>
      <c r="G947" s="79" t="s">
        <v>434</v>
      </c>
      <c r="H947" s="80" t="s">
        <v>462</v>
      </c>
      <c r="I947" s="30" t="s">
        <v>68</v>
      </c>
      <c r="J947" s="32" t="s">
        <v>36</v>
      </c>
      <c r="K947" s="33" t="s">
        <v>6</v>
      </c>
      <c r="L947" s="46"/>
      <c r="M947" s="120"/>
      <c r="N947" s="120"/>
      <c r="O947" s="120"/>
      <c r="P947" s="122"/>
      <c r="Q947" s="122"/>
      <c r="R947" s="204"/>
      <c r="S947" s="204"/>
    </row>
    <row r="948" spans="1:19" s="61" customFormat="1">
      <c r="A948" s="207"/>
      <c r="B948" s="209"/>
      <c r="C948" s="77" t="s">
        <v>529</v>
      </c>
      <c r="D948" s="78">
        <v>2</v>
      </c>
      <c r="E948" s="33" t="str">
        <f t="shared" si="832"/>
        <v>4:3</v>
      </c>
      <c r="F948" s="30" t="s">
        <v>154</v>
      </c>
      <c r="G948" s="79" t="s">
        <v>154</v>
      </c>
      <c r="H948" s="80" t="s">
        <v>464</v>
      </c>
      <c r="I948" s="30" t="s">
        <v>68</v>
      </c>
      <c r="J948" s="32" t="s">
        <v>36</v>
      </c>
      <c r="K948" s="33" t="s">
        <v>6</v>
      </c>
      <c r="L948" s="46"/>
      <c r="M948" s="120"/>
      <c r="N948" s="120"/>
      <c r="O948" s="120"/>
      <c r="P948" s="122"/>
      <c r="Q948" s="122"/>
      <c r="R948" s="204"/>
      <c r="S948" s="204"/>
    </row>
    <row r="949" spans="1:19" s="61" customFormat="1">
      <c r="A949" s="207"/>
      <c r="B949" s="209"/>
      <c r="C949" s="77" t="s">
        <v>530</v>
      </c>
      <c r="D949" s="78">
        <v>2</v>
      </c>
      <c r="E949" s="33" t="str">
        <f t="shared" si="832"/>
        <v>2:1</v>
      </c>
      <c r="F949" s="30" t="s">
        <v>154</v>
      </c>
      <c r="G949" s="79" t="s">
        <v>154</v>
      </c>
      <c r="H949" s="80" t="s">
        <v>396</v>
      </c>
      <c r="I949" s="30" t="s">
        <v>68</v>
      </c>
      <c r="J949" s="32" t="s">
        <v>36</v>
      </c>
      <c r="K949" s="33" t="s">
        <v>6</v>
      </c>
      <c r="L949" s="46"/>
      <c r="M949" s="120"/>
      <c r="N949" s="120"/>
      <c r="O949" s="120"/>
      <c r="P949" s="122"/>
      <c r="Q949" s="122"/>
      <c r="R949" s="204"/>
      <c r="S949" s="204"/>
    </row>
    <row r="950" spans="1:19" s="61" customFormat="1" ht="15.75" customHeight="1" thickBot="1">
      <c r="A950" s="207"/>
      <c r="B950" s="209"/>
      <c r="C950" s="77" t="s">
        <v>531</v>
      </c>
      <c r="D950" s="78">
        <v>1</v>
      </c>
      <c r="E950" s="33" t="str">
        <f t="shared" si="832"/>
        <v>0:0</v>
      </c>
      <c r="F950" s="30" t="s">
        <v>7</v>
      </c>
      <c r="G950" s="79" t="s">
        <v>7</v>
      </c>
      <c r="H950" s="80" t="s">
        <v>396</v>
      </c>
      <c r="I950" s="30" t="s">
        <v>68</v>
      </c>
      <c r="J950" s="32" t="s">
        <v>36</v>
      </c>
      <c r="K950" s="33" t="s">
        <v>6</v>
      </c>
      <c r="L950" s="46"/>
      <c r="M950" s="120"/>
      <c r="N950" s="120"/>
      <c r="O950" s="120"/>
      <c r="P950" s="122"/>
      <c r="Q950" s="122"/>
      <c r="R950" s="210"/>
      <c r="S950" s="210"/>
    </row>
    <row r="951" spans="1:19" s="61" customFormat="1">
      <c r="A951" s="207" t="s">
        <v>532</v>
      </c>
      <c r="B951" s="208" t="str">
        <f t="shared" ref="B951" si="833">DEC2HEX(P951*4)</f>
        <v>2C</v>
      </c>
      <c r="C951" s="56" t="s">
        <v>383</v>
      </c>
      <c r="D951" s="129" t="str">
        <f>bitConcat(F952:F957)</f>
        <v>32'b00000000101100110001100000100000</v>
      </c>
      <c r="E951" s="130"/>
      <c r="F951" s="130"/>
      <c r="G951" s="205"/>
      <c r="H951" s="73" t="s">
        <v>384</v>
      </c>
      <c r="I951" s="74"/>
      <c r="J951" s="202" t="str">
        <f>bitConcat(G952:G957)</f>
        <v>32'b00000000000000000001100000000000</v>
      </c>
      <c r="K951" s="131"/>
      <c r="L951" s="132"/>
      <c r="M951" s="119" t="str">
        <f t="shared" ref="M951" si="834">DEC2HEX(_xlfn.BITLSHIFT(O951,7)+4*P951)</f>
        <v>32C</v>
      </c>
      <c r="N951" s="120" t="s">
        <v>385</v>
      </c>
      <c r="O951" s="120">
        <v>6</v>
      </c>
      <c r="P951" s="122">
        <v>11</v>
      </c>
      <c r="Q951" s="121" t="str">
        <f>DEC2HEX(_xlfn.BITLSHIFT(O951,5)+P951)</f>
        <v>CB</v>
      </c>
      <c r="R951" s="203" t="str">
        <f>BIN2HEX(LEFT(RIGHT(D951,32),4))&amp;BIN2HEX(LEFT(RIGHT(D951,28),4))&amp;BIN2HEX(LEFT(RIGHT(D951,24),4))&amp;BIN2HEX(LEFT(RIGHT(D951,20),4))&amp;BIN2HEX(LEFT(RIGHT(D951,16),4))&amp;BIN2HEX(LEFT(RIGHT(D951,12),4))&amp;BIN2HEX(LEFT(RIGHT(D951,8),4))&amp;BIN2HEX(LEFT(RIGHT(D951,4),4))</f>
        <v>00B31820</v>
      </c>
      <c r="S951" s="203" t="str">
        <f t="shared" si="814"/>
        <v>00001800</v>
      </c>
    </row>
    <row r="952" spans="1:19" s="61" customFormat="1">
      <c r="A952" s="207"/>
      <c r="B952" s="209"/>
      <c r="C952" s="43" t="s">
        <v>533</v>
      </c>
      <c r="D952" s="62">
        <v>8</v>
      </c>
      <c r="E952" s="70" t="str">
        <f>IF(D952&gt;1,(31)&amp;":"&amp;(31-D952+1),(31-D952+1)&amp;":"&amp;(31-D952+1))</f>
        <v>31:24</v>
      </c>
      <c r="F952" s="30" t="s">
        <v>133</v>
      </c>
      <c r="G952" s="30" t="s">
        <v>133</v>
      </c>
      <c r="H952" s="64" t="s">
        <v>469</v>
      </c>
      <c r="I952" s="30" t="s">
        <v>68</v>
      </c>
      <c r="J952" s="32" t="s">
        <v>36</v>
      </c>
      <c r="K952" s="33" t="s">
        <v>6</v>
      </c>
      <c r="L952" s="46"/>
      <c r="M952" s="120"/>
      <c r="N952" s="120"/>
      <c r="O952" s="120"/>
      <c r="P952" s="122"/>
      <c r="Q952" s="122"/>
      <c r="R952" s="204"/>
      <c r="S952" s="204"/>
    </row>
    <row r="953" spans="1:19" s="61" customFormat="1">
      <c r="A953" s="207"/>
      <c r="B953" s="209"/>
      <c r="C953" s="43" t="s">
        <v>534</v>
      </c>
      <c r="D953" s="62">
        <v>8</v>
      </c>
      <c r="E953" s="33" t="str">
        <f>(MID(E952,SEARCH(":",E952)+1,2)-1) &amp; ":" &amp; (MID(E952,SEARCH(":",E952)+1,2)-D953)</f>
        <v>23:16</v>
      </c>
      <c r="F953" s="30" t="s">
        <v>471</v>
      </c>
      <c r="G953" s="30" t="s">
        <v>133</v>
      </c>
      <c r="H953" s="65" t="s">
        <v>472</v>
      </c>
      <c r="I953" s="30" t="s">
        <v>68</v>
      </c>
      <c r="J953" s="32" t="s">
        <v>36</v>
      </c>
      <c r="K953" s="33" t="s">
        <v>6</v>
      </c>
      <c r="L953" s="46"/>
      <c r="M953" s="120"/>
      <c r="N953" s="120"/>
      <c r="O953" s="120"/>
      <c r="P953" s="122"/>
      <c r="Q953" s="122"/>
      <c r="R953" s="204"/>
      <c r="S953" s="204"/>
    </row>
    <row r="954" spans="1:19" s="61" customFormat="1">
      <c r="A954" s="207"/>
      <c r="B954" s="209"/>
      <c r="C954" s="43" t="s">
        <v>535</v>
      </c>
      <c r="D954" s="62">
        <v>10</v>
      </c>
      <c r="E954" s="33" t="str">
        <f t="shared" ref="E954:E956" si="835">(MID(E953,SEARCH(":",E953)+1,2)-1) &amp; ":" &amp; (MID(E953,SEARCH(":",E953)+1,2)-D954)</f>
        <v>15:6</v>
      </c>
      <c r="F954" s="30" t="s">
        <v>474</v>
      </c>
      <c r="G954" s="30" t="s">
        <v>474</v>
      </c>
      <c r="H954" s="64" t="s">
        <v>475</v>
      </c>
      <c r="I954" s="30" t="s">
        <v>68</v>
      </c>
      <c r="J954" s="32" t="s">
        <v>36</v>
      </c>
      <c r="K954" s="33" t="s">
        <v>6</v>
      </c>
      <c r="L954" s="46"/>
      <c r="M954" s="120"/>
      <c r="N954" s="120"/>
      <c r="O954" s="120"/>
      <c r="P954" s="122"/>
      <c r="Q954" s="122"/>
      <c r="R954" s="204"/>
      <c r="S954" s="204"/>
    </row>
    <row r="955" spans="1:19" s="61" customFormat="1" ht="15.75" customHeight="1">
      <c r="A955" s="207"/>
      <c r="B955" s="209"/>
      <c r="C955" s="43" t="s">
        <v>536</v>
      </c>
      <c r="D955" s="62">
        <v>1</v>
      </c>
      <c r="E955" s="33" t="str">
        <f t="shared" si="835"/>
        <v>5:5</v>
      </c>
      <c r="F955" s="30" t="s">
        <v>269</v>
      </c>
      <c r="G955" s="30" t="s">
        <v>7</v>
      </c>
      <c r="H955" s="65" t="s">
        <v>477</v>
      </c>
      <c r="I955" s="30" t="s">
        <v>68</v>
      </c>
      <c r="J955" s="32" t="s">
        <v>36</v>
      </c>
      <c r="K955" s="33" t="s">
        <v>6</v>
      </c>
      <c r="L955" s="46"/>
      <c r="M955" s="120"/>
      <c r="N955" s="120"/>
      <c r="O955" s="120"/>
      <c r="P955" s="122"/>
      <c r="Q955" s="122"/>
      <c r="R955" s="204"/>
      <c r="S955" s="204"/>
    </row>
    <row r="956" spans="1:19" s="61" customFormat="1" ht="15" thickBot="1">
      <c r="A956" s="207"/>
      <c r="B956" s="209"/>
      <c r="C956" s="43" t="s">
        <v>537</v>
      </c>
      <c r="D956" s="62">
        <v>5</v>
      </c>
      <c r="E956" s="33" t="str">
        <f t="shared" si="835"/>
        <v>4:0</v>
      </c>
      <c r="F956" s="30" t="s">
        <v>434</v>
      </c>
      <c r="G956" s="30" t="s">
        <v>434</v>
      </c>
      <c r="H956" s="65" t="s">
        <v>479</v>
      </c>
      <c r="I956" s="30" t="s">
        <v>68</v>
      </c>
      <c r="J956" s="32" t="s">
        <v>36</v>
      </c>
      <c r="K956" s="33" t="s">
        <v>6</v>
      </c>
      <c r="L956" s="46"/>
      <c r="M956" s="120"/>
      <c r="N956" s="120"/>
      <c r="O956" s="120"/>
      <c r="P956" s="122"/>
      <c r="Q956" s="122"/>
      <c r="R956" s="210"/>
      <c r="S956" s="210"/>
    </row>
    <row r="957" spans="1:19" s="61" customFormat="1">
      <c r="A957" s="220" t="s">
        <v>538</v>
      </c>
      <c r="B957" s="223" t="str">
        <f>DEC2HEX(P957*4)</f>
        <v>30</v>
      </c>
      <c r="C957" s="56" t="s">
        <v>383</v>
      </c>
      <c r="D957" s="129" t="str">
        <f>bitConcat(F958:F965)</f>
        <v>32'b11110111110101001011000101001111</v>
      </c>
      <c r="E957" s="130"/>
      <c r="F957" s="130"/>
      <c r="G957" s="205"/>
      <c r="H957" s="73" t="s">
        <v>384</v>
      </c>
      <c r="I957" s="74"/>
      <c r="J957" s="202" t="str">
        <f>bitConcat(G958:G965)</f>
        <v>32'b11110111111110001000000010001111</v>
      </c>
      <c r="K957" s="131"/>
      <c r="L957" s="132"/>
      <c r="M957" s="217" t="str">
        <f t="shared" ref="M957" si="836">DEC2HEX(_xlfn.BITLSHIFT(O957,7)+4*P957)</f>
        <v>330</v>
      </c>
      <c r="N957" s="170" t="s">
        <v>385</v>
      </c>
      <c r="O957" s="170">
        <v>6</v>
      </c>
      <c r="P957" s="171">
        <v>12</v>
      </c>
      <c r="Q957" s="203" t="str">
        <f>DEC2HEX(_xlfn.BITLSHIFT(O957,5)+P957)</f>
        <v>CC</v>
      </c>
      <c r="R957" s="203" t="str">
        <f>BIN2HEX(LEFT(RIGHT(D957,32),4))&amp;BIN2HEX(LEFT(RIGHT(D957,28),4))&amp;BIN2HEX(LEFT(RIGHT(D957,24),4))&amp;BIN2HEX(LEFT(RIGHT(D957,20),4))&amp;BIN2HEX(LEFT(RIGHT(D957,16),4))&amp;BIN2HEX(LEFT(RIGHT(D957,12),4))&amp;BIN2HEX(LEFT(RIGHT(D957,8),4))&amp;BIN2HEX(LEFT(RIGHT(D957,4),4))</f>
        <v>F7D4B14F</v>
      </c>
      <c r="S957" s="203" t="str">
        <f t="shared" si="814"/>
        <v>F7F8808F</v>
      </c>
    </row>
    <row r="958" spans="1:19" s="61" customFormat="1">
      <c r="A958" s="221"/>
      <c r="B958" s="224"/>
      <c r="C958" s="43" t="s">
        <v>539</v>
      </c>
      <c r="D958" s="62">
        <v>4</v>
      </c>
      <c r="E958" s="70" t="str">
        <f>IF(D958&gt;1,(31)&amp;":"&amp;(31-D958+1),(31-D958+1)&amp;":"&amp;(31-D958+1))</f>
        <v>31:28</v>
      </c>
      <c r="F958" s="30" t="s">
        <v>540</v>
      </c>
      <c r="G958" s="30" t="s">
        <v>540</v>
      </c>
      <c r="H958" s="64" t="s">
        <v>541</v>
      </c>
      <c r="I958" s="30" t="s">
        <v>68</v>
      </c>
      <c r="J958" s="32" t="s">
        <v>36</v>
      </c>
      <c r="K958" s="33" t="s">
        <v>6</v>
      </c>
      <c r="L958" s="46"/>
      <c r="M958" s="218"/>
      <c r="N958" s="218"/>
      <c r="O958" s="218"/>
      <c r="P958" s="225"/>
      <c r="Q958" s="204"/>
      <c r="R958" s="204"/>
      <c r="S958" s="204"/>
    </row>
    <row r="959" spans="1:19" s="61" customFormat="1">
      <c r="A959" s="221"/>
      <c r="B959" s="224"/>
      <c r="C959" s="43" t="s">
        <v>542</v>
      </c>
      <c r="D959" s="62">
        <v>4</v>
      </c>
      <c r="E959" s="33" t="str">
        <f>(MID(E958,SEARCH(":",E958)+1,2)-1) &amp; ":" &amp; (MID(E958,SEARCH(":",E958)+1,2)-D959)</f>
        <v>27:24</v>
      </c>
      <c r="F959" s="30" t="s">
        <v>543</v>
      </c>
      <c r="G959" s="30" t="s">
        <v>543</v>
      </c>
      <c r="H959" s="65" t="s">
        <v>544</v>
      </c>
      <c r="I959" s="30" t="s">
        <v>68</v>
      </c>
      <c r="J959" s="32" t="s">
        <v>36</v>
      </c>
      <c r="K959" s="33" t="s">
        <v>6</v>
      </c>
      <c r="L959" s="46"/>
      <c r="M959" s="218"/>
      <c r="N959" s="218"/>
      <c r="O959" s="218"/>
      <c r="P959" s="225"/>
      <c r="Q959" s="204"/>
      <c r="R959" s="204"/>
      <c r="S959" s="204"/>
    </row>
    <row r="960" spans="1:19" s="61" customFormat="1">
      <c r="A960" s="221"/>
      <c r="B960" s="224"/>
      <c r="C960" s="43" t="s">
        <v>545</v>
      </c>
      <c r="D960" s="62">
        <v>4</v>
      </c>
      <c r="E960" s="33" t="str">
        <f t="shared" ref="E960:E963" si="837">(MID(E959,SEARCH(":",E959)+1,2)-1) &amp; ":" &amp; (MID(E959,SEARCH(":",E959)+1,2)-D960)</f>
        <v>23:20</v>
      </c>
      <c r="F960" s="30" t="s">
        <v>546</v>
      </c>
      <c r="G960" s="30" t="s">
        <v>540</v>
      </c>
      <c r="H960" s="65" t="s">
        <v>547</v>
      </c>
      <c r="I960" s="30" t="s">
        <v>68</v>
      </c>
      <c r="J960" s="32" t="s">
        <v>36</v>
      </c>
      <c r="K960" s="33" t="s">
        <v>6</v>
      </c>
      <c r="L960" s="46"/>
      <c r="M960" s="218"/>
      <c r="N960" s="218"/>
      <c r="O960" s="218"/>
      <c r="P960" s="225"/>
      <c r="Q960" s="204"/>
      <c r="R960" s="204"/>
      <c r="S960" s="204"/>
    </row>
    <row r="961" spans="1:19" s="61" customFormat="1">
      <c r="A961" s="221"/>
      <c r="B961" s="224"/>
      <c r="C961" s="43" t="s">
        <v>548</v>
      </c>
      <c r="D961" s="62">
        <v>4</v>
      </c>
      <c r="E961" s="33" t="str">
        <f t="shared" si="837"/>
        <v>19:16</v>
      </c>
      <c r="F961" s="30" t="s">
        <v>182</v>
      </c>
      <c r="G961" s="30" t="s">
        <v>146</v>
      </c>
      <c r="H961" s="65" t="s">
        <v>549</v>
      </c>
      <c r="I961" s="30" t="s">
        <v>68</v>
      </c>
      <c r="J961" s="32" t="s">
        <v>36</v>
      </c>
      <c r="K961" s="33" t="s">
        <v>6</v>
      </c>
      <c r="L961" s="46"/>
      <c r="M961" s="218"/>
      <c r="N961" s="218"/>
      <c r="O961" s="218"/>
      <c r="P961" s="225"/>
      <c r="Q961" s="204"/>
      <c r="R961" s="204"/>
      <c r="S961" s="204"/>
    </row>
    <row r="962" spans="1:19" s="61" customFormat="1">
      <c r="A962" s="221"/>
      <c r="B962" s="224"/>
      <c r="C962" s="43" t="s">
        <v>550</v>
      </c>
      <c r="D962" s="62">
        <v>4</v>
      </c>
      <c r="E962" s="33" t="str">
        <f t="shared" si="837"/>
        <v>15:12</v>
      </c>
      <c r="F962" s="30" t="s">
        <v>551</v>
      </c>
      <c r="G962" s="30" t="s">
        <v>146</v>
      </c>
      <c r="H962" s="64" t="s">
        <v>552</v>
      </c>
      <c r="I962" s="30" t="s">
        <v>68</v>
      </c>
      <c r="J962" s="32" t="s">
        <v>36</v>
      </c>
      <c r="K962" s="33" t="s">
        <v>6</v>
      </c>
      <c r="L962" s="46"/>
      <c r="M962" s="218"/>
      <c r="N962" s="218"/>
      <c r="O962" s="218"/>
      <c r="P962" s="225"/>
      <c r="Q962" s="204"/>
      <c r="R962" s="204"/>
      <c r="S962" s="204"/>
    </row>
    <row r="963" spans="1:19" s="61" customFormat="1" ht="15.75" customHeight="1">
      <c r="A963" s="221"/>
      <c r="B963" s="224"/>
      <c r="C963" s="43" t="s">
        <v>553</v>
      </c>
      <c r="D963" s="62">
        <v>4</v>
      </c>
      <c r="E963" s="33" t="str">
        <f t="shared" si="837"/>
        <v>11:8</v>
      </c>
      <c r="F963" s="30" t="s">
        <v>220</v>
      </c>
      <c r="G963" s="30" t="s">
        <v>330</v>
      </c>
      <c r="H963" s="64" t="s">
        <v>554</v>
      </c>
      <c r="I963" s="30" t="s">
        <v>68</v>
      </c>
      <c r="J963" s="32" t="s">
        <v>36</v>
      </c>
      <c r="K963" s="33" t="s">
        <v>6</v>
      </c>
      <c r="L963" s="46"/>
      <c r="M963" s="218"/>
      <c r="N963" s="218"/>
      <c r="O963" s="218"/>
      <c r="P963" s="225"/>
      <c r="Q963" s="204"/>
      <c r="R963" s="204"/>
      <c r="S963" s="204"/>
    </row>
    <row r="964" spans="1:19" s="61" customFormat="1" ht="15" thickBot="1">
      <c r="A964" s="221"/>
      <c r="B964" s="224"/>
      <c r="C964" s="63" t="s">
        <v>555</v>
      </c>
      <c r="D964" s="62">
        <v>4</v>
      </c>
      <c r="E964" s="33" t="str">
        <f>(MID(E963,SEARCH(":",E963)+1,2)-1) &amp; ":" &amp; (MID(E963,SEARCH(":",E963)+1,2)-D964)</f>
        <v>7:4</v>
      </c>
      <c r="F964" s="30" t="s">
        <v>182</v>
      </c>
      <c r="G964" s="30" t="s">
        <v>146</v>
      </c>
      <c r="H964" s="63" t="s">
        <v>556</v>
      </c>
      <c r="I964" s="30" t="s">
        <v>68</v>
      </c>
      <c r="J964" s="32" t="s">
        <v>36</v>
      </c>
      <c r="K964" s="33" t="s">
        <v>6</v>
      </c>
      <c r="L964" s="46"/>
      <c r="M964" s="218"/>
      <c r="N964" s="218"/>
      <c r="O964" s="218"/>
      <c r="P964" s="225"/>
      <c r="Q964" s="204"/>
      <c r="R964" s="210"/>
      <c r="S964" s="210"/>
    </row>
    <row r="965" spans="1:19" s="61" customFormat="1" ht="15" thickBot="1">
      <c r="A965" s="222"/>
      <c r="B965" s="82"/>
      <c r="C965" s="43" t="s">
        <v>557</v>
      </c>
      <c r="D965" s="62">
        <v>4</v>
      </c>
      <c r="E965" s="33" t="str">
        <f>(MID(E964,SEARCH(":",E964)+1,2)-1) &amp; ":" &amp; (MID(E964,SEARCH(":",E964)+1,2)-D965)</f>
        <v>3:0</v>
      </c>
      <c r="F965" s="83" t="s">
        <v>540</v>
      </c>
      <c r="G965" s="83" t="s">
        <v>540</v>
      </c>
      <c r="H965" s="64" t="s">
        <v>155</v>
      </c>
      <c r="I965" s="30" t="s">
        <v>68</v>
      </c>
      <c r="J965" s="32" t="s">
        <v>36</v>
      </c>
      <c r="K965" s="33" t="s">
        <v>6</v>
      </c>
      <c r="L965" s="81"/>
      <c r="M965" s="84"/>
      <c r="N965" s="84"/>
      <c r="O965" s="84"/>
      <c r="P965" s="85"/>
      <c r="Q965" s="86"/>
      <c r="R965" s="86"/>
      <c r="S965" s="86"/>
    </row>
    <row r="966" spans="1:19" s="61" customFormat="1">
      <c r="A966" s="220" t="s">
        <v>558</v>
      </c>
      <c r="B966" s="223" t="str">
        <f t="shared" ref="B966" si="838">DEC2HEX(P966*4)</f>
        <v>34</v>
      </c>
      <c r="C966" s="87" t="s">
        <v>383</v>
      </c>
      <c r="D966" s="226" t="str">
        <f>bitConcat(F967:F974)</f>
        <v>32'b11110111110101001011000101000000</v>
      </c>
      <c r="E966" s="227"/>
      <c r="F966" s="227"/>
      <c r="G966" s="228"/>
      <c r="H966" s="88" t="s">
        <v>384</v>
      </c>
      <c r="I966" s="74"/>
      <c r="J966" s="202" t="str">
        <f>bitConcat(G967:G974)</f>
        <v>32'b11110111111110001000000010000000</v>
      </c>
      <c r="K966" s="131"/>
      <c r="L966" s="132"/>
      <c r="M966" s="217" t="str">
        <f t="shared" ref="M966" si="839">DEC2HEX(_xlfn.BITLSHIFT(O966,7)+4*P966)</f>
        <v>334</v>
      </c>
      <c r="N966" s="170" t="s">
        <v>385</v>
      </c>
      <c r="O966" s="170">
        <v>6</v>
      </c>
      <c r="P966" s="171">
        <v>13</v>
      </c>
      <c r="Q966" s="203" t="str">
        <f>DEC2HEX(_xlfn.BITLSHIFT(O966,5)+P966)</f>
        <v>CD</v>
      </c>
      <c r="R966" s="203" t="str">
        <f>BIN2HEX(LEFT(RIGHT(D966,32),4))&amp;BIN2HEX(LEFT(RIGHT(D966,28),4))&amp;BIN2HEX(LEFT(RIGHT(D966,24),4))&amp;BIN2HEX(LEFT(RIGHT(D966,20),4))&amp;BIN2HEX(LEFT(RIGHT(D966,16),4))&amp;BIN2HEX(LEFT(RIGHT(D966,12),4))&amp;BIN2HEX(LEFT(RIGHT(D966,8),4))&amp;BIN2HEX(LEFT(RIGHT(D966,4),4))</f>
        <v>F7D4B140</v>
      </c>
      <c r="S966" s="203" t="str">
        <f t="shared" si="814"/>
        <v>F7F88080</v>
      </c>
    </row>
    <row r="967" spans="1:19" s="61" customFormat="1">
      <c r="A967" s="221"/>
      <c r="B967" s="224"/>
      <c r="C967" s="43" t="s">
        <v>559</v>
      </c>
      <c r="D967" s="62">
        <v>4</v>
      </c>
      <c r="E967" s="70" t="str">
        <f>IF(D967&gt;1,(31)&amp;":"&amp;(31-D967+1),(31-D967+1)&amp;":"&amp;(31-D967+1))</f>
        <v>31:28</v>
      </c>
      <c r="F967" s="30" t="s">
        <v>540</v>
      </c>
      <c r="G967" s="30" t="s">
        <v>540</v>
      </c>
      <c r="H967" s="64" t="s">
        <v>541</v>
      </c>
      <c r="I967" s="30" t="s">
        <v>68</v>
      </c>
      <c r="J967" s="32" t="s">
        <v>36</v>
      </c>
      <c r="K967" s="33" t="s">
        <v>6</v>
      </c>
      <c r="L967" s="46"/>
      <c r="M967" s="218"/>
      <c r="N967" s="218"/>
      <c r="O967" s="218"/>
      <c r="P967" s="225"/>
      <c r="Q967" s="204"/>
      <c r="R967" s="204"/>
      <c r="S967" s="204"/>
    </row>
    <row r="968" spans="1:19" s="61" customFormat="1">
      <c r="A968" s="221"/>
      <c r="B968" s="224"/>
      <c r="C968" s="43" t="s">
        <v>560</v>
      </c>
      <c r="D968" s="62">
        <v>4</v>
      </c>
      <c r="E968" s="33" t="str">
        <f>(MID(E967,SEARCH(":",E967)+1,2)-1) &amp; ":" &amp; (MID(E967,SEARCH(":",E967)+1,2)-D968)</f>
        <v>27:24</v>
      </c>
      <c r="F968" s="30" t="s">
        <v>543</v>
      </c>
      <c r="G968" s="30" t="s">
        <v>543</v>
      </c>
      <c r="H968" s="65" t="s">
        <v>544</v>
      </c>
      <c r="I968" s="30" t="s">
        <v>68</v>
      </c>
      <c r="J968" s="32" t="s">
        <v>36</v>
      </c>
      <c r="K968" s="33" t="s">
        <v>6</v>
      </c>
      <c r="L968" s="46"/>
      <c r="M968" s="218"/>
      <c r="N968" s="218"/>
      <c r="O968" s="218"/>
      <c r="P968" s="225"/>
      <c r="Q968" s="204"/>
      <c r="R968" s="204"/>
      <c r="S968" s="204"/>
    </row>
    <row r="969" spans="1:19" s="61" customFormat="1">
      <c r="A969" s="221"/>
      <c r="B969" s="224"/>
      <c r="C969" s="43" t="s">
        <v>561</v>
      </c>
      <c r="D969" s="62">
        <v>4</v>
      </c>
      <c r="E969" s="33" t="str">
        <f t="shared" ref="E969:E972" si="840">(MID(E968,SEARCH(":",E968)+1,2)-1) &amp; ":" &amp; (MID(E968,SEARCH(":",E968)+1,2)-D969)</f>
        <v>23:20</v>
      </c>
      <c r="F969" s="30" t="s">
        <v>546</v>
      </c>
      <c r="G969" s="30" t="s">
        <v>540</v>
      </c>
      <c r="H969" s="65" t="s">
        <v>547</v>
      </c>
      <c r="I969" s="30" t="s">
        <v>68</v>
      </c>
      <c r="J969" s="32" t="s">
        <v>36</v>
      </c>
      <c r="K969" s="33" t="s">
        <v>6</v>
      </c>
      <c r="L969" s="46"/>
      <c r="M969" s="218"/>
      <c r="N969" s="218"/>
      <c r="O969" s="218"/>
      <c r="P969" s="225"/>
      <c r="Q969" s="204"/>
      <c r="R969" s="204"/>
      <c r="S969" s="204"/>
    </row>
    <row r="970" spans="1:19" s="61" customFormat="1">
      <c r="A970" s="221"/>
      <c r="B970" s="224"/>
      <c r="C970" s="43" t="s">
        <v>562</v>
      </c>
      <c r="D970" s="62">
        <v>4</v>
      </c>
      <c r="E970" s="33" t="str">
        <f t="shared" si="840"/>
        <v>19:16</v>
      </c>
      <c r="F970" s="30" t="s">
        <v>182</v>
      </c>
      <c r="G970" s="30" t="s">
        <v>146</v>
      </c>
      <c r="H970" s="65" t="s">
        <v>549</v>
      </c>
      <c r="I970" s="30" t="s">
        <v>68</v>
      </c>
      <c r="J970" s="32" t="s">
        <v>36</v>
      </c>
      <c r="K970" s="33" t="s">
        <v>6</v>
      </c>
      <c r="L970" s="46"/>
      <c r="M970" s="218"/>
      <c r="N970" s="218"/>
      <c r="O970" s="218"/>
      <c r="P970" s="225"/>
      <c r="Q970" s="204"/>
      <c r="R970" s="204"/>
      <c r="S970" s="204"/>
    </row>
    <row r="971" spans="1:19" s="61" customFormat="1">
      <c r="A971" s="221"/>
      <c r="B971" s="224"/>
      <c r="C971" s="43" t="s">
        <v>563</v>
      </c>
      <c r="D971" s="62">
        <v>4</v>
      </c>
      <c r="E971" s="33" t="str">
        <f t="shared" si="840"/>
        <v>15:12</v>
      </c>
      <c r="F971" s="30" t="s">
        <v>551</v>
      </c>
      <c r="G971" s="30" t="s">
        <v>146</v>
      </c>
      <c r="H971" s="64" t="s">
        <v>552</v>
      </c>
      <c r="I971" s="30" t="s">
        <v>68</v>
      </c>
      <c r="J971" s="32" t="s">
        <v>36</v>
      </c>
      <c r="K971" s="33" t="s">
        <v>6</v>
      </c>
      <c r="L971" s="46"/>
      <c r="M971" s="218"/>
      <c r="N971" s="218"/>
      <c r="O971" s="218"/>
      <c r="P971" s="225"/>
      <c r="Q971" s="204"/>
      <c r="R971" s="204"/>
      <c r="S971" s="204"/>
    </row>
    <row r="972" spans="1:19" s="61" customFormat="1" ht="15.75" customHeight="1">
      <c r="A972" s="221"/>
      <c r="B972" s="224"/>
      <c r="C972" s="43" t="s">
        <v>564</v>
      </c>
      <c r="D972" s="62">
        <v>4</v>
      </c>
      <c r="E972" s="33" t="str">
        <f t="shared" si="840"/>
        <v>11:8</v>
      </c>
      <c r="F972" s="30" t="s">
        <v>220</v>
      </c>
      <c r="G972" s="30" t="s">
        <v>330</v>
      </c>
      <c r="H972" s="64" t="s">
        <v>554</v>
      </c>
      <c r="I972" s="30" t="s">
        <v>68</v>
      </c>
      <c r="J972" s="32" t="s">
        <v>36</v>
      </c>
      <c r="K972" s="33" t="s">
        <v>6</v>
      </c>
      <c r="L972" s="46"/>
      <c r="M972" s="218"/>
      <c r="N972" s="218"/>
      <c r="O972" s="218"/>
      <c r="P972" s="225"/>
      <c r="Q972" s="204"/>
      <c r="R972" s="204"/>
      <c r="S972" s="204"/>
    </row>
    <row r="973" spans="1:19" s="61" customFormat="1" ht="15.75" customHeight="1">
      <c r="A973" s="221"/>
      <c r="B973" s="224"/>
      <c r="C973" s="63" t="s">
        <v>565</v>
      </c>
      <c r="D973" s="62">
        <v>4</v>
      </c>
      <c r="E973" s="33" t="str">
        <f>(MID(E972,SEARCH(":",E972)+1,2)-1) &amp; ":" &amp; (MID(E972,SEARCH(":",E972)+1,2)-D973)</f>
        <v>7:4</v>
      </c>
      <c r="F973" s="30" t="s">
        <v>182</v>
      </c>
      <c r="G973" s="30" t="s">
        <v>146</v>
      </c>
      <c r="H973" s="63" t="s">
        <v>556</v>
      </c>
      <c r="I973" s="30" t="s">
        <v>68</v>
      </c>
      <c r="J973" s="32" t="s">
        <v>36</v>
      </c>
      <c r="K973" s="33" t="s">
        <v>6</v>
      </c>
      <c r="L973" s="46"/>
      <c r="M973" s="218"/>
      <c r="N973" s="218"/>
      <c r="O973" s="218"/>
      <c r="P973" s="225"/>
      <c r="Q973" s="204"/>
      <c r="R973" s="204"/>
      <c r="S973" s="204"/>
    </row>
    <row r="974" spans="1:19" s="61" customFormat="1" ht="15" thickBot="1">
      <c r="A974" s="221"/>
      <c r="B974" s="224"/>
      <c r="C974" s="43" t="s">
        <v>566</v>
      </c>
      <c r="D974" s="62">
        <v>4</v>
      </c>
      <c r="E974" s="33" t="str">
        <f>(MID(E973,SEARCH(":",E973)+1,2)-1) &amp; ":" &amp; (MID(E973,SEARCH(":",E973)+1,2)-D974)</f>
        <v>3:0</v>
      </c>
      <c r="F974" s="83" t="s">
        <v>330</v>
      </c>
      <c r="G974" s="83" t="s">
        <v>330</v>
      </c>
      <c r="H974" s="64" t="s">
        <v>155</v>
      </c>
      <c r="I974" s="30" t="s">
        <v>68</v>
      </c>
      <c r="J974" s="32" t="s">
        <v>36</v>
      </c>
      <c r="K974" s="33" t="s">
        <v>6</v>
      </c>
      <c r="L974" s="46"/>
      <c r="M974" s="218"/>
      <c r="N974" s="218"/>
      <c r="O974" s="218"/>
      <c r="P974" s="225"/>
      <c r="Q974" s="204"/>
      <c r="R974" s="210"/>
      <c r="S974" s="210"/>
    </row>
    <row r="975" spans="1:19" s="61" customFormat="1">
      <c r="A975" s="220" t="s">
        <v>567</v>
      </c>
      <c r="B975" s="223" t="str">
        <f t="shared" ref="B975" si="841">DEC2HEX(P975*4)</f>
        <v>38</v>
      </c>
      <c r="C975" s="56" t="s">
        <v>383</v>
      </c>
      <c r="D975" s="129" t="str">
        <f>bitConcat(F976:F983)</f>
        <v>32'b11110111110101001011000101001111</v>
      </c>
      <c r="E975" s="130"/>
      <c r="F975" s="130"/>
      <c r="G975" s="205"/>
      <c r="H975" s="73" t="s">
        <v>384</v>
      </c>
      <c r="I975" s="74"/>
      <c r="J975" s="202" t="str">
        <f>bitConcat(G976:G983)</f>
        <v>32'b11110111111110001000000010001111</v>
      </c>
      <c r="K975" s="131"/>
      <c r="L975" s="132"/>
      <c r="M975" s="217" t="str">
        <f t="shared" ref="M975" si="842">DEC2HEX(_xlfn.BITLSHIFT(O975,7)+4*P975)</f>
        <v>338</v>
      </c>
      <c r="N975" s="170" t="s">
        <v>385</v>
      </c>
      <c r="O975" s="170">
        <v>6</v>
      </c>
      <c r="P975" s="171">
        <v>14</v>
      </c>
      <c r="Q975" s="203" t="str">
        <f>DEC2HEX(_xlfn.BITLSHIFT(O975,5)+P975)</f>
        <v>CE</v>
      </c>
      <c r="R975" s="203" t="str">
        <f>BIN2HEX(LEFT(RIGHT(D975,32),4))&amp;BIN2HEX(LEFT(RIGHT(D975,28),4))&amp;BIN2HEX(LEFT(RIGHT(D975,24),4))&amp;BIN2HEX(LEFT(RIGHT(D975,20),4))&amp;BIN2HEX(LEFT(RIGHT(D975,16),4))&amp;BIN2HEX(LEFT(RIGHT(D975,12),4))&amp;BIN2HEX(LEFT(RIGHT(D975,8),4))&amp;BIN2HEX(LEFT(RIGHT(D975,4),4))</f>
        <v>F7D4B14F</v>
      </c>
      <c r="S975" s="203" t="str">
        <f t="shared" si="814"/>
        <v>F7F8808F</v>
      </c>
    </row>
    <row r="976" spans="1:19" s="61" customFormat="1">
      <c r="A976" s="221"/>
      <c r="B976" s="224"/>
      <c r="C976" s="43" t="s">
        <v>568</v>
      </c>
      <c r="D976" s="62">
        <v>4</v>
      </c>
      <c r="E976" s="70" t="str">
        <f>IF(D976&gt;1,(31)&amp;":"&amp;(31-D976+1),(31-D976+1)&amp;":"&amp;(31-D976+1))</f>
        <v>31:28</v>
      </c>
      <c r="F976" s="30" t="s">
        <v>540</v>
      </c>
      <c r="G976" s="30" t="s">
        <v>540</v>
      </c>
      <c r="H976" s="64" t="s">
        <v>541</v>
      </c>
      <c r="I976" s="30" t="s">
        <v>68</v>
      </c>
      <c r="J976" s="32" t="s">
        <v>36</v>
      </c>
      <c r="K976" s="33" t="s">
        <v>6</v>
      </c>
      <c r="L976" s="46"/>
      <c r="M976" s="218"/>
      <c r="N976" s="218"/>
      <c r="O976" s="218"/>
      <c r="P976" s="225"/>
      <c r="Q976" s="204"/>
      <c r="R976" s="204"/>
      <c r="S976" s="204"/>
    </row>
    <row r="977" spans="1:19" s="61" customFormat="1">
      <c r="A977" s="221"/>
      <c r="B977" s="224"/>
      <c r="C977" s="43" t="s">
        <v>569</v>
      </c>
      <c r="D977" s="62">
        <v>4</v>
      </c>
      <c r="E977" s="33" t="str">
        <f>(MID(E976,SEARCH(":",E976)+1,2)-1) &amp; ":" &amp; (MID(E976,SEARCH(":",E976)+1,2)-D977)</f>
        <v>27:24</v>
      </c>
      <c r="F977" s="30" t="s">
        <v>543</v>
      </c>
      <c r="G977" s="30" t="s">
        <v>543</v>
      </c>
      <c r="H977" s="65" t="s">
        <v>544</v>
      </c>
      <c r="I977" s="30" t="s">
        <v>68</v>
      </c>
      <c r="J977" s="32" t="s">
        <v>36</v>
      </c>
      <c r="K977" s="33" t="s">
        <v>6</v>
      </c>
      <c r="L977" s="46"/>
      <c r="M977" s="218"/>
      <c r="N977" s="218"/>
      <c r="O977" s="218"/>
      <c r="P977" s="225"/>
      <c r="Q977" s="204"/>
      <c r="R977" s="204"/>
      <c r="S977" s="204"/>
    </row>
    <row r="978" spans="1:19" s="61" customFormat="1">
      <c r="A978" s="221"/>
      <c r="B978" s="224"/>
      <c r="C978" s="43" t="s">
        <v>570</v>
      </c>
      <c r="D978" s="62">
        <v>4</v>
      </c>
      <c r="E978" s="33" t="str">
        <f t="shared" ref="E978:E981" si="843">(MID(E977,SEARCH(":",E977)+1,2)-1) &amp; ":" &amp; (MID(E977,SEARCH(":",E977)+1,2)-D978)</f>
        <v>23:20</v>
      </c>
      <c r="F978" s="30" t="s">
        <v>546</v>
      </c>
      <c r="G978" s="30" t="s">
        <v>540</v>
      </c>
      <c r="H978" s="65" t="s">
        <v>547</v>
      </c>
      <c r="I978" s="30" t="s">
        <v>68</v>
      </c>
      <c r="J978" s="32" t="s">
        <v>36</v>
      </c>
      <c r="K978" s="33" t="s">
        <v>6</v>
      </c>
      <c r="L978" s="46"/>
      <c r="M978" s="218"/>
      <c r="N978" s="218"/>
      <c r="O978" s="218"/>
      <c r="P978" s="225"/>
      <c r="Q978" s="204"/>
      <c r="R978" s="204"/>
      <c r="S978" s="204"/>
    </row>
    <row r="979" spans="1:19" s="61" customFormat="1">
      <c r="A979" s="221"/>
      <c r="B979" s="224"/>
      <c r="C979" s="43" t="s">
        <v>571</v>
      </c>
      <c r="D979" s="62">
        <v>4</v>
      </c>
      <c r="E979" s="33" t="str">
        <f t="shared" si="843"/>
        <v>19:16</v>
      </c>
      <c r="F979" s="30" t="s">
        <v>182</v>
      </c>
      <c r="G979" s="30" t="s">
        <v>146</v>
      </c>
      <c r="H979" s="65" t="s">
        <v>549</v>
      </c>
      <c r="I979" s="30" t="s">
        <v>68</v>
      </c>
      <c r="J979" s="32" t="s">
        <v>36</v>
      </c>
      <c r="K979" s="33" t="s">
        <v>6</v>
      </c>
      <c r="L979" s="46"/>
      <c r="M979" s="218"/>
      <c r="N979" s="218"/>
      <c r="O979" s="218"/>
      <c r="P979" s="225"/>
      <c r="Q979" s="204"/>
      <c r="R979" s="204"/>
      <c r="S979" s="204"/>
    </row>
    <row r="980" spans="1:19" s="61" customFormat="1">
      <c r="A980" s="221"/>
      <c r="B980" s="224"/>
      <c r="C980" s="43" t="s">
        <v>572</v>
      </c>
      <c r="D980" s="62">
        <v>4</v>
      </c>
      <c r="E980" s="33" t="str">
        <f t="shared" si="843"/>
        <v>15:12</v>
      </c>
      <c r="F980" s="30" t="s">
        <v>551</v>
      </c>
      <c r="G980" s="30" t="s">
        <v>146</v>
      </c>
      <c r="H980" s="64" t="s">
        <v>552</v>
      </c>
      <c r="I980" s="30" t="s">
        <v>68</v>
      </c>
      <c r="J980" s="32" t="s">
        <v>36</v>
      </c>
      <c r="K980" s="33" t="s">
        <v>6</v>
      </c>
      <c r="L980" s="46"/>
      <c r="M980" s="218"/>
      <c r="N980" s="218"/>
      <c r="O980" s="218"/>
      <c r="P980" s="225"/>
      <c r="Q980" s="204"/>
      <c r="R980" s="204"/>
      <c r="S980" s="204"/>
    </row>
    <row r="981" spans="1:19" s="61" customFormat="1">
      <c r="A981" s="221"/>
      <c r="B981" s="224"/>
      <c r="C981" s="43" t="s">
        <v>573</v>
      </c>
      <c r="D981" s="62">
        <v>4</v>
      </c>
      <c r="E981" s="33" t="str">
        <f t="shared" si="843"/>
        <v>11:8</v>
      </c>
      <c r="F981" s="30" t="s">
        <v>220</v>
      </c>
      <c r="G981" s="30" t="s">
        <v>330</v>
      </c>
      <c r="H981" s="64" t="s">
        <v>554</v>
      </c>
      <c r="I981" s="30" t="s">
        <v>68</v>
      </c>
      <c r="J981" s="32" t="s">
        <v>36</v>
      </c>
      <c r="K981" s="33" t="s">
        <v>6</v>
      </c>
      <c r="L981" s="46"/>
      <c r="M981" s="218"/>
      <c r="N981" s="218"/>
      <c r="O981" s="218"/>
      <c r="P981" s="225"/>
      <c r="Q981" s="204"/>
      <c r="R981" s="204"/>
      <c r="S981" s="204"/>
    </row>
    <row r="982" spans="1:19" s="61" customFormat="1">
      <c r="A982" s="221"/>
      <c r="B982" s="224"/>
      <c r="C982" s="63" t="s">
        <v>574</v>
      </c>
      <c r="D982" s="62">
        <v>4</v>
      </c>
      <c r="E982" s="33" t="str">
        <f>(MID(E981,SEARCH(":",E981)+1,2)-1) &amp; ":" &amp; (MID(E981,SEARCH(":",E981)+1,2)-D982)</f>
        <v>7:4</v>
      </c>
      <c r="F982" s="30" t="s">
        <v>182</v>
      </c>
      <c r="G982" s="30" t="s">
        <v>146</v>
      </c>
      <c r="H982" s="63" t="s">
        <v>556</v>
      </c>
      <c r="I982" s="30" t="s">
        <v>68</v>
      </c>
      <c r="J982" s="32" t="s">
        <v>36</v>
      </c>
      <c r="K982" s="33" t="s">
        <v>6</v>
      </c>
      <c r="L982" s="46"/>
      <c r="M982" s="218"/>
      <c r="N982" s="218"/>
      <c r="O982" s="218"/>
      <c r="P982" s="225"/>
      <c r="Q982" s="204"/>
      <c r="R982" s="204"/>
      <c r="S982" s="204"/>
    </row>
    <row r="983" spans="1:19" s="61" customFormat="1" ht="15" thickBot="1">
      <c r="A983" s="221"/>
      <c r="B983" s="224"/>
      <c r="C983" s="43" t="s">
        <v>575</v>
      </c>
      <c r="D983" s="62">
        <v>4</v>
      </c>
      <c r="E983" s="33" t="str">
        <f>(MID(E982,SEARCH(":",E982)+1,2)-1) &amp; ":" &amp; (MID(E982,SEARCH(":",E982)+1,2)-D983)</f>
        <v>3:0</v>
      </c>
      <c r="F983" s="83" t="s">
        <v>540</v>
      </c>
      <c r="G983" s="83" t="s">
        <v>540</v>
      </c>
      <c r="H983" s="64" t="s">
        <v>155</v>
      </c>
      <c r="I983" s="30" t="s">
        <v>68</v>
      </c>
      <c r="J983" s="32" t="s">
        <v>36</v>
      </c>
      <c r="K983" s="33" t="s">
        <v>6</v>
      </c>
      <c r="L983" s="46"/>
      <c r="M983" s="218"/>
      <c r="N983" s="218"/>
      <c r="O983" s="218"/>
      <c r="P983" s="225"/>
      <c r="Q983" s="204"/>
      <c r="R983" s="210"/>
      <c r="S983" s="210"/>
    </row>
    <row r="984" spans="1:19" s="61" customFormat="1">
      <c r="A984" s="220" t="s">
        <v>576</v>
      </c>
      <c r="B984" s="223" t="str">
        <f t="shared" ref="B984" si="844">DEC2HEX(P984*4)</f>
        <v>3C</v>
      </c>
      <c r="C984" s="56" t="s">
        <v>383</v>
      </c>
      <c r="D984" s="129" t="str">
        <f>bitConcat(F985:F992)</f>
        <v>32'b11110111110101001011000101000111</v>
      </c>
      <c r="E984" s="130"/>
      <c r="F984" s="130"/>
      <c r="G984" s="205"/>
      <c r="H984" s="73" t="s">
        <v>384</v>
      </c>
      <c r="I984" s="74"/>
      <c r="J984" s="202" t="str">
        <f>bitConcat(G985:G992)</f>
        <v>32'b11110111111110001000000010000111</v>
      </c>
      <c r="K984" s="131"/>
      <c r="L984" s="132"/>
      <c r="M984" s="217" t="str">
        <f t="shared" ref="M984" si="845">DEC2HEX(_xlfn.BITLSHIFT(O984,7)+4*P984)</f>
        <v>33C</v>
      </c>
      <c r="N984" s="170" t="s">
        <v>385</v>
      </c>
      <c r="O984" s="170">
        <v>6</v>
      </c>
      <c r="P984" s="171">
        <v>15</v>
      </c>
      <c r="Q984" s="203" t="str">
        <f>DEC2HEX(_xlfn.BITLSHIFT(O984,5)+P984)</f>
        <v>CF</v>
      </c>
      <c r="R984" s="203" t="str">
        <f>BIN2HEX(LEFT(RIGHT(D984,32),4))&amp;BIN2HEX(LEFT(RIGHT(D984,28),4))&amp;BIN2HEX(LEFT(RIGHT(D984,24),4))&amp;BIN2HEX(LEFT(RIGHT(D984,20),4))&amp;BIN2HEX(LEFT(RIGHT(D984,16),4))&amp;BIN2HEX(LEFT(RIGHT(D984,12),4))&amp;BIN2HEX(LEFT(RIGHT(D984,8),4))&amp;BIN2HEX(LEFT(RIGHT(D984,4),4))</f>
        <v>F7D4B147</v>
      </c>
      <c r="S984" s="203" t="str">
        <f t="shared" si="814"/>
        <v>F7F88087</v>
      </c>
    </row>
    <row r="985" spans="1:19" s="61" customFormat="1">
      <c r="A985" s="221"/>
      <c r="B985" s="224"/>
      <c r="C985" s="43" t="s">
        <v>577</v>
      </c>
      <c r="D985" s="62">
        <v>4</v>
      </c>
      <c r="E985" s="70" t="str">
        <f>IF(D985&gt;1,(31)&amp;":"&amp;(31-D985+1),(31-D985+1)&amp;":"&amp;(31-D985+1))</f>
        <v>31:28</v>
      </c>
      <c r="F985" s="30" t="s">
        <v>540</v>
      </c>
      <c r="G985" s="30" t="s">
        <v>540</v>
      </c>
      <c r="H985" s="64" t="s">
        <v>541</v>
      </c>
      <c r="I985" s="30" t="s">
        <v>68</v>
      </c>
      <c r="J985" s="32" t="s">
        <v>36</v>
      </c>
      <c r="K985" s="33" t="s">
        <v>6</v>
      </c>
      <c r="L985" s="46"/>
      <c r="M985" s="218"/>
      <c r="N985" s="218"/>
      <c r="O985" s="218"/>
      <c r="P985" s="225"/>
      <c r="Q985" s="204"/>
      <c r="R985" s="204"/>
      <c r="S985" s="204"/>
    </row>
    <row r="986" spans="1:19" s="61" customFormat="1">
      <c r="A986" s="221"/>
      <c r="B986" s="224"/>
      <c r="C986" s="43" t="s">
        <v>578</v>
      </c>
      <c r="D986" s="62">
        <v>4</v>
      </c>
      <c r="E986" s="33" t="str">
        <f>(MID(E985,SEARCH(":",E985)+1,2)-1) &amp; ":" &amp; (MID(E985,SEARCH(":",E985)+1,2)-D986)</f>
        <v>27:24</v>
      </c>
      <c r="F986" s="30" t="s">
        <v>543</v>
      </c>
      <c r="G986" s="30" t="s">
        <v>543</v>
      </c>
      <c r="H986" s="65" t="s">
        <v>544</v>
      </c>
      <c r="I986" s="30" t="s">
        <v>68</v>
      </c>
      <c r="J986" s="32" t="s">
        <v>36</v>
      </c>
      <c r="K986" s="33" t="s">
        <v>6</v>
      </c>
      <c r="L986" s="46"/>
      <c r="M986" s="218"/>
      <c r="N986" s="218"/>
      <c r="O986" s="218"/>
      <c r="P986" s="225"/>
      <c r="Q986" s="204"/>
      <c r="R986" s="204"/>
      <c r="S986" s="204"/>
    </row>
    <row r="987" spans="1:19" s="61" customFormat="1">
      <c r="A987" s="221"/>
      <c r="B987" s="224"/>
      <c r="C987" s="43" t="s">
        <v>579</v>
      </c>
      <c r="D987" s="62">
        <v>4</v>
      </c>
      <c r="E987" s="33" t="str">
        <f t="shared" ref="E987:E990" si="846">(MID(E986,SEARCH(":",E986)+1,2)-1) &amp; ":" &amp; (MID(E986,SEARCH(":",E986)+1,2)-D987)</f>
        <v>23:20</v>
      </c>
      <c r="F987" s="30" t="s">
        <v>546</v>
      </c>
      <c r="G987" s="30" t="s">
        <v>540</v>
      </c>
      <c r="H987" s="65" t="s">
        <v>547</v>
      </c>
      <c r="I987" s="30" t="s">
        <v>68</v>
      </c>
      <c r="J987" s="32" t="s">
        <v>36</v>
      </c>
      <c r="K987" s="33" t="s">
        <v>6</v>
      </c>
      <c r="L987" s="46"/>
      <c r="M987" s="218"/>
      <c r="N987" s="218"/>
      <c r="O987" s="218"/>
      <c r="P987" s="225"/>
      <c r="Q987" s="204"/>
      <c r="R987" s="204"/>
      <c r="S987" s="204"/>
    </row>
    <row r="988" spans="1:19" s="61" customFormat="1">
      <c r="A988" s="221"/>
      <c r="B988" s="224"/>
      <c r="C988" s="43" t="s">
        <v>580</v>
      </c>
      <c r="D988" s="62">
        <v>4</v>
      </c>
      <c r="E988" s="33" t="str">
        <f t="shared" si="846"/>
        <v>19:16</v>
      </c>
      <c r="F988" s="30" t="s">
        <v>182</v>
      </c>
      <c r="G988" s="30" t="s">
        <v>146</v>
      </c>
      <c r="H988" s="65" t="s">
        <v>549</v>
      </c>
      <c r="I988" s="30" t="s">
        <v>68</v>
      </c>
      <c r="J988" s="32" t="s">
        <v>36</v>
      </c>
      <c r="K988" s="33" t="s">
        <v>6</v>
      </c>
      <c r="L988" s="46"/>
      <c r="M988" s="218"/>
      <c r="N988" s="218"/>
      <c r="O988" s="218"/>
      <c r="P988" s="225"/>
      <c r="Q988" s="204"/>
      <c r="R988" s="204"/>
      <c r="S988" s="204"/>
    </row>
    <row r="989" spans="1:19" s="61" customFormat="1">
      <c r="A989" s="221"/>
      <c r="B989" s="224"/>
      <c r="C989" s="43" t="s">
        <v>581</v>
      </c>
      <c r="D989" s="62">
        <v>4</v>
      </c>
      <c r="E989" s="33" t="str">
        <f t="shared" si="846"/>
        <v>15:12</v>
      </c>
      <c r="F989" s="30" t="s">
        <v>551</v>
      </c>
      <c r="G989" s="30" t="s">
        <v>146</v>
      </c>
      <c r="H989" s="64" t="s">
        <v>552</v>
      </c>
      <c r="I989" s="30" t="s">
        <v>68</v>
      </c>
      <c r="J989" s="32" t="s">
        <v>36</v>
      </c>
      <c r="K989" s="33" t="s">
        <v>6</v>
      </c>
      <c r="L989" s="46"/>
      <c r="M989" s="218"/>
      <c r="N989" s="218"/>
      <c r="O989" s="218"/>
      <c r="P989" s="225"/>
      <c r="Q989" s="204"/>
      <c r="R989" s="204"/>
      <c r="S989" s="204"/>
    </row>
    <row r="990" spans="1:19" s="61" customFormat="1">
      <c r="A990" s="221"/>
      <c r="B990" s="224"/>
      <c r="C990" s="43" t="s">
        <v>582</v>
      </c>
      <c r="D990" s="62">
        <v>4</v>
      </c>
      <c r="E990" s="33" t="str">
        <f t="shared" si="846"/>
        <v>11:8</v>
      </c>
      <c r="F990" s="30" t="s">
        <v>220</v>
      </c>
      <c r="G990" s="30" t="s">
        <v>330</v>
      </c>
      <c r="H990" s="64" t="s">
        <v>554</v>
      </c>
      <c r="I990" s="30" t="s">
        <v>68</v>
      </c>
      <c r="J990" s="32" t="s">
        <v>36</v>
      </c>
      <c r="K990" s="33" t="s">
        <v>6</v>
      </c>
      <c r="L990" s="46"/>
      <c r="M990" s="218"/>
      <c r="N990" s="218"/>
      <c r="O990" s="218"/>
      <c r="P990" s="225"/>
      <c r="Q990" s="204"/>
      <c r="R990" s="204"/>
      <c r="S990" s="204"/>
    </row>
    <row r="991" spans="1:19" s="61" customFormat="1">
      <c r="A991" s="221"/>
      <c r="B991" s="224"/>
      <c r="C991" s="63" t="s">
        <v>583</v>
      </c>
      <c r="D991" s="62">
        <v>4</v>
      </c>
      <c r="E991" s="33" t="str">
        <f>(MID(E990,SEARCH(":",E990)+1,2)-1) &amp; ":" &amp; (MID(E990,SEARCH(":",E990)+1,2)-D991)</f>
        <v>7:4</v>
      </c>
      <c r="F991" s="30" t="s">
        <v>182</v>
      </c>
      <c r="G991" s="30" t="s">
        <v>146</v>
      </c>
      <c r="H991" s="63" t="s">
        <v>556</v>
      </c>
      <c r="I991" s="30" t="s">
        <v>68</v>
      </c>
      <c r="J991" s="32" t="s">
        <v>36</v>
      </c>
      <c r="K991" s="33" t="s">
        <v>6</v>
      </c>
      <c r="L991" s="46"/>
      <c r="M991" s="218"/>
      <c r="N991" s="218"/>
      <c r="O991" s="218"/>
      <c r="P991" s="225"/>
      <c r="Q991" s="204"/>
      <c r="R991" s="204"/>
      <c r="S991" s="204"/>
    </row>
    <row r="992" spans="1:19" s="61" customFormat="1" ht="15" thickBot="1">
      <c r="A992" s="221"/>
      <c r="B992" s="224"/>
      <c r="C992" s="43" t="s">
        <v>584</v>
      </c>
      <c r="D992" s="62">
        <v>4</v>
      </c>
      <c r="E992" s="33" t="str">
        <f>(MID(E991,SEARCH(":",E991)+1,2)-1) &amp; ":" &amp; (MID(E991,SEARCH(":",E991)+1,2)-D992)</f>
        <v>3:0</v>
      </c>
      <c r="F992" s="83" t="s">
        <v>543</v>
      </c>
      <c r="G992" s="83" t="s">
        <v>543</v>
      </c>
      <c r="H992" s="64" t="s">
        <v>155</v>
      </c>
      <c r="I992" s="30" t="s">
        <v>68</v>
      </c>
      <c r="J992" s="32" t="s">
        <v>36</v>
      </c>
      <c r="K992" s="33" t="s">
        <v>6</v>
      </c>
      <c r="L992" s="46"/>
      <c r="M992" s="218"/>
      <c r="N992" s="218"/>
      <c r="O992" s="218"/>
      <c r="P992" s="225"/>
      <c r="Q992" s="204"/>
      <c r="R992" s="210"/>
      <c r="S992" s="210"/>
    </row>
    <row r="993" spans="1:19" s="61" customFormat="1" ht="15" customHeight="1">
      <c r="A993" s="229" t="s">
        <v>585</v>
      </c>
      <c r="B993" s="232" t="str">
        <f>DEC2HEX(P993*4)</f>
        <v>30</v>
      </c>
      <c r="C993" s="56" t="s">
        <v>383</v>
      </c>
      <c r="D993" s="129" t="str">
        <f>bitConcat(F994:F1001)</f>
        <v>32'b00000000000000010000100000000000</v>
      </c>
      <c r="E993" s="130"/>
      <c r="F993" s="130"/>
      <c r="G993" s="205"/>
      <c r="H993" s="73" t="s">
        <v>384</v>
      </c>
      <c r="I993" s="74"/>
      <c r="J993" s="202" t="str">
        <f>bitConcat(G994:G1001)</f>
        <v>32'b00000000000000010000000000000000</v>
      </c>
      <c r="K993" s="131"/>
      <c r="L993" s="132"/>
      <c r="M993" s="119" t="str">
        <f>DEC2HEX(_xlfn.BITLSHIFT(O993,7)+4*P993)</f>
        <v>430</v>
      </c>
      <c r="N993" s="119" t="s">
        <v>385</v>
      </c>
      <c r="O993" s="119">
        <v>8</v>
      </c>
      <c r="P993" s="121">
        <v>12</v>
      </c>
      <c r="Q993" s="121" t="str">
        <f>DEC2HEX(_xlfn.BITLSHIFT(O993,5)+P993)</f>
        <v>10C</v>
      </c>
      <c r="R993" s="203" t="str">
        <f>BIN2HEX(LEFT(RIGHT(D993,32),4))&amp;BIN2HEX(LEFT(RIGHT(D993,28),4))&amp;BIN2HEX(LEFT(RIGHT(D993,24),4))&amp;BIN2HEX(LEFT(RIGHT(D993,20),4))&amp;BIN2HEX(LEFT(RIGHT(D993,16),4))&amp;BIN2HEX(LEFT(RIGHT(D993,12),4))&amp;BIN2HEX(LEFT(RIGHT(D993,8),4))&amp;BIN2HEX(LEFT(RIGHT(D993,4),4))</f>
        <v>00010800</v>
      </c>
      <c r="S993" s="203" t="str">
        <f>BIN2HEX(LEFT(RIGHT(J993,32),4))&amp;BIN2HEX(LEFT(RIGHT(J993,28),4))&amp;BIN2HEX(LEFT(RIGHT(J993,24),4))&amp;BIN2HEX(LEFT(RIGHT(J993,20),4))&amp;BIN2HEX(LEFT(RIGHT(J993,16),4))&amp;BIN2HEX(LEFT(RIGHT(J993,12),4))&amp;BIN2HEX(LEFT(RIGHT(J993,8),4))&amp;BIN2HEX(LEFT(RIGHT(J993,4),4))</f>
        <v>00010000</v>
      </c>
    </row>
    <row r="994" spans="1:19" s="61" customFormat="1">
      <c r="A994" s="230"/>
      <c r="B994" s="233"/>
      <c r="C994" s="43" t="s">
        <v>386</v>
      </c>
      <c r="D994" s="62">
        <v>1</v>
      </c>
      <c r="E994" s="70" t="str">
        <f>IF(D994&gt;1,(31)&amp;":"&amp;(31-D994+1),(31-D994+1)&amp;":"&amp;(31-D994+1))</f>
        <v>31:31</v>
      </c>
      <c r="F994" s="30" t="s">
        <v>7</v>
      </c>
      <c r="G994" s="30" t="s">
        <v>7</v>
      </c>
      <c r="H994" s="65" t="s">
        <v>387</v>
      </c>
      <c r="I994" s="30" t="s">
        <v>68</v>
      </c>
      <c r="J994" s="32" t="s">
        <v>36</v>
      </c>
      <c r="K994" s="33" t="s">
        <v>6</v>
      </c>
      <c r="L994" s="46"/>
      <c r="M994" s="120"/>
      <c r="N994" s="120"/>
      <c r="O994" s="120"/>
      <c r="P994" s="122"/>
      <c r="Q994" s="122"/>
      <c r="R994" s="204"/>
      <c r="S994" s="204"/>
    </row>
    <row r="995" spans="1:19" s="61" customFormat="1">
      <c r="A995" s="230"/>
      <c r="B995" s="233"/>
      <c r="C995" s="43" t="s">
        <v>388</v>
      </c>
      <c r="D995" s="62">
        <v>6</v>
      </c>
      <c r="E995" s="33" t="str">
        <f>(MID(E994,SEARCH(":",E994)+1,2)-1) &amp; ":" &amp; (MID(E994,SEARCH(":",E994)+1,2)-D995)</f>
        <v>30:25</v>
      </c>
      <c r="F995" s="30" t="s">
        <v>249</v>
      </c>
      <c r="G995" s="30" t="s">
        <v>249</v>
      </c>
      <c r="H995" s="65" t="s">
        <v>389</v>
      </c>
      <c r="I995" s="30" t="s">
        <v>68</v>
      </c>
      <c r="J995" s="32" t="s">
        <v>36</v>
      </c>
      <c r="K995" s="33" t="s">
        <v>6</v>
      </c>
      <c r="L995" s="46"/>
      <c r="M995" s="120"/>
      <c r="N995" s="120"/>
      <c r="O995" s="120"/>
      <c r="P995" s="122"/>
      <c r="Q995" s="122"/>
      <c r="R995" s="204"/>
      <c r="S995" s="204"/>
    </row>
    <row r="996" spans="1:19" s="61" customFormat="1">
      <c r="A996" s="230"/>
      <c r="B996" s="233"/>
      <c r="C996" s="43" t="s">
        <v>390</v>
      </c>
      <c r="D996" s="62">
        <v>4</v>
      </c>
      <c r="E996" s="33" t="str">
        <f t="shared" ref="E996:E1001" si="847">(MID(E995,SEARCH(":",E995)+1,2)-1) &amp; ":" &amp; (MID(E995,SEARCH(":",E995)+1,2)-D996)</f>
        <v>24:21</v>
      </c>
      <c r="F996" s="30" t="s">
        <v>149</v>
      </c>
      <c r="G996" s="30" t="s">
        <v>149</v>
      </c>
      <c r="H996" s="65" t="s">
        <v>391</v>
      </c>
      <c r="I996" s="30" t="s">
        <v>68</v>
      </c>
      <c r="J996" s="32" t="s">
        <v>36</v>
      </c>
      <c r="K996" s="33" t="s">
        <v>6</v>
      </c>
      <c r="L996" s="46"/>
      <c r="M996" s="120"/>
      <c r="N996" s="120"/>
      <c r="O996" s="120"/>
      <c r="P996" s="122"/>
      <c r="Q996" s="122"/>
      <c r="R996" s="204"/>
      <c r="S996" s="204"/>
    </row>
    <row r="997" spans="1:19" s="61" customFormat="1">
      <c r="A997" s="230"/>
      <c r="B997" s="233"/>
      <c r="C997" s="43" t="s">
        <v>392</v>
      </c>
      <c r="D997" s="62">
        <v>5</v>
      </c>
      <c r="E997" s="33" t="str">
        <f t="shared" si="847"/>
        <v>20:16</v>
      </c>
      <c r="F997" s="30" t="s">
        <v>393</v>
      </c>
      <c r="G997" s="30" t="s">
        <v>393</v>
      </c>
      <c r="H997" s="65" t="s">
        <v>394</v>
      </c>
      <c r="I997" s="30" t="s">
        <v>68</v>
      </c>
      <c r="J997" s="32" t="s">
        <v>36</v>
      </c>
      <c r="K997" s="33" t="s">
        <v>6</v>
      </c>
      <c r="L997" s="46"/>
      <c r="M997" s="120"/>
      <c r="N997" s="120"/>
      <c r="O997" s="120"/>
      <c r="P997" s="122"/>
      <c r="Q997" s="122"/>
      <c r="R997" s="204"/>
      <c r="S997" s="204"/>
    </row>
    <row r="998" spans="1:19" s="61" customFormat="1">
      <c r="A998" s="230"/>
      <c r="B998" s="233"/>
      <c r="C998" s="43" t="s">
        <v>395</v>
      </c>
      <c r="D998" s="62">
        <v>3</v>
      </c>
      <c r="E998" s="33" t="str">
        <f t="shared" si="847"/>
        <v>15:13</v>
      </c>
      <c r="F998" s="30" t="s">
        <v>178</v>
      </c>
      <c r="G998" s="30" t="s">
        <v>178</v>
      </c>
      <c r="H998" s="65" t="s">
        <v>396</v>
      </c>
      <c r="I998" s="30" t="s">
        <v>68</v>
      </c>
      <c r="J998" s="32" t="s">
        <v>36</v>
      </c>
      <c r="K998" s="33" t="s">
        <v>6</v>
      </c>
      <c r="L998" s="46"/>
      <c r="M998" s="120"/>
      <c r="N998" s="120"/>
      <c r="O998" s="120"/>
      <c r="P998" s="122"/>
      <c r="Q998" s="122"/>
      <c r="R998" s="204"/>
      <c r="S998" s="204"/>
    </row>
    <row r="999" spans="1:19" s="61" customFormat="1">
      <c r="A999" s="230"/>
      <c r="B999" s="233"/>
      <c r="C999" s="43" t="s">
        <v>397</v>
      </c>
      <c r="D999" s="62">
        <v>1</v>
      </c>
      <c r="E999" s="33" t="str">
        <f t="shared" si="847"/>
        <v>12:12</v>
      </c>
      <c r="F999" s="30" t="s">
        <v>7</v>
      </c>
      <c r="G999" s="30" t="s">
        <v>7</v>
      </c>
      <c r="H999" s="75" t="s">
        <v>398</v>
      </c>
      <c r="I999" s="30" t="s">
        <v>68</v>
      </c>
      <c r="J999" s="32" t="s">
        <v>36</v>
      </c>
      <c r="K999" s="33"/>
      <c r="L999" s="46"/>
      <c r="M999" s="120"/>
      <c r="N999" s="120"/>
      <c r="O999" s="120"/>
      <c r="P999" s="122"/>
      <c r="Q999" s="122"/>
      <c r="R999" s="204"/>
      <c r="S999" s="204"/>
    </row>
    <row r="1000" spans="1:19" s="61" customFormat="1">
      <c r="A1000" s="230"/>
      <c r="B1000" s="233"/>
      <c r="C1000" s="43" t="s">
        <v>399</v>
      </c>
      <c r="D1000" s="62">
        <v>1</v>
      </c>
      <c r="E1000" s="33" t="str">
        <f t="shared" si="847"/>
        <v>11:11</v>
      </c>
      <c r="F1000" s="76" t="s">
        <v>269</v>
      </c>
      <c r="G1000" s="30" t="s">
        <v>7</v>
      </c>
      <c r="H1000" s="65" t="s">
        <v>400</v>
      </c>
      <c r="I1000" s="30" t="s">
        <v>68</v>
      </c>
      <c r="J1000" s="32" t="s">
        <v>36</v>
      </c>
      <c r="K1000" s="33" t="s">
        <v>6</v>
      </c>
      <c r="L1000" s="46"/>
      <c r="M1000" s="120"/>
      <c r="N1000" s="120"/>
      <c r="O1000" s="120"/>
      <c r="P1000" s="122"/>
      <c r="Q1000" s="122"/>
      <c r="R1000" s="204"/>
      <c r="S1000" s="204"/>
    </row>
    <row r="1001" spans="1:19" s="61" customFormat="1" ht="15" thickBot="1">
      <c r="A1001" s="231"/>
      <c r="B1001" s="234"/>
      <c r="C1001" s="43" t="s">
        <v>401</v>
      </c>
      <c r="D1001" s="62">
        <v>11</v>
      </c>
      <c r="E1001" s="33" t="str">
        <f t="shared" si="847"/>
        <v>10:0</v>
      </c>
      <c r="F1001" s="76" t="s">
        <v>946</v>
      </c>
      <c r="G1001" s="30" t="s">
        <v>402</v>
      </c>
      <c r="H1001" s="65" t="s">
        <v>403</v>
      </c>
      <c r="I1001" s="30" t="s">
        <v>68</v>
      </c>
      <c r="J1001" s="32" t="s">
        <v>36</v>
      </c>
      <c r="K1001" s="33" t="s">
        <v>6</v>
      </c>
      <c r="L1001" s="46"/>
      <c r="M1001" s="120"/>
      <c r="N1001" s="120"/>
      <c r="O1001" s="120"/>
      <c r="P1001" s="122"/>
      <c r="Q1001" s="122"/>
      <c r="R1001" s="210"/>
      <c r="S1001" s="210"/>
    </row>
    <row r="1002" spans="1:19" s="61" customFormat="1" ht="14.4" customHeight="1">
      <c r="A1002" s="235" t="s">
        <v>586</v>
      </c>
      <c r="B1002" s="232" t="str">
        <f t="shared" ref="B1002" si="848">DEC2HEX(P1002*4)</f>
        <v>3C</v>
      </c>
      <c r="C1002" s="56" t="s">
        <v>383</v>
      </c>
      <c r="D1002" s="129" t="str">
        <f>bitConcat(F1003:F1008)</f>
        <v>32'b00111111111111110000100000000000</v>
      </c>
      <c r="E1002" s="130"/>
      <c r="F1002" s="130"/>
      <c r="G1002" s="205"/>
      <c r="H1002" s="73" t="s">
        <v>384</v>
      </c>
      <c r="I1002" s="74"/>
      <c r="J1002" s="202" t="str">
        <f>bitConcat(G1003:G1008)</f>
        <v>32'b00111111111111110000001100010000</v>
      </c>
      <c r="K1002" s="131"/>
      <c r="L1002" s="132"/>
      <c r="M1002" s="119" t="str">
        <f t="shared" ref="M1002" si="849">DEC2HEX(_xlfn.BITLSHIFT(O1002,7)+4*P1002)</f>
        <v>43C</v>
      </c>
      <c r="N1002" s="120" t="s">
        <v>385</v>
      </c>
      <c r="O1002" s="120">
        <v>8</v>
      </c>
      <c r="P1002" s="122">
        <v>15</v>
      </c>
      <c r="Q1002" s="121" t="str">
        <f>DEC2HEX(_xlfn.BITLSHIFT(O1002,5)+P1002)</f>
        <v>10F</v>
      </c>
      <c r="R1002" s="203" t="str">
        <f>BIN2HEX(LEFT(RIGHT(D1002,32),4))&amp;BIN2HEX(LEFT(RIGHT(D1002,28),4))&amp;BIN2HEX(LEFT(RIGHT(D1002,24),4))&amp;BIN2HEX(LEFT(RIGHT(D1002,20),4))&amp;BIN2HEX(LEFT(RIGHT(D1002,16),4))&amp;BIN2HEX(LEFT(RIGHT(D1002,12),4))&amp;BIN2HEX(LEFT(RIGHT(D1002,8),4))&amp;BIN2HEX(LEFT(RIGHT(D1002,4),4))</f>
        <v>3FFF0800</v>
      </c>
      <c r="S1002" s="203" t="str">
        <f t="shared" ref="S1002" si="850">BIN2HEX(LEFT(RIGHT(J1002,32),4))&amp;BIN2HEX(LEFT(RIGHT(J1002,28),4))&amp;BIN2HEX(LEFT(RIGHT(J1002,24),4))&amp;BIN2HEX(LEFT(RIGHT(J1002,20),4))&amp;BIN2HEX(LEFT(RIGHT(J1002,16),4))&amp;BIN2HEX(LEFT(RIGHT(J1002,12),4))&amp;BIN2HEX(LEFT(RIGHT(J1002,8),4))&amp;BIN2HEX(LEFT(RIGHT(J1002,4),4))</f>
        <v>3FFF0310</v>
      </c>
    </row>
    <row r="1003" spans="1:19" s="61" customFormat="1" ht="15.75" customHeight="1">
      <c r="A1003" s="230"/>
      <c r="B1003" s="233"/>
      <c r="C1003" s="43" t="s">
        <v>405</v>
      </c>
      <c r="D1003" s="62">
        <v>2</v>
      </c>
      <c r="E1003" s="70" t="str">
        <f>IF(D1003&gt;1,(31)&amp;":"&amp;(31-D1003+1),(31-D1003+1)&amp;":"&amp;(31-D1003+1))</f>
        <v>31:30</v>
      </c>
      <c r="F1003" s="30" t="s">
        <v>154</v>
      </c>
      <c r="G1003" s="30" t="s">
        <v>154</v>
      </c>
      <c r="H1003" s="64" t="s">
        <v>406</v>
      </c>
      <c r="I1003" s="30" t="s">
        <v>68</v>
      </c>
      <c r="J1003" s="32" t="s">
        <v>36</v>
      </c>
      <c r="K1003" s="33" t="s">
        <v>6</v>
      </c>
      <c r="L1003" s="46"/>
      <c r="M1003" s="120"/>
      <c r="N1003" s="120"/>
      <c r="O1003" s="120"/>
      <c r="P1003" s="122"/>
      <c r="Q1003" s="122"/>
      <c r="R1003" s="204"/>
      <c r="S1003" s="204"/>
    </row>
    <row r="1004" spans="1:19" s="61" customFormat="1">
      <c r="A1004" s="230"/>
      <c r="B1004" s="233"/>
      <c r="C1004" s="43" t="s">
        <v>407</v>
      </c>
      <c r="D1004" s="62">
        <v>14</v>
      </c>
      <c r="E1004" s="33" t="str">
        <f>(MID(E1003,SEARCH(":",E1003)+1,2)-1) &amp; ":" &amp; (MID(E1003,SEARCH(":",E1003)+1,2)-D1004)</f>
        <v>29:16</v>
      </c>
      <c r="F1004" s="30" t="s">
        <v>408</v>
      </c>
      <c r="G1004" s="30" t="s">
        <v>408</v>
      </c>
      <c r="H1004" s="65" t="s">
        <v>409</v>
      </c>
      <c r="I1004" s="30" t="s">
        <v>68</v>
      </c>
      <c r="J1004" s="32" t="s">
        <v>36</v>
      </c>
      <c r="K1004" s="33" t="s">
        <v>6</v>
      </c>
      <c r="L1004" s="46"/>
      <c r="M1004" s="120"/>
      <c r="N1004" s="120"/>
      <c r="O1004" s="120"/>
      <c r="P1004" s="122"/>
      <c r="Q1004" s="122"/>
      <c r="R1004" s="204"/>
      <c r="S1004" s="204"/>
    </row>
    <row r="1005" spans="1:19" s="61" customFormat="1">
      <c r="A1005" s="230"/>
      <c r="B1005" s="233"/>
      <c r="C1005" s="43" t="s">
        <v>410</v>
      </c>
      <c r="D1005" s="62">
        <v>3</v>
      </c>
      <c r="E1005" s="33" t="str">
        <f t="shared" ref="E1005:E1008" si="851">(MID(E1004,SEARCH(":",E1004)+1,2)-1) &amp; ":" &amp; (MID(E1004,SEARCH(":",E1004)+1,2)-D1005)</f>
        <v>15:13</v>
      </c>
      <c r="F1005" s="30" t="s">
        <v>178</v>
      </c>
      <c r="G1005" s="30" t="s">
        <v>178</v>
      </c>
      <c r="H1005" s="65" t="s">
        <v>396</v>
      </c>
      <c r="I1005" s="30" t="s">
        <v>68</v>
      </c>
      <c r="J1005" s="32" t="s">
        <v>36</v>
      </c>
      <c r="K1005" s="33" t="s">
        <v>6</v>
      </c>
      <c r="L1005" s="46"/>
      <c r="M1005" s="120"/>
      <c r="N1005" s="120"/>
      <c r="O1005" s="120"/>
      <c r="P1005" s="122"/>
      <c r="Q1005" s="122"/>
      <c r="R1005" s="204"/>
      <c r="S1005" s="204"/>
    </row>
    <row r="1006" spans="1:19" s="61" customFormat="1">
      <c r="A1006" s="230"/>
      <c r="B1006" s="233"/>
      <c r="C1006" s="43" t="s">
        <v>397</v>
      </c>
      <c r="D1006" s="62">
        <v>1</v>
      </c>
      <c r="E1006" s="33" t="str">
        <f t="shared" si="851"/>
        <v>12:12</v>
      </c>
      <c r="F1006" s="30" t="s">
        <v>7</v>
      </c>
      <c r="G1006" s="30" t="s">
        <v>7</v>
      </c>
      <c r="H1006" s="75" t="s">
        <v>398</v>
      </c>
      <c r="I1006" s="30" t="s">
        <v>68</v>
      </c>
      <c r="J1006" s="32" t="s">
        <v>36</v>
      </c>
      <c r="K1006" s="33" t="s">
        <v>6</v>
      </c>
      <c r="L1006" s="46"/>
      <c r="M1006" s="120"/>
      <c r="N1006" s="120"/>
      <c r="O1006" s="120"/>
      <c r="P1006" s="122"/>
      <c r="Q1006" s="122"/>
      <c r="R1006" s="204"/>
      <c r="S1006" s="204"/>
    </row>
    <row r="1007" spans="1:19" s="61" customFormat="1">
      <c r="A1007" s="230"/>
      <c r="B1007" s="233"/>
      <c r="C1007" s="43" t="s">
        <v>412</v>
      </c>
      <c r="D1007" s="62">
        <v>1</v>
      </c>
      <c r="E1007" s="33" t="str">
        <f t="shared" si="851"/>
        <v>11:11</v>
      </c>
      <c r="F1007" s="76" t="s">
        <v>269</v>
      </c>
      <c r="G1007" s="30" t="s">
        <v>7</v>
      </c>
      <c r="H1007" s="65" t="s">
        <v>400</v>
      </c>
      <c r="I1007" s="30" t="s">
        <v>68</v>
      </c>
      <c r="J1007" s="32" t="s">
        <v>36</v>
      </c>
      <c r="K1007" s="33" t="s">
        <v>6</v>
      </c>
      <c r="L1007" s="46"/>
      <c r="M1007" s="120"/>
      <c r="N1007" s="120"/>
      <c r="O1007" s="120"/>
      <c r="P1007" s="122"/>
      <c r="Q1007" s="122"/>
      <c r="R1007" s="204"/>
      <c r="S1007" s="204"/>
    </row>
    <row r="1008" spans="1:19" s="61" customFormat="1" ht="15" thickBot="1">
      <c r="A1008" s="230"/>
      <c r="B1008" s="233"/>
      <c r="C1008" s="43" t="s">
        <v>413</v>
      </c>
      <c r="D1008" s="62">
        <v>11</v>
      </c>
      <c r="E1008" s="33" t="str">
        <f t="shared" si="851"/>
        <v>10:0</v>
      </c>
      <c r="F1008" s="76" t="s">
        <v>946</v>
      </c>
      <c r="G1008" s="30" t="s">
        <v>414</v>
      </c>
      <c r="H1008" s="65" t="s">
        <v>403</v>
      </c>
      <c r="I1008" s="30" t="s">
        <v>68</v>
      </c>
      <c r="J1008" s="32" t="s">
        <v>36</v>
      </c>
      <c r="K1008" s="33" t="s">
        <v>6</v>
      </c>
      <c r="L1008" s="46"/>
      <c r="M1008" s="120"/>
      <c r="N1008" s="120"/>
      <c r="O1008" s="120"/>
      <c r="P1008" s="122"/>
      <c r="Q1008" s="122"/>
      <c r="R1008" s="204"/>
      <c r="S1008" s="204"/>
    </row>
    <row r="1009" spans="1:19" s="61" customFormat="1" ht="14.4" customHeight="1">
      <c r="A1009" s="236" t="s">
        <v>587</v>
      </c>
      <c r="B1009" s="237" t="str">
        <f t="shared" ref="B1009" si="852">DEC2HEX(P1009*4)</f>
        <v>34</v>
      </c>
      <c r="C1009" s="56" t="s">
        <v>383</v>
      </c>
      <c r="D1009" s="129" t="str">
        <f>bitConcat(F1010:F1018)</f>
        <v>32'b00011100000011100000100000000000</v>
      </c>
      <c r="E1009" s="130"/>
      <c r="F1009" s="130"/>
      <c r="G1009" s="205"/>
      <c r="H1009" s="73" t="s">
        <v>384</v>
      </c>
      <c r="I1009" s="74"/>
      <c r="J1009" s="202" t="str">
        <f>bitConcat(G1010:G1018)</f>
        <v>32'b00011100000011100000001100010000</v>
      </c>
      <c r="K1009" s="131"/>
      <c r="L1009" s="132"/>
      <c r="M1009" s="119" t="str">
        <f t="shared" ref="M1009" si="853">DEC2HEX(_xlfn.BITLSHIFT(O1009,7)+4*P1009)</f>
        <v>434</v>
      </c>
      <c r="N1009" s="120" t="s">
        <v>385</v>
      </c>
      <c r="O1009" s="120">
        <v>8</v>
      </c>
      <c r="P1009" s="122">
        <v>13</v>
      </c>
      <c r="Q1009" s="121" t="str">
        <f>DEC2HEX(_xlfn.BITLSHIFT(O1009,5)+P1009)</f>
        <v>10D</v>
      </c>
      <c r="R1009" s="203" t="str">
        <f>BIN2HEX(LEFT(RIGHT(D1009,32),4))&amp;BIN2HEX(LEFT(RIGHT(D1009,28),4))&amp;BIN2HEX(LEFT(RIGHT(D1009,24),4))&amp;BIN2HEX(LEFT(RIGHT(D1009,20),4))&amp;BIN2HEX(LEFT(RIGHT(D1009,16),4))&amp;BIN2HEX(LEFT(RIGHT(D1009,12),4))&amp;BIN2HEX(LEFT(RIGHT(D1009,8),4))&amp;BIN2HEX(LEFT(RIGHT(D1009,4),4))</f>
        <v>1C0E0800</v>
      </c>
      <c r="S1009" s="203" t="str">
        <f t="shared" ref="S1009" si="854">BIN2HEX(LEFT(RIGHT(J1009,32),4))&amp;BIN2HEX(LEFT(RIGHT(J1009,28),4))&amp;BIN2HEX(LEFT(RIGHT(J1009,24),4))&amp;BIN2HEX(LEFT(RIGHT(J1009,20),4))&amp;BIN2HEX(LEFT(RIGHT(J1009,16),4))&amp;BIN2HEX(LEFT(RIGHT(J1009,12),4))&amp;BIN2HEX(LEFT(RIGHT(J1009,8),4))&amp;BIN2HEX(LEFT(RIGHT(J1009,4),4))</f>
        <v>1C0E0310</v>
      </c>
    </row>
    <row r="1010" spans="1:19" s="61" customFormat="1" ht="14.4" customHeight="1">
      <c r="A1010" s="236"/>
      <c r="B1010" s="238"/>
      <c r="C1010" s="43" t="s">
        <v>416</v>
      </c>
      <c r="D1010" s="62">
        <v>2</v>
      </c>
      <c r="E1010" s="70" t="str">
        <f>IF(D1010&gt;1,(31)&amp;":"&amp;(31-D1010+1),(31-D1010+1)&amp;":"&amp;(31-D1010+1))</f>
        <v>31:30</v>
      </c>
      <c r="F1010" s="30" t="s">
        <v>154</v>
      </c>
      <c r="G1010" s="30" t="s">
        <v>154</v>
      </c>
      <c r="H1010" s="64" t="s">
        <v>406</v>
      </c>
      <c r="I1010" s="30" t="s">
        <v>68</v>
      </c>
      <c r="J1010" s="32" t="s">
        <v>36</v>
      </c>
      <c r="K1010" s="33" t="s">
        <v>6</v>
      </c>
      <c r="L1010" s="46"/>
      <c r="M1010" s="120"/>
      <c r="N1010" s="120"/>
      <c r="O1010" s="120"/>
      <c r="P1010" s="122"/>
      <c r="Q1010" s="122"/>
      <c r="R1010" s="204"/>
      <c r="S1010" s="204"/>
    </row>
    <row r="1011" spans="1:19" s="61" customFormat="1">
      <c r="A1011" s="236"/>
      <c r="B1011" s="238"/>
      <c r="C1011" s="43" t="s">
        <v>417</v>
      </c>
      <c r="D1011" s="62">
        <v>1</v>
      </c>
      <c r="E1011" s="33" t="str">
        <f t="shared" ref="E1011" si="855">(MID(E1010,SEARCH(":",E1010)+1,2)-1) &amp; ":" &amp; (MID(E1010,SEARCH(":",E1010)+1,2)-D1011)</f>
        <v>29:29</v>
      </c>
      <c r="F1011" s="30" t="s">
        <v>7</v>
      </c>
      <c r="G1011" s="30" t="s">
        <v>7</v>
      </c>
      <c r="H1011" s="65" t="s">
        <v>418</v>
      </c>
      <c r="I1011" s="30" t="s">
        <v>68</v>
      </c>
      <c r="J1011" s="32" t="s">
        <v>36</v>
      </c>
      <c r="K1011" s="33" t="s">
        <v>6</v>
      </c>
      <c r="L1011" s="46"/>
      <c r="M1011" s="120"/>
      <c r="N1011" s="120"/>
      <c r="O1011" s="120"/>
      <c r="P1011" s="122"/>
      <c r="Q1011" s="122"/>
      <c r="R1011" s="204"/>
      <c r="S1011" s="204"/>
    </row>
    <row r="1012" spans="1:19" s="61" customFormat="1">
      <c r="A1012" s="236"/>
      <c r="B1012" s="238"/>
      <c r="C1012" s="43" t="s">
        <v>419</v>
      </c>
      <c r="D1012" s="62">
        <v>6</v>
      </c>
      <c r="E1012" s="33" t="str">
        <f>(MID(E1011,SEARCH(":",E1011)+1,2)-1) &amp; ":" &amp; (MID(E1011,SEARCH(":",E1011)+1,2)-D1012)</f>
        <v>28:23</v>
      </c>
      <c r="F1012" s="30" t="s">
        <v>420</v>
      </c>
      <c r="G1012" s="30" t="s">
        <v>420</v>
      </c>
      <c r="H1012" s="65" t="s">
        <v>421</v>
      </c>
      <c r="I1012" s="30" t="s">
        <v>68</v>
      </c>
      <c r="J1012" s="32" t="s">
        <v>36</v>
      </c>
      <c r="K1012" s="33" t="s">
        <v>6</v>
      </c>
      <c r="L1012" s="46"/>
      <c r="M1012" s="120"/>
      <c r="N1012" s="120"/>
      <c r="O1012" s="120"/>
      <c r="P1012" s="122"/>
      <c r="Q1012" s="122"/>
      <c r="R1012" s="204"/>
      <c r="S1012" s="204"/>
    </row>
    <row r="1013" spans="1:19" s="61" customFormat="1" ht="15.75" customHeight="1">
      <c r="A1013" s="236"/>
      <c r="B1013" s="238"/>
      <c r="C1013" s="43" t="s">
        <v>422</v>
      </c>
      <c r="D1013" s="62">
        <v>6</v>
      </c>
      <c r="E1013" s="33" t="str">
        <f t="shared" ref="E1013:E1018" si="856">(MID(E1012,SEARCH(":",E1012)+1,2)-1) &amp; ":" &amp; (MID(E1012,SEARCH(":",E1012)+1,2)-D1013)</f>
        <v>22:17</v>
      </c>
      <c r="F1013" s="30" t="s">
        <v>423</v>
      </c>
      <c r="G1013" s="30" t="s">
        <v>423</v>
      </c>
      <c r="H1013" s="64" t="s">
        <v>421</v>
      </c>
      <c r="I1013" s="30" t="s">
        <v>68</v>
      </c>
      <c r="J1013" s="32" t="s">
        <v>36</v>
      </c>
      <c r="K1013" s="33" t="s">
        <v>6</v>
      </c>
      <c r="L1013" s="46"/>
      <c r="M1013" s="120"/>
      <c r="N1013" s="120"/>
      <c r="O1013" s="120"/>
      <c r="P1013" s="122"/>
      <c r="Q1013" s="122"/>
      <c r="R1013" s="204"/>
      <c r="S1013" s="204"/>
    </row>
    <row r="1014" spans="1:19" s="61" customFormat="1" ht="15.75" customHeight="1">
      <c r="A1014" s="236"/>
      <c r="B1014" s="238"/>
      <c r="C1014" s="43" t="s">
        <v>424</v>
      </c>
      <c r="D1014" s="62">
        <v>1</v>
      </c>
      <c r="E1014" s="33" t="str">
        <f t="shared" si="856"/>
        <v>16:16</v>
      </c>
      <c r="F1014" s="30" t="s">
        <v>7</v>
      </c>
      <c r="G1014" s="30" t="s">
        <v>7</v>
      </c>
      <c r="H1014" s="64" t="s">
        <v>425</v>
      </c>
      <c r="I1014" s="30" t="s">
        <v>68</v>
      </c>
      <c r="J1014" s="32" t="s">
        <v>36</v>
      </c>
      <c r="K1014" s="33" t="s">
        <v>6</v>
      </c>
      <c r="L1014" s="46"/>
      <c r="M1014" s="120"/>
      <c r="N1014" s="120"/>
      <c r="O1014" s="120"/>
      <c r="P1014" s="122"/>
      <c r="Q1014" s="122"/>
      <c r="R1014" s="204"/>
      <c r="S1014" s="204"/>
    </row>
    <row r="1015" spans="1:19" s="61" customFormat="1">
      <c r="A1015" s="236"/>
      <c r="B1015" s="238"/>
      <c r="C1015" s="43" t="s">
        <v>426</v>
      </c>
      <c r="D1015" s="62">
        <v>3</v>
      </c>
      <c r="E1015" s="33" t="str">
        <f t="shared" si="856"/>
        <v>15:13</v>
      </c>
      <c r="F1015" s="30" t="s">
        <v>178</v>
      </c>
      <c r="G1015" s="30" t="s">
        <v>178</v>
      </c>
      <c r="H1015" s="65" t="s">
        <v>396</v>
      </c>
      <c r="I1015" s="30" t="s">
        <v>68</v>
      </c>
      <c r="J1015" s="32" t="s">
        <v>36</v>
      </c>
      <c r="K1015" s="33" t="s">
        <v>6</v>
      </c>
      <c r="L1015" s="46"/>
      <c r="M1015" s="120"/>
      <c r="N1015" s="120"/>
      <c r="O1015" s="120"/>
      <c r="P1015" s="122"/>
      <c r="Q1015" s="122"/>
      <c r="R1015" s="204"/>
      <c r="S1015" s="204"/>
    </row>
    <row r="1016" spans="1:19" s="61" customFormat="1">
      <c r="A1016" s="236"/>
      <c r="B1016" s="238"/>
      <c r="C1016" s="43" t="s">
        <v>397</v>
      </c>
      <c r="D1016" s="62">
        <v>1</v>
      </c>
      <c r="E1016" s="33" t="str">
        <f t="shared" si="856"/>
        <v>12:12</v>
      </c>
      <c r="F1016" s="30" t="s">
        <v>7</v>
      </c>
      <c r="G1016" s="30" t="s">
        <v>7</v>
      </c>
      <c r="H1016" s="75" t="s">
        <v>398</v>
      </c>
      <c r="I1016" s="30" t="s">
        <v>68</v>
      </c>
      <c r="J1016" s="32" t="s">
        <v>36</v>
      </c>
      <c r="K1016" s="33" t="s">
        <v>6</v>
      </c>
      <c r="L1016" s="46"/>
      <c r="M1016" s="120"/>
      <c r="N1016" s="120"/>
      <c r="O1016" s="120"/>
      <c r="P1016" s="122"/>
      <c r="Q1016" s="122"/>
      <c r="R1016" s="204"/>
      <c r="S1016" s="204"/>
    </row>
    <row r="1017" spans="1:19" s="61" customFormat="1">
      <c r="A1017" s="236"/>
      <c r="B1017" s="238"/>
      <c r="C1017" s="43" t="s">
        <v>428</v>
      </c>
      <c r="D1017" s="62">
        <v>1</v>
      </c>
      <c r="E1017" s="33" t="str">
        <f t="shared" si="856"/>
        <v>11:11</v>
      </c>
      <c r="F1017" s="76" t="s">
        <v>269</v>
      </c>
      <c r="G1017" s="30" t="s">
        <v>7</v>
      </c>
      <c r="H1017" s="65" t="s">
        <v>400</v>
      </c>
      <c r="I1017" s="30" t="s">
        <v>68</v>
      </c>
      <c r="J1017" s="32" t="s">
        <v>36</v>
      </c>
      <c r="K1017" s="33" t="s">
        <v>6</v>
      </c>
      <c r="L1017" s="46"/>
      <c r="M1017" s="120"/>
      <c r="N1017" s="120"/>
      <c r="O1017" s="120"/>
      <c r="P1017" s="122"/>
      <c r="Q1017" s="122"/>
      <c r="R1017" s="204"/>
      <c r="S1017" s="204"/>
    </row>
    <row r="1018" spans="1:19" s="61" customFormat="1" ht="15" thickBot="1">
      <c r="A1018" s="236"/>
      <c r="B1018" s="238"/>
      <c r="C1018" s="43" t="s">
        <v>429</v>
      </c>
      <c r="D1018" s="62">
        <v>11</v>
      </c>
      <c r="E1018" s="33" t="str">
        <f t="shared" si="856"/>
        <v>10:0</v>
      </c>
      <c r="F1018" s="76" t="s">
        <v>946</v>
      </c>
      <c r="G1018" s="30" t="s">
        <v>414</v>
      </c>
      <c r="H1018" s="65" t="s">
        <v>403</v>
      </c>
      <c r="I1018" s="30" t="s">
        <v>68</v>
      </c>
      <c r="J1018" s="32" t="s">
        <v>36</v>
      </c>
      <c r="K1018" s="33" t="s">
        <v>6</v>
      </c>
      <c r="L1018" s="46"/>
      <c r="M1018" s="120"/>
      <c r="N1018" s="120"/>
      <c r="O1018" s="120"/>
      <c r="P1018" s="122"/>
      <c r="Q1018" s="122"/>
      <c r="R1018" s="204"/>
      <c r="S1018" s="204"/>
    </row>
    <row r="1019" spans="1:19" s="61" customFormat="1" ht="15.75" customHeight="1">
      <c r="A1019" s="236" t="s">
        <v>588</v>
      </c>
      <c r="B1019" s="237" t="str">
        <f t="shared" ref="B1019" si="857">DEC2HEX(P1019*4)</f>
        <v>38</v>
      </c>
      <c r="C1019" s="56" t="s">
        <v>383</v>
      </c>
      <c r="D1019" s="129" t="str">
        <f>bitConcat(F1020:F1028)</f>
        <v>32'b00000000000000100000100000000000</v>
      </c>
      <c r="E1019" s="130"/>
      <c r="F1019" s="130"/>
      <c r="G1019" s="205"/>
      <c r="H1019" s="73" t="s">
        <v>384</v>
      </c>
      <c r="I1019" s="74"/>
      <c r="J1019" s="202" t="str">
        <f>bitConcat(G1020:G1028)</f>
        <v>32'b00000000000011000000001100010000</v>
      </c>
      <c r="K1019" s="131"/>
      <c r="L1019" s="132"/>
      <c r="M1019" s="119" t="str">
        <f t="shared" ref="M1019" si="858">DEC2HEX(_xlfn.BITLSHIFT(O1019,7)+4*P1019)</f>
        <v>438</v>
      </c>
      <c r="N1019" s="120" t="s">
        <v>385</v>
      </c>
      <c r="O1019" s="120">
        <v>8</v>
      </c>
      <c r="P1019" s="122">
        <v>14</v>
      </c>
      <c r="Q1019" s="121" t="str">
        <f>DEC2HEX(_xlfn.BITLSHIFT(O1019,5)+P1019)</f>
        <v>10E</v>
      </c>
      <c r="R1019" s="203" t="str">
        <f>BIN2HEX(LEFT(RIGHT(D1019,32),4))&amp;BIN2HEX(LEFT(RIGHT(D1019,28),4))&amp;BIN2HEX(LEFT(RIGHT(D1019,24),4))&amp;BIN2HEX(LEFT(RIGHT(D1019,20),4))&amp;BIN2HEX(LEFT(RIGHT(D1019,16),4))&amp;BIN2HEX(LEFT(RIGHT(D1019,12),4))&amp;BIN2HEX(LEFT(RIGHT(D1019,8),4))&amp;BIN2HEX(LEFT(RIGHT(D1019,4),4))</f>
        <v>00020800</v>
      </c>
      <c r="S1019" s="203" t="str">
        <f t="shared" ref="S1019" si="859">BIN2HEX(LEFT(RIGHT(J1019,32),4))&amp;BIN2HEX(LEFT(RIGHT(J1019,28),4))&amp;BIN2HEX(LEFT(RIGHT(J1019,24),4))&amp;BIN2HEX(LEFT(RIGHT(J1019,20),4))&amp;BIN2HEX(LEFT(RIGHT(J1019,16),4))&amp;BIN2HEX(LEFT(RIGHT(J1019,12),4))&amp;BIN2HEX(LEFT(RIGHT(J1019,8),4))&amp;BIN2HEX(LEFT(RIGHT(J1019,4),4))</f>
        <v>000C0310</v>
      </c>
    </row>
    <row r="1020" spans="1:19" s="61" customFormat="1">
      <c r="A1020" s="236"/>
      <c r="B1020" s="238"/>
      <c r="C1020" s="43" t="s">
        <v>431</v>
      </c>
      <c r="D1020" s="62">
        <v>6</v>
      </c>
      <c r="E1020" s="70" t="str">
        <f>IF(D1020&gt;1,(31)&amp;":"&amp;(31-D1020+1),(31-D1020+1)&amp;":"&amp;(31-D1020+1))</f>
        <v>31:26</v>
      </c>
      <c r="F1020" s="30" t="s">
        <v>249</v>
      </c>
      <c r="G1020" s="30" t="s">
        <v>249</v>
      </c>
      <c r="H1020" s="64" t="s">
        <v>432</v>
      </c>
      <c r="I1020" s="30" t="s">
        <v>68</v>
      </c>
      <c r="J1020" s="32" t="s">
        <v>36</v>
      </c>
      <c r="K1020" s="33" t="s">
        <v>6</v>
      </c>
      <c r="L1020" s="46"/>
      <c r="M1020" s="120"/>
      <c r="N1020" s="120"/>
      <c r="O1020" s="120"/>
      <c r="P1020" s="122"/>
      <c r="Q1020" s="122"/>
      <c r="R1020" s="204"/>
      <c r="S1020" s="204"/>
    </row>
    <row r="1021" spans="1:19" s="61" customFormat="1">
      <c r="A1021" s="236"/>
      <c r="B1021" s="238"/>
      <c r="C1021" s="43" t="s">
        <v>433</v>
      </c>
      <c r="D1021" s="62">
        <v>5</v>
      </c>
      <c r="E1021" s="33" t="str">
        <f t="shared" ref="E1021:E1028" si="860">(MID(E1020,SEARCH(":",E1020)+1,2)-1) &amp; ":" &amp; (MID(E1020,SEARCH(":",E1020)+1,2)-D1021)</f>
        <v>25:21</v>
      </c>
      <c r="F1021" s="30" t="s">
        <v>434</v>
      </c>
      <c r="G1021" s="30" t="s">
        <v>434</v>
      </c>
      <c r="H1021" s="64" t="s">
        <v>435</v>
      </c>
      <c r="I1021" s="30" t="s">
        <v>68</v>
      </c>
      <c r="J1021" s="32" t="s">
        <v>36</v>
      </c>
      <c r="K1021" s="33" t="s">
        <v>6</v>
      </c>
      <c r="L1021" s="46"/>
      <c r="M1021" s="120"/>
      <c r="N1021" s="120"/>
      <c r="O1021" s="120"/>
      <c r="P1021" s="122"/>
      <c r="Q1021" s="122"/>
      <c r="R1021" s="204"/>
      <c r="S1021" s="204"/>
    </row>
    <row r="1022" spans="1:19" s="61" customFormat="1">
      <c r="A1022" s="236"/>
      <c r="B1022" s="238"/>
      <c r="C1022" s="43" t="s">
        <v>436</v>
      </c>
      <c r="D1022" s="62">
        <v>1</v>
      </c>
      <c r="E1022" s="33" t="str">
        <f t="shared" si="860"/>
        <v>20:20</v>
      </c>
      <c r="F1022" s="30" t="s">
        <v>7</v>
      </c>
      <c r="G1022" s="30" t="s">
        <v>7</v>
      </c>
      <c r="H1022" s="65" t="s">
        <v>437</v>
      </c>
      <c r="I1022" s="30" t="s">
        <v>68</v>
      </c>
      <c r="J1022" s="32" t="s">
        <v>36</v>
      </c>
      <c r="K1022" s="33" t="s">
        <v>6</v>
      </c>
      <c r="L1022" s="46"/>
      <c r="M1022" s="120"/>
      <c r="N1022" s="120"/>
      <c r="O1022" s="120"/>
      <c r="P1022" s="122"/>
      <c r="Q1022" s="122"/>
      <c r="R1022" s="204"/>
      <c r="S1022" s="204"/>
    </row>
    <row r="1023" spans="1:19" s="61" customFormat="1">
      <c r="A1023" s="236"/>
      <c r="B1023" s="238"/>
      <c r="C1023" s="43" t="s">
        <v>438</v>
      </c>
      <c r="D1023" s="62">
        <v>2</v>
      </c>
      <c r="E1023" s="33" t="str">
        <f t="shared" si="860"/>
        <v>19:18</v>
      </c>
      <c r="F1023" s="76" t="s">
        <v>154</v>
      </c>
      <c r="G1023" s="30" t="s">
        <v>257</v>
      </c>
      <c r="H1023" s="65" t="s">
        <v>439</v>
      </c>
      <c r="I1023" s="30" t="s">
        <v>68</v>
      </c>
      <c r="J1023" s="32" t="s">
        <v>36</v>
      </c>
      <c r="K1023" s="33" t="s">
        <v>6</v>
      </c>
      <c r="L1023" s="46"/>
      <c r="M1023" s="120"/>
      <c r="N1023" s="120"/>
      <c r="O1023" s="120"/>
      <c r="P1023" s="122"/>
      <c r="Q1023" s="122"/>
      <c r="R1023" s="204"/>
      <c r="S1023" s="204"/>
    </row>
    <row r="1024" spans="1:19" s="61" customFormat="1">
      <c r="A1024" s="236"/>
      <c r="B1024" s="238"/>
      <c r="C1024" s="43" t="s">
        <v>440</v>
      </c>
      <c r="D1024" s="62">
        <v>2</v>
      </c>
      <c r="E1024" s="33" t="str">
        <f t="shared" si="860"/>
        <v>17:16</v>
      </c>
      <c r="F1024" s="76" t="s">
        <v>945</v>
      </c>
      <c r="G1024" s="30" t="s">
        <v>154</v>
      </c>
      <c r="H1024" s="65" t="s">
        <v>441</v>
      </c>
      <c r="I1024" s="30" t="s">
        <v>68</v>
      </c>
      <c r="J1024" s="32" t="s">
        <v>36</v>
      </c>
      <c r="K1024" s="33" t="s">
        <v>6</v>
      </c>
      <c r="L1024" s="46"/>
      <c r="M1024" s="120"/>
      <c r="N1024" s="120"/>
      <c r="O1024" s="120"/>
      <c r="P1024" s="122"/>
      <c r="Q1024" s="122"/>
      <c r="R1024" s="204"/>
      <c r="S1024" s="204"/>
    </row>
    <row r="1025" spans="1:19" s="61" customFormat="1" ht="15.75" customHeight="1">
      <c r="A1025" s="236"/>
      <c r="B1025" s="238"/>
      <c r="C1025" s="43" t="s">
        <v>442</v>
      </c>
      <c r="D1025" s="62">
        <v>3</v>
      </c>
      <c r="E1025" s="33" t="str">
        <f t="shared" si="860"/>
        <v>15:13</v>
      </c>
      <c r="F1025" s="30" t="s">
        <v>178</v>
      </c>
      <c r="G1025" s="30" t="s">
        <v>178</v>
      </c>
      <c r="H1025" s="65" t="s">
        <v>396</v>
      </c>
      <c r="I1025" s="30" t="s">
        <v>68</v>
      </c>
      <c r="J1025" s="32" t="s">
        <v>36</v>
      </c>
      <c r="K1025" s="33" t="s">
        <v>6</v>
      </c>
      <c r="L1025" s="46"/>
      <c r="M1025" s="120"/>
      <c r="N1025" s="120"/>
      <c r="O1025" s="120"/>
      <c r="P1025" s="122"/>
      <c r="Q1025" s="122"/>
      <c r="R1025" s="204"/>
      <c r="S1025" s="204"/>
    </row>
    <row r="1026" spans="1:19" s="61" customFormat="1">
      <c r="A1026" s="236"/>
      <c r="B1026" s="238"/>
      <c r="C1026" s="43" t="s">
        <v>397</v>
      </c>
      <c r="D1026" s="62">
        <v>1</v>
      </c>
      <c r="E1026" s="33" t="str">
        <f t="shared" si="860"/>
        <v>12:12</v>
      </c>
      <c r="F1026" s="30" t="s">
        <v>7</v>
      </c>
      <c r="G1026" s="30" t="s">
        <v>7</v>
      </c>
      <c r="H1026" s="75" t="s">
        <v>398</v>
      </c>
      <c r="I1026" s="30" t="s">
        <v>68</v>
      </c>
      <c r="J1026" s="32" t="s">
        <v>36</v>
      </c>
      <c r="K1026" s="33" t="s">
        <v>6</v>
      </c>
      <c r="L1026" s="46"/>
      <c r="M1026" s="120"/>
      <c r="N1026" s="120"/>
      <c r="O1026" s="120"/>
      <c r="P1026" s="122"/>
      <c r="Q1026" s="122"/>
      <c r="R1026" s="204"/>
      <c r="S1026" s="204"/>
    </row>
    <row r="1027" spans="1:19" s="61" customFormat="1">
      <c r="A1027" s="236"/>
      <c r="B1027" s="238"/>
      <c r="C1027" s="43" t="s">
        <v>444</v>
      </c>
      <c r="D1027" s="62">
        <v>1</v>
      </c>
      <c r="E1027" s="33" t="str">
        <f t="shared" si="860"/>
        <v>11:11</v>
      </c>
      <c r="F1027" s="76" t="s">
        <v>269</v>
      </c>
      <c r="G1027" s="30" t="s">
        <v>7</v>
      </c>
      <c r="H1027" s="65" t="s">
        <v>400</v>
      </c>
      <c r="I1027" s="30" t="s">
        <v>68</v>
      </c>
      <c r="J1027" s="32" t="s">
        <v>36</v>
      </c>
      <c r="K1027" s="33" t="s">
        <v>6</v>
      </c>
      <c r="L1027" s="46"/>
      <c r="M1027" s="120"/>
      <c r="N1027" s="120"/>
      <c r="O1027" s="120"/>
      <c r="P1027" s="122"/>
      <c r="Q1027" s="122"/>
      <c r="R1027" s="204"/>
      <c r="S1027" s="204"/>
    </row>
    <row r="1028" spans="1:19" s="61" customFormat="1" ht="15.75" customHeight="1" thickBot="1">
      <c r="A1028" s="236"/>
      <c r="B1028" s="238"/>
      <c r="C1028" s="43" t="s">
        <v>445</v>
      </c>
      <c r="D1028" s="62">
        <v>11</v>
      </c>
      <c r="E1028" s="33" t="str">
        <f t="shared" si="860"/>
        <v>10:0</v>
      </c>
      <c r="F1028" s="76" t="s">
        <v>946</v>
      </c>
      <c r="G1028" s="30" t="s">
        <v>414</v>
      </c>
      <c r="H1028" s="65" t="s">
        <v>403</v>
      </c>
      <c r="I1028" s="30" t="s">
        <v>68</v>
      </c>
      <c r="J1028" s="32" t="s">
        <v>36</v>
      </c>
      <c r="K1028" s="33" t="s">
        <v>6</v>
      </c>
      <c r="L1028" s="46"/>
      <c r="M1028" s="120"/>
      <c r="N1028" s="120"/>
      <c r="O1028" s="120"/>
      <c r="P1028" s="122"/>
      <c r="Q1028" s="122"/>
      <c r="R1028" s="204"/>
      <c r="S1028" s="204"/>
    </row>
    <row r="1029" spans="1:19" s="61" customFormat="1">
      <c r="A1029" s="239" t="s">
        <v>589</v>
      </c>
      <c r="B1029" s="241" t="str">
        <f t="shared" ref="B1029" si="861">DEC2HEX(P1029*4)</f>
        <v>40</v>
      </c>
      <c r="C1029" s="56" t="s">
        <v>383</v>
      </c>
      <c r="D1029" s="129" t="str">
        <f>bitConcat(F1030:F1033)</f>
        <v>32'b00000000000000000000000000000000</v>
      </c>
      <c r="E1029" s="130"/>
      <c r="F1029" s="130"/>
      <c r="G1029" s="205"/>
      <c r="H1029" s="73" t="s">
        <v>384</v>
      </c>
      <c r="I1029" s="74"/>
      <c r="J1029" s="202" t="str">
        <f>bitConcat(G1030:G1033)</f>
        <v>32'b00000000000000000000000000000000</v>
      </c>
      <c r="K1029" s="131"/>
      <c r="L1029" s="132"/>
      <c r="M1029" s="119" t="str">
        <f t="shared" ref="M1029" si="862">DEC2HEX(_xlfn.BITLSHIFT(O1029,7)+4*P1029)</f>
        <v>340</v>
      </c>
      <c r="N1029" s="119" t="s">
        <v>385</v>
      </c>
      <c r="O1029" s="119">
        <v>6</v>
      </c>
      <c r="P1029" s="121">
        <v>16</v>
      </c>
      <c r="Q1029" s="121" t="str">
        <f>DEC2HEX(_xlfn.BITLSHIFT(O1029,5)+P1029)</f>
        <v>D0</v>
      </c>
      <c r="R1029" s="203" t="str">
        <f>BIN2HEX(LEFT(RIGHT(D1029,32),4))&amp;BIN2HEX(LEFT(RIGHT(D1029,28),4))&amp;BIN2HEX(LEFT(RIGHT(D1029,24),4))&amp;BIN2HEX(LEFT(RIGHT(D1029,20),4))&amp;BIN2HEX(LEFT(RIGHT(D1029,16),4))&amp;BIN2HEX(LEFT(RIGHT(D1029,12),4))&amp;BIN2HEX(LEFT(RIGHT(D1029,8),4))&amp;BIN2HEX(LEFT(RIGHT(D1029,4),4))</f>
        <v>00000000</v>
      </c>
      <c r="S1029" s="203" t="str">
        <f t="shared" ref="S1029" si="863">BIN2HEX(LEFT(RIGHT(J1029,32),4))&amp;BIN2HEX(LEFT(RIGHT(J1029,28),4))&amp;BIN2HEX(LEFT(RIGHT(J1029,24),4))&amp;BIN2HEX(LEFT(RIGHT(J1029,20),4))&amp;BIN2HEX(LEFT(RIGHT(J1029,16),4))&amp;BIN2HEX(LEFT(RIGHT(J1029,12),4))&amp;BIN2HEX(LEFT(RIGHT(J1029,8),4))&amp;BIN2HEX(LEFT(RIGHT(J1029,4),4))</f>
        <v>00000000</v>
      </c>
    </row>
    <row r="1030" spans="1:19" s="61" customFormat="1">
      <c r="A1030" s="240"/>
      <c r="B1030" s="242"/>
      <c r="C1030" s="43" t="s">
        <v>447</v>
      </c>
      <c r="D1030" s="62">
        <v>8</v>
      </c>
      <c r="E1030" s="70" t="str">
        <f>IF(D1030&gt;1,(31)&amp;":"&amp;(31-D1030+1),(31-D1030+1)&amp;":"&amp;(31-D1030+1))</f>
        <v>31:24</v>
      </c>
      <c r="F1030" s="30" t="s">
        <v>133</v>
      </c>
      <c r="G1030" s="30" t="s">
        <v>133</v>
      </c>
      <c r="H1030" s="64" t="s">
        <v>448</v>
      </c>
      <c r="I1030" s="30" t="s">
        <v>68</v>
      </c>
      <c r="J1030" s="32" t="s">
        <v>36</v>
      </c>
      <c r="K1030" s="33" t="s">
        <v>6</v>
      </c>
      <c r="L1030" s="46"/>
      <c r="M1030" s="120"/>
      <c r="N1030" s="120"/>
      <c r="O1030" s="120"/>
      <c r="P1030" s="122"/>
      <c r="Q1030" s="122"/>
      <c r="R1030" s="204"/>
      <c r="S1030" s="204"/>
    </row>
    <row r="1031" spans="1:19" s="61" customFormat="1" ht="15.75" customHeight="1">
      <c r="A1031" s="240"/>
      <c r="B1031" s="242"/>
      <c r="C1031" s="43" t="s">
        <v>449</v>
      </c>
      <c r="D1031" s="62">
        <v>8</v>
      </c>
      <c r="E1031" s="33" t="str">
        <f t="shared" ref="E1031" si="864">(MID(E1030,SEARCH(":",E1030)+1,2)-1) &amp; ":" &amp; (MID(E1030,SEARCH(":",E1030)+1,2)-D1031)</f>
        <v>23:16</v>
      </c>
      <c r="F1031" s="30" t="s">
        <v>133</v>
      </c>
      <c r="G1031" s="30" t="s">
        <v>133</v>
      </c>
      <c r="H1031" s="64" t="s">
        <v>450</v>
      </c>
      <c r="I1031" s="30" t="s">
        <v>68</v>
      </c>
      <c r="J1031" s="32" t="s">
        <v>36</v>
      </c>
      <c r="K1031" s="33" t="s">
        <v>6</v>
      </c>
      <c r="L1031" s="46"/>
      <c r="M1031" s="120"/>
      <c r="N1031" s="120"/>
      <c r="O1031" s="120"/>
      <c r="P1031" s="122"/>
      <c r="Q1031" s="122"/>
      <c r="R1031" s="204"/>
      <c r="S1031" s="204"/>
    </row>
    <row r="1032" spans="1:19" s="61" customFormat="1">
      <c r="A1032" s="240"/>
      <c r="B1032" s="242"/>
      <c r="C1032" s="43" t="s">
        <v>451</v>
      </c>
      <c r="D1032" s="62">
        <v>8</v>
      </c>
      <c r="E1032" s="33" t="str">
        <f>(MID(E1031,SEARCH(":",E1031)+1,2)-1) &amp; ":" &amp; (MID(E1031,SEARCH(":",E1031)+1,2)-D1032)</f>
        <v>15:8</v>
      </c>
      <c r="F1032" s="30" t="s">
        <v>133</v>
      </c>
      <c r="G1032" s="30" t="s">
        <v>133</v>
      </c>
      <c r="H1032" s="64" t="s">
        <v>452</v>
      </c>
      <c r="I1032" s="30" t="s">
        <v>68</v>
      </c>
      <c r="J1032" s="32" t="s">
        <v>36</v>
      </c>
      <c r="K1032" s="33" t="s">
        <v>6</v>
      </c>
      <c r="L1032" s="46"/>
      <c r="M1032" s="120"/>
      <c r="N1032" s="120"/>
      <c r="O1032" s="120"/>
      <c r="P1032" s="122"/>
      <c r="Q1032" s="122"/>
      <c r="R1032" s="204"/>
      <c r="S1032" s="204"/>
    </row>
    <row r="1033" spans="1:19" s="61" customFormat="1" ht="15" thickBot="1">
      <c r="A1033" s="240"/>
      <c r="B1033" s="242"/>
      <c r="C1033" s="43" t="s">
        <v>453</v>
      </c>
      <c r="D1033" s="62">
        <v>8</v>
      </c>
      <c r="E1033" s="33" t="str">
        <f>(MID(E1032,SEARCH(":",E1032)+1,2)-1) &amp; ":" &amp; (MID(E1032,SEARCH(":",E1032)+1,2)-D1033)</f>
        <v>7:0</v>
      </c>
      <c r="F1033" s="30" t="s">
        <v>133</v>
      </c>
      <c r="G1033" s="30" t="s">
        <v>133</v>
      </c>
      <c r="H1033" s="64" t="s">
        <v>454</v>
      </c>
      <c r="I1033" s="30" t="s">
        <v>68</v>
      </c>
      <c r="J1033" s="32" t="s">
        <v>36</v>
      </c>
      <c r="K1033" s="33" t="s">
        <v>6</v>
      </c>
      <c r="L1033" s="46"/>
      <c r="M1033" s="120"/>
      <c r="N1033" s="120"/>
      <c r="O1033" s="120"/>
      <c r="P1033" s="122"/>
      <c r="Q1033" s="122"/>
      <c r="R1033" s="204"/>
      <c r="S1033" s="210"/>
    </row>
    <row r="1034" spans="1:19" s="61" customFormat="1">
      <c r="A1034" s="240" t="s">
        <v>590</v>
      </c>
      <c r="B1034" s="241" t="str">
        <f t="shared" ref="B1034" si="865">DEC2HEX(P1034*4)</f>
        <v>44</v>
      </c>
      <c r="C1034" s="56" t="s">
        <v>383</v>
      </c>
      <c r="D1034" s="129" t="str">
        <f>bitConcat(F1035:F1036)</f>
        <v>32'b00000000000000000000000000000000</v>
      </c>
      <c r="E1034" s="130"/>
      <c r="F1034" s="130"/>
      <c r="G1034" s="205"/>
      <c r="H1034" s="73" t="s">
        <v>384</v>
      </c>
      <c r="I1034" s="74"/>
      <c r="J1034" s="202" t="str">
        <f>bitConcat(G1035:G1036)</f>
        <v>32'b00000000000000000000000000000000</v>
      </c>
      <c r="K1034" s="131"/>
      <c r="L1034" s="132"/>
      <c r="M1034" s="119" t="str">
        <f t="shared" ref="M1034" si="866">DEC2HEX(_xlfn.BITLSHIFT(O1034,7)+4*P1034)</f>
        <v>344</v>
      </c>
      <c r="N1034" s="120" t="s">
        <v>385</v>
      </c>
      <c r="O1034" s="120">
        <v>6</v>
      </c>
      <c r="P1034" s="122">
        <f>P1029+1</f>
        <v>17</v>
      </c>
      <c r="Q1034" s="121" t="str">
        <f>DEC2HEX(_xlfn.BITLSHIFT(O1034,5)+P1034)</f>
        <v>D1</v>
      </c>
      <c r="R1034" s="203" t="str">
        <f>BIN2HEX(LEFT(RIGHT(D1034,32),4))&amp;BIN2HEX(LEFT(RIGHT(D1034,28),4))&amp;BIN2HEX(LEFT(RIGHT(D1034,24),4))&amp;BIN2HEX(LEFT(RIGHT(D1034,20),4))&amp;BIN2HEX(LEFT(RIGHT(D1034,16),4))&amp;BIN2HEX(LEFT(RIGHT(D1034,12),4))&amp;BIN2HEX(LEFT(RIGHT(D1034,8),4))&amp;BIN2HEX(LEFT(RIGHT(D1034,4),4))</f>
        <v>00000000</v>
      </c>
      <c r="S1034" s="203" t="str">
        <f t="shared" ref="S1034" si="867">BIN2HEX(LEFT(RIGHT(J1034,32),4))&amp;BIN2HEX(LEFT(RIGHT(J1034,28),4))&amp;BIN2HEX(LEFT(RIGHT(J1034,24),4))&amp;BIN2HEX(LEFT(RIGHT(J1034,20),4))&amp;BIN2HEX(LEFT(RIGHT(J1034,16),4))&amp;BIN2HEX(LEFT(RIGHT(J1034,12),4))&amp;BIN2HEX(LEFT(RIGHT(J1034,8),4))&amp;BIN2HEX(LEFT(RIGHT(J1034,4),4))</f>
        <v>00000000</v>
      </c>
    </row>
    <row r="1035" spans="1:19" s="61" customFormat="1">
      <c r="A1035" s="240"/>
      <c r="B1035" s="242"/>
      <c r="C1035" s="43" t="s">
        <v>591</v>
      </c>
      <c r="D1035" s="62">
        <v>16</v>
      </c>
      <c r="E1035" s="70" t="str">
        <f>IF(D1035&gt;1,(31)&amp;":"&amp;(31-D1035+1),(31-D1035+1)&amp;":"&amp;(31-D1035+1))</f>
        <v>31:16</v>
      </c>
      <c r="F1035" s="30" t="s">
        <v>457</v>
      </c>
      <c r="G1035" s="30" t="s">
        <v>457</v>
      </c>
      <c r="H1035" s="64" t="s">
        <v>458</v>
      </c>
      <c r="I1035" s="30" t="s">
        <v>68</v>
      </c>
      <c r="J1035" s="32" t="s">
        <v>36</v>
      </c>
      <c r="K1035" s="33" t="s">
        <v>6</v>
      </c>
      <c r="L1035" s="46"/>
      <c r="M1035" s="120"/>
      <c r="N1035" s="120"/>
      <c r="O1035" s="120"/>
      <c r="P1035" s="122"/>
      <c r="Q1035" s="122"/>
      <c r="R1035" s="204"/>
      <c r="S1035" s="204"/>
    </row>
    <row r="1036" spans="1:19" s="61" customFormat="1" ht="15.75" customHeight="1" thickBot="1">
      <c r="A1036" s="240"/>
      <c r="B1036" s="242"/>
      <c r="C1036" s="43" t="s">
        <v>557</v>
      </c>
      <c r="D1036" s="62">
        <v>16</v>
      </c>
      <c r="E1036" s="33" t="str">
        <f>(MID(E1035,SEARCH(":",E1035)+1,2)-1) &amp; ":" &amp; (MID(E1035,SEARCH(":",E1035)+1,2)-D1036)</f>
        <v>15:0</v>
      </c>
      <c r="F1036" s="30" t="s">
        <v>457</v>
      </c>
      <c r="G1036" s="30" t="s">
        <v>457</v>
      </c>
      <c r="H1036" s="65" t="s">
        <v>406</v>
      </c>
      <c r="I1036" s="30" t="s">
        <v>68</v>
      </c>
      <c r="J1036" s="32" t="s">
        <v>36</v>
      </c>
      <c r="K1036" s="33" t="s">
        <v>6</v>
      </c>
      <c r="L1036" s="46"/>
      <c r="M1036" s="120"/>
      <c r="N1036" s="120"/>
      <c r="O1036" s="120"/>
      <c r="P1036" s="122"/>
      <c r="Q1036" s="122"/>
      <c r="R1036" s="210"/>
      <c r="S1036" s="210"/>
    </row>
    <row r="1037" spans="1:19" s="61" customFormat="1" ht="15.75" customHeight="1">
      <c r="A1037" s="240" t="s">
        <v>592</v>
      </c>
      <c r="B1037" s="241" t="str">
        <f t="shared" ref="B1037" si="868">DEC2HEX(P1037*4)</f>
        <v>48</v>
      </c>
      <c r="C1037" s="56" t="s">
        <v>383</v>
      </c>
      <c r="D1037" s="129" t="str">
        <f>bitConcat(F1038:F1043)</f>
        <v>32'b00000000101100110001100000100000</v>
      </c>
      <c r="E1037" s="130"/>
      <c r="F1037" s="130"/>
      <c r="G1037" s="205"/>
      <c r="H1037" s="73" t="s">
        <v>384</v>
      </c>
      <c r="I1037" s="74"/>
      <c r="J1037" s="202" t="str">
        <f>bitConcat(G1038:G1043)</f>
        <v>32'b00000000000000000001100000000000</v>
      </c>
      <c r="K1037" s="131"/>
      <c r="L1037" s="132"/>
      <c r="M1037" s="119" t="str">
        <f t="shared" ref="M1037" si="869">DEC2HEX(_xlfn.BITLSHIFT(O1037,7)+4*P1037)</f>
        <v>348</v>
      </c>
      <c r="N1037" s="120" t="s">
        <v>385</v>
      </c>
      <c r="O1037" s="120">
        <v>6</v>
      </c>
      <c r="P1037" s="122">
        <v>18</v>
      </c>
      <c r="Q1037" s="121" t="str">
        <f>DEC2HEX(_xlfn.BITLSHIFT(O1037,5)+P1037)</f>
        <v>D2</v>
      </c>
      <c r="R1037" s="203" t="str">
        <f>BIN2HEX(LEFT(RIGHT(D1037,32),4))&amp;BIN2HEX(LEFT(RIGHT(D1037,28),4))&amp;BIN2HEX(LEFT(RIGHT(D1037,24),4))&amp;BIN2HEX(LEFT(RIGHT(D1037,20),4))&amp;BIN2HEX(LEFT(RIGHT(D1037,16),4))&amp;BIN2HEX(LEFT(RIGHT(D1037,12),4))&amp;BIN2HEX(LEFT(RIGHT(D1037,8),4))&amp;BIN2HEX(LEFT(RIGHT(D1037,4),4))</f>
        <v>00B31820</v>
      </c>
      <c r="S1037" s="203" t="str">
        <f t="shared" ref="S1037" si="870">BIN2HEX(LEFT(RIGHT(J1037,32),4))&amp;BIN2HEX(LEFT(RIGHT(J1037,28),4))&amp;BIN2HEX(LEFT(RIGHT(J1037,24),4))&amp;BIN2HEX(LEFT(RIGHT(J1037,20),4))&amp;BIN2HEX(LEFT(RIGHT(J1037,16),4))&amp;BIN2HEX(LEFT(RIGHT(J1037,12),4))&amp;BIN2HEX(LEFT(RIGHT(J1037,8),4))&amp;BIN2HEX(LEFT(RIGHT(J1037,4),4))</f>
        <v>00001800</v>
      </c>
    </row>
    <row r="1038" spans="1:19" s="61" customFormat="1" ht="15.75" customHeight="1">
      <c r="A1038" s="240"/>
      <c r="B1038" s="242"/>
      <c r="C1038" s="43" t="s">
        <v>468</v>
      </c>
      <c r="D1038" s="62">
        <v>8</v>
      </c>
      <c r="E1038" s="70" t="str">
        <f>IF(D1038&gt;1,(31)&amp;":"&amp;(31-D1038+1),(31-D1038+1)&amp;":"&amp;(31-D1038+1))</f>
        <v>31:24</v>
      </c>
      <c r="F1038" s="30" t="s">
        <v>133</v>
      </c>
      <c r="G1038" s="30" t="s">
        <v>133</v>
      </c>
      <c r="H1038" s="64" t="s">
        <v>469</v>
      </c>
      <c r="I1038" s="30" t="s">
        <v>68</v>
      </c>
      <c r="J1038" s="32" t="s">
        <v>36</v>
      </c>
      <c r="K1038" s="33" t="s">
        <v>6</v>
      </c>
      <c r="L1038" s="46"/>
      <c r="M1038" s="120"/>
      <c r="N1038" s="120"/>
      <c r="O1038" s="120"/>
      <c r="P1038" s="122"/>
      <c r="Q1038" s="122"/>
      <c r="R1038" s="204"/>
      <c r="S1038" s="204"/>
    </row>
    <row r="1039" spans="1:19" s="61" customFormat="1">
      <c r="A1039" s="240"/>
      <c r="B1039" s="242"/>
      <c r="C1039" s="43" t="s">
        <v>470</v>
      </c>
      <c r="D1039" s="62">
        <v>8</v>
      </c>
      <c r="E1039" s="33" t="str">
        <f>(MID(E1038,SEARCH(":",E1038)+1,2)-1) &amp; ":" &amp; (MID(E1038,SEARCH(":",E1038)+1,2)-D1039)</f>
        <v>23:16</v>
      </c>
      <c r="F1039" s="30" t="s">
        <v>471</v>
      </c>
      <c r="G1039" s="30" t="s">
        <v>133</v>
      </c>
      <c r="H1039" s="65" t="s">
        <v>472</v>
      </c>
      <c r="I1039" s="30" t="s">
        <v>68</v>
      </c>
      <c r="J1039" s="32" t="s">
        <v>36</v>
      </c>
      <c r="K1039" s="33" t="s">
        <v>6</v>
      </c>
      <c r="L1039" s="46"/>
      <c r="M1039" s="120"/>
      <c r="N1039" s="120"/>
      <c r="O1039" s="120"/>
      <c r="P1039" s="122"/>
      <c r="Q1039" s="122"/>
      <c r="R1039" s="204"/>
      <c r="S1039" s="204"/>
    </row>
    <row r="1040" spans="1:19" s="61" customFormat="1">
      <c r="A1040" s="240"/>
      <c r="B1040" s="242"/>
      <c r="C1040" s="43" t="s">
        <v>473</v>
      </c>
      <c r="D1040" s="62">
        <v>10</v>
      </c>
      <c r="E1040" s="33" t="str">
        <f t="shared" ref="E1040:E1042" si="871">(MID(E1039,SEARCH(":",E1039)+1,2)-1) &amp; ":" &amp; (MID(E1039,SEARCH(":",E1039)+1,2)-D1040)</f>
        <v>15:6</v>
      </c>
      <c r="F1040" s="30" t="s">
        <v>474</v>
      </c>
      <c r="G1040" s="30" t="s">
        <v>474</v>
      </c>
      <c r="H1040" s="64" t="s">
        <v>475</v>
      </c>
      <c r="I1040" s="30" t="s">
        <v>68</v>
      </c>
      <c r="J1040" s="32" t="s">
        <v>36</v>
      </c>
      <c r="K1040" s="33" t="s">
        <v>6</v>
      </c>
      <c r="L1040" s="46"/>
      <c r="M1040" s="120"/>
      <c r="N1040" s="120"/>
      <c r="O1040" s="120"/>
      <c r="P1040" s="122"/>
      <c r="Q1040" s="122"/>
      <c r="R1040" s="204"/>
      <c r="S1040" s="204"/>
    </row>
    <row r="1041" spans="1:19" s="61" customFormat="1">
      <c r="A1041" s="240"/>
      <c r="B1041" s="242"/>
      <c r="C1041" s="43" t="s">
        <v>476</v>
      </c>
      <c r="D1041" s="62">
        <v>1</v>
      </c>
      <c r="E1041" s="33" t="str">
        <f t="shared" si="871"/>
        <v>5:5</v>
      </c>
      <c r="F1041" s="30" t="s">
        <v>269</v>
      </c>
      <c r="G1041" s="30" t="s">
        <v>7</v>
      </c>
      <c r="H1041" s="65" t="s">
        <v>477</v>
      </c>
      <c r="I1041" s="30" t="s">
        <v>68</v>
      </c>
      <c r="J1041" s="32" t="s">
        <v>36</v>
      </c>
      <c r="K1041" s="33" t="s">
        <v>6</v>
      </c>
      <c r="L1041" s="46"/>
      <c r="M1041" s="120"/>
      <c r="N1041" s="120"/>
      <c r="O1041" s="120"/>
      <c r="P1041" s="122"/>
      <c r="Q1041" s="122"/>
      <c r="R1041" s="204"/>
      <c r="S1041" s="204"/>
    </row>
    <row r="1042" spans="1:19" s="61" customFormat="1" ht="15" thickBot="1">
      <c r="A1042" s="240"/>
      <c r="B1042" s="242"/>
      <c r="C1042" s="43" t="s">
        <v>478</v>
      </c>
      <c r="D1042" s="62">
        <v>5</v>
      </c>
      <c r="E1042" s="33" t="str">
        <f t="shared" si="871"/>
        <v>4:0</v>
      </c>
      <c r="F1042" s="30" t="s">
        <v>434</v>
      </c>
      <c r="G1042" s="30" t="s">
        <v>434</v>
      </c>
      <c r="H1042" s="65" t="s">
        <v>479</v>
      </c>
      <c r="I1042" s="30" t="s">
        <v>68</v>
      </c>
      <c r="J1042" s="32" t="s">
        <v>36</v>
      </c>
      <c r="K1042" s="33" t="s">
        <v>6</v>
      </c>
      <c r="L1042" s="46"/>
      <c r="M1042" s="120"/>
      <c r="N1042" s="120"/>
      <c r="O1042" s="120"/>
      <c r="P1042" s="122"/>
      <c r="Q1042" s="122"/>
      <c r="R1042" s="210"/>
      <c r="S1042" s="210"/>
    </row>
    <row r="1043" spans="1:19" s="61" customFormat="1">
      <c r="A1043" s="239" t="s">
        <v>593</v>
      </c>
      <c r="B1043" s="241" t="str">
        <f t="shared" ref="B1043" si="872">DEC2HEX(P1043*4)</f>
        <v>4C</v>
      </c>
      <c r="C1043" s="56" t="s">
        <v>383</v>
      </c>
      <c r="D1043" s="129" t="str">
        <f>bitConcat(F1044:F1047)</f>
        <v>32'b00000000000000000000000000000000</v>
      </c>
      <c r="E1043" s="130"/>
      <c r="F1043" s="130"/>
      <c r="G1043" s="205"/>
      <c r="H1043" s="73" t="s">
        <v>384</v>
      </c>
      <c r="I1043" s="74"/>
      <c r="J1043" s="202" t="str">
        <f>bitConcat(G1044:G1047)</f>
        <v>32'b00000000000000000000000000000000</v>
      </c>
      <c r="K1043" s="131"/>
      <c r="L1043" s="132"/>
      <c r="M1043" s="119" t="str">
        <f t="shared" ref="M1043" si="873">DEC2HEX(_xlfn.BITLSHIFT(O1043,7)+4*P1043)</f>
        <v>34C</v>
      </c>
      <c r="N1043" s="119" t="s">
        <v>385</v>
      </c>
      <c r="O1043" s="119">
        <v>6</v>
      </c>
      <c r="P1043" s="121">
        <v>19</v>
      </c>
      <c r="Q1043" s="121" t="str">
        <f>DEC2HEX(_xlfn.BITLSHIFT(O1043,5)+P1043)</f>
        <v>D3</v>
      </c>
      <c r="R1043" s="203" t="str">
        <f>BIN2HEX(LEFT(RIGHT(D1043,32),4))&amp;BIN2HEX(LEFT(RIGHT(D1043,28),4))&amp;BIN2HEX(LEFT(RIGHT(D1043,24),4))&amp;BIN2HEX(LEFT(RIGHT(D1043,20),4))&amp;BIN2HEX(LEFT(RIGHT(D1043,16),4))&amp;BIN2HEX(LEFT(RIGHT(D1043,12),4))&amp;BIN2HEX(LEFT(RIGHT(D1043,8),4))&amp;BIN2HEX(LEFT(RIGHT(D1043,4),4))</f>
        <v>00000000</v>
      </c>
      <c r="S1043" s="203" t="str">
        <f t="shared" ref="S1043" si="874">BIN2HEX(LEFT(RIGHT(J1043,32),4))&amp;BIN2HEX(LEFT(RIGHT(J1043,28),4))&amp;BIN2HEX(LEFT(RIGHT(J1043,24),4))&amp;BIN2HEX(LEFT(RIGHT(J1043,20),4))&amp;BIN2HEX(LEFT(RIGHT(J1043,16),4))&amp;BIN2HEX(LEFT(RIGHT(J1043,12),4))&amp;BIN2HEX(LEFT(RIGHT(J1043,8),4))&amp;BIN2HEX(LEFT(RIGHT(J1043,4),4))</f>
        <v>00000000</v>
      </c>
    </row>
    <row r="1044" spans="1:19" s="61" customFormat="1" ht="15.75" customHeight="1">
      <c r="A1044" s="240"/>
      <c r="B1044" s="242"/>
      <c r="C1044" s="43" t="s">
        <v>481</v>
      </c>
      <c r="D1044" s="62">
        <v>8</v>
      </c>
      <c r="E1044" s="70" t="str">
        <f>IF(D1044&gt;1,(31)&amp;":"&amp;(31-D1044+1),(31-D1044+1)&amp;":"&amp;(31-D1044+1))</f>
        <v>31:24</v>
      </c>
      <c r="F1044" s="30" t="s">
        <v>133</v>
      </c>
      <c r="G1044" s="30" t="s">
        <v>133</v>
      </c>
      <c r="H1044" s="64" t="s">
        <v>448</v>
      </c>
      <c r="I1044" s="30" t="s">
        <v>68</v>
      </c>
      <c r="J1044" s="32" t="s">
        <v>36</v>
      </c>
      <c r="K1044" s="33" t="s">
        <v>6</v>
      </c>
      <c r="L1044" s="46"/>
      <c r="M1044" s="120"/>
      <c r="N1044" s="120"/>
      <c r="O1044" s="120"/>
      <c r="P1044" s="122"/>
      <c r="Q1044" s="122"/>
      <c r="R1044" s="204"/>
      <c r="S1044" s="204"/>
    </row>
    <row r="1045" spans="1:19" s="61" customFormat="1">
      <c r="A1045" s="240"/>
      <c r="B1045" s="242"/>
      <c r="C1045" s="43" t="s">
        <v>482</v>
      </c>
      <c r="D1045" s="62">
        <v>8</v>
      </c>
      <c r="E1045" s="33" t="str">
        <f t="shared" ref="E1045" si="875">(MID(E1044,SEARCH(":",E1044)+1,2)-1) &amp; ":" &amp; (MID(E1044,SEARCH(":",E1044)+1,2)-D1045)</f>
        <v>23:16</v>
      </c>
      <c r="F1045" s="30" t="s">
        <v>133</v>
      </c>
      <c r="G1045" s="30" t="s">
        <v>133</v>
      </c>
      <c r="H1045" s="64" t="s">
        <v>450</v>
      </c>
      <c r="I1045" s="30" t="s">
        <v>68</v>
      </c>
      <c r="J1045" s="32" t="s">
        <v>36</v>
      </c>
      <c r="K1045" s="33" t="s">
        <v>6</v>
      </c>
      <c r="L1045" s="46"/>
      <c r="M1045" s="120"/>
      <c r="N1045" s="120"/>
      <c r="O1045" s="120"/>
      <c r="P1045" s="122"/>
      <c r="Q1045" s="122"/>
      <c r="R1045" s="204"/>
      <c r="S1045" s="204"/>
    </row>
    <row r="1046" spans="1:19" s="61" customFormat="1">
      <c r="A1046" s="240"/>
      <c r="B1046" s="242"/>
      <c r="C1046" s="43" t="s">
        <v>483</v>
      </c>
      <c r="D1046" s="62">
        <v>8</v>
      </c>
      <c r="E1046" s="33" t="str">
        <f>(MID(E1045,SEARCH(":",E1045)+1,2)-1) &amp; ":" &amp; (MID(E1045,SEARCH(":",E1045)+1,2)-D1046)</f>
        <v>15:8</v>
      </c>
      <c r="F1046" s="30" t="s">
        <v>133</v>
      </c>
      <c r="G1046" s="30" t="s">
        <v>133</v>
      </c>
      <c r="H1046" s="64" t="s">
        <v>452</v>
      </c>
      <c r="I1046" s="30" t="s">
        <v>68</v>
      </c>
      <c r="J1046" s="32" t="s">
        <v>36</v>
      </c>
      <c r="K1046" s="33" t="s">
        <v>6</v>
      </c>
      <c r="L1046" s="46"/>
      <c r="M1046" s="120"/>
      <c r="N1046" s="120"/>
      <c r="O1046" s="120"/>
      <c r="P1046" s="122"/>
      <c r="Q1046" s="122"/>
      <c r="R1046" s="204"/>
      <c r="S1046" s="204"/>
    </row>
    <row r="1047" spans="1:19" s="61" customFormat="1" ht="15.75" customHeight="1" thickBot="1">
      <c r="A1047" s="240"/>
      <c r="B1047" s="242"/>
      <c r="C1047" s="43" t="s">
        <v>484</v>
      </c>
      <c r="D1047" s="62">
        <v>8</v>
      </c>
      <c r="E1047" s="33" t="str">
        <f>(MID(E1046,SEARCH(":",E1046)+1,2)-1) &amp; ":" &amp; (MID(E1046,SEARCH(":",E1046)+1,2)-D1047)</f>
        <v>7:0</v>
      </c>
      <c r="F1047" s="30" t="s">
        <v>133</v>
      </c>
      <c r="G1047" s="30" t="s">
        <v>133</v>
      </c>
      <c r="H1047" s="64" t="s">
        <v>454</v>
      </c>
      <c r="I1047" s="30" t="s">
        <v>68</v>
      </c>
      <c r="J1047" s="32" t="s">
        <v>36</v>
      </c>
      <c r="K1047" s="33" t="s">
        <v>6</v>
      </c>
      <c r="L1047" s="46"/>
      <c r="M1047" s="120"/>
      <c r="N1047" s="120"/>
      <c r="O1047" s="120"/>
      <c r="P1047" s="122"/>
      <c r="Q1047" s="122"/>
      <c r="R1047" s="210"/>
      <c r="S1047" s="210"/>
    </row>
    <row r="1048" spans="1:19" s="61" customFormat="1">
      <c r="A1048" s="240" t="s">
        <v>594</v>
      </c>
      <c r="B1048" s="241" t="str">
        <f t="shared" ref="B1048" si="876">DEC2HEX(P1048*4)</f>
        <v>50</v>
      </c>
      <c r="C1048" s="56" t="s">
        <v>383</v>
      </c>
      <c r="D1048" s="129" t="str">
        <f>bitConcat(F1049:F1050)</f>
        <v>32'b00000000000000000000000000000000</v>
      </c>
      <c r="E1048" s="130"/>
      <c r="F1048" s="130"/>
      <c r="G1048" s="205"/>
      <c r="H1048" s="73" t="s">
        <v>384</v>
      </c>
      <c r="I1048" s="74"/>
      <c r="J1048" s="202" t="str">
        <f>bitConcat(G1049:G1050)</f>
        <v>32'b00000000000000000000000000000000</v>
      </c>
      <c r="K1048" s="131"/>
      <c r="L1048" s="132"/>
      <c r="M1048" s="119" t="str">
        <f t="shared" ref="M1048" si="877">DEC2HEX(_xlfn.BITLSHIFT(O1048,7)+4*P1048)</f>
        <v>350</v>
      </c>
      <c r="N1048" s="120" t="s">
        <v>385</v>
      </c>
      <c r="O1048" s="120">
        <v>6</v>
      </c>
      <c r="P1048" s="122">
        <v>20</v>
      </c>
      <c r="Q1048" s="121" t="str">
        <f>DEC2HEX(_xlfn.BITLSHIFT(O1048,5)+P1048)</f>
        <v>D4</v>
      </c>
      <c r="R1048" s="203" t="str">
        <f>BIN2HEX(LEFT(RIGHT(D1048,32),4))&amp;BIN2HEX(LEFT(RIGHT(D1048,28),4))&amp;BIN2HEX(LEFT(RIGHT(D1048,24),4))&amp;BIN2HEX(LEFT(RIGHT(D1048,20),4))&amp;BIN2HEX(LEFT(RIGHT(D1048,16),4))&amp;BIN2HEX(LEFT(RIGHT(D1048,12),4))&amp;BIN2HEX(LEFT(RIGHT(D1048,8),4))&amp;BIN2HEX(LEFT(RIGHT(D1048,4),4))</f>
        <v>00000000</v>
      </c>
      <c r="S1048" s="203" t="str">
        <f t="shared" ref="S1048" si="878">BIN2HEX(LEFT(RIGHT(J1048,32),4))&amp;BIN2HEX(LEFT(RIGHT(J1048,28),4))&amp;BIN2HEX(LEFT(RIGHT(J1048,24),4))&amp;BIN2HEX(LEFT(RIGHT(J1048,20),4))&amp;BIN2HEX(LEFT(RIGHT(J1048,16),4))&amp;BIN2HEX(LEFT(RIGHT(J1048,12),4))&amp;BIN2HEX(LEFT(RIGHT(J1048,8),4))&amp;BIN2HEX(LEFT(RIGHT(J1048,4),4))</f>
        <v>00000000</v>
      </c>
    </row>
    <row r="1049" spans="1:19" s="61" customFormat="1">
      <c r="A1049" s="240"/>
      <c r="B1049" s="242"/>
      <c r="C1049" s="43" t="s">
        <v>486</v>
      </c>
      <c r="D1049" s="62">
        <v>16</v>
      </c>
      <c r="E1049" s="70" t="str">
        <f>IF(D1049&gt;1,(31)&amp;":"&amp;(31-D1049+1),(31-D1049+1)&amp;":"&amp;(31-D1049+1))</f>
        <v>31:16</v>
      </c>
      <c r="F1049" s="30" t="s">
        <v>457</v>
      </c>
      <c r="G1049" s="30" t="s">
        <v>457</v>
      </c>
      <c r="H1049" s="64" t="s">
        <v>458</v>
      </c>
      <c r="I1049" s="30" t="s">
        <v>68</v>
      </c>
      <c r="J1049" s="32" t="s">
        <v>36</v>
      </c>
      <c r="K1049" s="33" t="s">
        <v>6</v>
      </c>
      <c r="L1049" s="46"/>
      <c r="M1049" s="120"/>
      <c r="N1049" s="120"/>
      <c r="O1049" s="120"/>
      <c r="P1049" s="122"/>
      <c r="Q1049" s="122"/>
      <c r="R1049" s="204"/>
      <c r="S1049" s="204"/>
    </row>
    <row r="1050" spans="1:19" s="61" customFormat="1" ht="15" thickBot="1">
      <c r="A1050" s="240"/>
      <c r="B1050" s="242"/>
      <c r="C1050" s="43" t="s">
        <v>557</v>
      </c>
      <c r="D1050" s="62">
        <v>16</v>
      </c>
      <c r="E1050" s="33" t="str">
        <f>(MID(E1049,SEARCH(":",E1049)+1,2)-1) &amp; ":" &amp; (MID(E1049,SEARCH(":",E1049)+1,2)-D1050)</f>
        <v>15:0</v>
      </c>
      <c r="F1050" s="30" t="s">
        <v>457</v>
      </c>
      <c r="G1050" s="30" t="s">
        <v>457</v>
      </c>
      <c r="H1050" s="65" t="s">
        <v>406</v>
      </c>
      <c r="I1050" s="30" t="s">
        <v>68</v>
      </c>
      <c r="J1050" s="32" t="s">
        <v>36</v>
      </c>
      <c r="K1050" s="33" t="s">
        <v>6</v>
      </c>
      <c r="L1050" s="46"/>
      <c r="M1050" s="120"/>
      <c r="N1050" s="120"/>
      <c r="O1050" s="120"/>
      <c r="P1050" s="122"/>
      <c r="Q1050" s="122"/>
      <c r="R1050" s="210"/>
      <c r="S1050" s="210"/>
    </row>
    <row r="1051" spans="1:19" s="61" customFormat="1">
      <c r="A1051" s="240" t="s">
        <v>595</v>
      </c>
      <c r="B1051" s="241" t="str">
        <f t="shared" ref="B1051" si="879">DEC2HEX(P1051*4)</f>
        <v>54</v>
      </c>
      <c r="C1051" s="56" t="s">
        <v>383</v>
      </c>
      <c r="D1051" s="129" t="str">
        <f>bitConcat(F1052:F1057)</f>
        <v>32'b00000000101100110001100000100000</v>
      </c>
      <c r="E1051" s="130"/>
      <c r="F1051" s="130"/>
      <c r="G1051" s="205"/>
      <c r="H1051" s="73" t="s">
        <v>384</v>
      </c>
      <c r="I1051" s="74"/>
      <c r="J1051" s="202" t="str">
        <f>bitConcat(G1052:G1057)</f>
        <v>32'b00000000000000000001100000000000</v>
      </c>
      <c r="K1051" s="131"/>
      <c r="L1051" s="132"/>
      <c r="M1051" s="119" t="str">
        <f t="shared" ref="M1051" si="880">DEC2HEX(_xlfn.BITLSHIFT(O1051,7)+4*P1051)</f>
        <v>354</v>
      </c>
      <c r="N1051" s="120" t="s">
        <v>385</v>
      </c>
      <c r="O1051" s="120">
        <v>6</v>
      </c>
      <c r="P1051" s="122">
        <v>21</v>
      </c>
      <c r="Q1051" s="121" t="str">
        <f>DEC2HEX(_xlfn.BITLSHIFT(O1051,5)+P1051)</f>
        <v>D5</v>
      </c>
      <c r="R1051" s="203" t="str">
        <f>BIN2HEX(LEFT(RIGHT(D1051,32),4))&amp;BIN2HEX(LEFT(RIGHT(D1051,28),4))&amp;BIN2HEX(LEFT(RIGHT(D1051,24),4))&amp;BIN2HEX(LEFT(RIGHT(D1051,20),4))&amp;BIN2HEX(LEFT(RIGHT(D1051,16),4))&amp;BIN2HEX(LEFT(RIGHT(D1051,12),4))&amp;BIN2HEX(LEFT(RIGHT(D1051,8),4))&amp;BIN2HEX(LEFT(RIGHT(D1051,4),4))</f>
        <v>00B31820</v>
      </c>
      <c r="S1051" s="203" t="str">
        <f t="shared" ref="S1051" si="881">BIN2HEX(LEFT(RIGHT(J1051,32),4))&amp;BIN2HEX(LEFT(RIGHT(J1051,28),4))&amp;BIN2HEX(LEFT(RIGHT(J1051,24),4))&amp;BIN2HEX(LEFT(RIGHT(J1051,20),4))&amp;BIN2HEX(LEFT(RIGHT(J1051,16),4))&amp;BIN2HEX(LEFT(RIGHT(J1051,12),4))&amp;BIN2HEX(LEFT(RIGHT(J1051,8),4))&amp;BIN2HEX(LEFT(RIGHT(J1051,4),4))</f>
        <v>00001800</v>
      </c>
    </row>
    <row r="1052" spans="1:19" s="61" customFormat="1">
      <c r="A1052" s="240"/>
      <c r="B1052" s="242"/>
      <c r="C1052" s="43" t="s">
        <v>495</v>
      </c>
      <c r="D1052" s="62">
        <v>8</v>
      </c>
      <c r="E1052" s="70" t="str">
        <f>IF(D1052&gt;1,(31)&amp;":"&amp;(31-D1052+1),(31-D1052+1)&amp;":"&amp;(31-D1052+1))</f>
        <v>31:24</v>
      </c>
      <c r="F1052" s="30" t="s">
        <v>133</v>
      </c>
      <c r="G1052" s="30" t="s">
        <v>133</v>
      </c>
      <c r="H1052" s="64" t="s">
        <v>469</v>
      </c>
      <c r="I1052" s="30" t="s">
        <v>68</v>
      </c>
      <c r="J1052" s="32" t="s">
        <v>36</v>
      </c>
      <c r="K1052" s="33" t="s">
        <v>6</v>
      </c>
      <c r="L1052" s="46"/>
      <c r="M1052" s="120"/>
      <c r="N1052" s="120"/>
      <c r="O1052" s="120"/>
      <c r="P1052" s="122"/>
      <c r="Q1052" s="122"/>
      <c r="R1052" s="204"/>
      <c r="S1052" s="204"/>
    </row>
    <row r="1053" spans="1:19" s="61" customFormat="1" ht="15.75" customHeight="1">
      <c r="A1053" s="240"/>
      <c r="B1053" s="242"/>
      <c r="C1053" s="43" t="s">
        <v>496</v>
      </c>
      <c r="D1053" s="62">
        <v>8</v>
      </c>
      <c r="E1053" s="33" t="str">
        <f>(MID(E1052,SEARCH(":",E1052)+1,2)-1) &amp; ":" &amp; (MID(E1052,SEARCH(":",E1052)+1,2)-D1053)</f>
        <v>23:16</v>
      </c>
      <c r="F1053" s="30" t="s">
        <v>471</v>
      </c>
      <c r="G1053" s="30" t="s">
        <v>133</v>
      </c>
      <c r="H1053" s="65" t="s">
        <v>472</v>
      </c>
      <c r="I1053" s="30" t="s">
        <v>68</v>
      </c>
      <c r="J1053" s="32" t="s">
        <v>36</v>
      </c>
      <c r="K1053" s="33" t="s">
        <v>6</v>
      </c>
      <c r="L1053" s="46"/>
      <c r="M1053" s="120"/>
      <c r="N1053" s="120"/>
      <c r="O1053" s="120"/>
      <c r="P1053" s="122"/>
      <c r="Q1053" s="122"/>
      <c r="R1053" s="204"/>
      <c r="S1053" s="204"/>
    </row>
    <row r="1054" spans="1:19" s="61" customFormat="1">
      <c r="A1054" s="240"/>
      <c r="B1054" s="242"/>
      <c r="C1054" s="43" t="s">
        <v>497</v>
      </c>
      <c r="D1054" s="62">
        <v>10</v>
      </c>
      <c r="E1054" s="33" t="str">
        <f t="shared" ref="E1054:E1056" si="882">(MID(E1053,SEARCH(":",E1053)+1,2)-1) &amp; ":" &amp; (MID(E1053,SEARCH(":",E1053)+1,2)-D1054)</f>
        <v>15:6</v>
      </c>
      <c r="F1054" s="30" t="s">
        <v>474</v>
      </c>
      <c r="G1054" s="30" t="s">
        <v>474</v>
      </c>
      <c r="H1054" s="64" t="s">
        <v>475</v>
      </c>
      <c r="I1054" s="30" t="s">
        <v>68</v>
      </c>
      <c r="J1054" s="32" t="s">
        <v>36</v>
      </c>
      <c r="K1054" s="33" t="s">
        <v>6</v>
      </c>
      <c r="L1054" s="46"/>
      <c r="M1054" s="120"/>
      <c r="N1054" s="120"/>
      <c r="O1054" s="120"/>
      <c r="P1054" s="122"/>
      <c r="Q1054" s="122"/>
      <c r="R1054" s="204"/>
      <c r="S1054" s="204"/>
    </row>
    <row r="1055" spans="1:19" s="61" customFormat="1">
      <c r="A1055" s="240"/>
      <c r="B1055" s="242"/>
      <c r="C1055" s="43" t="s">
        <v>498</v>
      </c>
      <c r="D1055" s="62">
        <v>1</v>
      </c>
      <c r="E1055" s="33" t="str">
        <f t="shared" si="882"/>
        <v>5:5</v>
      </c>
      <c r="F1055" s="30" t="s">
        <v>269</v>
      </c>
      <c r="G1055" s="30" t="s">
        <v>7</v>
      </c>
      <c r="H1055" s="65" t="s">
        <v>477</v>
      </c>
      <c r="I1055" s="30" t="s">
        <v>68</v>
      </c>
      <c r="J1055" s="32" t="s">
        <v>36</v>
      </c>
      <c r="K1055" s="33" t="s">
        <v>6</v>
      </c>
      <c r="L1055" s="46"/>
      <c r="M1055" s="120"/>
      <c r="N1055" s="120"/>
      <c r="O1055" s="120"/>
      <c r="P1055" s="122"/>
      <c r="Q1055" s="122"/>
      <c r="R1055" s="204"/>
      <c r="S1055" s="204"/>
    </row>
    <row r="1056" spans="1:19" s="61" customFormat="1" ht="15" thickBot="1">
      <c r="A1056" s="240"/>
      <c r="B1056" s="242"/>
      <c r="C1056" s="43" t="s">
        <v>499</v>
      </c>
      <c r="D1056" s="62">
        <v>5</v>
      </c>
      <c r="E1056" s="33" t="str">
        <f t="shared" si="882"/>
        <v>4:0</v>
      </c>
      <c r="F1056" s="30" t="s">
        <v>434</v>
      </c>
      <c r="G1056" s="30" t="s">
        <v>434</v>
      </c>
      <c r="H1056" s="65" t="s">
        <v>479</v>
      </c>
      <c r="I1056" s="30" t="s">
        <v>68</v>
      </c>
      <c r="J1056" s="32" t="s">
        <v>36</v>
      </c>
      <c r="K1056" s="33" t="s">
        <v>6</v>
      </c>
      <c r="L1056" s="46"/>
      <c r="M1056" s="120"/>
      <c r="N1056" s="120"/>
      <c r="O1056" s="120"/>
      <c r="P1056" s="122"/>
      <c r="Q1056" s="122"/>
      <c r="R1056" s="210"/>
      <c r="S1056" s="210"/>
    </row>
    <row r="1057" spans="1:19" s="61" customFormat="1">
      <c r="A1057" s="239" t="s">
        <v>596</v>
      </c>
      <c r="B1057" s="241" t="str">
        <f t="shared" ref="B1057" si="883">DEC2HEX(P1057*4)</f>
        <v>58</v>
      </c>
      <c r="C1057" s="56" t="s">
        <v>383</v>
      </c>
      <c r="D1057" s="129" t="str">
        <f>bitConcat(F1058:F1061)</f>
        <v>32'b00000000000000000000000000000000</v>
      </c>
      <c r="E1057" s="130"/>
      <c r="F1057" s="130"/>
      <c r="G1057" s="205"/>
      <c r="H1057" s="73" t="s">
        <v>384</v>
      </c>
      <c r="I1057" s="74"/>
      <c r="J1057" s="202" t="str">
        <f>bitConcat(G1058:G1061)</f>
        <v>32'b00000000000000000000000000000000</v>
      </c>
      <c r="K1057" s="131"/>
      <c r="L1057" s="132"/>
      <c r="M1057" s="119" t="str">
        <f t="shared" ref="M1057" si="884">DEC2HEX(_xlfn.BITLSHIFT(O1057,7)+4*P1057)</f>
        <v>358</v>
      </c>
      <c r="N1057" s="119" t="s">
        <v>385</v>
      </c>
      <c r="O1057" s="119">
        <v>6</v>
      </c>
      <c r="P1057" s="121">
        <v>22</v>
      </c>
      <c r="Q1057" s="121" t="str">
        <f>DEC2HEX(_xlfn.BITLSHIFT(O1057,5)+P1057)</f>
        <v>D6</v>
      </c>
      <c r="R1057" s="203" t="str">
        <f>BIN2HEX(LEFT(RIGHT(D1057,32),4))&amp;BIN2HEX(LEFT(RIGHT(D1057,28),4))&amp;BIN2HEX(LEFT(RIGHT(D1057,24),4))&amp;BIN2HEX(LEFT(RIGHT(D1057,20),4))&amp;BIN2HEX(LEFT(RIGHT(D1057,16),4))&amp;BIN2HEX(LEFT(RIGHT(D1057,12),4))&amp;BIN2HEX(LEFT(RIGHT(D1057,8),4))&amp;BIN2HEX(LEFT(RIGHT(D1057,4),4))</f>
        <v>00000000</v>
      </c>
      <c r="S1057" s="203" t="str">
        <f t="shared" ref="S1057" si="885">BIN2HEX(LEFT(RIGHT(J1057,32),4))&amp;BIN2HEX(LEFT(RIGHT(J1057,28),4))&amp;BIN2HEX(LEFT(RIGHT(J1057,24),4))&amp;BIN2HEX(LEFT(RIGHT(J1057,20),4))&amp;BIN2HEX(LEFT(RIGHT(J1057,16),4))&amp;BIN2HEX(LEFT(RIGHT(J1057,12),4))&amp;BIN2HEX(LEFT(RIGHT(J1057,8),4))&amp;BIN2HEX(LEFT(RIGHT(J1057,4),4))</f>
        <v>00000000</v>
      </c>
    </row>
    <row r="1058" spans="1:19" s="61" customFormat="1" ht="15.75" customHeight="1">
      <c r="A1058" s="240"/>
      <c r="B1058" s="242"/>
      <c r="C1058" s="43" t="s">
        <v>501</v>
      </c>
      <c r="D1058" s="62">
        <v>8</v>
      </c>
      <c r="E1058" s="70" t="str">
        <f>IF(D1058&gt;1,(31)&amp;":"&amp;(31-D1058+1),(31-D1058+1)&amp;":"&amp;(31-D1058+1))</f>
        <v>31:24</v>
      </c>
      <c r="F1058" s="30" t="s">
        <v>133</v>
      </c>
      <c r="G1058" s="30" t="s">
        <v>133</v>
      </c>
      <c r="H1058" s="64" t="s">
        <v>448</v>
      </c>
      <c r="I1058" s="30" t="s">
        <v>68</v>
      </c>
      <c r="J1058" s="32" t="s">
        <v>36</v>
      </c>
      <c r="K1058" s="33" t="s">
        <v>6</v>
      </c>
      <c r="L1058" s="46"/>
      <c r="M1058" s="120"/>
      <c r="N1058" s="120"/>
      <c r="O1058" s="120"/>
      <c r="P1058" s="122"/>
      <c r="Q1058" s="122"/>
      <c r="R1058" s="204"/>
      <c r="S1058" s="204"/>
    </row>
    <row r="1059" spans="1:19" s="61" customFormat="1" ht="15.75" customHeight="1">
      <c r="A1059" s="240"/>
      <c r="B1059" s="242"/>
      <c r="C1059" s="43" t="s">
        <v>502</v>
      </c>
      <c r="D1059" s="62">
        <v>8</v>
      </c>
      <c r="E1059" s="33" t="str">
        <f t="shared" ref="E1059" si="886">(MID(E1058,SEARCH(":",E1058)+1,2)-1) &amp; ":" &amp; (MID(E1058,SEARCH(":",E1058)+1,2)-D1059)</f>
        <v>23:16</v>
      </c>
      <c r="F1059" s="30" t="s">
        <v>133</v>
      </c>
      <c r="G1059" s="30" t="s">
        <v>133</v>
      </c>
      <c r="H1059" s="64" t="s">
        <v>450</v>
      </c>
      <c r="I1059" s="30" t="s">
        <v>68</v>
      </c>
      <c r="J1059" s="32" t="s">
        <v>36</v>
      </c>
      <c r="K1059" s="33" t="s">
        <v>6</v>
      </c>
      <c r="L1059" s="46"/>
      <c r="M1059" s="120"/>
      <c r="N1059" s="120"/>
      <c r="O1059" s="120"/>
      <c r="P1059" s="122"/>
      <c r="Q1059" s="122"/>
      <c r="R1059" s="204"/>
      <c r="S1059" s="204"/>
    </row>
    <row r="1060" spans="1:19" s="61" customFormat="1" ht="15.75" customHeight="1">
      <c r="A1060" s="240"/>
      <c r="B1060" s="242"/>
      <c r="C1060" s="43" t="s">
        <v>503</v>
      </c>
      <c r="D1060" s="62">
        <v>8</v>
      </c>
      <c r="E1060" s="33" t="str">
        <f>(MID(E1059,SEARCH(":",E1059)+1,2)-1) &amp; ":" &amp; (MID(E1059,SEARCH(":",E1059)+1,2)-D1060)</f>
        <v>15:8</v>
      </c>
      <c r="F1060" s="30" t="s">
        <v>133</v>
      </c>
      <c r="G1060" s="30" t="s">
        <v>133</v>
      </c>
      <c r="H1060" s="64" t="s">
        <v>452</v>
      </c>
      <c r="I1060" s="30" t="s">
        <v>68</v>
      </c>
      <c r="J1060" s="32" t="s">
        <v>36</v>
      </c>
      <c r="K1060" s="33" t="s">
        <v>6</v>
      </c>
      <c r="L1060" s="46"/>
      <c r="M1060" s="120"/>
      <c r="N1060" s="120"/>
      <c r="O1060" s="120"/>
      <c r="P1060" s="122"/>
      <c r="Q1060" s="122"/>
      <c r="R1060" s="204"/>
      <c r="S1060" s="204"/>
    </row>
    <row r="1061" spans="1:19" s="61" customFormat="1" ht="15" thickBot="1">
      <c r="A1061" s="240"/>
      <c r="B1061" s="242"/>
      <c r="C1061" s="43" t="s">
        <v>504</v>
      </c>
      <c r="D1061" s="62">
        <v>8</v>
      </c>
      <c r="E1061" s="33" t="str">
        <f>(MID(E1060,SEARCH(":",E1060)+1,2)-1) &amp; ":" &amp; (MID(E1060,SEARCH(":",E1060)+1,2)-D1061)</f>
        <v>7:0</v>
      </c>
      <c r="F1061" s="30" t="s">
        <v>133</v>
      </c>
      <c r="G1061" s="30" t="s">
        <v>133</v>
      </c>
      <c r="H1061" s="64" t="s">
        <v>454</v>
      </c>
      <c r="I1061" s="30" t="s">
        <v>68</v>
      </c>
      <c r="J1061" s="32" t="s">
        <v>36</v>
      </c>
      <c r="K1061" s="33" t="s">
        <v>6</v>
      </c>
      <c r="L1061" s="46"/>
      <c r="M1061" s="120"/>
      <c r="N1061" s="120"/>
      <c r="O1061" s="120"/>
      <c r="P1061" s="122"/>
      <c r="Q1061" s="122"/>
      <c r="R1061" s="210"/>
      <c r="S1061" s="210"/>
    </row>
    <row r="1062" spans="1:19" s="61" customFormat="1">
      <c r="A1062" s="240" t="s">
        <v>597</v>
      </c>
      <c r="B1062" s="241" t="str">
        <f t="shared" ref="B1062" si="887">DEC2HEX(P1062*4)</f>
        <v>5C</v>
      </c>
      <c r="C1062" s="56" t="s">
        <v>383</v>
      </c>
      <c r="D1062" s="129" t="str">
        <f>bitConcat(F1063:F1064)</f>
        <v>32'b00000000000000000000000000000000</v>
      </c>
      <c r="E1062" s="130"/>
      <c r="F1062" s="130"/>
      <c r="G1062" s="205"/>
      <c r="H1062" s="73" t="s">
        <v>384</v>
      </c>
      <c r="I1062" s="74"/>
      <c r="J1062" s="202" t="str">
        <f>bitConcat(G1063:G1064)</f>
        <v>32'b00000000000000000000000000000000</v>
      </c>
      <c r="K1062" s="131"/>
      <c r="L1062" s="132"/>
      <c r="M1062" s="119" t="str">
        <f t="shared" ref="M1062" si="888">DEC2HEX(_xlfn.BITLSHIFT(O1062,7)+4*P1062)</f>
        <v>35C</v>
      </c>
      <c r="N1062" s="120" t="s">
        <v>385</v>
      </c>
      <c r="O1062" s="120">
        <v>6</v>
      </c>
      <c r="P1062" s="122">
        <v>23</v>
      </c>
      <c r="Q1062" s="121" t="str">
        <f>DEC2HEX(_xlfn.BITLSHIFT(O1062,5)+P1062)</f>
        <v>D7</v>
      </c>
      <c r="R1062" s="203" t="str">
        <f>BIN2HEX(LEFT(RIGHT(D1062,32),4))&amp;BIN2HEX(LEFT(RIGHT(D1062,28),4))&amp;BIN2HEX(LEFT(RIGHT(D1062,24),4))&amp;BIN2HEX(LEFT(RIGHT(D1062,20),4))&amp;BIN2HEX(LEFT(RIGHT(D1062,16),4))&amp;BIN2HEX(LEFT(RIGHT(D1062,12),4))&amp;BIN2HEX(LEFT(RIGHT(D1062,8),4))&amp;BIN2HEX(LEFT(RIGHT(D1062,4),4))</f>
        <v>00000000</v>
      </c>
      <c r="S1062" s="203" t="str">
        <f t="shared" ref="S1062" si="889">BIN2HEX(LEFT(RIGHT(J1062,32),4))&amp;BIN2HEX(LEFT(RIGHT(J1062,28),4))&amp;BIN2HEX(LEFT(RIGHT(J1062,24),4))&amp;BIN2HEX(LEFT(RIGHT(J1062,20),4))&amp;BIN2HEX(LEFT(RIGHT(J1062,16),4))&amp;BIN2HEX(LEFT(RIGHT(J1062,12),4))&amp;BIN2HEX(LEFT(RIGHT(J1062,8),4))&amp;BIN2HEX(LEFT(RIGHT(J1062,4),4))</f>
        <v>00000000</v>
      </c>
    </row>
    <row r="1063" spans="1:19" s="61" customFormat="1">
      <c r="A1063" s="240"/>
      <c r="B1063" s="242"/>
      <c r="C1063" s="43" t="s">
        <v>506</v>
      </c>
      <c r="D1063" s="62">
        <v>16</v>
      </c>
      <c r="E1063" s="70" t="str">
        <f>IF(D1063&gt;1,(31)&amp;":"&amp;(31-D1063+1),(31-D1063+1)&amp;":"&amp;(31-D1063+1))</f>
        <v>31:16</v>
      </c>
      <c r="F1063" s="30" t="s">
        <v>457</v>
      </c>
      <c r="G1063" s="30" t="s">
        <v>457</v>
      </c>
      <c r="H1063" s="64" t="s">
        <v>507</v>
      </c>
      <c r="I1063" s="30" t="s">
        <v>68</v>
      </c>
      <c r="J1063" s="32" t="s">
        <v>36</v>
      </c>
      <c r="K1063" s="33" t="s">
        <v>6</v>
      </c>
      <c r="L1063" s="46"/>
      <c r="M1063" s="120"/>
      <c r="N1063" s="120"/>
      <c r="O1063" s="120"/>
      <c r="P1063" s="122"/>
      <c r="Q1063" s="122"/>
      <c r="R1063" s="204"/>
      <c r="S1063" s="204"/>
    </row>
    <row r="1064" spans="1:19" s="61" customFormat="1" ht="15" thickBot="1">
      <c r="A1064" s="240"/>
      <c r="B1064" s="242"/>
      <c r="C1064" s="43" t="s">
        <v>557</v>
      </c>
      <c r="D1064" s="62">
        <v>16</v>
      </c>
      <c r="E1064" s="33" t="str">
        <f>(MID(E1063,SEARCH(":",E1063)+1,2)-1) &amp; ":" &amp; (MID(E1063,SEARCH(":",E1063)+1,2)-D1064)</f>
        <v>15:0</v>
      </c>
      <c r="F1064" s="30" t="s">
        <v>457</v>
      </c>
      <c r="G1064" s="30" t="s">
        <v>457</v>
      </c>
      <c r="H1064" s="65" t="s">
        <v>406</v>
      </c>
      <c r="I1064" s="30" t="s">
        <v>68</v>
      </c>
      <c r="J1064" s="32" t="s">
        <v>36</v>
      </c>
      <c r="K1064" s="33" t="s">
        <v>6</v>
      </c>
      <c r="L1064" s="46"/>
      <c r="M1064" s="120"/>
      <c r="N1064" s="120"/>
      <c r="O1064" s="120"/>
      <c r="P1064" s="122"/>
      <c r="Q1064" s="122"/>
      <c r="R1064" s="210"/>
      <c r="S1064" s="210"/>
    </row>
    <row r="1065" spans="1:19" s="61" customFormat="1">
      <c r="A1065" s="240" t="s">
        <v>598</v>
      </c>
      <c r="B1065" s="241" t="str">
        <f t="shared" ref="B1065" si="890">DEC2HEX(P1065*4)</f>
        <v>60</v>
      </c>
      <c r="C1065" s="56" t="s">
        <v>383</v>
      </c>
      <c r="D1065" s="129" t="str">
        <f>bitConcat(F1066:F1071)</f>
        <v>32'b00000000101100110001100000100000</v>
      </c>
      <c r="E1065" s="130"/>
      <c r="F1065" s="130"/>
      <c r="G1065" s="205"/>
      <c r="H1065" s="73" t="s">
        <v>384</v>
      </c>
      <c r="I1065" s="74"/>
      <c r="J1065" s="202" t="str">
        <f>bitConcat(G1066:G1071)</f>
        <v>32'b00000000000000000001100000000000</v>
      </c>
      <c r="K1065" s="131"/>
      <c r="L1065" s="132"/>
      <c r="M1065" s="119" t="str">
        <f t="shared" ref="M1065" si="891">DEC2HEX(_xlfn.BITLSHIFT(O1065,7)+4*P1065)</f>
        <v>360</v>
      </c>
      <c r="N1065" s="120" t="s">
        <v>385</v>
      </c>
      <c r="O1065" s="120">
        <v>6</v>
      </c>
      <c r="P1065" s="122">
        <v>24</v>
      </c>
      <c r="Q1065" s="121" t="str">
        <f t="shared" ref="Q1065" si="892">DEC2HEX(_xlfn.BITLSHIFT(O1065,5)+P1065*4)</f>
        <v>120</v>
      </c>
      <c r="R1065" s="203" t="str">
        <f>BIN2HEX(LEFT(RIGHT(D1065,32),4))&amp;BIN2HEX(LEFT(RIGHT(D1065,28),4))&amp;BIN2HEX(LEFT(RIGHT(D1065,24),4))&amp;BIN2HEX(LEFT(RIGHT(D1065,20),4))&amp;BIN2HEX(LEFT(RIGHT(D1065,16),4))&amp;BIN2HEX(LEFT(RIGHT(D1065,12),4))&amp;BIN2HEX(LEFT(RIGHT(D1065,8),4))&amp;BIN2HEX(LEFT(RIGHT(D1065,4),4))</f>
        <v>00B31820</v>
      </c>
      <c r="S1065" s="203" t="str">
        <f t="shared" ref="S1065" si="893">BIN2HEX(LEFT(RIGHT(J1065,32),4))&amp;BIN2HEX(LEFT(RIGHT(J1065,28),4))&amp;BIN2HEX(LEFT(RIGHT(J1065,24),4))&amp;BIN2HEX(LEFT(RIGHT(J1065,20),4))&amp;BIN2HEX(LEFT(RIGHT(J1065,16),4))&amp;BIN2HEX(LEFT(RIGHT(J1065,12),4))&amp;BIN2HEX(LEFT(RIGHT(J1065,8),4))&amp;BIN2HEX(LEFT(RIGHT(J1065,4),4))</f>
        <v>00001800</v>
      </c>
    </row>
    <row r="1066" spans="1:19" s="61" customFormat="1" ht="15.75" customHeight="1">
      <c r="A1066" s="240"/>
      <c r="B1066" s="242"/>
      <c r="C1066" s="43" t="s">
        <v>514</v>
      </c>
      <c r="D1066" s="62">
        <v>8</v>
      </c>
      <c r="E1066" s="70" t="str">
        <f>IF(D1066&gt;1,(31)&amp;":"&amp;(31-D1066+1),(31-D1066+1)&amp;":"&amp;(31-D1066+1))</f>
        <v>31:24</v>
      </c>
      <c r="F1066" s="30" t="s">
        <v>133</v>
      </c>
      <c r="G1066" s="30" t="s">
        <v>133</v>
      </c>
      <c r="H1066" s="64" t="s">
        <v>469</v>
      </c>
      <c r="I1066" s="30" t="s">
        <v>68</v>
      </c>
      <c r="J1066" s="32" t="s">
        <v>36</v>
      </c>
      <c r="K1066" s="33" t="s">
        <v>6</v>
      </c>
      <c r="L1066" s="46"/>
      <c r="M1066" s="120"/>
      <c r="N1066" s="120"/>
      <c r="O1066" s="120"/>
      <c r="P1066" s="122"/>
      <c r="Q1066" s="122"/>
      <c r="R1066" s="204"/>
      <c r="S1066" s="204"/>
    </row>
    <row r="1067" spans="1:19" s="61" customFormat="1">
      <c r="A1067" s="240"/>
      <c r="B1067" s="242"/>
      <c r="C1067" s="43" t="s">
        <v>515</v>
      </c>
      <c r="D1067" s="62">
        <v>8</v>
      </c>
      <c r="E1067" s="33" t="str">
        <f>(MID(E1066,SEARCH(":",E1066)+1,2)-1) &amp; ":" &amp; (MID(E1066,SEARCH(":",E1066)+1,2)-D1067)</f>
        <v>23:16</v>
      </c>
      <c r="F1067" s="30" t="s">
        <v>471</v>
      </c>
      <c r="G1067" s="30" t="s">
        <v>133</v>
      </c>
      <c r="H1067" s="65" t="s">
        <v>472</v>
      </c>
      <c r="I1067" s="30" t="s">
        <v>68</v>
      </c>
      <c r="J1067" s="32" t="s">
        <v>36</v>
      </c>
      <c r="K1067" s="33" t="s">
        <v>6</v>
      </c>
      <c r="L1067" s="46"/>
      <c r="M1067" s="120"/>
      <c r="N1067" s="120"/>
      <c r="O1067" s="120"/>
      <c r="P1067" s="122"/>
      <c r="Q1067" s="122"/>
      <c r="R1067" s="204"/>
      <c r="S1067" s="204"/>
    </row>
    <row r="1068" spans="1:19" s="61" customFormat="1">
      <c r="A1068" s="240"/>
      <c r="B1068" s="242"/>
      <c r="C1068" s="43" t="s">
        <v>516</v>
      </c>
      <c r="D1068" s="62">
        <v>10</v>
      </c>
      <c r="E1068" s="33" t="str">
        <f t="shared" ref="E1068:E1070" si="894">(MID(E1067,SEARCH(":",E1067)+1,2)-1) &amp; ":" &amp; (MID(E1067,SEARCH(":",E1067)+1,2)-D1068)</f>
        <v>15:6</v>
      </c>
      <c r="F1068" s="30" t="s">
        <v>474</v>
      </c>
      <c r="G1068" s="30" t="s">
        <v>474</v>
      </c>
      <c r="H1068" s="64" t="s">
        <v>475</v>
      </c>
      <c r="I1068" s="30" t="s">
        <v>68</v>
      </c>
      <c r="J1068" s="32" t="s">
        <v>36</v>
      </c>
      <c r="K1068" s="33" t="s">
        <v>6</v>
      </c>
      <c r="L1068" s="46"/>
      <c r="M1068" s="120"/>
      <c r="N1068" s="120"/>
      <c r="O1068" s="120"/>
      <c r="P1068" s="122"/>
      <c r="Q1068" s="122"/>
      <c r="R1068" s="204"/>
      <c r="S1068" s="204"/>
    </row>
    <row r="1069" spans="1:19" s="61" customFormat="1" ht="15.75" customHeight="1">
      <c r="A1069" s="240"/>
      <c r="B1069" s="242"/>
      <c r="C1069" s="43" t="s">
        <v>517</v>
      </c>
      <c r="D1069" s="62">
        <v>1</v>
      </c>
      <c r="E1069" s="33" t="str">
        <f t="shared" si="894"/>
        <v>5:5</v>
      </c>
      <c r="F1069" s="30" t="s">
        <v>269</v>
      </c>
      <c r="G1069" s="30" t="s">
        <v>7</v>
      </c>
      <c r="H1069" s="65" t="s">
        <v>477</v>
      </c>
      <c r="I1069" s="30" t="s">
        <v>68</v>
      </c>
      <c r="J1069" s="32" t="s">
        <v>36</v>
      </c>
      <c r="K1069" s="33" t="s">
        <v>6</v>
      </c>
      <c r="L1069" s="46"/>
      <c r="M1069" s="120"/>
      <c r="N1069" s="120"/>
      <c r="O1069" s="120"/>
      <c r="P1069" s="122"/>
      <c r="Q1069" s="122"/>
      <c r="R1069" s="204"/>
      <c r="S1069" s="204"/>
    </row>
    <row r="1070" spans="1:19" s="61" customFormat="1" ht="15" thickBot="1">
      <c r="A1070" s="240"/>
      <c r="B1070" s="242"/>
      <c r="C1070" s="43" t="s">
        <v>518</v>
      </c>
      <c r="D1070" s="62">
        <v>5</v>
      </c>
      <c r="E1070" s="33" t="str">
        <f t="shared" si="894"/>
        <v>4:0</v>
      </c>
      <c r="F1070" s="30" t="s">
        <v>434</v>
      </c>
      <c r="G1070" s="30" t="s">
        <v>434</v>
      </c>
      <c r="H1070" s="65" t="s">
        <v>479</v>
      </c>
      <c r="I1070" s="30" t="s">
        <v>68</v>
      </c>
      <c r="J1070" s="32" t="s">
        <v>36</v>
      </c>
      <c r="K1070" s="33" t="s">
        <v>6</v>
      </c>
      <c r="L1070" s="46"/>
      <c r="M1070" s="120"/>
      <c r="N1070" s="120"/>
      <c r="O1070" s="120"/>
      <c r="P1070" s="122"/>
      <c r="Q1070" s="122"/>
      <c r="R1070" s="210"/>
      <c r="S1070" s="210"/>
    </row>
    <row r="1071" spans="1:19" s="61" customFormat="1">
      <c r="A1071" s="239" t="s">
        <v>599</v>
      </c>
      <c r="B1071" s="241" t="str">
        <f t="shared" ref="B1071" si="895">DEC2HEX(P1071*4)</f>
        <v>64</v>
      </c>
      <c r="C1071" s="56" t="s">
        <v>383</v>
      </c>
      <c r="D1071" s="129" t="str">
        <f>bitConcat(F1072:F1075)</f>
        <v>32'b00000000000000000000000000000000</v>
      </c>
      <c r="E1071" s="130"/>
      <c r="F1071" s="130"/>
      <c r="G1071" s="205"/>
      <c r="H1071" s="73" t="s">
        <v>384</v>
      </c>
      <c r="I1071" s="74"/>
      <c r="J1071" s="202" t="str">
        <f>bitConcat(G1072:G1075)</f>
        <v>32'b00000000000000000000000000000000</v>
      </c>
      <c r="K1071" s="131"/>
      <c r="L1071" s="132"/>
      <c r="M1071" s="119" t="str">
        <f t="shared" ref="M1071" si="896">DEC2HEX(_xlfn.BITLSHIFT(O1071,7)+4*P1071)</f>
        <v>364</v>
      </c>
      <c r="N1071" s="119" t="s">
        <v>385</v>
      </c>
      <c r="O1071" s="119">
        <v>6</v>
      </c>
      <c r="P1071" s="121">
        <v>25</v>
      </c>
      <c r="Q1071" s="121" t="str">
        <f>DEC2HEX(_xlfn.BITLSHIFT(O1071,5)+P1071)</f>
        <v>D9</v>
      </c>
      <c r="R1071" s="203" t="str">
        <f>BIN2HEX(LEFT(RIGHT(D1071,32),4))&amp;BIN2HEX(LEFT(RIGHT(D1071,28),4))&amp;BIN2HEX(LEFT(RIGHT(D1071,24),4))&amp;BIN2HEX(LEFT(RIGHT(D1071,20),4))&amp;BIN2HEX(LEFT(RIGHT(D1071,16),4))&amp;BIN2HEX(LEFT(RIGHT(D1071,12),4))&amp;BIN2HEX(LEFT(RIGHT(D1071,8),4))&amp;BIN2HEX(LEFT(RIGHT(D1071,4),4))</f>
        <v>00000000</v>
      </c>
      <c r="S1071" s="203" t="str">
        <f t="shared" ref="S1071" si="897">BIN2HEX(LEFT(RIGHT(J1071,32),4))&amp;BIN2HEX(LEFT(RIGHT(J1071,28),4))&amp;BIN2HEX(LEFT(RIGHT(J1071,24),4))&amp;BIN2HEX(LEFT(RIGHT(J1071,20),4))&amp;BIN2HEX(LEFT(RIGHT(J1071,16),4))&amp;BIN2HEX(LEFT(RIGHT(J1071,12),4))&amp;BIN2HEX(LEFT(RIGHT(J1071,8),4))&amp;BIN2HEX(LEFT(RIGHT(J1071,4),4))</f>
        <v>00000000</v>
      </c>
    </row>
    <row r="1072" spans="1:19" s="61" customFormat="1">
      <c r="A1072" s="240"/>
      <c r="B1072" s="242"/>
      <c r="C1072" s="43" t="s">
        <v>520</v>
      </c>
      <c r="D1072" s="62">
        <v>8</v>
      </c>
      <c r="E1072" s="70" t="str">
        <f>IF(D1072&gt;1,(31)&amp;":"&amp;(31-D1072+1),(31-D1072+1)&amp;":"&amp;(31-D1072+1))</f>
        <v>31:24</v>
      </c>
      <c r="F1072" s="30" t="s">
        <v>133</v>
      </c>
      <c r="G1072" s="30" t="s">
        <v>133</v>
      </c>
      <c r="H1072" s="64" t="s">
        <v>448</v>
      </c>
      <c r="I1072" s="30" t="s">
        <v>68</v>
      </c>
      <c r="J1072" s="32" t="s">
        <v>36</v>
      </c>
      <c r="K1072" s="33" t="s">
        <v>6</v>
      </c>
      <c r="L1072" s="46"/>
      <c r="M1072" s="120"/>
      <c r="N1072" s="120"/>
      <c r="O1072" s="120"/>
      <c r="P1072" s="122"/>
      <c r="Q1072" s="122"/>
      <c r="R1072" s="204"/>
      <c r="S1072" s="204"/>
    </row>
    <row r="1073" spans="1:19" s="61" customFormat="1">
      <c r="A1073" s="240"/>
      <c r="B1073" s="242"/>
      <c r="C1073" s="43" t="s">
        <v>521</v>
      </c>
      <c r="D1073" s="62">
        <v>8</v>
      </c>
      <c r="E1073" s="33" t="str">
        <f t="shared" ref="E1073" si="898">(MID(E1072,SEARCH(":",E1072)+1,2)-1) &amp; ":" &amp; (MID(E1072,SEARCH(":",E1072)+1,2)-D1073)</f>
        <v>23:16</v>
      </c>
      <c r="F1073" s="30" t="s">
        <v>133</v>
      </c>
      <c r="G1073" s="30" t="s">
        <v>133</v>
      </c>
      <c r="H1073" s="64" t="s">
        <v>450</v>
      </c>
      <c r="I1073" s="30" t="s">
        <v>68</v>
      </c>
      <c r="J1073" s="32" t="s">
        <v>36</v>
      </c>
      <c r="K1073" s="33" t="s">
        <v>6</v>
      </c>
      <c r="L1073" s="46"/>
      <c r="M1073" s="120"/>
      <c r="N1073" s="120"/>
      <c r="O1073" s="120"/>
      <c r="P1073" s="122"/>
      <c r="Q1073" s="122"/>
      <c r="R1073" s="204"/>
      <c r="S1073" s="204"/>
    </row>
    <row r="1074" spans="1:19" s="61" customFormat="1">
      <c r="A1074" s="240"/>
      <c r="B1074" s="242"/>
      <c r="C1074" s="43" t="s">
        <v>522</v>
      </c>
      <c r="D1074" s="62">
        <v>8</v>
      </c>
      <c r="E1074" s="33" t="str">
        <f>(MID(E1073,SEARCH(":",E1073)+1,2)-1) &amp; ":" &amp; (MID(E1073,SEARCH(":",E1073)+1,2)-D1074)</f>
        <v>15:8</v>
      </c>
      <c r="F1074" s="30" t="s">
        <v>133</v>
      </c>
      <c r="G1074" s="30" t="s">
        <v>133</v>
      </c>
      <c r="H1074" s="64" t="s">
        <v>452</v>
      </c>
      <c r="I1074" s="30" t="s">
        <v>68</v>
      </c>
      <c r="J1074" s="32" t="s">
        <v>36</v>
      </c>
      <c r="K1074" s="33" t="s">
        <v>6</v>
      </c>
      <c r="L1074" s="46"/>
      <c r="M1074" s="120"/>
      <c r="N1074" s="120"/>
      <c r="O1074" s="120"/>
      <c r="P1074" s="122"/>
      <c r="Q1074" s="122"/>
      <c r="R1074" s="204"/>
      <c r="S1074" s="204"/>
    </row>
    <row r="1075" spans="1:19" s="61" customFormat="1" ht="15.75" customHeight="1" thickBot="1">
      <c r="A1075" s="240"/>
      <c r="B1075" s="242"/>
      <c r="C1075" s="43" t="s">
        <v>523</v>
      </c>
      <c r="D1075" s="62">
        <v>8</v>
      </c>
      <c r="E1075" s="33" t="str">
        <f>(MID(E1074,SEARCH(":",E1074)+1,2)-1) &amp; ":" &amp; (MID(E1074,SEARCH(":",E1074)+1,2)-D1075)</f>
        <v>7:0</v>
      </c>
      <c r="F1075" s="30" t="s">
        <v>133</v>
      </c>
      <c r="G1075" s="30" t="s">
        <v>133</v>
      </c>
      <c r="H1075" s="64" t="s">
        <v>454</v>
      </c>
      <c r="I1075" s="30" t="s">
        <v>68</v>
      </c>
      <c r="J1075" s="32" t="s">
        <v>36</v>
      </c>
      <c r="K1075" s="33" t="s">
        <v>6</v>
      </c>
      <c r="L1075" s="46"/>
      <c r="M1075" s="120"/>
      <c r="N1075" s="120"/>
      <c r="O1075" s="120"/>
      <c r="P1075" s="122"/>
      <c r="Q1075" s="122"/>
      <c r="R1075" s="210"/>
      <c r="S1075" s="210"/>
    </row>
    <row r="1076" spans="1:19" s="61" customFormat="1">
      <c r="A1076" s="240" t="s">
        <v>600</v>
      </c>
      <c r="B1076" s="241" t="str">
        <f t="shared" ref="B1076" si="899">DEC2HEX(P1076*4)</f>
        <v>68</v>
      </c>
      <c r="C1076" s="56" t="s">
        <v>383</v>
      </c>
      <c r="D1076" s="129" t="str">
        <f>bitConcat(F1077:F1078)</f>
        <v>32'b00000000000000000000000000000000</v>
      </c>
      <c r="E1076" s="130"/>
      <c r="F1076" s="130"/>
      <c r="G1076" s="205"/>
      <c r="H1076" s="73" t="s">
        <v>384</v>
      </c>
      <c r="I1076" s="74"/>
      <c r="J1076" s="202" t="str">
        <f>bitConcat(G1077:G1079)</f>
        <v>32'b00000000000000000000000000000000</v>
      </c>
      <c r="K1076" s="131"/>
      <c r="L1076" s="132"/>
      <c r="M1076" s="119" t="str">
        <f t="shared" ref="M1076" si="900">DEC2HEX(_xlfn.BITLSHIFT(O1076,7)+4*P1076)</f>
        <v>368</v>
      </c>
      <c r="N1076" s="120" t="s">
        <v>385</v>
      </c>
      <c r="O1076" s="120">
        <v>6</v>
      </c>
      <c r="P1076" s="122">
        <v>26</v>
      </c>
      <c r="Q1076" s="121" t="str">
        <f>DEC2HEX(_xlfn.BITLSHIFT(O1076,5)+P1076)</f>
        <v>DA</v>
      </c>
      <c r="R1076" s="203" t="str">
        <f>BIN2HEX(LEFT(RIGHT(D1076,32),4))&amp;BIN2HEX(LEFT(RIGHT(D1076,28),4))&amp;BIN2HEX(LEFT(RIGHT(D1076,24),4))&amp;BIN2HEX(LEFT(RIGHT(D1076,20),4))&amp;BIN2HEX(LEFT(RIGHT(D1076,16),4))&amp;BIN2HEX(LEFT(RIGHT(D1076,12),4))&amp;BIN2HEX(LEFT(RIGHT(D1076,8),4))&amp;BIN2HEX(LEFT(RIGHT(D1076,4),4))</f>
        <v>00000000</v>
      </c>
      <c r="S1076" s="203" t="str">
        <f t="shared" ref="S1076" si="901">BIN2HEX(LEFT(RIGHT(J1076,32),4))&amp;BIN2HEX(LEFT(RIGHT(J1076,28),4))&amp;BIN2HEX(LEFT(RIGHT(J1076,24),4))&amp;BIN2HEX(LEFT(RIGHT(J1076,20),4))&amp;BIN2HEX(LEFT(RIGHT(J1076,16),4))&amp;BIN2HEX(LEFT(RIGHT(J1076,12),4))&amp;BIN2HEX(LEFT(RIGHT(J1076,8),4))&amp;BIN2HEX(LEFT(RIGHT(J1076,4),4))</f>
        <v>00000000</v>
      </c>
    </row>
    <row r="1077" spans="1:19" s="61" customFormat="1">
      <c r="A1077" s="240"/>
      <c r="B1077" s="242"/>
      <c r="C1077" s="43" t="s">
        <v>525</v>
      </c>
      <c r="D1077" s="62">
        <v>16</v>
      </c>
      <c r="E1077" s="70" t="str">
        <f>IF(D1077&gt;1,(31)&amp;":"&amp;(31-D1077+1),(31-D1077+1)&amp;":"&amp;(31-D1077+1))</f>
        <v>31:16</v>
      </c>
      <c r="F1077" s="30" t="s">
        <v>457</v>
      </c>
      <c r="G1077" s="30" t="s">
        <v>457</v>
      </c>
      <c r="H1077" s="64" t="s">
        <v>526</v>
      </c>
      <c r="I1077" s="30" t="s">
        <v>68</v>
      </c>
      <c r="J1077" s="32" t="s">
        <v>36</v>
      </c>
      <c r="K1077" s="33" t="s">
        <v>6</v>
      </c>
      <c r="L1077" s="46"/>
      <c r="M1077" s="120"/>
      <c r="N1077" s="120"/>
      <c r="O1077" s="120"/>
      <c r="P1077" s="122"/>
      <c r="Q1077" s="122"/>
      <c r="R1077" s="204"/>
      <c r="S1077" s="204"/>
    </row>
    <row r="1078" spans="1:19" s="61" customFormat="1" ht="15" thickBot="1">
      <c r="A1078" s="240"/>
      <c r="B1078" s="242"/>
      <c r="C1078" s="43" t="s">
        <v>557</v>
      </c>
      <c r="D1078" s="62">
        <v>16</v>
      </c>
      <c r="E1078" s="33" t="str">
        <f>(MID(E1077,SEARCH(":",E1077)+1,2)-1) &amp; ":" &amp; (MID(E1077,SEARCH(":",E1077)+1,2)-D1078)</f>
        <v>15:0</v>
      </c>
      <c r="F1078" s="30" t="s">
        <v>457</v>
      </c>
      <c r="G1078" s="30" t="s">
        <v>457</v>
      </c>
      <c r="H1078" s="65" t="s">
        <v>406</v>
      </c>
      <c r="I1078" s="30" t="s">
        <v>68</v>
      </c>
      <c r="J1078" s="32" t="s">
        <v>36</v>
      </c>
      <c r="K1078" s="33" t="s">
        <v>6</v>
      </c>
      <c r="L1078" s="46"/>
      <c r="M1078" s="120"/>
      <c r="N1078" s="120"/>
      <c r="O1078" s="120"/>
      <c r="P1078" s="122"/>
      <c r="Q1078" s="122"/>
      <c r="R1078" s="210"/>
      <c r="S1078" s="210"/>
    </row>
    <row r="1079" spans="1:19" s="61" customFormat="1">
      <c r="A1079" s="240" t="s">
        <v>601</v>
      </c>
      <c r="B1079" s="241" t="str">
        <f t="shared" ref="B1079" si="902">DEC2HEX(P1079*4)</f>
        <v>6C</v>
      </c>
      <c r="C1079" s="56" t="s">
        <v>383</v>
      </c>
      <c r="D1079" s="129" t="str">
        <f>bitConcat(F1080:F1085)</f>
        <v>32'b00000000101100110001100000100000</v>
      </c>
      <c r="E1079" s="130"/>
      <c r="F1079" s="130"/>
      <c r="G1079" s="205"/>
      <c r="H1079" s="73" t="s">
        <v>384</v>
      </c>
      <c r="I1079" s="74"/>
      <c r="J1079" s="202" t="str">
        <f>bitConcat(G1080:G1085)</f>
        <v>32'b00000000000000000001100000000000</v>
      </c>
      <c r="K1079" s="131"/>
      <c r="L1079" s="132"/>
      <c r="M1079" s="119" t="str">
        <f t="shared" ref="M1079" si="903">DEC2HEX(_xlfn.BITLSHIFT(O1079,7)+4*P1079)</f>
        <v>36C</v>
      </c>
      <c r="N1079" s="120" t="s">
        <v>385</v>
      </c>
      <c r="O1079" s="120">
        <v>6</v>
      </c>
      <c r="P1079" s="122">
        <v>27</v>
      </c>
      <c r="Q1079" s="121" t="str">
        <f>DEC2HEX(_xlfn.BITLSHIFT(O1079,5)+P1079)</f>
        <v>DB</v>
      </c>
      <c r="R1079" s="203" t="str">
        <f>BIN2HEX(LEFT(RIGHT(D1079,32),4))&amp;BIN2HEX(LEFT(RIGHT(D1079,28),4))&amp;BIN2HEX(LEFT(RIGHT(D1079,24),4))&amp;BIN2HEX(LEFT(RIGHT(D1079,20),4))&amp;BIN2HEX(LEFT(RIGHT(D1079,16),4))&amp;BIN2HEX(LEFT(RIGHT(D1079,12),4))&amp;BIN2HEX(LEFT(RIGHT(D1079,8),4))&amp;BIN2HEX(LEFT(RIGHT(D1079,4),4))</f>
        <v>00B31820</v>
      </c>
      <c r="S1079" s="203" t="str">
        <f t="shared" ref="S1079" si="904">BIN2HEX(LEFT(RIGHT(J1079,32),4))&amp;BIN2HEX(LEFT(RIGHT(J1079,28),4))&amp;BIN2HEX(LEFT(RIGHT(J1079,24),4))&amp;BIN2HEX(LEFT(RIGHT(J1079,20),4))&amp;BIN2HEX(LEFT(RIGHT(J1079,16),4))&amp;BIN2HEX(LEFT(RIGHT(J1079,12),4))&amp;BIN2HEX(LEFT(RIGHT(J1079,8),4))&amp;BIN2HEX(LEFT(RIGHT(J1079,4),4))</f>
        <v>00001800</v>
      </c>
    </row>
    <row r="1080" spans="1:19" s="61" customFormat="1" ht="15.75" customHeight="1">
      <c r="A1080" s="240"/>
      <c r="B1080" s="242"/>
      <c r="C1080" s="43" t="s">
        <v>533</v>
      </c>
      <c r="D1080" s="62">
        <v>8</v>
      </c>
      <c r="E1080" s="70" t="str">
        <f>IF(D1080&gt;1,(31)&amp;":"&amp;(31-D1080+1),(31-D1080+1)&amp;":"&amp;(31-D1080+1))</f>
        <v>31:24</v>
      </c>
      <c r="F1080" s="30" t="s">
        <v>133</v>
      </c>
      <c r="G1080" s="30" t="s">
        <v>133</v>
      </c>
      <c r="H1080" s="64" t="s">
        <v>469</v>
      </c>
      <c r="I1080" s="30" t="s">
        <v>68</v>
      </c>
      <c r="J1080" s="32" t="s">
        <v>36</v>
      </c>
      <c r="K1080" s="33" t="s">
        <v>6</v>
      </c>
      <c r="L1080" s="46"/>
      <c r="M1080" s="120"/>
      <c r="N1080" s="120"/>
      <c r="O1080" s="120"/>
      <c r="P1080" s="122"/>
      <c r="Q1080" s="122"/>
      <c r="R1080" s="204"/>
      <c r="S1080" s="204"/>
    </row>
    <row r="1081" spans="1:19" s="61" customFormat="1" ht="15.75" customHeight="1">
      <c r="A1081" s="240"/>
      <c r="B1081" s="242"/>
      <c r="C1081" s="43" t="s">
        <v>534</v>
      </c>
      <c r="D1081" s="62">
        <v>8</v>
      </c>
      <c r="E1081" s="33" t="str">
        <f>(MID(E1080,SEARCH(":",E1080)+1,2)-1) &amp; ":" &amp; (MID(E1080,SEARCH(":",E1080)+1,2)-D1081)</f>
        <v>23:16</v>
      </c>
      <c r="F1081" s="30" t="s">
        <v>471</v>
      </c>
      <c r="G1081" s="30" t="s">
        <v>133</v>
      </c>
      <c r="H1081" s="65" t="s">
        <v>472</v>
      </c>
      <c r="I1081" s="30" t="s">
        <v>68</v>
      </c>
      <c r="J1081" s="32" t="s">
        <v>36</v>
      </c>
      <c r="K1081" s="33" t="s">
        <v>6</v>
      </c>
      <c r="L1081" s="46"/>
      <c r="M1081" s="120"/>
      <c r="N1081" s="120"/>
      <c r="O1081" s="120"/>
      <c r="P1081" s="122"/>
      <c r="Q1081" s="122"/>
      <c r="R1081" s="204"/>
      <c r="S1081" s="204"/>
    </row>
    <row r="1082" spans="1:19" s="61" customFormat="1" ht="15.75" customHeight="1">
      <c r="A1082" s="240"/>
      <c r="B1082" s="242"/>
      <c r="C1082" s="43" t="s">
        <v>535</v>
      </c>
      <c r="D1082" s="62">
        <v>10</v>
      </c>
      <c r="E1082" s="33" t="str">
        <f t="shared" ref="E1082:E1084" si="905">(MID(E1081,SEARCH(":",E1081)+1,2)-1) &amp; ":" &amp; (MID(E1081,SEARCH(":",E1081)+1,2)-D1082)</f>
        <v>15:6</v>
      </c>
      <c r="F1082" s="30" t="s">
        <v>474</v>
      </c>
      <c r="G1082" s="30" t="s">
        <v>474</v>
      </c>
      <c r="H1082" s="64" t="s">
        <v>475</v>
      </c>
      <c r="I1082" s="30" t="s">
        <v>68</v>
      </c>
      <c r="J1082" s="32" t="s">
        <v>36</v>
      </c>
      <c r="K1082" s="33" t="s">
        <v>6</v>
      </c>
      <c r="L1082" s="46"/>
      <c r="M1082" s="120"/>
      <c r="N1082" s="120"/>
      <c r="O1082" s="120"/>
      <c r="P1082" s="122"/>
      <c r="Q1082" s="122"/>
      <c r="R1082" s="204"/>
      <c r="S1082" s="204"/>
    </row>
    <row r="1083" spans="1:19" s="61" customFormat="1">
      <c r="A1083" s="240"/>
      <c r="B1083" s="242"/>
      <c r="C1083" s="43" t="s">
        <v>536</v>
      </c>
      <c r="D1083" s="62">
        <v>1</v>
      </c>
      <c r="E1083" s="33" t="str">
        <f t="shared" si="905"/>
        <v>5:5</v>
      </c>
      <c r="F1083" s="30" t="s">
        <v>269</v>
      </c>
      <c r="G1083" s="30" t="s">
        <v>7</v>
      </c>
      <c r="H1083" s="65" t="s">
        <v>477</v>
      </c>
      <c r="I1083" s="30" t="s">
        <v>68</v>
      </c>
      <c r="J1083" s="32" t="s">
        <v>36</v>
      </c>
      <c r="K1083" s="33" t="s">
        <v>6</v>
      </c>
      <c r="L1083" s="46"/>
      <c r="M1083" s="120"/>
      <c r="N1083" s="120"/>
      <c r="O1083" s="120"/>
      <c r="P1083" s="122"/>
      <c r="Q1083" s="122"/>
      <c r="R1083" s="204"/>
      <c r="S1083" s="204"/>
    </row>
    <row r="1084" spans="1:19" s="61" customFormat="1" ht="15" thickBot="1">
      <c r="A1084" s="240"/>
      <c r="B1084" s="242"/>
      <c r="C1084" s="43" t="s">
        <v>537</v>
      </c>
      <c r="D1084" s="62">
        <v>5</v>
      </c>
      <c r="E1084" s="33" t="str">
        <f t="shared" si="905"/>
        <v>4:0</v>
      </c>
      <c r="F1084" s="30" t="s">
        <v>434</v>
      </c>
      <c r="G1084" s="30" t="s">
        <v>434</v>
      </c>
      <c r="H1084" s="65" t="s">
        <v>479</v>
      </c>
      <c r="I1084" s="30" t="s">
        <v>68</v>
      </c>
      <c r="J1084" s="32" t="s">
        <v>36</v>
      </c>
      <c r="K1084" s="33" t="s">
        <v>6</v>
      </c>
      <c r="L1084" s="46"/>
      <c r="M1084" s="120"/>
      <c r="N1084" s="120"/>
      <c r="O1084" s="120"/>
      <c r="P1084" s="122"/>
      <c r="Q1084" s="122"/>
      <c r="R1084" s="210"/>
      <c r="S1084" s="210"/>
    </row>
    <row r="1085" spans="1:19" s="61" customFormat="1">
      <c r="A1085" s="243" t="s">
        <v>602</v>
      </c>
      <c r="B1085" s="245" t="str">
        <f t="shared" ref="B1085" si="906">DEC2HEX(P1085*4)</f>
        <v>70</v>
      </c>
      <c r="C1085" s="56" t="s">
        <v>383</v>
      </c>
      <c r="D1085" s="129" t="str">
        <f>bitConcat(F1086:F1093)</f>
        <v>32'b11110111110101001011000101001111</v>
      </c>
      <c r="E1085" s="130"/>
      <c r="F1085" s="130"/>
      <c r="G1085" s="205"/>
      <c r="H1085" s="73" t="s">
        <v>384</v>
      </c>
      <c r="I1085" s="74"/>
      <c r="J1085" s="202" t="str">
        <f>bitConcat(G1086:G1093)</f>
        <v>32'b11110111111110001000000010001111</v>
      </c>
      <c r="K1085" s="131"/>
      <c r="L1085" s="132"/>
      <c r="M1085" s="217" t="str">
        <f t="shared" ref="M1085" si="907">DEC2HEX(_xlfn.BITLSHIFT(O1085,7)+4*P1085)</f>
        <v>370</v>
      </c>
      <c r="N1085" s="170" t="s">
        <v>385</v>
      </c>
      <c r="O1085" s="170">
        <v>6</v>
      </c>
      <c r="P1085" s="171">
        <v>28</v>
      </c>
      <c r="Q1085" s="203" t="str">
        <f>DEC2HEX(_xlfn.BITLSHIFT(O1085,5)+P1085)</f>
        <v>DC</v>
      </c>
      <c r="R1085" s="203" t="str">
        <f>BIN2HEX(LEFT(RIGHT(D1085,32),4))&amp;BIN2HEX(LEFT(RIGHT(D1085,28),4))&amp;BIN2HEX(LEFT(RIGHT(D1085,24),4))&amp;BIN2HEX(LEFT(RIGHT(D1085,20),4))&amp;BIN2HEX(LEFT(RIGHT(D1085,16),4))&amp;BIN2HEX(LEFT(RIGHT(D1085,12),4))&amp;BIN2HEX(LEFT(RIGHT(D1085,8),4))&amp;BIN2HEX(LEFT(RIGHT(D1085,4),4))</f>
        <v>F7D4B14F</v>
      </c>
      <c r="S1085" s="203" t="str">
        <f t="shared" ref="S1085" si="908">BIN2HEX(LEFT(RIGHT(J1085,32),4))&amp;BIN2HEX(LEFT(RIGHT(J1085,28),4))&amp;BIN2HEX(LEFT(RIGHT(J1085,24),4))&amp;BIN2HEX(LEFT(RIGHT(J1085,20),4))&amp;BIN2HEX(LEFT(RIGHT(J1085,16),4))&amp;BIN2HEX(LEFT(RIGHT(J1085,12),4))&amp;BIN2HEX(LEFT(RIGHT(J1085,8),4))&amp;BIN2HEX(LEFT(RIGHT(J1085,4),4))</f>
        <v>F7F8808F</v>
      </c>
    </row>
    <row r="1086" spans="1:19" s="61" customFormat="1">
      <c r="A1086" s="244"/>
      <c r="B1086" s="246"/>
      <c r="C1086" s="43" t="s">
        <v>603</v>
      </c>
      <c r="D1086" s="62">
        <v>4</v>
      </c>
      <c r="E1086" s="70" t="str">
        <f>IF(D1086&gt;1,(31)&amp;":"&amp;(31-D1086+1),(31-D1086+1)&amp;":"&amp;(31-D1086+1))</f>
        <v>31:28</v>
      </c>
      <c r="F1086" s="30" t="s">
        <v>540</v>
      </c>
      <c r="G1086" s="30" t="s">
        <v>540</v>
      </c>
      <c r="H1086" s="64" t="s">
        <v>541</v>
      </c>
      <c r="I1086" s="30" t="s">
        <v>68</v>
      </c>
      <c r="J1086" s="32" t="s">
        <v>36</v>
      </c>
      <c r="K1086" s="33" t="s">
        <v>6</v>
      </c>
      <c r="L1086" s="46"/>
      <c r="M1086" s="218"/>
      <c r="N1086" s="218"/>
      <c r="O1086" s="218"/>
      <c r="P1086" s="225"/>
      <c r="Q1086" s="204"/>
      <c r="R1086" s="204"/>
      <c r="S1086" s="204"/>
    </row>
    <row r="1087" spans="1:19" s="61" customFormat="1">
      <c r="A1087" s="244"/>
      <c r="B1087" s="246"/>
      <c r="C1087" s="43" t="s">
        <v>604</v>
      </c>
      <c r="D1087" s="62">
        <v>4</v>
      </c>
      <c r="E1087" s="33" t="str">
        <f>(MID(E1086,SEARCH(":",E1086)+1,2)-1) &amp; ":" &amp; (MID(E1086,SEARCH(":",E1086)+1,2)-D1087)</f>
        <v>27:24</v>
      </c>
      <c r="F1087" s="30" t="s">
        <v>543</v>
      </c>
      <c r="G1087" s="30" t="s">
        <v>543</v>
      </c>
      <c r="H1087" s="65" t="s">
        <v>544</v>
      </c>
      <c r="I1087" s="30" t="s">
        <v>68</v>
      </c>
      <c r="J1087" s="32" t="s">
        <v>36</v>
      </c>
      <c r="K1087" s="33" t="s">
        <v>6</v>
      </c>
      <c r="L1087" s="46"/>
      <c r="M1087" s="218"/>
      <c r="N1087" s="218"/>
      <c r="O1087" s="218"/>
      <c r="P1087" s="225"/>
      <c r="Q1087" s="204"/>
      <c r="R1087" s="204"/>
      <c r="S1087" s="204"/>
    </row>
    <row r="1088" spans="1:19" s="61" customFormat="1" ht="15.75" customHeight="1">
      <c r="A1088" s="244"/>
      <c r="B1088" s="246"/>
      <c r="C1088" s="43" t="s">
        <v>605</v>
      </c>
      <c r="D1088" s="62">
        <v>4</v>
      </c>
      <c r="E1088" s="33" t="str">
        <f t="shared" ref="E1088:E1091" si="909">(MID(E1087,SEARCH(":",E1087)+1,2)-1) &amp; ":" &amp; (MID(E1087,SEARCH(":",E1087)+1,2)-D1088)</f>
        <v>23:20</v>
      </c>
      <c r="F1088" s="30" t="s">
        <v>546</v>
      </c>
      <c r="G1088" s="30" t="s">
        <v>540</v>
      </c>
      <c r="H1088" s="65" t="s">
        <v>547</v>
      </c>
      <c r="I1088" s="30" t="s">
        <v>68</v>
      </c>
      <c r="J1088" s="32" t="s">
        <v>36</v>
      </c>
      <c r="K1088" s="33" t="s">
        <v>6</v>
      </c>
      <c r="L1088" s="46"/>
      <c r="M1088" s="218"/>
      <c r="N1088" s="218"/>
      <c r="O1088" s="218"/>
      <c r="P1088" s="225"/>
      <c r="Q1088" s="204"/>
      <c r="R1088" s="204"/>
      <c r="S1088" s="204"/>
    </row>
    <row r="1089" spans="1:19" s="61" customFormat="1">
      <c r="A1089" s="244"/>
      <c r="B1089" s="246"/>
      <c r="C1089" s="43" t="s">
        <v>606</v>
      </c>
      <c r="D1089" s="62">
        <v>4</v>
      </c>
      <c r="E1089" s="33" t="str">
        <f t="shared" si="909"/>
        <v>19:16</v>
      </c>
      <c r="F1089" s="30" t="s">
        <v>182</v>
      </c>
      <c r="G1089" s="30" t="s">
        <v>146</v>
      </c>
      <c r="H1089" s="65" t="s">
        <v>549</v>
      </c>
      <c r="I1089" s="30" t="s">
        <v>68</v>
      </c>
      <c r="J1089" s="32" t="s">
        <v>36</v>
      </c>
      <c r="K1089" s="33" t="s">
        <v>6</v>
      </c>
      <c r="L1089" s="46"/>
      <c r="M1089" s="218"/>
      <c r="N1089" s="218"/>
      <c r="O1089" s="218"/>
      <c r="P1089" s="225"/>
      <c r="Q1089" s="204"/>
      <c r="R1089" s="204"/>
      <c r="S1089" s="204"/>
    </row>
    <row r="1090" spans="1:19" s="61" customFormat="1">
      <c r="A1090" s="244"/>
      <c r="B1090" s="246"/>
      <c r="C1090" s="43" t="s">
        <v>607</v>
      </c>
      <c r="D1090" s="62">
        <v>4</v>
      </c>
      <c r="E1090" s="33" t="str">
        <f t="shared" si="909"/>
        <v>15:12</v>
      </c>
      <c r="F1090" s="30" t="s">
        <v>551</v>
      </c>
      <c r="G1090" s="30" t="s">
        <v>146</v>
      </c>
      <c r="H1090" s="64" t="s">
        <v>552</v>
      </c>
      <c r="I1090" s="30" t="s">
        <v>68</v>
      </c>
      <c r="J1090" s="32" t="s">
        <v>36</v>
      </c>
      <c r="K1090" s="33" t="s">
        <v>6</v>
      </c>
      <c r="L1090" s="46"/>
      <c r="M1090" s="218"/>
      <c r="N1090" s="218"/>
      <c r="O1090" s="218"/>
      <c r="P1090" s="225"/>
      <c r="Q1090" s="204"/>
      <c r="R1090" s="204"/>
      <c r="S1090" s="204"/>
    </row>
    <row r="1091" spans="1:19" s="61" customFormat="1">
      <c r="A1091" s="244"/>
      <c r="B1091" s="246"/>
      <c r="C1091" s="43" t="s">
        <v>608</v>
      </c>
      <c r="D1091" s="62">
        <v>4</v>
      </c>
      <c r="E1091" s="33" t="str">
        <f t="shared" si="909"/>
        <v>11:8</v>
      </c>
      <c r="F1091" s="30" t="s">
        <v>220</v>
      </c>
      <c r="G1091" s="30" t="s">
        <v>330</v>
      </c>
      <c r="H1091" s="64" t="s">
        <v>554</v>
      </c>
      <c r="I1091" s="30" t="s">
        <v>68</v>
      </c>
      <c r="J1091" s="32" t="s">
        <v>36</v>
      </c>
      <c r="K1091" s="33" t="s">
        <v>6</v>
      </c>
      <c r="L1091" s="46"/>
      <c r="M1091" s="218"/>
      <c r="N1091" s="218"/>
      <c r="O1091" s="218"/>
      <c r="P1091" s="225"/>
      <c r="Q1091" s="204"/>
      <c r="R1091" s="204"/>
      <c r="S1091" s="204"/>
    </row>
    <row r="1092" spans="1:19" s="61" customFormat="1" ht="15.75" customHeight="1">
      <c r="A1092" s="244"/>
      <c r="B1092" s="246"/>
      <c r="C1092" s="63" t="s">
        <v>609</v>
      </c>
      <c r="D1092" s="62">
        <v>4</v>
      </c>
      <c r="E1092" s="33" t="str">
        <f>(MID(E1091,SEARCH(":",E1091)+1,2)-1) &amp; ":" &amp; (MID(E1091,SEARCH(":",E1091)+1,2)-D1092)</f>
        <v>7:4</v>
      </c>
      <c r="F1092" s="30" t="s">
        <v>182</v>
      </c>
      <c r="G1092" s="30" t="s">
        <v>146</v>
      </c>
      <c r="H1092" s="63" t="s">
        <v>556</v>
      </c>
      <c r="I1092" s="30" t="s">
        <v>68</v>
      </c>
      <c r="J1092" s="32" t="s">
        <v>36</v>
      </c>
      <c r="K1092" s="33" t="s">
        <v>6</v>
      </c>
      <c r="L1092" s="46"/>
      <c r="M1092" s="218"/>
      <c r="N1092" s="218"/>
      <c r="O1092" s="218"/>
      <c r="P1092" s="225"/>
      <c r="Q1092" s="204"/>
      <c r="R1092" s="204"/>
      <c r="S1092" s="204"/>
    </row>
    <row r="1093" spans="1:19" s="61" customFormat="1" ht="15" thickBot="1">
      <c r="A1093" s="244"/>
      <c r="B1093" s="246"/>
      <c r="C1093" s="43" t="s">
        <v>557</v>
      </c>
      <c r="D1093" s="62">
        <v>4</v>
      </c>
      <c r="E1093" s="33" t="str">
        <f>(MID(E1092,SEARCH(":",E1092)+1,2)-1) &amp; ":" &amp; (MID(E1092,SEARCH(":",E1092)+1,2)-D1093)</f>
        <v>3:0</v>
      </c>
      <c r="F1093" s="83" t="s">
        <v>540</v>
      </c>
      <c r="G1093" s="83" t="s">
        <v>540</v>
      </c>
      <c r="H1093" s="64" t="s">
        <v>155</v>
      </c>
      <c r="I1093" s="30" t="s">
        <v>68</v>
      </c>
      <c r="J1093" s="32" t="s">
        <v>36</v>
      </c>
      <c r="K1093" s="33" t="s">
        <v>6</v>
      </c>
      <c r="L1093" s="46"/>
      <c r="M1093" s="218"/>
      <c r="N1093" s="218"/>
      <c r="O1093" s="218"/>
      <c r="P1093" s="225"/>
      <c r="Q1093" s="204"/>
      <c r="R1093" s="210"/>
      <c r="S1093" s="210"/>
    </row>
    <row r="1094" spans="1:19" s="61" customFormat="1">
      <c r="A1094" s="243" t="s">
        <v>610</v>
      </c>
      <c r="B1094" s="245" t="str">
        <f t="shared" ref="B1094" si="910">DEC2HEX(P1094*4)</f>
        <v>74</v>
      </c>
      <c r="C1094" s="56" t="s">
        <v>383</v>
      </c>
      <c r="D1094" s="129" t="str">
        <f>bitConcat(F1095:F1102)</f>
        <v>32'b11110111110101001011000101000000</v>
      </c>
      <c r="E1094" s="130"/>
      <c r="F1094" s="130"/>
      <c r="G1094" s="205"/>
      <c r="H1094" s="73" t="s">
        <v>384</v>
      </c>
      <c r="I1094" s="74"/>
      <c r="J1094" s="202" t="str">
        <f>bitConcat(G1095:G1102)</f>
        <v>32'b11110111111110001000000010000000</v>
      </c>
      <c r="K1094" s="131"/>
      <c r="L1094" s="132"/>
      <c r="M1094" s="217" t="str">
        <f t="shared" ref="M1094" si="911">DEC2HEX(_xlfn.BITLSHIFT(O1094,7)+4*P1094)</f>
        <v>374</v>
      </c>
      <c r="N1094" s="170" t="s">
        <v>385</v>
      </c>
      <c r="O1094" s="170">
        <v>6</v>
      </c>
      <c r="P1094" s="171">
        <v>29</v>
      </c>
      <c r="Q1094" s="203" t="str">
        <f>DEC2HEX(_xlfn.BITLSHIFT(O1094,5)+P1094)</f>
        <v>DD</v>
      </c>
      <c r="R1094" s="203" t="str">
        <f>BIN2HEX(LEFT(RIGHT(D1094,32),4))&amp;BIN2HEX(LEFT(RIGHT(D1094,28),4))&amp;BIN2HEX(LEFT(RIGHT(D1094,24),4))&amp;BIN2HEX(LEFT(RIGHT(D1094,20),4))&amp;BIN2HEX(LEFT(RIGHT(D1094,16),4))&amp;BIN2HEX(LEFT(RIGHT(D1094,12),4))&amp;BIN2HEX(LEFT(RIGHT(D1094,8),4))&amp;BIN2HEX(LEFT(RIGHT(D1094,4),4))</f>
        <v>F7D4B140</v>
      </c>
      <c r="S1094" s="203" t="str">
        <f t="shared" ref="S1094" si="912">BIN2HEX(LEFT(RIGHT(J1094,32),4))&amp;BIN2HEX(LEFT(RIGHT(J1094,28),4))&amp;BIN2HEX(LEFT(RIGHT(J1094,24),4))&amp;BIN2HEX(LEFT(RIGHT(J1094,20),4))&amp;BIN2HEX(LEFT(RIGHT(J1094,16),4))&amp;BIN2HEX(LEFT(RIGHT(J1094,12),4))&amp;BIN2HEX(LEFT(RIGHT(J1094,8),4))&amp;BIN2HEX(LEFT(RIGHT(J1094,4),4))</f>
        <v>F7F88080</v>
      </c>
    </row>
    <row r="1095" spans="1:19" s="61" customFormat="1">
      <c r="A1095" s="244"/>
      <c r="B1095" s="246"/>
      <c r="C1095" s="43" t="s">
        <v>611</v>
      </c>
      <c r="D1095" s="62">
        <v>4</v>
      </c>
      <c r="E1095" s="70" t="str">
        <f>IF(D1095&gt;1,(31)&amp;":"&amp;(31-D1095+1),(31-D1095+1)&amp;":"&amp;(31-D1095+1))</f>
        <v>31:28</v>
      </c>
      <c r="F1095" s="30" t="s">
        <v>540</v>
      </c>
      <c r="G1095" s="30" t="s">
        <v>540</v>
      </c>
      <c r="H1095" s="64" t="s">
        <v>541</v>
      </c>
      <c r="I1095" s="30" t="s">
        <v>68</v>
      </c>
      <c r="J1095" s="32" t="s">
        <v>36</v>
      </c>
      <c r="K1095" s="33" t="s">
        <v>6</v>
      </c>
      <c r="L1095" s="46"/>
      <c r="M1095" s="218"/>
      <c r="N1095" s="218"/>
      <c r="O1095" s="218"/>
      <c r="P1095" s="225"/>
      <c r="Q1095" s="204"/>
      <c r="R1095" s="204"/>
      <c r="S1095" s="204"/>
    </row>
    <row r="1096" spans="1:19" s="61" customFormat="1">
      <c r="A1096" s="244"/>
      <c r="B1096" s="246"/>
      <c r="C1096" s="43" t="s">
        <v>612</v>
      </c>
      <c r="D1096" s="62">
        <v>4</v>
      </c>
      <c r="E1096" s="33" t="str">
        <f>(MID(E1095,SEARCH(":",E1095)+1,2)-1) &amp; ":" &amp; (MID(E1095,SEARCH(":",E1095)+1,2)-D1096)</f>
        <v>27:24</v>
      </c>
      <c r="F1096" s="30" t="s">
        <v>543</v>
      </c>
      <c r="G1096" s="30" t="s">
        <v>543</v>
      </c>
      <c r="H1096" s="65" t="s">
        <v>544</v>
      </c>
      <c r="I1096" s="30" t="s">
        <v>68</v>
      </c>
      <c r="J1096" s="32" t="s">
        <v>36</v>
      </c>
      <c r="K1096" s="33" t="s">
        <v>6</v>
      </c>
      <c r="L1096" s="46"/>
      <c r="M1096" s="218"/>
      <c r="N1096" s="218"/>
      <c r="O1096" s="218"/>
      <c r="P1096" s="225"/>
      <c r="Q1096" s="204"/>
      <c r="R1096" s="204"/>
      <c r="S1096" s="204"/>
    </row>
    <row r="1097" spans="1:19" s="61" customFormat="1">
      <c r="A1097" s="244"/>
      <c r="B1097" s="246"/>
      <c r="C1097" s="43" t="s">
        <v>613</v>
      </c>
      <c r="D1097" s="62">
        <v>4</v>
      </c>
      <c r="E1097" s="33" t="str">
        <f t="shared" ref="E1097:E1100" si="913">(MID(E1096,SEARCH(":",E1096)+1,2)-1) &amp; ":" &amp; (MID(E1096,SEARCH(":",E1096)+1,2)-D1097)</f>
        <v>23:20</v>
      </c>
      <c r="F1097" s="30" t="s">
        <v>546</v>
      </c>
      <c r="G1097" s="30" t="s">
        <v>540</v>
      </c>
      <c r="H1097" s="65" t="s">
        <v>547</v>
      </c>
      <c r="I1097" s="30" t="s">
        <v>68</v>
      </c>
      <c r="J1097" s="32" t="s">
        <v>36</v>
      </c>
      <c r="K1097" s="33" t="s">
        <v>6</v>
      </c>
      <c r="L1097" s="46"/>
      <c r="M1097" s="218"/>
      <c r="N1097" s="218"/>
      <c r="O1097" s="218"/>
      <c r="P1097" s="225"/>
      <c r="Q1097" s="204"/>
      <c r="R1097" s="204"/>
      <c r="S1097" s="204"/>
    </row>
    <row r="1098" spans="1:19" s="61" customFormat="1" ht="15.75" customHeight="1">
      <c r="A1098" s="244"/>
      <c r="B1098" s="246"/>
      <c r="C1098" s="43" t="s">
        <v>614</v>
      </c>
      <c r="D1098" s="62">
        <v>4</v>
      </c>
      <c r="E1098" s="33" t="str">
        <f t="shared" si="913"/>
        <v>19:16</v>
      </c>
      <c r="F1098" s="30" t="s">
        <v>182</v>
      </c>
      <c r="G1098" s="30" t="s">
        <v>146</v>
      </c>
      <c r="H1098" s="65" t="s">
        <v>549</v>
      </c>
      <c r="I1098" s="30" t="s">
        <v>68</v>
      </c>
      <c r="J1098" s="32" t="s">
        <v>36</v>
      </c>
      <c r="K1098" s="33" t="s">
        <v>6</v>
      </c>
      <c r="L1098" s="46"/>
      <c r="M1098" s="218"/>
      <c r="N1098" s="218"/>
      <c r="O1098" s="218"/>
      <c r="P1098" s="225"/>
      <c r="Q1098" s="204"/>
      <c r="R1098" s="204"/>
      <c r="S1098" s="204"/>
    </row>
    <row r="1099" spans="1:19" s="61" customFormat="1">
      <c r="A1099" s="244"/>
      <c r="B1099" s="246"/>
      <c r="C1099" s="43" t="s">
        <v>615</v>
      </c>
      <c r="D1099" s="62">
        <v>4</v>
      </c>
      <c r="E1099" s="33" t="str">
        <f t="shared" si="913"/>
        <v>15:12</v>
      </c>
      <c r="F1099" s="30" t="s">
        <v>551</v>
      </c>
      <c r="G1099" s="30" t="s">
        <v>146</v>
      </c>
      <c r="H1099" s="64" t="s">
        <v>552</v>
      </c>
      <c r="I1099" s="30" t="s">
        <v>68</v>
      </c>
      <c r="J1099" s="32" t="s">
        <v>36</v>
      </c>
      <c r="K1099" s="33" t="s">
        <v>6</v>
      </c>
      <c r="L1099" s="46"/>
      <c r="M1099" s="218"/>
      <c r="N1099" s="218"/>
      <c r="O1099" s="218"/>
      <c r="P1099" s="225"/>
      <c r="Q1099" s="204"/>
      <c r="R1099" s="204"/>
      <c r="S1099" s="204"/>
    </row>
    <row r="1100" spans="1:19" s="61" customFormat="1">
      <c r="A1100" s="244"/>
      <c r="B1100" s="246"/>
      <c r="C1100" s="43" t="s">
        <v>616</v>
      </c>
      <c r="D1100" s="62">
        <v>4</v>
      </c>
      <c r="E1100" s="33" t="str">
        <f t="shared" si="913"/>
        <v>11:8</v>
      </c>
      <c r="F1100" s="30" t="s">
        <v>220</v>
      </c>
      <c r="G1100" s="30" t="s">
        <v>330</v>
      </c>
      <c r="H1100" s="64" t="s">
        <v>554</v>
      </c>
      <c r="I1100" s="30" t="s">
        <v>68</v>
      </c>
      <c r="J1100" s="32" t="s">
        <v>36</v>
      </c>
      <c r="K1100" s="33" t="s">
        <v>6</v>
      </c>
      <c r="L1100" s="46"/>
      <c r="M1100" s="218"/>
      <c r="N1100" s="218"/>
      <c r="O1100" s="218"/>
      <c r="P1100" s="225"/>
      <c r="Q1100" s="204"/>
      <c r="R1100" s="204"/>
      <c r="S1100" s="204"/>
    </row>
    <row r="1101" spans="1:19" s="61" customFormat="1">
      <c r="A1101" s="244"/>
      <c r="B1101" s="246"/>
      <c r="C1101" s="63" t="s">
        <v>617</v>
      </c>
      <c r="D1101" s="62">
        <v>4</v>
      </c>
      <c r="E1101" s="33" t="str">
        <f>(MID(E1100,SEARCH(":",E1100)+1,2)-1) &amp; ":" &amp; (MID(E1100,SEARCH(":",E1100)+1,2)-D1101)</f>
        <v>7:4</v>
      </c>
      <c r="F1101" s="30" t="s">
        <v>182</v>
      </c>
      <c r="G1101" s="30" t="s">
        <v>146</v>
      </c>
      <c r="H1101" s="63" t="s">
        <v>556</v>
      </c>
      <c r="I1101" s="30" t="s">
        <v>68</v>
      </c>
      <c r="J1101" s="32" t="s">
        <v>36</v>
      </c>
      <c r="K1101" s="33" t="s">
        <v>6</v>
      </c>
      <c r="L1101" s="46"/>
      <c r="M1101" s="218"/>
      <c r="N1101" s="218"/>
      <c r="O1101" s="218"/>
      <c r="P1101" s="225"/>
      <c r="Q1101" s="204"/>
      <c r="R1101" s="204"/>
      <c r="S1101" s="204"/>
    </row>
    <row r="1102" spans="1:19" s="61" customFormat="1" ht="15" thickBot="1">
      <c r="A1102" s="244"/>
      <c r="B1102" s="246"/>
      <c r="C1102" s="43" t="s">
        <v>557</v>
      </c>
      <c r="D1102" s="62">
        <v>4</v>
      </c>
      <c r="E1102" s="33" t="str">
        <f>(MID(E1101,SEARCH(":",E1101)+1,2)-1) &amp; ":" &amp; (MID(E1101,SEARCH(":",E1101)+1,2)-D1102)</f>
        <v>3:0</v>
      </c>
      <c r="F1102" s="83" t="s">
        <v>330</v>
      </c>
      <c r="G1102" s="83" t="s">
        <v>330</v>
      </c>
      <c r="H1102" s="64" t="s">
        <v>155</v>
      </c>
      <c r="I1102" s="30" t="s">
        <v>68</v>
      </c>
      <c r="J1102" s="32" t="s">
        <v>36</v>
      </c>
      <c r="K1102" s="33" t="s">
        <v>6</v>
      </c>
      <c r="L1102" s="46"/>
      <c r="M1102" s="218"/>
      <c r="N1102" s="218"/>
      <c r="O1102" s="218"/>
      <c r="P1102" s="225"/>
      <c r="Q1102" s="204"/>
      <c r="R1102" s="210"/>
      <c r="S1102" s="210"/>
    </row>
    <row r="1103" spans="1:19" s="61" customFormat="1">
      <c r="A1103" s="243" t="s">
        <v>618</v>
      </c>
      <c r="B1103" s="245" t="str">
        <f t="shared" ref="B1103" si="914">DEC2HEX(P1103*4)</f>
        <v>78</v>
      </c>
      <c r="C1103" s="56" t="s">
        <v>383</v>
      </c>
      <c r="D1103" s="129" t="str">
        <f>bitConcat(F1104:F1114)</f>
        <v>32'b11110111110101001011000101001111</v>
      </c>
      <c r="E1103" s="130"/>
      <c r="F1103" s="130"/>
      <c r="G1103" s="205"/>
      <c r="H1103" s="73" t="s">
        <v>384</v>
      </c>
      <c r="I1103" s="74"/>
      <c r="J1103" s="202" t="str">
        <f>bitConcat(G1104:G1114)</f>
        <v>32'b11110111111110001000000010001111</v>
      </c>
      <c r="K1103" s="131"/>
      <c r="L1103" s="132"/>
      <c r="M1103" s="217" t="str">
        <f t="shared" ref="M1103" si="915">DEC2HEX(_xlfn.BITLSHIFT(O1103,7)+4*P1103)</f>
        <v>378</v>
      </c>
      <c r="N1103" s="170" t="s">
        <v>385</v>
      </c>
      <c r="O1103" s="170">
        <v>6</v>
      </c>
      <c r="P1103" s="171">
        <v>30</v>
      </c>
      <c r="Q1103" s="203" t="str">
        <f>DEC2HEX(_xlfn.BITLSHIFT(O1103,5)+P1103)</f>
        <v>DE</v>
      </c>
      <c r="R1103" s="203" t="str">
        <f>BIN2HEX(LEFT(RIGHT(D1103,32),4))&amp;BIN2HEX(LEFT(RIGHT(D1103,28),4))&amp;BIN2HEX(LEFT(RIGHT(D1103,24),4))&amp;BIN2HEX(LEFT(RIGHT(D1103,20),4))&amp;BIN2HEX(LEFT(RIGHT(D1103,16),4))&amp;BIN2HEX(LEFT(RIGHT(D1103,12),4))&amp;BIN2HEX(LEFT(RIGHT(D1103,8),4))&amp;BIN2HEX(LEFT(RIGHT(D1103,4),4))</f>
        <v>F7D4B14F</v>
      </c>
      <c r="S1103" s="203" t="str">
        <f t="shared" ref="S1103" si="916">BIN2HEX(LEFT(RIGHT(J1103,32),4))&amp;BIN2HEX(LEFT(RIGHT(J1103,28),4))&amp;BIN2HEX(LEFT(RIGHT(J1103,24),4))&amp;BIN2HEX(LEFT(RIGHT(J1103,20),4))&amp;BIN2HEX(LEFT(RIGHT(J1103,16),4))&amp;BIN2HEX(LEFT(RIGHT(J1103,12),4))&amp;BIN2HEX(LEFT(RIGHT(J1103,8),4))&amp;BIN2HEX(LEFT(RIGHT(J1103,4),4))</f>
        <v>F7F8808F</v>
      </c>
    </row>
    <row r="1104" spans="1:19" s="61" customFormat="1" ht="15.75" customHeight="1">
      <c r="A1104" s="244"/>
      <c r="B1104" s="246"/>
      <c r="C1104" s="43" t="s">
        <v>619</v>
      </c>
      <c r="D1104" s="62">
        <v>4</v>
      </c>
      <c r="E1104" s="70" t="str">
        <f>IF(D1104&gt;1,(31)&amp;":"&amp;(31-D1104+1),(31-D1104+1)&amp;":"&amp;(31-D1104+1))</f>
        <v>31:28</v>
      </c>
      <c r="F1104" s="30" t="s">
        <v>540</v>
      </c>
      <c r="G1104" s="30" t="s">
        <v>540</v>
      </c>
      <c r="H1104" s="64" t="s">
        <v>541</v>
      </c>
      <c r="I1104" s="30" t="s">
        <v>68</v>
      </c>
      <c r="J1104" s="32" t="s">
        <v>36</v>
      </c>
      <c r="K1104" s="33" t="s">
        <v>6</v>
      </c>
      <c r="L1104" s="46"/>
      <c r="M1104" s="218"/>
      <c r="N1104" s="218"/>
      <c r="O1104" s="218"/>
      <c r="P1104" s="225"/>
      <c r="Q1104" s="204"/>
      <c r="R1104" s="204"/>
      <c r="S1104" s="204"/>
    </row>
    <row r="1105" spans="1:19" s="61" customFormat="1" ht="15.75" customHeight="1">
      <c r="A1105" s="244"/>
      <c r="B1105" s="246"/>
      <c r="C1105" s="43" t="s">
        <v>620</v>
      </c>
      <c r="D1105" s="62">
        <v>4</v>
      </c>
      <c r="E1105" s="33" t="str">
        <f>(MID(E1104,SEARCH(":",E1104)+1,2)-1) &amp; ":" &amp; (MID(E1104,SEARCH(":",E1104)+1,2)-D1105)</f>
        <v>27:24</v>
      </c>
      <c r="F1105" s="30" t="s">
        <v>543</v>
      </c>
      <c r="G1105" s="30" t="s">
        <v>543</v>
      </c>
      <c r="H1105" s="65" t="s">
        <v>544</v>
      </c>
      <c r="I1105" s="30" t="s">
        <v>68</v>
      </c>
      <c r="J1105" s="32" t="s">
        <v>36</v>
      </c>
      <c r="K1105" s="33" t="s">
        <v>6</v>
      </c>
      <c r="L1105" s="46"/>
      <c r="M1105" s="218"/>
      <c r="N1105" s="218"/>
      <c r="O1105" s="218"/>
      <c r="P1105" s="225"/>
      <c r="Q1105" s="204"/>
      <c r="R1105" s="204"/>
      <c r="S1105" s="204"/>
    </row>
    <row r="1106" spans="1:19" s="61" customFormat="1">
      <c r="A1106" s="244"/>
      <c r="B1106" s="246"/>
      <c r="C1106" s="43" t="s">
        <v>621</v>
      </c>
      <c r="D1106" s="62">
        <v>4</v>
      </c>
      <c r="E1106" s="33" t="str">
        <f t="shared" ref="E1106:E1109" si="917">(MID(E1105,SEARCH(":",E1105)+1,2)-1) &amp; ":" &amp; (MID(E1105,SEARCH(":",E1105)+1,2)-D1106)</f>
        <v>23:20</v>
      </c>
      <c r="F1106" s="30" t="s">
        <v>546</v>
      </c>
      <c r="G1106" s="30" t="s">
        <v>540</v>
      </c>
      <c r="H1106" s="65" t="s">
        <v>547</v>
      </c>
      <c r="I1106" s="30" t="s">
        <v>68</v>
      </c>
      <c r="J1106" s="32" t="s">
        <v>36</v>
      </c>
      <c r="K1106" s="33" t="s">
        <v>6</v>
      </c>
      <c r="L1106" s="46"/>
      <c r="M1106" s="218"/>
      <c r="N1106" s="218"/>
      <c r="O1106" s="218"/>
      <c r="P1106" s="225"/>
      <c r="Q1106" s="204"/>
      <c r="R1106" s="204"/>
      <c r="S1106" s="204"/>
    </row>
    <row r="1107" spans="1:19" s="61" customFormat="1">
      <c r="A1107" s="244"/>
      <c r="B1107" s="246"/>
      <c r="C1107" s="43" t="s">
        <v>622</v>
      </c>
      <c r="D1107" s="62">
        <v>4</v>
      </c>
      <c r="E1107" s="33" t="str">
        <f t="shared" si="917"/>
        <v>19:16</v>
      </c>
      <c r="F1107" s="30" t="s">
        <v>182</v>
      </c>
      <c r="G1107" s="30" t="s">
        <v>146</v>
      </c>
      <c r="H1107" s="65" t="s">
        <v>549</v>
      </c>
      <c r="I1107" s="30" t="s">
        <v>68</v>
      </c>
      <c r="J1107" s="32" t="s">
        <v>36</v>
      </c>
      <c r="K1107" s="33" t="s">
        <v>6</v>
      </c>
      <c r="L1107" s="46"/>
      <c r="M1107" s="218"/>
      <c r="N1107" s="218"/>
      <c r="O1107" s="218"/>
      <c r="P1107" s="225"/>
      <c r="Q1107" s="204"/>
      <c r="R1107" s="204"/>
      <c r="S1107" s="204"/>
    </row>
    <row r="1108" spans="1:19" s="61" customFormat="1">
      <c r="A1108" s="244"/>
      <c r="B1108" s="246"/>
      <c r="C1108" s="43" t="s">
        <v>623</v>
      </c>
      <c r="D1108" s="62">
        <v>4</v>
      </c>
      <c r="E1108" s="33" t="str">
        <f t="shared" si="917"/>
        <v>15:12</v>
      </c>
      <c r="F1108" s="30" t="s">
        <v>551</v>
      </c>
      <c r="G1108" s="30" t="s">
        <v>146</v>
      </c>
      <c r="H1108" s="64" t="s">
        <v>552</v>
      </c>
      <c r="I1108" s="30" t="s">
        <v>68</v>
      </c>
      <c r="J1108" s="32" t="s">
        <v>36</v>
      </c>
      <c r="K1108" s="33" t="s">
        <v>6</v>
      </c>
      <c r="L1108" s="46"/>
      <c r="M1108" s="218"/>
      <c r="N1108" s="218"/>
      <c r="O1108" s="218"/>
      <c r="P1108" s="225"/>
      <c r="Q1108" s="204"/>
      <c r="R1108" s="204"/>
      <c r="S1108" s="204"/>
    </row>
    <row r="1109" spans="1:19" s="61" customFormat="1">
      <c r="A1109" s="244"/>
      <c r="B1109" s="246"/>
      <c r="C1109" s="43" t="s">
        <v>624</v>
      </c>
      <c r="D1109" s="62">
        <v>4</v>
      </c>
      <c r="E1109" s="33" t="str">
        <f t="shared" si="917"/>
        <v>11:8</v>
      </c>
      <c r="F1109" s="30" t="s">
        <v>220</v>
      </c>
      <c r="G1109" s="30" t="s">
        <v>330</v>
      </c>
      <c r="H1109" s="64" t="s">
        <v>554</v>
      </c>
      <c r="I1109" s="30" t="s">
        <v>68</v>
      </c>
      <c r="J1109" s="32" t="s">
        <v>36</v>
      </c>
      <c r="K1109" s="33" t="s">
        <v>6</v>
      </c>
      <c r="L1109" s="46"/>
      <c r="M1109" s="218"/>
      <c r="N1109" s="218"/>
      <c r="O1109" s="218"/>
      <c r="P1109" s="225"/>
      <c r="Q1109" s="204"/>
      <c r="R1109" s="204"/>
      <c r="S1109" s="204"/>
    </row>
    <row r="1110" spans="1:19" s="61" customFormat="1">
      <c r="A1110" s="244"/>
      <c r="B1110" s="246"/>
      <c r="C1110" s="63" t="s">
        <v>625</v>
      </c>
      <c r="D1110" s="62">
        <v>4</v>
      </c>
      <c r="E1110" s="33" t="str">
        <f>(MID(E1109,SEARCH(":",E1109)+1,2)-1) &amp; ":" &amp; (MID(E1109,SEARCH(":",E1109)+1,2)-D1110)</f>
        <v>7:4</v>
      </c>
      <c r="F1110" s="30" t="s">
        <v>182</v>
      </c>
      <c r="G1110" s="30" t="s">
        <v>146</v>
      </c>
      <c r="H1110" s="63" t="s">
        <v>556</v>
      </c>
      <c r="I1110" s="30" t="s">
        <v>68</v>
      </c>
      <c r="J1110" s="32" t="s">
        <v>36</v>
      </c>
      <c r="K1110" s="33" t="s">
        <v>6</v>
      </c>
      <c r="L1110" s="46"/>
      <c r="M1110" s="218"/>
      <c r="N1110" s="218"/>
      <c r="O1110" s="218"/>
      <c r="P1110" s="225"/>
      <c r="Q1110" s="204"/>
      <c r="R1110" s="204"/>
      <c r="S1110" s="204"/>
    </row>
    <row r="1111" spans="1:19" s="61" customFormat="1">
      <c r="A1111" s="244"/>
      <c r="B1111" s="246"/>
      <c r="C1111" s="89" t="s">
        <v>626</v>
      </c>
      <c r="D1111" s="62">
        <v>1</v>
      </c>
      <c r="E1111" s="33" t="str">
        <f t="shared" ref="E1111:E1114" si="918">(MID(E1110,SEARCH(":",E1110)+1,2)-1) &amp; ":" &amp; (MID(E1110,SEARCH(":",E1110)+1,2)-D1111)</f>
        <v>3:3</v>
      </c>
      <c r="F1111" s="83" t="s">
        <v>269</v>
      </c>
      <c r="G1111" s="83" t="s">
        <v>269</v>
      </c>
      <c r="H1111" s="89" t="s">
        <v>627</v>
      </c>
      <c r="I1111" s="30" t="s">
        <v>68</v>
      </c>
      <c r="J1111" s="32" t="s">
        <v>36</v>
      </c>
      <c r="K1111" s="33" t="s">
        <v>6</v>
      </c>
      <c r="L1111" s="46"/>
      <c r="M1111" s="218"/>
      <c r="N1111" s="218"/>
      <c r="O1111" s="218"/>
      <c r="P1111" s="225"/>
      <c r="Q1111" s="204"/>
      <c r="R1111" s="204"/>
      <c r="S1111" s="204"/>
    </row>
    <row r="1112" spans="1:19" s="61" customFormat="1">
      <c r="A1112" s="244"/>
      <c r="B1112" s="246"/>
      <c r="C1112" s="89" t="s">
        <v>628</v>
      </c>
      <c r="D1112" s="62">
        <v>1</v>
      </c>
      <c r="E1112" s="33" t="str">
        <f t="shared" si="918"/>
        <v>2:2</v>
      </c>
      <c r="F1112" s="83" t="s">
        <v>269</v>
      </c>
      <c r="G1112" s="83" t="s">
        <v>269</v>
      </c>
      <c r="H1112" s="89" t="s">
        <v>629</v>
      </c>
      <c r="I1112" s="30" t="s">
        <v>68</v>
      </c>
      <c r="J1112" s="32" t="s">
        <v>36</v>
      </c>
      <c r="K1112" s="33" t="s">
        <v>6</v>
      </c>
      <c r="L1112" s="46"/>
      <c r="M1112" s="218"/>
      <c r="N1112" s="218"/>
      <c r="O1112" s="218"/>
      <c r="P1112" s="225"/>
      <c r="Q1112" s="204"/>
      <c r="R1112" s="204"/>
      <c r="S1112" s="204"/>
    </row>
    <row r="1113" spans="1:19" s="61" customFormat="1">
      <c r="A1113" s="244"/>
      <c r="B1113" s="246"/>
      <c r="C1113" s="89" t="s">
        <v>630</v>
      </c>
      <c r="D1113" s="62">
        <v>1</v>
      </c>
      <c r="E1113" s="33" t="str">
        <f t="shared" si="918"/>
        <v>1:1</v>
      </c>
      <c r="F1113" s="83" t="s">
        <v>269</v>
      </c>
      <c r="G1113" s="83" t="s">
        <v>269</v>
      </c>
      <c r="H1113" s="89" t="s">
        <v>631</v>
      </c>
      <c r="I1113" s="30" t="s">
        <v>68</v>
      </c>
      <c r="J1113" s="32" t="s">
        <v>36</v>
      </c>
      <c r="K1113" s="33" t="s">
        <v>6</v>
      </c>
      <c r="L1113" s="46"/>
      <c r="M1113" s="218"/>
      <c r="N1113" s="218"/>
      <c r="O1113" s="218"/>
      <c r="P1113" s="225"/>
      <c r="Q1113" s="204"/>
      <c r="R1113" s="204"/>
      <c r="S1113" s="204"/>
    </row>
    <row r="1114" spans="1:19" s="61" customFormat="1" ht="15" thickBot="1">
      <c r="A1114" s="244"/>
      <c r="B1114" s="246"/>
      <c r="C1114" s="43" t="s">
        <v>632</v>
      </c>
      <c r="D1114" s="62">
        <v>1</v>
      </c>
      <c r="E1114" s="33" t="str">
        <f t="shared" si="918"/>
        <v>0:0</v>
      </c>
      <c r="F1114" s="83" t="s">
        <v>269</v>
      </c>
      <c r="G1114" s="83" t="s">
        <v>269</v>
      </c>
      <c r="H1114" s="64" t="s">
        <v>633</v>
      </c>
      <c r="I1114" s="30" t="s">
        <v>68</v>
      </c>
      <c r="J1114" s="32" t="s">
        <v>36</v>
      </c>
      <c r="K1114" s="33" t="s">
        <v>6</v>
      </c>
      <c r="L1114" s="46"/>
      <c r="M1114" s="218"/>
      <c r="N1114" s="218"/>
      <c r="O1114" s="218"/>
      <c r="P1114" s="225"/>
      <c r="Q1114" s="204"/>
      <c r="R1114" s="210"/>
      <c r="S1114" s="210"/>
    </row>
    <row r="1115" spans="1:19" s="61" customFormat="1">
      <c r="A1115" s="243" t="s">
        <v>634</v>
      </c>
      <c r="B1115" s="245" t="str">
        <f t="shared" ref="B1115" si="919">DEC2HEX(P1115*4)</f>
        <v>7C</v>
      </c>
      <c r="C1115" s="56" t="s">
        <v>383</v>
      </c>
      <c r="D1115" s="129" t="str">
        <f>bitConcat(F1116:F1123)</f>
        <v>32'b11110111110101001011000101001011</v>
      </c>
      <c r="E1115" s="130"/>
      <c r="F1115" s="130"/>
      <c r="G1115" s="205"/>
      <c r="H1115" s="73" t="s">
        <v>384</v>
      </c>
      <c r="I1115" s="74"/>
      <c r="J1115" s="202" t="str">
        <f>bitConcat(G1116:G1123)</f>
        <v>32'b11110111111110001000000010000111</v>
      </c>
      <c r="K1115" s="131"/>
      <c r="L1115" s="132"/>
      <c r="M1115" s="217" t="str">
        <f t="shared" ref="M1115" si="920">DEC2HEX(_xlfn.BITLSHIFT(O1115,7)+4*P1115)</f>
        <v>37C</v>
      </c>
      <c r="N1115" s="170" t="s">
        <v>385</v>
      </c>
      <c r="O1115" s="170">
        <v>6</v>
      </c>
      <c r="P1115" s="171">
        <v>31</v>
      </c>
      <c r="Q1115" s="203" t="str">
        <f>DEC2HEX(_xlfn.BITLSHIFT(O1115,5)+P1115)</f>
        <v>DF</v>
      </c>
      <c r="R1115" s="203" t="str">
        <f>BIN2HEX(LEFT(RIGHT(D1115,32),4))&amp;BIN2HEX(LEFT(RIGHT(D1115,28),4))&amp;BIN2HEX(LEFT(RIGHT(D1115,24),4))&amp;BIN2HEX(LEFT(RIGHT(D1115,20),4))&amp;BIN2HEX(LEFT(RIGHT(D1115,16),4))&amp;BIN2HEX(LEFT(RIGHT(D1115,12),4))&amp;BIN2HEX(LEFT(RIGHT(D1115,8),4))&amp;BIN2HEX(LEFT(RIGHT(D1115,4),4))</f>
        <v>F7D4B14B</v>
      </c>
      <c r="S1115" s="203" t="str">
        <f t="shared" ref="S1115" si="921">BIN2HEX(LEFT(RIGHT(J1115,32),4))&amp;BIN2HEX(LEFT(RIGHT(J1115,28),4))&amp;BIN2HEX(LEFT(RIGHT(J1115,24),4))&amp;BIN2HEX(LEFT(RIGHT(J1115,20),4))&amp;BIN2HEX(LEFT(RIGHT(J1115,16),4))&amp;BIN2HEX(LEFT(RIGHT(J1115,12),4))&amp;BIN2HEX(LEFT(RIGHT(J1115,8),4))&amp;BIN2HEX(LEFT(RIGHT(J1115,4),4))</f>
        <v>F7F88087</v>
      </c>
    </row>
    <row r="1116" spans="1:19" s="61" customFormat="1">
      <c r="A1116" s="244"/>
      <c r="B1116" s="246"/>
      <c r="C1116" s="43" t="s">
        <v>635</v>
      </c>
      <c r="D1116" s="62">
        <v>4</v>
      </c>
      <c r="E1116" s="70" t="str">
        <f>IF(D1116&gt;1,(31)&amp;":"&amp;(31-D1116+1),(31-D1116+1)&amp;":"&amp;(31-D1116+1))</f>
        <v>31:28</v>
      </c>
      <c r="F1116" s="30" t="s">
        <v>540</v>
      </c>
      <c r="G1116" s="30" t="s">
        <v>540</v>
      </c>
      <c r="H1116" s="64" t="s">
        <v>541</v>
      </c>
      <c r="I1116" s="30" t="s">
        <v>68</v>
      </c>
      <c r="J1116" s="32" t="s">
        <v>36</v>
      </c>
      <c r="K1116" s="33" t="s">
        <v>6</v>
      </c>
      <c r="L1116" s="46"/>
      <c r="M1116" s="218"/>
      <c r="N1116" s="218"/>
      <c r="O1116" s="218"/>
      <c r="P1116" s="225"/>
      <c r="Q1116" s="204"/>
      <c r="R1116" s="204"/>
      <c r="S1116" s="204"/>
    </row>
    <row r="1117" spans="1:19" s="61" customFormat="1" ht="15.75" customHeight="1">
      <c r="A1117" s="244"/>
      <c r="B1117" s="246"/>
      <c r="C1117" s="43" t="s">
        <v>636</v>
      </c>
      <c r="D1117" s="62">
        <v>4</v>
      </c>
      <c r="E1117" s="33" t="str">
        <f>(MID(E1116,SEARCH(":",E1116)+1,2)-1) &amp; ":" &amp; (MID(E1116,SEARCH(":",E1116)+1,2)-D1117)</f>
        <v>27:24</v>
      </c>
      <c r="F1117" s="30" t="s">
        <v>543</v>
      </c>
      <c r="G1117" s="30" t="s">
        <v>543</v>
      </c>
      <c r="H1117" s="65" t="s">
        <v>544</v>
      </c>
      <c r="I1117" s="30" t="s">
        <v>68</v>
      </c>
      <c r="J1117" s="32" t="s">
        <v>36</v>
      </c>
      <c r="K1117" s="33" t="s">
        <v>6</v>
      </c>
      <c r="L1117" s="46"/>
      <c r="M1117" s="218"/>
      <c r="N1117" s="218"/>
      <c r="O1117" s="218"/>
      <c r="P1117" s="225"/>
      <c r="Q1117" s="204"/>
      <c r="R1117" s="204"/>
      <c r="S1117" s="204"/>
    </row>
    <row r="1118" spans="1:19" s="61" customFormat="1" ht="15.75" customHeight="1">
      <c r="A1118" s="244"/>
      <c r="B1118" s="246"/>
      <c r="C1118" s="43" t="s">
        <v>637</v>
      </c>
      <c r="D1118" s="62">
        <v>4</v>
      </c>
      <c r="E1118" s="33" t="str">
        <f t="shared" ref="E1118:E1121" si="922">(MID(E1117,SEARCH(":",E1117)+1,2)-1) &amp; ":" &amp; (MID(E1117,SEARCH(":",E1117)+1,2)-D1118)</f>
        <v>23:20</v>
      </c>
      <c r="F1118" s="30" t="s">
        <v>546</v>
      </c>
      <c r="G1118" s="30" t="s">
        <v>540</v>
      </c>
      <c r="H1118" s="65" t="s">
        <v>547</v>
      </c>
      <c r="I1118" s="30" t="s">
        <v>68</v>
      </c>
      <c r="J1118" s="32" t="s">
        <v>36</v>
      </c>
      <c r="K1118" s="33" t="s">
        <v>6</v>
      </c>
      <c r="L1118" s="46"/>
      <c r="M1118" s="218"/>
      <c r="N1118" s="218"/>
      <c r="O1118" s="218"/>
      <c r="P1118" s="225"/>
      <c r="Q1118" s="204"/>
      <c r="R1118" s="204"/>
      <c r="S1118" s="204"/>
    </row>
    <row r="1119" spans="1:19" s="61" customFormat="1">
      <c r="A1119" s="244"/>
      <c r="B1119" s="246"/>
      <c r="C1119" s="43" t="s">
        <v>638</v>
      </c>
      <c r="D1119" s="62">
        <v>4</v>
      </c>
      <c r="E1119" s="33" t="str">
        <f t="shared" si="922"/>
        <v>19:16</v>
      </c>
      <c r="F1119" s="30" t="s">
        <v>182</v>
      </c>
      <c r="G1119" s="30" t="s">
        <v>146</v>
      </c>
      <c r="H1119" s="65" t="s">
        <v>549</v>
      </c>
      <c r="I1119" s="30" t="s">
        <v>68</v>
      </c>
      <c r="J1119" s="32" t="s">
        <v>36</v>
      </c>
      <c r="K1119" s="33" t="s">
        <v>6</v>
      </c>
      <c r="L1119" s="46"/>
      <c r="M1119" s="218"/>
      <c r="N1119" s="218"/>
      <c r="O1119" s="218"/>
      <c r="P1119" s="225"/>
      <c r="Q1119" s="204"/>
      <c r="R1119" s="204"/>
      <c r="S1119" s="204"/>
    </row>
    <row r="1120" spans="1:19" s="61" customFormat="1">
      <c r="A1120" s="244"/>
      <c r="B1120" s="246"/>
      <c r="C1120" s="43" t="s">
        <v>639</v>
      </c>
      <c r="D1120" s="62">
        <v>4</v>
      </c>
      <c r="E1120" s="33" t="str">
        <f t="shared" si="922"/>
        <v>15:12</v>
      </c>
      <c r="F1120" s="30" t="s">
        <v>551</v>
      </c>
      <c r="G1120" s="30" t="s">
        <v>146</v>
      </c>
      <c r="H1120" s="64" t="s">
        <v>552</v>
      </c>
      <c r="I1120" s="30" t="s">
        <v>68</v>
      </c>
      <c r="J1120" s="32" t="s">
        <v>36</v>
      </c>
      <c r="K1120" s="33" t="s">
        <v>6</v>
      </c>
      <c r="L1120" s="46"/>
      <c r="M1120" s="218"/>
      <c r="N1120" s="218"/>
      <c r="O1120" s="218"/>
      <c r="P1120" s="225"/>
      <c r="Q1120" s="204"/>
      <c r="R1120" s="204"/>
      <c r="S1120" s="204"/>
    </row>
    <row r="1121" spans="1:19" s="61" customFormat="1">
      <c r="A1121" s="244"/>
      <c r="B1121" s="246"/>
      <c r="C1121" s="43" t="s">
        <v>640</v>
      </c>
      <c r="D1121" s="62">
        <v>4</v>
      </c>
      <c r="E1121" s="33" t="str">
        <f t="shared" si="922"/>
        <v>11:8</v>
      </c>
      <c r="F1121" s="30" t="s">
        <v>220</v>
      </c>
      <c r="G1121" s="30" t="s">
        <v>330</v>
      </c>
      <c r="H1121" s="64" t="s">
        <v>554</v>
      </c>
      <c r="I1121" s="30" t="s">
        <v>68</v>
      </c>
      <c r="J1121" s="32" t="s">
        <v>36</v>
      </c>
      <c r="K1121" s="33" t="s">
        <v>6</v>
      </c>
      <c r="L1121" s="46"/>
      <c r="M1121" s="218"/>
      <c r="N1121" s="218"/>
      <c r="O1121" s="218"/>
      <c r="P1121" s="225"/>
      <c r="Q1121" s="204"/>
      <c r="R1121" s="204"/>
      <c r="S1121" s="204"/>
    </row>
    <row r="1122" spans="1:19" s="61" customFormat="1">
      <c r="A1122" s="244"/>
      <c r="B1122" s="246"/>
      <c r="C1122" s="63" t="s">
        <v>641</v>
      </c>
      <c r="D1122" s="62">
        <v>4</v>
      </c>
      <c r="E1122" s="33" t="str">
        <f>(MID(E1121,SEARCH(":",E1121)+1,2)-1) &amp; ":" &amp; (MID(E1121,SEARCH(":",E1121)+1,2)-D1122)</f>
        <v>7:4</v>
      </c>
      <c r="F1122" s="30" t="s">
        <v>182</v>
      </c>
      <c r="G1122" s="30" t="s">
        <v>146</v>
      </c>
      <c r="H1122" s="63" t="s">
        <v>556</v>
      </c>
      <c r="I1122" s="30" t="s">
        <v>68</v>
      </c>
      <c r="J1122" s="32" t="s">
        <v>36</v>
      </c>
      <c r="K1122" s="33" t="s">
        <v>6</v>
      </c>
      <c r="L1122" s="46"/>
      <c r="M1122" s="218"/>
      <c r="N1122" s="218"/>
      <c r="O1122" s="218"/>
      <c r="P1122" s="225"/>
      <c r="Q1122" s="204"/>
      <c r="R1122" s="204"/>
      <c r="S1122" s="204"/>
    </row>
    <row r="1123" spans="1:19" s="61" customFormat="1" ht="15" thickBot="1">
      <c r="A1123" s="244"/>
      <c r="B1123" s="246"/>
      <c r="C1123" s="43" t="s">
        <v>642</v>
      </c>
      <c r="D1123" s="62">
        <v>4</v>
      </c>
      <c r="E1123" s="33" t="str">
        <f>(MID(E1122,SEARCH(":",E1122)+1,2)-1) &amp; ":" &amp; (MID(E1122,SEARCH(":",E1122)+1,2)-D1123)</f>
        <v>3:0</v>
      </c>
      <c r="F1123" s="83" t="s">
        <v>551</v>
      </c>
      <c r="G1123" s="83" t="s">
        <v>543</v>
      </c>
      <c r="H1123" s="64" t="s">
        <v>643</v>
      </c>
      <c r="I1123" s="30" t="s">
        <v>68</v>
      </c>
      <c r="J1123" s="32" t="s">
        <v>36</v>
      </c>
      <c r="K1123" s="33" t="s">
        <v>6</v>
      </c>
      <c r="L1123" s="46"/>
      <c r="M1123" s="218"/>
      <c r="N1123" s="218"/>
      <c r="O1123" s="218"/>
      <c r="P1123" s="225"/>
      <c r="Q1123" s="204"/>
      <c r="R1123" s="210"/>
      <c r="S1123" s="210"/>
    </row>
    <row r="1124" spans="1:19" s="61" customFormat="1">
      <c r="A1124" s="247" t="s">
        <v>644</v>
      </c>
      <c r="B1124" s="249" t="str">
        <f>DEC2HEX(P1124*4)</f>
        <v>10</v>
      </c>
      <c r="C1124" s="56" t="s">
        <v>383</v>
      </c>
      <c r="D1124" s="129" t="str">
        <f>bitConcat(F1125:F1132)</f>
        <v>32'b00000000000000010000100000000000</v>
      </c>
      <c r="E1124" s="130"/>
      <c r="F1124" s="130"/>
      <c r="G1124" s="205"/>
      <c r="H1124" s="73" t="s">
        <v>384</v>
      </c>
      <c r="I1124" s="74"/>
      <c r="J1124" s="202" t="str">
        <f>bitConcat(G1125:G1132)</f>
        <v>32'b00000000000000010000000000000000</v>
      </c>
      <c r="K1124" s="131"/>
      <c r="L1124" s="132"/>
      <c r="M1124" s="119" t="str">
        <f>DEC2HEX(_xlfn.BITLSHIFT(O1124,7)+4*P1124)</f>
        <v>410</v>
      </c>
      <c r="N1124" s="119" t="s">
        <v>385</v>
      </c>
      <c r="O1124" s="119">
        <v>8</v>
      </c>
      <c r="P1124" s="121">
        <v>4</v>
      </c>
      <c r="Q1124" s="121" t="str">
        <f>DEC2HEX(_xlfn.BITLSHIFT(O1124,5)+P1124)</f>
        <v>104</v>
      </c>
      <c r="R1124" s="203" t="str">
        <f>BIN2HEX(LEFT(RIGHT(D1124,32),4))&amp;BIN2HEX(LEFT(RIGHT(D1124,28),4))&amp;BIN2HEX(LEFT(RIGHT(D1124,24),4))&amp;BIN2HEX(LEFT(RIGHT(D1124,20),4))&amp;BIN2HEX(LEFT(RIGHT(D1124,16),4))&amp;BIN2HEX(LEFT(RIGHT(D1124,12),4))&amp;BIN2HEX(LEFT(RIGHT(D1124,8),4))&amp;BIN2HEX(LEFT(RIGHT(D1124,4),4))</f>
        <v>00010800</v>
      </c>
      <c r="S1124" s="203" t="str">
        <f>BIN2HEX(LEFT(RIGHT(J1124,32),4))&amp;BIN2HEX(LEFT(RIGHT(J1124,28),4))&amp;BIN2HEX(LEFT(RIGHT(J1124,24),4))&amp;BIN2HEX(LEFT(RIGHT(J1124,20),4))&amp;BIN2HEX(LEFT(RIGHT(J1124,16),4))&amp;BIN2HEX(LEFT(RIGHT(J1124,12),4))&amp;BIN2HEX(LEFT(RIGHT(J1124,8),4))&amp;BIN2HEX(LEFT(RIGHT(J1124,4),4))</f>
        <v>00010000</v>
      </c>
    </row>
    <row r="1125" spans="1:19" s="61" customFormat="1">
      <c r="A1125" s="248"/>
      <c r="B1125" s="250"/>
      <c r="C1125" s="43" t="s">
        <v>386</v>
      </c>
      <c r="D1125" s="62">
        <v>1</v>
      </c>
      <c r="E1125" s="70" t="str">
        <f>IF(D1125&gt;1,(31)&amp;":"&amp;(31-D1125+1),(31-D1125+1)&amp;":"&amp;(31-D1125+1))</f>
        <v>31:31</v>
      </c>
      <c r="F1125" s="30" t="s">
        <v>7</v>
      </c>
      <c r="G1125" s="30" t="s">
        <v>7</v>
      </c>
      <c r="H1125" s="65" t="s">
        <v>387</v>
      </c>
      <c r="I1125" s="30" t="s">
        <v>68</v>
      </c>
      <c r="J1125" s="32" t="s">
        <v>36</v>
      </c>
      <c r="K1125" s="33" t="s">
        <v>6</v>
      </c>
      <c r="L1125" s="46"/>
      <c r="M1125" s="120"/>
      <c r="N1125" s="120"/>
      <c r="O1125" s="120"/>
      <c r="P1125" s="122"/>
      <c r="Q1125" s="122"/>
      <c r="R1125" s="204"/>
      <c r="S1125" s="204"/>
    </row>
    <row r="1126" spans="1:19" s="61" customFormat="1">
      <c r="A1126" s="248"/>
      <c r="B1126" s="250"/>
      <c r="C1126" s="43" t="s">
        <v>388</v>
      </c>
      <c r="D1126" s="62">
        <v>6</v>
      </c>
      <c r="E1126" s="33" t="str">
        <f>(MID(E1125,SEARCH(":",E1125)+1,2)-1) &amp; ":" &amp; (MID(E1125,SEARCH(":",E1125)+1,2)-D1126)</f>
        <v>30:25</v>
      </c>
      <c r="F1126" s="30" t="s">
        <v>249</v>
      </c>
      <c r="G1126" s="30" t="s">
        <v>249</v>
      </c>
      <c r="H1126" s="65" t="s">
        <v>389</v>
      </c>
      <c r="I1126" s="30" t="s">
        <v>68</v>
      </c>
      <c r="J1126" s="32" t="s">
        <v>36</v>
      </c>
      <c r="K1126" s="33" t="s">
        <v>6</v>
      </c>
      <c r="L1126" s="46"/>
      <c r="M1126" s="120"/>
      <c r="N1126" s="120"/>
      <c r="O1126" s="120"/>
      <c r="P1126" s="122"/>
      <c r="Q1126" s="122"/>
      <c r="R1126" s="204"/>
      <c r="S1126" s="204"/>
    </row>
    <row r="1127" spans="1:19" s="61" customFormat="1" ht="15.75" customHeight="1">
      <c r="A1127" s="248"/>
      <c r="B1127" s="250"/>
      <c r="C1127" s="43" t="s">
        <v>390</v>
      </c>
      <c r="D1127" s="62">
        <v>4</v>
      </c>
      <c r="E1127" s="33" t="str">
        <f t="shared" ref="E1127:E1132" si="923">(MID(E1126,SEARCH(":",E1126)+1,2)-1) &amp; ":" &amp; (MID(E1126,SEARCH(":",E1126)+1,2)-D1127)</f>
        <v>24:21</v>
      </c>
      <c r="F1127" s="30" t="s">
        <v>149</v>
      </c>
      <c r="G1127" s="30" t="s">
        <v>149</v>
      </c>
      <c r="H1127" s="65" t="s">
        <v>391</v>
      </c>
      <c r="I1127" s="30" t="s">
        <v>68</v>
      </c>
      <c r="J1127" s="32" t="s">
        <v>36</v>
      </c>
      <c r="K1127" s="33" t="s">
        <v>6</v>
      </c>
      <c r="L1127" s="46"/>
      <c r="M1127" s="120"/>
      <c r="N1127" s="120"/>
      <c r="O1127" s="120"/>
      <c r="P1127" s="122"/>
      <c r="Q1127" s="122"/>
      <c r="R1127" s="204"/>
      <c r="S1127" s="204"/>
    </row>
    <row r="1128" spans="1:19" s="61" customFormat="1" ht="15.75" customHeight="1">
      <c r="A1128" s="248"/>
      <c r="B1128" s="250"/>
      <c r="C1128" s="43" t="s">
        <v>392</v>
      </c>
      <c r="D1128" s="62">
        <v>5</v>
      </c>
      <c r="E1128" s="33" t="str">
        <f t="shared" si="923"/>
        <v>20:16</v>
      </c>
      <c r="F1128" s="30" t="s">
        <v>393</v>
      </c>
      <c r="G1128" s="30" t="s">
        <v>393</v>
      </c>
      <c r="H1128" s="65" t="s">
        <v>394</v>
      </c>
      <c r="I1128" s="30" t="s">
        <v>68</v>
      </c>
      <c r="J1128" s="32" t="s">
        <v>36</v>
      </c>
      <c r="K1128" s="33" t="s">
        <v>6</v>
      </c>
      <c r="L1128" s="46"/>
      <c r="M1128" s="120"/>
      <c r="N1128" s="120"/>
      <c r="O1128" s="120"/>
      <c r="P1128" s="122"/>
      <c r="Q1128" s="122"/>
      <c r="R1128" s="204"/>
      <c r="S1128" s="204"/>
    </row>
    <row r="1129" spans="1:19" s="61" customFormat="1" ht="15.75" customHeight="1">
      <c r="A1129" s="248"/>
      <c r="B1129" s="250"/>
      <c r="C1129" s="43" t="s">
        <v>395</v>
      </c>
      <c r="D1129" s="62">
        <v>3</v>
      </c>
      <c r="E1129" s="33" t="str">
        <f t="shared" si="923"/>
        <v>15:13</v>
      </c>
      <c r="F1129" s="30" t="s">
        <v>178</v>
      </c>
      <c r="G1129" s="30" t="s">
        <v>178</v>
      </c>
      <c r="H1129" s="65" t="s">
        <v>396</v>
      </c>
      <c r="I1129" s="30"/>
      <c r="J1129" s="32"/>
      <c r="K1129" s="33"/>
      <c r="L1129" s="46"/>
      <c r="M1129" s="120"/>
      <c r="N1129" s="120"/>
      <c r="O1129" s="120"/>
      <c r="P1129" s="122"/>
      <c r="Q1129" s="122"/>
      <c r="R1129" s="204"/>
      <c r="S1129" s="204"/>
    </row>
    <row r="1130" spans="1:19" s="61" customFormat="1">
      <c r="A1130" s="248"/>
      <c r="B1130" s="250"/>
      <c r="C1130" s="43" t="s">
        <v>397</v>
      </c>
      <c r="D1130" s="62">
        <v>1</v>
      </c>
      <c r="E1130" s="33" t="str">
        <f t="shared" si="923"/>
        <v>12:12</v>
      </c>
      <c r="F1130" s="30" t="s">
        <v>7</v>
      </c>
      <c r="G1130" s="30" t="s">
        <v>7</v>
      </c>
      <c r="H1130" s="75" t="s">
        <v>398</v>
      </c>
      <c r="I1130" s="30" t="s">
        <v>68</v>
      </c>
      <c r="J1130" s="32" t="s">
        <v>36</v>
      </c>
      <c r="K1130" s="33" t="s">
        <v>6</v>
      </c>
      <c r="L1130" s="46"/>
      <c r="M1130" s="120"/>
      <c r="N1130" s="120"/>
      <c r="O1130" s="120"/>
      <c r="P1130" s="122"/>
      <c r="Q1130" s="122"/>
      <c r="R1130" s="204"/>
      <c r="S1130" s="204"/>
    </row>
    <row r="1131" spans="1:19" s="61" customFormat="1">
      <c r="A1131" s="248"/>
      <c r="B1131" s="250"/>
      <c r="C1131" s="43" t="s">
        <v>399</v>
      </c>
      <c r="D1131" s="62">
        <v>1</v>
      </c>
      <c r="E1131" s="33" t="str">
        <f t="shared" si="923"/>
        <v>11:11</v>
      </c>
      <c r="F1131" s="76" t="s">
        <v>269</v>
      </c>
      <c r="G1131" s="30" t="s">
        <v>7</v>
      </c>
      <c r="H1131" s="65" t="s">
        <v>400</v>
      </c>
      <c r="I1131" s="30" t="s">
        <v>68</v>
      </c>
      <c r="J1131" s="32" t="s">
        <v>36</v>
      </c>
      <c r="K1131" s="33" t="s">
        <v>6</v>
      </c>
      <c r="L1131" s="46"/>
      <c r="M1131" s="120"/>
      <c r="N1131" s="120"/>
      <c r="O1131" s="120"/>
      <c r="P1131" s="122"/>
      <c r="Q1131" s="122"/>
      <c r="R1131" s="204"/>
      <c r="S1131" s="204"/>
    </row>
    <row r="1132" spans="1:19" s="61" customFormat="1" ht="15" thickBot="1">
      <c r="A1132" s="248"/>
      <c r="B1132" s="250"/>
      <c r="C1132" s="43" t="s">
        <v>401</v>
      </c>
      <c r="D1132" s="62">
        <v>11</v>
      </c>
      <c r="E1132" s="33" t="str">
        <f t="shared" si="923"/>
        <v>10:0</v>
      </c>
      <c r="F1132" s="76" t="s">
        <v>941</v>
      </c>
      <c r="G1132" s="30" t="s">
        <v>402</v>
      </c>
      <c r="H1132" s="65" t="s">
        <v>403</v>
      </c>
      <c r="I1132" s="30" t="s">
        <v>68</v>
      </c>
      <c r="J1132" s="32" t="s">
        <v>36</v>
      </c>
      <c r="K1132" s="33" t="s">
        <v>6</v>
      </c>
      <c r="L1132" s="46"/>
      <c r="M1132" s="120"/>
      <c r="N1132" s="120"/>
      <c r="O1132" s="120"/>
      <c r="P1132" s="122"/>
      <c r="Q1132" s="122"/>
      <c r="R1132" s="210"/>
      <c r="S1132" s="210"/>
    </row>
    <row r="1133" spans="1:19" s="61" customFormat="1" ht="14.4" customHeight="1">
      <c r="A1133" s="248" t="s">
        <v>645</v>
      </c>
      <c r="B1133" s="249" t="str">
        <f t="shared" ref="B1133" si="924">DEC2HEX(P1133*4)</f>
        <v>1C</v>
      </c>
      <c r="C1133" s="56" t="s">
        <v>383</v>
      </c>
      <c r="D1133" s="129" t="str">
        <f>bitConcat(F1134:F1139)</f>
        <v>32'b00111111111111110000100000000000</v>
      </c>
      <c r="E1133" s="130"/>
      <c r="F1133" s="130"/>
      <c r="G1133" s="205"/>
      <c r="H1133" s="73" t="s">
        <v>384</v>
      </c>
      <c r="I1133" s="74"/>
      <c r="J1133" s="202" t="str">
        <f>bitConcat(G1134:G1139)</f>
        <v>32'b00111111111111110000001100010000</v>
      </c>
      <c r="K1133" s="131"/>
      <c r="L1133" s="132"/>
      <c r="M1133" s="119" t="str">
        <f t="shared" ref="M1133" si="925">DEC2HEX(_xlfn.BITLSHIFT(O1133,7)+4*P1133)</f>
        <v>41C</v>
      </c>
      <c r="N1133" s="120" t="s">
        <v>385</v>
      </c>
      <c r="O1133" s="120">
        <v>8</v>
      </c>
      <c r="P1133" s="122">
        <v>7</v>
      </c>
      <c r="Q1133" s="121" t="str">
        <f>DEC2HEX(_xlfn.BITLSHIFT(O1133,5)+P1133)</f>
        <v>107</v>
      </c>
      <c r="R1133" s="203" t="str">
        <f>BIN2HEX(LEFT(RIGHT(D1133,32),4))&amp;BIN2HEX(LEFT(RIGHT(D1133,28),4))&amp;BIN2HEX(LEFT(RIGHT(D1133,24),4))&amp;BIN2HEX(LEFT(RIGHT(D1133,20),4))&amp;BIN2HEX(LEFT(RIGHT(D1133,16),4))&amp;BIN2HEX(LEFT(RIGHT(D1133,12),4))&amp;BIN2HEX(LEFT(RIGHT(D1133,8),4))&amp;BIN2HEX(LEFT(RIGHT(D1133,4),4))</f>
        <v>3FFF0800</v>
      </c>
      <c r="S1133" s="203" t="str">
        <f t="shared" ref="S1133" si="926">BIN2HEX(LEFT(RIGHT(J1133,32),4))&amp;BIN2HEX(LEFT(RIGHT(J1133,28),4))&amp;BIN2HEX(LEFT(RIGHT(J1133,24),4))&amp;BIN2HEX(LEFT(RIGHT(J1133,20),4))&amp;BIN2HEX(LEFT(RIGHT(J1133,16),4))&amp;BIN2HEX(LEFT(RIGHT(J1133,12),4))&amp;BIN2HEX(LEFT(RIGHT(J1133,8),4))&amp;BIN2HEX(LEFT(RIGHT(J1133,4),4))</f>
        <v>3FFF0310</v>
      </c>
    </row>
    <row r="1134" spans="1:19" s="61" customFormat="1">
      <c r="A1134" s="248"/>
      <c r="B1134" s="250"/>
      <c r="C1134" s="43" t="s">
        <v>405</v>
      </c>
      <c r="D1134" s="62">
        <v>2</v>
      </c>
      <c r="E1134" s="70" t="str">
        <f>IF(D1134&gt;1,(31)&amp;":"&amp;(31-D1134+1),(31-D1134+1)&amp;":"&amp;(31-D1134+1))</f>
        <v>31:30</v>
      </c>
      <c r="F1134" s="30" t="s">
        <v>154</v>
      </c>
      <c r="G1134" s="30" t="s">
        <v>154</v>
      </c>
      <c r="H1134" s="64" t="s">
        <v>406</v>
      </c>
      <c r="I1134" s="30" t="s">
        <v>68</v>
      </c>
      <c r="J1134" s="32" t="s">
        <v>36</v>
      </c>
      <c r="K1134" s="33" t="s">
        <v>6</v>
      </c>
      <c r="L1134" s="46"/>
      <c r="M1134" s="120"/>
      <c r="N1134" s="120"/>
      <c r="O1134" s="120"/>
      <c r="P1134" s="122"/>
      <c r="Q1134" s="122"/>
      <c r="R1134" s="204"/>
      <c r="S1134" s="204"/>
    </row>
    <row r="1135" spans="1:19" s="61" customFormat="1">
      <c r="A1135" s="248"/>
      <c r="B1135" s="250"/>
      <c r="C1135" s="43" t="s">
        <v>407</v>
      </c>
      <c r="D1135" s="62">
        <v>14</v>
      </c>
      <c r="E1135" s="33" t="str">
        <f>(MID(E1134,SEARCH(":",E1134)+1,2)-1) &amp; ":" &amp; (MID(E1134,SEARCH(":",E1134)+1,2)-D1135)</f>
        <v>29:16</v>
      </c>
      <c r="F1135" s="30" t="s">
        <v>408</v>
      </c>
      <c r="G1135" s="30" t="s">
        <v>408</v>
      </c>
      <c r="H1135" s="65" t="s">
        <v>409</v>
      </c>
      <c r="I1135" s="30" t="s">
        <v>68</v>
      </c>
      <c r="J1135" s="32" t="s">
        <v>36</v>
      </c>
      <c r="K1135" s="33" t="s">
        <v>6</v>
      </c>
      <c r="L1135" s="46"/>
      <c r="M1135" s="120"/>
      <c r="N1135" s="120"/>
      <c r="O1135" s="120"/>
      <c r="P1135" s="122"/>
      <c r="Q1135" s="122"/>
      <c r="R1135" s="204"/>
      <c r="S1135" s="204"/>
    </row>
    <row r="1136" spans="1:19" s="61" customFormat="1" ht="15.75" customHeight="1">
      <c r="A1136" s="248"/>
      <c r="B1136" s="250"/>
      <c r="C1136" s="43" t="s">
        <v>410</v>
      </c>
      <c r="D1136" s="62">
        <v>3</v>
      </c>
      <c r="E1136" s="33" t="str">
        <f t="shared" ref="E1136:E1139" si="927">(MID(E1135,SEARCH(":",E1135)+1,2)-1) &amp; ":" &amp; (MID(E1135,SEARCH(":",E1135)+1,2)-D1136)</f>
        <v>15:13</v>
      </c>
      <c r="F1136" s="30" t="s">
        <v>178</v>
      </c>
      <c r="G1136" s="30" t="s">
        <v>178</v>
      </c>
      <c r="H1136" s="65" t="s">
        <v>396</v>
      </c>
      <c r="I1136" s="30" t="s">
        <v>68</v>
      </c>
      <c r="J1136" s="32" t="s">
        <v>36</v>
      </c>
      <c r="K1136" s="33" t="s">
        <v>6</v>
      </c>
      <c r="L1136" s="46"/>
      <c r="M1136" s="120"/>
      <c r="N1136" s="120"/>
      <c r="O1136" s="120"/>
      <c r="P1136" s="122"/>
      <c r="Q1136" s="122"/>
      <c r="R1136" s="204"/>
      <c r="S1136" s="204"/>
    </row>
    <row r="1137" spans="1:19" s="61" customFormat="1">
      <c r="A1137" s="248"/>
      <c r="B1137" s="250"/>
      <c r="C1137" s="43" t="s">
        <v>397</v>
      </c>
      <c r="D1137" s="62">
        <v>1</v>
      </c>
      <c r="E1137" s="33" t="str">
        <f t="shared" si="927"/>
        <v>12:12</v>
      </c>
      <c r="F1137" s="30" t="s">
        <v>7</v>
      </c>
      <c r="G1137" s="30" t="s">
        <v>7</v>
      </c>
      <c r="H1137" s="75" t="s">
        <v>398</v>
      </c>
      <c r="I1137" s="30" t="s">
        <v>68</v>
      </c>
      <c r="J1137" s="32" t="s">
        <v>36</v>
      </c>
      <c r="K1137" s="33" t="s">
        <v>6</v>
      </c>
      <c r="L1137" s="46"/>
      <c r="M1137" s="120"/>
      <c r="N1137" s="120"/>
      <c r="O1137" s="120"/>
      <c r="P1137" s="122"/>
      <c r="Q1137" s="122"/>
      <c r="R1137" s="204"/>
      <c r="S1137" s="204"/>
    </row>
    <row r="1138" spans="1:19" s="61" customFormat="1">
      <c r="A1138" s="248"/>
      <c r="B1138" s="250"/>
      <c r="C1138" s="43" t="s">
        <v>412</v>
      </c>
      <c r="D1138" s="62">
        <v>1</v>
      </c>
      <c r="E1138" s="33" t="str">
        <f t="shared" si="927"/>
        <v>11:11</v>
      </c>
      <c r="F1138" s="76" t="s">
        <v>269</v>
      </c>
      <c r="G1138" s="30" t="s">
        <v>7</v>
      </c>
      <c r="H1138" s="65" t="s">
        <v>400</v>
      </c>
      <c r="I1138" s="30" t="s">
        <v>68</v>
      </c>
      <c r="J1138" s="32" t="s">
        <v>36</v>
      </c>
      <c r="K1138" s="33" t="s">
        <v>6</v>
      </c>
      <c r="L1138" s="46"/>
      <c r="M1138" s="120"/>
      <c r="N1138" s="120"/>
      <c r="O1138" s="120"/>
      <c r="P1138" s="122"/>
      <c r="Q1138" s="122"/>
      <c r="R1138" s="204"/>
      <c r="S1138" s="204"/>
    </row>
    <row r="1139" spans="1:19" s="61" customFormat="1" ht="15" thickBot="1">
      <c r="A1139" s="248"/>
      <c r="B1139" s="250"/>
      <c r="C1139" s="43" t="s">
        <v>413</v>
      </c>
      <c r="D1139" s="62">
        <v>11</v>
      </c>
      <c r="E1139" s="33" t="str">
        <f t="shared" si="927"/>
        <v>10:0</v>
      </c>
      <c r="F1139" s="76" t="s">
        <v>941</v>
      </c>
      <c r="G1139" s="30" t="s">
        <v>414</v>
      </c>
      <c r="H1139" s="65" t="s">
        <v>403</v>
      </c>
      <c r="I1139" s="30" t="s">
        <v>68</v>
      </c>
      <c r="J1139" s="32" t="s">
        <v>36</v>
      </c>
      <c r="K1139" s="33" t="s">
        <v>6</v>
      </c>
      <c r="L1139" s="46"/>
      <c r="M1139" s="120"/>
      <c r="N1139" s="120"/>
      <c r="O1139" s="120"/>
      <c r="P1139" s="122"/>
      <c r="Q1139" s="122"/>
      <c r="R1139" s="204"/>
      <c r="S1139" s="204"/>
    </row>
    <row r="1140" spans="1:19" s="61" customFormat="1" ht="14.4" customHeight="1">
      <c r="A1140" s="248" t="s">
        <v>646</v>
      </c>
      <c r="B1140" s="249" t="str">
        <f t="shared" ref="B1140" si="928">DEC2HEX(P1140*4)</f>
        <v>14</v>
      </c>
      <c r="C1140" s="56" t="s">
        <v>383</v>
      </c>
      <c r="D1140" s="129" t="str">
        <f>bitConcat(F1141:F1149)</f>
        <v>32'b00011100000011100000100000000000</v>
      </c>
      <c r="E1140" s="130"/>
      <c r="F1140" s="130"/>
      <c r="G1140" s="205"/>
      <c r="H1140" s="73" t="s">
        <v>384</v>
      </c>
      <c r="I1140" s="74"/>
      <c r="J1140" s="202" t="str">
        <f>bitConcat(G1141:G1149)</f>
        <v>32'b00011100000011100000001100010000</v>
      </c>
      <c r="K1140" s="131"/>
      <c r="L1140" s="132"/>
      <c r="M1140" s="119" t="str">
        <f t="shared" ref="M1140" si="929">DEC2HEX(_xlfn.BITLSHIFT(O1140,7)+4*P1140)</f>
        <v>414</v>
      </c>
      <c r="N1140" s="120" t="s">
        <v>385</v>
      </c>
      <c r="O1140" s="120">
        <v>8</v>
      </c>
      <c r="P1140" s="122">
        <v>5</v>
      </c>
      <c r="Q1140" s="121" t="str">
        <f>DEC2HEX(_xlfn.BITLSHIFT(O1140,5)+P1140)</f>
        <v>105</v>
      </c>
      <c r="R1140" s="203" t="str">
        <f>BIN2HEX(LEFT(RIGHT(D1140,32),4))&amp;BIN2HEX(LEFT(RIGHT(D1140,28),4))&amp;BIN2HEX(LEFT(RIGHT(D1140,24),4))&amp;BIN2HEX(LEFT(RIGHT(D1140,20),4))&amp;BIN2HEX(LEFT(RIGHT(D1140,16),4))&amp;BIN2HEX(LEFT(RIGHT(D1140,12),4))&amp;BIN2HEX(LEFT(RIGHT(D1140,8),4))&amp;BIN2HEX(LEFT(RIGHT(D1140,4),4))</f>
        <v>1C0E0800</v>
      </c>
      <c r="S1140" s="203" t="str">
        <f t="shared" ref="S1140" si="930">BIN2HEX(LEFT(RIGHT(J1140,32),4))&amp;BIN2HEX(LEFT(RIGHT(J1140,28),4))&amp;BIN2HEX(LEFT(RIGHT(J1140,24),4))&amp;BIN2HEX(LEFT(RIGHT(J1140,20),4))&amp;BIN2HEX(LEFT(RIGHT(J1140,16),4))&amp;BIN2HEX(LEFT(RIGHT(J1140,12),4))&amp;BIN2HEX(LEFT(RIGHT(J1140,8),4))&amp;BIN2HEX(LEFT(RIGHT(J1140,4),4))</f>
        <v>1C0E0310</v>
      </c>
    </row>
    <row r="1141" spans="1:19" s="61" customFormat="1">
      <c r="A1141" s="248"/>
      <c r="B1141" s="250"/>
      <c r="C1141" s="43" t="s">
        <v>416</v>
      </c>
      <c r="D1141" s="62">
        <v>2</v>
      </c>
      <c r="E1141" s="70" t="str">
        <f>IF(D1141&gt;1,(31)&amp;":"&amp;(31-D1141+1),(31-D1141+1)&amp;":"&amp;(31-D1141+1))</f>
        <v>31:30</v>
      </c>
      <c r="F1141" s="30" t="s">
        <v>154</v>
      </c>
      <c r="G1141" s="30" t="s">
        <v>154</v>
      </c>
      <c r="H1141" s="64" t="s">
        <v>406</v>
      </c>
      <c r="I1141" s="30" t="s">
        <v>68</v>
      </c>
      <c r="J1141" s="32" t="s">
        <v>36</v>
      </c>
      <c r="K1141" s="33" t="s">
        <v>6</v>
      </c>
      <c r="L1141" s="46"/>
      <c r="M1141" s="120"/>
      <c r="N1141" s="120"/>
      <c r="O1141" s="120"/>
      <c r="P1141" s="122"/>
      <c r="Q1141" s="122"/>
      <c r="R1141" s="204"/>
      <c r="S1141" s="204"/>
    </row>
    <row r="1142" spans="1:19" s="61" customFormat="1" ht="15" customHeight="1">
      <c r="A1142" s="248"/>
      <c r="B1142" s="250"/>
      <c r="C1142" s="43" t="s">
        <v>417</v>
      </c>
      <c r="D1142" s="62">
        <v>1</v>
      </c>
      <c r="E1142" s="33" t="str">
        <f t="shared" ref="E1142" si="931">(MID(E1141,SEARCH(":",E1141)+1,2)-1) &amp; ":" &amp; (MID(E1141,SEARCH(":",E1141)+1,2)-D1142)</f>
        <v>29:29</v>
      </c>
      <c r="F1142" s="30" t="s">
        <v>7</v>
      </c>
      <c r="G1142" s="30" t="s">
        <v>7</v>
      </c>
      <c r="H1142" s="65" t="s">
        <v>418</v>
      </c>
      <c r="I1142" s="30" t="s">
        <v>68</v>
      </c>
      <c r="J1142" s="32" t="s">
        <v>36</v>
      </c>
      <c r="K1142" s="33" t="s">
        <v>6</v>
      </c>
      <c r="L1142" s="46"/>
      <c r="M1142" s="120"/>
      <c r="N1142" s="120"/>
      <c r="O1142" s="120"/>
      <c r="P1142" s="122"/>
      <c r="Q1142" s="122"/>
      <c r="R1142" s="204"/>
      <c r="S1142" s="204"/>
    </row>
    <row r="1143" spans="1:19" s="61" customFormat="1">
      <c r="A1143" s="248"/>
      <c r="B1143" s="250"/>
      <c r="C1143" s="43" t="s">
        <v>419</v>
      </c>
      <c r="D1143" s="62">
        <v>6</v>
      </c>
      <c r="E1143" s="33" t="str">
        <f>(MID(E1142,SEARCH(":",E1142)+1,2)-1) &amp; ":" &amp; (MID(E1142,SEARCH(":",E1142)+1,2)-D1143)</f>
        <v>28:23</v>
      </c>
      <c r="F1143" s="30" t="s">
        <v>420</v>
      </c>
      <c r="G1143" s="30" t="s">
        <v>420</v>
      </c>
      <c r="H1143" s="65" t="s">
        <v>421</v>
      </c>
      <c r="I1143" s="30" t="s">
        <v>68</v>
      </c>
      <c r="J1143" s="32" t="s">
        <v>36</v>
      </c>
      <c r="K1143" s="33" t="s">
        <v>6</v>
      </c>
      <c r="L1143" s="46"/>
      <c r="M1143" s="120"/>
      <c r="N1143" s="120"/>
      <c r="O1143" s="120"/>
      <c r="P1143" s="122"/>
      <c r="Q1143" s="122"/>
      <c r="R1143" s="204"/>
      <c r="S1143" s="204"/>
    </row>
    <row r="1144" spans="1:19" s="61" customFormat="1">
      <c r="A1144" s="248"/>
      <c r="B1144" s="250"/>
      <c r="C1144" s="43" t="s">
        <v>422</v>
      </c>
      <c r="D1144" s="62">
        <v>6</v>
      </c>
      <c r="E1144" s="33" t="str">
        <f t="shared" ref="E1144:E1149" si="932">(MID(E1143,SEARCH(":",E1143)+1,2)-1) &amp; ":" &amp; (MID(E1143,SEARCH(":",E1143)+1,2)-D1144)</f>
        <v>22:17</v>
      </c>
      <c r="F1144" s="30" t="s">
        <v>423</v>
      </c>
      <c r="G1144" s="30" t="s">
        <v>423</v>
      </c>
      <c r="H1144" s="64" t="s">
        <v>421</v>
      </c>
      <c r="I1144" s="30" t="s">
        <v>68</v>
      </c>
      <c r="J1144" s="32" t="s">
        <v>36</v>
      </c>
      <c r="K1144" s="33" t="s">
        <v>6</v>
      </c>
      <c r="L1144" s="46"/>
      <c r="M1144" s="120"/>
      <c r="N1144" s="120"/>
      <c r="O1144" s="120"/>
      <c r="P1144" s="122"/>
      <c r="Q1144" s="122"/>
      <c r="R1144" s="204"/>
      <c r="S1144" s="204"/>
    </row>
    <row r="1145" spans="1:19" s="61" customFormat="1">
      <c r="A1145" s="248"/>
      <c r="B1145" s="250"/>
      <c r="C1145" s="43" t="s">
        <v>424</v>
      </c>
      <c r="D1145" s="62">
        <v>1</v>
      </c>
      <c r="E1145" s="33" t="str">
        <f t="shared" si="932"/>
        <v>16:16</v>
      </c>
      <c r="F1145" s="30" t="s">
        <v>7</v>
      </c>
      <c r="G1145" s="30" t="s">
        <v>7</v>
      </c>
      <c r="H1145" s="64" t="s">
        <v>425</v>
      </c>
      <c r="I1145" s="30" t="s">
        <v>68</v>
      </c>
      <c r="J1145" s="32" t="s">
        <v>36</v>
      </c>
      <c r="K1145" s="33" t="s">
        <v>6</v>
      </c>
      <c r="L1145" s="46"/>
      <c r="M1145" s="120"/>
      <c r="N1145" s="120"/>
      <c r="O1145" s="120"/>
      <c r="P1145" s="122"/>
      <c r="Q1145" s="122"/>
      <c r="R1145" s="204"/>
      <c r="S1145" s="204"/>
    </row>
    <row r="1146" spans="1:19" s="61" customFormat="1">
      <c r="A1146" s="248"/>
      <c r="B1146" s="250"/>
      <c r="C1146" s="43" t="s">
        <v>426</v>
      </c>
      <c r="D1146" s="62">
        <v>3</v>
      </c>
      <c r="E1146" s="33" t="str">
        <f t="shared" si="932"/>
        <v>15:13</v>
      </c>
      <c r="F1146" s="30" t="s">
        <v>178</v>
      </c>
      <c r="G1146" s="30" t="s">
        <v>178</v>
      </c>
      <c r="H1146" s="65" t="s">
        <v>396</v>
      </c>
      <c r="I1146" s="30" t="s">
        <v>68</v>
      </c>
      <c r="J1146" s="32" t="s">
        <v>36</v>
      </c>
      <c r="K1146" s="33" t="s">
        <v>6</v>
      </c>
      <c r="L1146" s="46"/>
      <c r="M1146" s="120"/>
      <c r="N1146" s="120"/>
      <c r="O1146" s="120"/>
      <c r="P1146" s="122"/>
      <c r="Q1146" s="122"/>
      <c r="R1146" s="204"/>
      <c r="S1146" s="204"/>
    </row>
    <row r="1147" spans="1:19" s="61" customFormat="1">
      <c r="A1147" s="248"/>
      <c r="B1147" s="250"/>
      <c r="C1147" s="43" t="s">
        <v>397</v>
      </c>
      <c r="D1147" s="62">
        <v>1</v>
      </c>
      <c r="E1147" s="33" t="str">
        <f t="shared" si="932"/>
        <v>12:12</v>
      </c>
      <c r="F1147" s="30" t="s">
        <v>7</v>
      </c>
      <c r="G1147" s="30" t="s">
        <v>7</v>
      </c>
      <c r="H1147" s="75" t="s">
        <v>398</v>
      </c>
      <c r="I1147" s="30" t="s">
        <v>68</v>
      </c>
      <c r="J1147" s="32" t="s">
        <v>36</v>
      </c>
      <c r="K1147" s="33" t="s">
        <v>6</v>
      </c>
      <c r="L1147" s="46"/>
      <c r="M1147" s="120"/>
      <c r="N1147" s="120"/>
      <c r="O1147" s="120"/>
      <c r="P1147" s="122"/>
      <c r="Q1147" s="122"/>
      <c r="R1147" s="204"/>
      <c r="S1147" s="204"/>
    </row>
    <row r="1148" spans="1:19" s="61" customFormat="1">
      <c r="A1148" s="248"/>
      <c r="B1148" s="250"/>
      <c r="C1148" s="43" t="s">
        <v>428</v>
      </c>
      <c r="D1148" s="62">
        <v>1</v>
      </c>
      <c r="E1148" s="33" t="str">
        <f t="shared" si="932"/>
        <v>11:11</v>
      </c>
      <c r="F1148" s="76" t="s">
        <v>269</v>
      </c>
      <c r="G1148" s="30" t="s">
        <v>7</v>
      </c>
      <c r="H1148" s="65" t="s">
        <v>400</v>
      </c>
      <c r="I1148" s="30" t="s">
        <v>68</v>
      </c>
      <c r="J1148" s="32" t="s">
        <v>36</v>
      </c>
      <c r="K1148" s="33" t="s">
        <v>6</v>
      </c>
      <c r="L1148" s="46"/>
      <c r="M1148" s="120"/>
      <c r="N1148" s="120"/>
      <c r="O1148" s="120"/>
      <c r="P1148" s="122"/>
      <c r="Q1148" s="122"/>
      <c r="R1148" s="204"/>
      <c r="S1148" s="204"/>
    </row>
    <row r="1149" spans="1:19" s="61" customFormat="1" ht="15" thickBot="1">
      <c r="A1149" s="248"/>
      <c r="B1149" s="250"/>
      <c r="C1149" s="43" t="s">
        <v>429</v>
      </c>
      <c r="D1149" s="62">
        <v>11</v>
      </c>
      <c r="E1149" s="33" t="str">
        <f t="shared" si="932"/>
        <v>10:0</v>
      </c>
      <c r="F1149" s="76" t="s">
        <v>941</v>
      </c>
      <c r="G1149" s="30" t="s">
        <v>414</v>
      </c>
      <c r="H1149" s="65" t="s">
        <v>403</v>
      </c>
      <c r="I1149" s="30" t="s">
        <v>68</v>
      </c>
      <c r="J1149" s="32" t="s">
        <v>36</v>
      </c>
      <c r="K1149" s="33" t="s">
        <v>6</v>
      </c>
      <c r="L1149" s="46"/>
      <c r="M1149" s="120"/>
      <c r="N1149" s="120"/>
      <c r="O1149" s="120"/>
      <c r="P1149" s="122"/>
      <c r="Q1149" s="122"/>
      <c r="R1149" s="204"/>
      <c r="S1149" s="204"/>
    </row>
    <row r="1150" spans="1:19" s="61" customFormat="1" ht="14.4" customHeight="1">
      <c r="A1150" s="248" t="s">
        <v>647</v>
      </c>
      <c r="B1150" s="249" t="str">
        <f t="shared" ref="B1150" si="933">DEC2HEX(P1150*4)</f>
        <v>18</v>
      </c>
      <c r="C1150" s="56" t="s">
        <v>383</v>
      </c>
      <c r="D1150" s="129" t="str">
        <f>bitConcat(F1151:F1159)</f>
        <v>32'b00000000000011000000100000000000</v>
      </c>
      <c r="E1150" s="130"/>
      <c r="F1150" s="130"/>
      <c r="G1150" s="205"/>
      <c r="H1150" s="73" t="s">
        <v>384</v>
      </c>
      <c r="I1150" s="74"/>
      <c r="J1150" s="202" t="str">
        <f>bitConcat(G1151:G1159)</f>
        <v>32'b00000000000011000000001100010000</v>
      </c>
      <c r="K1150" s="131"/>
      <c r="L1150" s="132"/>
      <c r="M1150" s="119" t="str">
        <f t="shared" ref="M1150" si="934">DEC2HEX(_xlfn.BITLSHIFT(O1150,7)+4*P1150)</f>
        <v>418</v>
      </c>
      <c r="N1150" s="120" t="s">
        <v>385</v>
      </c>
      <c r="O1150" s="120">
        <v>8</v>
      </c>
      <c r="P1150" s="122">
        <v>6</v>
      </c>
      <c r="Q1150" s="121" t="str">
        <f>DEC2HEX(_xlfn.BITLSHIFT(O1150,5)+P1150)</f>
        <v>106</v>
      </c>
      <c r="R1150" s="203" t="str">
        <f>BIN2HEX(LEFT(RIGHT(D1150,32),4))&amp;BIN2HEX(LEFT(RIGHT(D1150,28),4))&amp;BIN2HEX(LEFT(RIGHT(D1150,24),4))&amp;BIN2HEX(LEFT(RIGHT(D1150,20),4))&amp;BIN2HEX(LEFT(RIGHT(D1150,16),4))&amp;BIN2HEX(LEFT(RIGHT(D1150,12),4))&amp;BIN2HEX(LEFT(RIGHT(D1150,8),4))&amp;BIN2HEX(LEFT(RIGHT(D1150,4),4))</f>
        <v>000C0800</v>
      </c>
      <c r="S1150" s="203" t="str">
        <f t="shared" ref="S1150" si="935">BIN2HEX(LEFT(RIGHT(J1150,32),4))&amp;BIN2HEX(LEFT(RIGHT(J1150,28),4))&amp;BIN2HEX(LEFT(RIGHT(J1150,24),4))&amp;BIN2HEX(LEFT(RIGHT(J1150,20),4))&amp;BIN2HEX(LEFT(RIGHT(J1150,16),4))&amp;BIN2HEX(LEFT(RIGHT(J1150,12),4))&amp;BIN2HEX(LEFT(RIGHT(J1150,8),4))&amp;BIN2HEX(LEFT(RIGHT(J1150,4),4))</f>
        <v>000C0310</v>
      </c>
    </row>
    <row r="1151" spans="1:19" s="61" customFormat="1">
      <c r="A1151" s="248"/>
      <c r="B1151" s="250"/>
      <c r="C1151" s="43" t="s">
        <v>431</v>
      </c>
      <c r="D1151" s="62">
        <v>6</v>
      </c>
      <c r="E1151" s="70" t="str">
        <f>IF(D1151&gt;1,(31)&amp;":"&amp;(31-D1151+1),(31-D1151+1)&amp;":"&amp;(31-D1151+1))</f>
        <v>31:26</v>
      </c>
      <c r="F1151" s="30" t="s">
        <v>249</v>
      </c>
      <c r="G1151" s="30" t="s">
        <v>249</v>
      </c>
      <c r="H1151" s="64" t="s">
        <v>432</v>
      </c>
      <c r="I1151" s="30" t="s">
        <v>68</v>
      </c>
      <c r="J1151" s="32" t="s">
        <v>36</v>
      </c>
      <c r="K1151" s="33" t="s">
        <v>6</v>
      </c>
      <c r="L1151" s="46"/>
      <c r="M1151" s="120"/>
      <c r="N1151" s="120"/>
      <c r="O1151" s="120"/>
      <c r="P1151" s="122"/>
      <c r="Q1151" s="122"/>
      <c r="R1151" s="204"/>
      <c r="S1151" s="204"/>
    </row>
    <row r="1152" spans="1:19" s="61" customFormat="1">
      <c r="A1152" s="248"/>
      <c r="B1152" s="250"/>
      <c r="C1152" s="43" t="s">
        <v>433</v>
      </c>
      <c r="D1152" s="62">
        <v>5</v>
      </c>
      <c r="E1152" s="33" t="str">
        <f t="shared" ref="E1152:E1159" si="936">(MID(E1151,SEARCH(":",E1151)+1,2)-1) &amp; ":" &amp; (MID(E1151,SEARCH(":",E1151)+1,2)-D1152)</f>
        <v>25:21</v>
      </c>
      <c r="F1152" s="30" t="s">
        <v>434</v>
      </c>
      <c r="G1152" s="30" t="s">
        <v>434</v>
      </c>
      <c r="H1152" s="64" t="s">
        <v>435</v>
      </c>
      <c r="I1152" s="30" t="s">
        <v>68</v>
      </c>
      <c r="J1152" s="32" t="s">
        <v>36</v>
      </c>
      <c r="K1152" s="33" t="s">
        <v>6</v>
      </c>
      <c r="L1152" s="46"/>
      <c r="M1152" s="120"/>
      <c r="N1152" s="120"/>
      <c r="O1152" s="120"/>
      <c r="P1152" s="122"/>
      <c r="Q1152" s="122"/>
      <c r="R1152" s="204"/>
      <c r="S1152" s="204"/>
    </row>
    <row r="1153" spans="1:19" s="61" customFormat="1">
      <c r="A1153" s="248"/>
      <c r="B1153" s="250"/>
      <c r="C1153" s="43" t="s">
        <v>436</v>
      </c>
      <c r="D1153" s="62">
        <v>1</v>
      </c>
      <c r="E1153" s="33" t="str">
        <f t="shared" si="936"/>
        <v>20:20</v>
      </c>
      <c r="F1153" s="30" t="s">
        <v>7</v>
      </c>
      <c r="G1153" s="30" t="s">
        <v>7</v>
      </c>
      <c r="H1153" s="65" t="s">
        <v>437</v>
      </c>
      <c r="I1153" s="30" t="s">
        <v>68</v>
      </c>
      <c r="J1153" s="32" t="s">
        <v>36</v>
      </c>
      <c r="K1153" s="33" t="s">
        <v>6</v>
      </c>
      <c r="L1153" s="46"/>
      <c r="M1153" s="120"/>
      <c r="N1153" s="120"/>
      <c r="O1153" s="120"/>
      <c r="P1153" s="122"/>
      <c r="Q1153" s="122"/>
      <c r="R1153" s="204"/>
      <c r="S1153" s="204"/>
    </row>
    <row r="1154" spans="1:19" s="61" customFormat="1" ht="15.75" customHeight="1">
      <c r="A1154" s="248"/>
      <c r="B1154" s="250"/>
      <c r="C1154" s="43" t="s">
        <v>438</v>
      </c>
      <c r="D1154" s="62">
        <v>2</v>
      </c>
      <c r="E1154" s="33" t="str">
        <f t="shared" si="936"/>
        <v>19:18</v>
      </c>
      <c r="F1154" s="30" t="s">
        <v>257</v>
      </c>
      <c r="G1154" s="30" t="s">
        <v>257</v>
      </c>
      <c r="H1154" s="65" t="s">
        <v>439</v>
      </c>
      <c r="I1154" s="30" t="s">
        <v>68</v>
      </c>
      <c r="J1154" s="32" t="s">
        <v>36</v>
      </c>
      <c r="K1154" s="33" t="s">
        <v>6</v>
      </c>
      <c r="L1154" s="46"/>
      <c r="M1154" s="120"/>
      <c r="N1154" s="120"/>
      <c r="O1154" s="120"/>
      <c r="P1154" s="122"/>
      <c r="Q1154" s="122"/>
      <c r="R1154" s="204"/>
      <c r="S1154" s="204"/>
    </row>
    <row r="1155" spans="1:19" s="61" customFormat="1">
      <c r="A1155" s="248"/>
      <c r="B1155" s="250"/>
      <c r="C1155" s="43" t="s">
        <v>440</v>
      </c>
      <c r="D1155" s="62">
        <v>2</v>
      </c>
      <c r="E1155" s="33" t="str">
        <f t="shared" si="936"/>
        <v>17:16</v>
      </c>
      <c r="F1155" s="30" t="s">
        <v>154</v>
      </c>
      <c r="G1155" s="30" t="s">
        <v>154</v>
      </c>
      <c r="H1155" s="65" t="s">
        <v>441</v>
      </c>
      <c r="I1155" s="30" t="s">
        <v>68</v>
      </c>
      <c r="J1155" s="32" t="s">
        <v>36</v>
      </c>
      <c r="K1155" s="33" t="s">
        <v>6</v>
      </c>
      <c r="L1155" s="46"/>
      <c r="M1155" s="120"/>
      <c r="N1155" s="120"/>
      <c r="O1155" s="120"/>
      <c r="P1155" s="122"/>
      <c r="Q1155" s="122"/>
      <c r="R1155" s="204"/>
      <c r="S1155" s="204"/>
    </row>
    <row r="1156" spans="1:19" s="61" customFormat="1">
      <c r="A1156" s="248"/>
      <c r="B1156" s="250"/>
      <c r="C1156" s="43" t="s">
        <v>442</v>
      </c>
      <c r="D1156" s="62">
        <v>3</v>
      </c>
      <c r="E1156" s="33" t="str">
        <f t="shared" si="936"/>
        <v>15:13</v>
      </c>
      <c r="F1156" s="30" t="s">
        <v>178</v>
      </c>
      <c r="G1156" s="30" t="s">
        <v>178</v>
      </c>
      <c r="H1156" s="65" t="s">
        <v>396</v>
      </c>
      <c r="I1156" s="30" t="s">
        <v>68</v>
      </c>
      <c r="J1156" s="32" t="s">
        <v>36</v>
      </c>
      <c r="K1156" s="33" t="s">
        <v>6</v>
      </c>
      <c r="L1156" s="46"/>
      <c r="M1156" s="120"/>
      <c r="N1156" s="120"/>
      <c r="O1156" s="120"/>
      <c r="P1156" s="122"/>
      <c r="Q1156" s="122"/>
      <c r="R1156" s="204"/>
      <c r="S1156" s="204"/>
    </row>
    <row r="1157" spans="1:19" s="61" customFormat="1">
      <c r="A1157" s="248"/>
      <c r="B1157" s="250"/>
      <c r="C1157" s="43" t="s">
        <v>397</v>
      </c>
      <c r="D1157" s="62">
        <v>1</v>
      </c>
      <c r="E1157" s="33" t="str">
        <f t="shared" si="936"/>
        <v>12:12</v>
      </c>
      <c r="F1157" s="30" t="s">
        <v>7</v>
      </c>
      <c r="G1157" s="30" t="s">
        <v>7</v>
      </c>
      <c r="H1157" s="75" t="s">
        <v>398</v>
      </c>
      <c r="I1157" s="30" t="s">
        <v>68</v>
      </c>
      <c r="J1157" s="32" t="s">
        <v>36</v>
      </c>
      <c r="K1157" s="33" t="s">
        <v>6</v>
      </c>
      <c r="L1157" s="46"/>
      <c r="M1157" s="120"/>
      <c r="N1157" s="120"/>
      <c r="O1157" s="120"/>
      <c r="P1157" s="122"/>
      <c r="Q1157" s="122"/>
      <c r="R1157" s="204"/>
      <c r="S1157" s="204"/>
    </row>
    <row r="1158" spans="1:19" s="61" customFormat="1">
      <c r="A1158" s="248"/>
      <c r="B1158" s="250"/>
      <c r="C1158" s="43" t="s">
        <v>444</v>
      </c>
      <c r="D1158" s="62">
        <v>1</v>
      </c>
      <c r="E1158" s="33" t="str">
        <f t="shared" si="936"/>
        <v>11:11</v>
      </c>
      <c r="F1158" s="76" t="s">
        <v>269</v>
      </c>
      <c r="G1158" s="30" t="s">
        <v>7</v>
      </c>
      <c r="H1158" s="65" t="s">
        <v>400</v>
      </c>
      <c r="I1158" s="30" t="s">
        <v>68</v>
      </c>
      <c r="J1158" s="32" t="s">
        <v>36</v>
      </c>
      <c r="K1158" s="33" t="s">
        <v>6</v>
      </c>
      <c r="L1158" s="46"/>
      <c r="M1158" s="120"/>
      <c r="N1158" s="120"/>
      <c r="O1158" s="120"/>
      <c r="P1158" s="122"/>
      <c r="Q1158" s="122"/>
      <c r="R1158" s="204"/>
      <c r="S1158" s="204"/>
    </row>
    <row r="1159" spans="1:19" s="61" customFormat="1" ht="15" thickBot="1">
      <c r="A1159" s="248"/>
      <c r="B1159" s="250"/>
      <c r="C1159" s="43" t="s">
        <v>445</v>
      </c>
      <c r="D1159" s="62">
        <v>11</v>
      </c>
      <c r="E1159" s="33" t="str">
        <f t="shared" si="936"/>
        <v>10:0</v>
      </c>
      <c r="F1159" s="76" t="s">
        <v>941</v>
      </c>
      <c r="G1159" s="30" t="s">
        <v>414</v>
      </c>
      <c r="H1159" s="65" t="s">
        <v>403</v>
      </c>
      <c r="I1159" s="30" t="s">
        <v>68</v>
      </c>
      <c r="J1159" s="32" t="s">
        <v>36</v>
      </c>
      <c r="K1159" s="33" t="s">
        <v>6</v>
      </c>
      <c r="L1159" s="46"/>
      <c r="M1159" s="120"/>
      <c r="N1159" s="120"/>
      <c r="O1159" s="120"/>
      <c r="P1159" s="122"/>
      <c r="Q1159" s="122"/>
      <c r="R1159" s="204"/>
      <c r="S1159" s="204"/>
    </row>
    <row r="1160" spans="1:19" s="61" customFormat="1">
      <c r="A1160" s="251" t="s">
        <v>648</v>
      </c>
      <c r="B1160" s="253" t="str">
        <f t="shared" ref="B1160" si="937">DEC2HEX(P1160*4)</f>
        <v>0</v>
      </c>
      <c r="C1160" s="56" t="s">
        <v>383</v>
      </c>
      <c r="D1160" s="129" t="str">
        <f>bitConcat(F1161:F1164)</f>
        <v>32'b00000000000000000000000000000000</v>
      </c>
      <c r="E1160" s="130"/>
      <c r="F1160" s="130"/>
      <c r="G1160" s="205"/>
      <c r="H1160" s="73" t="s">
        <v>384</v>
      </c>
      <c r="I1160" s="74"/>
      <c r="J1160" s="202" t="str">
        <f>bitConcat(G1161:G1164)</f>
        <v>32'b00000000000000000000000000000000</v>
      </c>
      <c r="K1160" s="131"/>
      <c r="L1160" s="132"/>
      <c r="M1160" s="119" t="str">
        <f t="shared" ref="M1160" si="938">DEC2HEX(_xlfn.BITLSHIFT(O1160,7)+4*P1160)</f>
        <v>380</v>
      </c>
      <c r="N1160" s="119" t="s">
        <v>385</v>
      </c>
      <c r="O1160" s="119">
        <v>7</v>
      </c>
      <c r="P1160" s="121">
        <v>0</v>
      </c>
      <c r="Q1160" s="121" t="str">
        <f>DEC2HEX(_xlfn.BITLSHIFT(O1160,5)+P1160)</f>
        <v>E0</v>
      </c>
      <c r="R1160" s="203" t="str">
        <f>BIN2HEX(LEFT(RIGHT(D1160,32),4))&amp;BIN2HEX(LEFT(RIGHT(D1160,28),4))&amp;BIN2HEX(LEFT(RIGHT(D1160,24),4))&amp;BIN2HEX(LEFT(RIGHT(D1160,20),4))&amp;BIN2HEX(LEFT(RIGHT(D1160,16),4))&amp;BIN2HEX(LEFT(RIGHT(D1160,12),4))&amp;BIN2HEX(LEFT(RIGHT(D1160,8),4))&amp;BIN2HEX(LEFT(RIGHT(D1160,4),4))</f>
        <v>00000000</v>
      </c>
      <c r="S1160" s="203" t="str">
        <f t="shared" ref="S1160" si="939">BIN2HEX(LEFT(RIGHT(J1160,32),4))&amp;BIN2HEX(LEFT(RIGHT(J1160,28),4))&amp;BIN2HEX(LEFT(RIGHT(J1160,24),4))&amp;BIN2HEX(LEFT(RIGHT(J1160,20),4))&amp;BIN2HEX(LEFT(RIGHT(J1160,16),4))&amp;BIN2HEX(LEFT(RIGHT(J1160,12),4))&amp;BIN2HEX(LEFT(RIGHT(J1160,8),4))&amp;BIN2HEX(LEFT(RIGHT(J1160,4),4))</f>
        <v>00000000</v>
      </c>
    </row>
    <row r="1161" spans="1:19" s="61" customFormat="1">
      <c r="A1161" s="252"/>
      <c r="B1161" s="254"/>
      <c r="C1161" s="43" t="s">
        <v>447</v>
      </c>
      <c r="D1161" s="62">
        <v>8</v>
      </c>
      <c r="E1161" s="70" t="str">
        <f>IF(D1161&gt;1,(31)&amp;":"&amp;(31-D1161+1),(31-D1161+1)&amp;":"&amp;(31-D1161+1))</f>
        <v>31:24</v>
      </c>
      <c r="F1161" s="30" t="s">
        <v>133</v>
      </c>
      <c r="G1161" s="30" t="s">
        <v>133</v>
      </c>
      <c r="H1161" s="64" t="s">
        <v>448</v>
      </c>
      <c r="I1161" s="30" t="s">
        <v>68</v>
      </c>
      <c r="J1161" s="32" t="s">
        <v>36</v>
      </c>
      <c r="K1161" s="33" t="s">
        <v>6</v>
      </c>
      <c r="L1161" s="46"/>
      <c r="M1161" s="120"/>
      <c r="N1161" s="120"/>
      <c r="O1161" s="120"/>
      <c r="P1161" s="122"/>
      <c r="Q1161" s="122"/>
      <c r="R1161" s="204"/>
      <c r="S1161" s="204"/>
    </row>
    <row r="1162" spans="1:19" s="61" customFormat="1">
      <c r="A1162" s="252"/>
      <c r="B1162" s="254"/>
      <c r="C1162" s="43" t="s">
        <v>449</v>
      </c>
      <c r="D1162" s="62">
        <v>8</v>
      </c>
      <c r="E1162" s="33" t="str">
        <f t="shared" ref="E1162" si="940">(MID(E1161,SEARCH(":",E1161)+1,2)-1) &amp; ":" &amp; (MID(E1161,SEARCH(":",E1161)+1,2)-D1162)</f>
        <v>23:16</v>
      </c>
      <c r="F1162" s="30" t="s">
        <v>133</v>
      </c>
      <c r="G1162" s="30" t="s">
        <v>133</v>
      </c>
      <c r="H1162" s="64" t="s">
        <v>450</v>
      </c>
      <c r="I1162" s="30" t="s">
        <v>68</v>
      </c>
      <c r="J1162" s="32" t="s">
        <v>36</v>
      </c>
      <c r="K1162" s="33" t="s">
        <v>6</v>
      </c>
      <c r="L1162" s="46"/>
      <c r="M1162" s="120"/>
      <c r="N1162" s="120"/>
      <c r="O1162" s="120"/>
      <c r="P1162" s="122"/>
      <c r="Q1162" s="122"/>
      <c r="R1162" s="204"/>
      <c r="S1162" s="204"/>
    </row>
    <row r="1163" spans="1:19" s="61" customFormat="1">
      <c r="A1163" s="252"/>
      <c r="B1163" s="254"/>
      <c r="C1163" s="43" t="s">
        <v>451</v>
      </c>
      <c r="D1163" s="62">
        <v>8</v>
      </c>
      <c r="E1163" s="33" t="str">
        <f>(MID(E1162,SEARCH(":",E1162)+1,2)-1) &amp; ":" &amp; (MID(E1162,SEARCH(":",E1162)+1,2)-D1163)</f>
        <v>15:8</v>
      </c>
      <c r="F1163" s="30" t="s">
        <v>133</v>
      </c>
      <c r="G1163" s="30" t="s">
        <v>133</v>
      </c>
      <c r="H1163" s="64" t="s">
        <v>452</v>
      </c>
      <c r="I1163" s="30" t="s">
        <v>68</v>
      </c>
      <c r="J1163" s="32" t="s">
        <v>36</v>
      </c>
      <c r="K1163" s="33" t="s">
        <v>6</v>
      </c>
      <c r="L1163" s="46"/>
      <c r="M1163" s="120"/>
      <c r="N1163" s="120"/>
      <c r="O1163" s="120"/>
      <c r="P1163" s="122"/>
      <c r="Q1163" s="122"/>
      <c r="R1163" s="204"/>
      <c r="S1163" s="204"/>
    </row>
    <row r="1164" spans="1:19" s="61" customFormat="1" ht="15" thickBot="1">
      <c r="A1164" s="252"/>
      <c r="B1164" s="254"/>
      <c r="C1164" s="43" t="s">
        <v>453</v>
      </c>
      <c r="D1164" s="62">
        <v>8</v>
      </c>
      <c r="E1164" s="33" t="str">
        <f>(MID(E1163,SEARCH(":",E1163)+1,2)-1) &amp; ":" &amp; (MID(E1163,SEARCH(":",E1163)+1,2)-D1164)</f>
        <v>7:0</v>
      </c>
      <c r="F1164" s="30" t="s">
        <v>133</v>
      </c>
      <c r="G1164" s="30" t="s">
        <v>133</v>
      </c>
      <c r="H1164" s="64" t="s">
        <v>454</v>
      </c>
      <c r="I1164" s="30" t="s">
        <v>68</v>
      </c>
      <c r="J1164" s="32" t="s">
        <v>36</v>
      </c>
      <c r="K1164" s="33" t="s">
        <v>6</v>
      </c>
      <c r="L1164" s="46"/>
      <c r="M1164" s="120"/>
      <c r="N1164" s="120"/>
      <c r="O1164" s="120"/>
      <c r="P1164" s="122"/>
      <c r="Q1164" s="122"/>
      <c r="R1164" s="204"/>
      <c r="S1164" s="210"/>
    </row>
    <row r="1165" spans="1:19" s="61" customFormat="1" ht="15.75" customHeight="1">
      <c r="A1165" s="252" t="s">
        <v>649</v>
      </c>
      <c r="B1165" s="253" t="str">
        <f t="shared" ref="B1165" si="941">DEC2HEX(P1165*4)</f>
        <v>4</v>
      </c>
      <c r="C1165" s="56" t="s">
        <v>383</v>
      </c>
      <c r="D1165" s="129" t="str">
        <f>bitConcat(F1166:F1167)</f>
        <v>32'b00000000000000000000000000000000</v>
      </c>
      <c r="E1165" s="130"/>
      <c r="F1165" s="130"/>
      <c r="G1165" s="205"/>
      <c r="H1165" s="73" t="s">
        <v>384</v>
      </c>
      <c r="I1165" s="74"/>
      <c r="J1165" s="202" t="str">
        <f>bitConcat(G1166:G1167)</f>
        <v>32'b00000000000000000000000000000000</v>
      </c>
      <c r="K1165" s="131"/>
      <c r="L1165" s="132"/>
      <c r="M1165" s="119" t="str">
        <f t="shared" ref="M1165" si="942">DEC2HEX(_xlfn.BITLSHIFT(O1165,7)+4*P1165)</f>
        <v>384</v>
      </c>
      <c r="N1165" s="120" t="s">
        <v>385</v>
      </c>
      <c r="O1165" s="120">
        <v>7</v>
      </c>
      <c r="P1165" s="122">
        <v>1</v>
      </c>
      <c r="Q1165" s="121" t="str">
        <f>DEC2HEX(_xlfn.BITLSHIFT(O1165,5)+P1165)</f>
        <v>E1</v>
      </c>
      <c r="R1165" s="203" t="str">
        <f>BIN2HEX(LEFT(RIGHT(D1165,32),4))&amp;BIN2HEX(LEFT(RIGHT(D1165,28),4))&amp;BIN2HEX(LEFT(RIGHT(D1165,24),4))&amp;BIN2HEX(LEFT(RIGHT(D1165,20),4))&amp;BIN2HEX(LEFT(RIGHT(D1165,16),4))&amp;BIN2HEX(LEFT(RIGHT(D1165,12),4))&amp;BIN2HEX(LEFT(RIGHT(D1165,8),4))&amp;BIN2HEX(LEFT(RIGHT(D1165,4),4))</f>
        <v>00000000</v>
      </c>
      <c r="S1165" s="203" t="str">
        <f t="shared" ref="S1165" si="943">BIN2HEX(LEFT(RIGHT(J1165,32),4))&amp;BIN2HEX(LEFT(RIGHT(J1165,28),4))&amp;BIN2HEX(LEFT(RIGHT(J1165,24),4))&amp;BIN2HEX(LEFT(RIGHT(J1165,20),4))&amp;BIN2HEX(LEFT(RIGHT(J1165,16),4))&amp;BIN2HEX(LEFT(RIGHT(J1165,12),4))&amp;BIN2HEX(LEFT(RIGHT(J1165,8),4))&amp;BIN2HEX(LEFT(RIGHT(J1165,4),4))</f>
        <v>00000000</v>
      </c>
    </row>
    <row r="1166" spans="1:19" s="61" customFormat="1" ht="15.75" customHeight="1">
      <c r="A1166" s="252"/>
      <c r="B1166" s="254"/>
      <c r="C1166" s="43" t="s">
        <v>591</v>
      </c>
      <c r="D1166" s="62">
        <v>16</v>
      </c>
      <c r="E1166" s="70" t="str">
        <f>IF(D1166&gt;1,(31)&amp;":"&amp;(31-D1166+1),(31-D1166+1)&amp;":"&amp;(31-D1166+1))</f>
        <v>31:16</v>
      </c>
      <c r="F1166" s="30" t="s">
        <v>457</v>
      </c>
      <c r="G1166" s="30" t="s">
        <v>457</v>
      </c>
      <c r="H1166" s="64" t="s">
        <v>458</v>
      </c>
      <c r="I1166" s="30" t="s">
        <v>68</v>
      </c>
      <c r="J1166" s="32" t="s">
        <v>36</v>
      </c>
      <c r="K1166" s="33" t="s">
        <v>6</v>
      </c>
      <c r="L1166" s="46"/>
      <c r="M1166" s="120"/>
      <c r="N1166" s="120"/>
      <c r="O1166" s="120"/>
      <c r="P1166" s="122"/>
      <c r="Q1166" s="122"/>
      <c r="R1166" s="204"/>
      <c r="S1166" s="204"/>
    </row>
    <row r="1167" spans="1:19" s="61" customFormat="1" ht="15" thickBot="1">
      <c r="A1167" s="252"/>
      <c r="B1167" s="254"/>
      <c r="C1167" s="43" t="s">
        <v>557</v>
      </c>
      <c r="D1167" s="62">
        <v>16</v>
      </c>
      <c r="E1167" s="33" t="str">
        <f>(MID(E1166,SEARCH(":",E1166)+1,2)-1) &amp; ":" &amp; (MID(E1166,SEARCH(":",E1166)+1,2)-D1167)</f>
        <v>15:0</v>
      </c>
      <c r="F1167" s="30" t="s">
        <v>457</v>
      </c>
      <c r="G1167" s="30" t="s">
        <v>457</v>
      </c>
      <c r="H1167" s="65" t="s">
        <v>406</v>
      </c>
      <c r="I1167" s="30" t="s">
        <v>68</v>
      </c>
      <c r="J1167" s="32" t="s">
        <v>36</v>
      </c>
      <c r="K1167" s="33" t="s">
        <v>6</v>
      </c>
      <c r="L1167" s="46"/>
      <c r="M1167" s="120"/>
      <c r="N1167" s="120"/>
      <c r="O1167" s="120"/>
      <c r="P1167" s="122"/>
      <c r="Q1167" s="122"/>
      <c r="R1167" s="210"/>
      <c r="S1167" s="210"/>
    </row>
    <row r="1168" spans="1:19" s="61" customFormat="1">
      <c r="A1168" s="252" t="s">
        <v>650</v>
      </c>
      <c r="B1168" s="253" t="str">
        <f t="shared" ref="B1168" si="944">DEC2HEX(P1168*4)</f>
        <v>8</v>
      </c>
      <c r="C1168" s="56" t="s">
        <v>383</v>
      </c>
      <c r="D1168" s="129" t="str">
        <f>bitConcat(F1169:F1174)</f>
        <v>32'b00000000101100110001100000100000</v>
      </c>
      <c r="E1168" s="130"/>
      <c r="F1168" s="130"/>
      <c r="G1168" s="205"/>
      <c r="H1168" s="73" t="s">
        <v>384</v>
      </c>
      <c r="I1168" s="74"/>
      <c r="J1168" s="202" t="str">
        <f>bitConcat(G1169:G1174)</f>
        <v>32'b00000000000000000001100000000000</v>
      </c>
      <c r="K1168" s="131"/>
      <c r="L1168" s="132"/>
      <c r="M1168" s="119" t="str">
        <f t="shared" ref="M1168" si="945">DEC2HEX(_xlfn.BITLSHIFT(O1168,7)+4*P1168)</f>
        <v>388</v>
      </c>
      <c r="N1168" s="120" t="s">
        <v>385</v>
      </c>
      <c r="O1168" s="120">
        <v>7</v>
      </c>
      <c r="P1168" s="122">
        <v>2</v>
      </c>
      <c r="Q1168" s="121" t="str">
        <f>DEC2HEX(_xlfn.BITLSHIFT(O1168,5)+P1168)</f>
        <v>E2</v>
      </c>
      <c r="R1168" s="203" t="str">
        <f>BIN2HEX(LEFT(RIGHT(D1168,32),4))&amp;BIN2HEX(LEFT(RIGHT(D1168,28),4))&amp;BIN2HEX(LEFT(RIGHT(D1168,24),4))&amp;BIN2HEX(LEFT(RIGHT(D1168,20),4))&amp;BIN2HEX(LEFT(RIGHT(D1168,16),4))&amp;BIN2HEX(LEFT(RIGHT(D1168,12),4))&amp;BIN2HEX(LEFT(RIGHT(D1168,8),4))&amp;BIN2HEX(LEFT(RIGHT(D1168,4),4))</f>
        <v>00B31820</v>
      </c>
      <c r="S1168" s="203" t="str">
        <f t="shared" ref="S1168" si="946">BIN2HEX(LEFT(RIGHT(J1168,32),4))&amp;BIN2HEX(LEFT(RIGHT(J1168,28),4))&amp;BIN2HEX(LEFT(RIGHT(J1168,24),4))&amp;BIN2HEX(LEFT(RIGHT(J1168,20),4))&amp;BIN2HEX(LEFT(RIGHT(J1168,16),4))&amp;BIN2HEX(LEFT(RIGHT(J1168,12),4))&amp;BIN2HEX(LEFT(RIGHT(J1168,8),4))&amp;BIN2HEX(LEFT(RIGHT(J1168,4),4))</f>
        <v>00001800</v>
      </c>
    </row>
    <row r="1169" spans="1:19" s="61" customFormat="1">
      <c r="A1169" s="252"/>
      <c r="B1169" s="254"/>
      <c r="C1169" s="43" t="s">
        <v>468</v>
      </c>
      <c r="D1169" s="62">
        <v>8</v>
      </c>
      <c r="E1169" s="70" t="str">
        <f>IF(D1169&gt;1,(31)&amp;":"&amp;(31-D1169+1),(31-D1169+1)&amp;":"&amp;(31-D1169+1))</f>
        <v>31:24</v>
      </c>
      <c r="F1169" s="30" t="s">
        <v>133</v>
      </c>
      <c r="G1169" s="30" t="s">
        <v>133</v>
      </c>
      <c r="H1169" s="64" t="s">
        <v>469</v>
      </c>
      <c r="I1169" s="30" t="s">
        <v>68</v>
      </c>
      <c r="J1169" s="32" t="s">
        <v>36</v>
      </c>
      <c r="K1169" s="33" t="s">
        <v>6</v>
      </c>
      <c r="L1169" s="46"/>
      <c r="M1169" s="120"/>
      <c r="N1169" s="120"/>
      <c r="O1169" s="120"/>
      <c r="P1169" s="122"/>
      <c r="Q1169" s="122"/>
      <c r="R1169" s="204"/>
      <c r="S1169" s="204"/>
    </row>
    <row r="1170" spans="1:19" s="61" customFormat="1">
      <c r="A1170" s="252"/>
      <c r="B1170" s="254"/>
      <c r="C1170" s="43" t="s">
        <v>470</v>
      </c>
      <c r="D1170" s="62">
        <v>8</v>
      </c>
      <c r="E1170" s="33" t="str">
        <f>(MID(E1169,SEARCH(":",E1169)+1,2)-1) &amp; ":" &amp; (MID(E1169,SEARCH(":",E1169)+1,2)-D1170)</f>
        <v>23:16</v>
      </c>
      <c r="F1170" s="30" t="s">
        <v>471</v>
      </c>
      <c r="G1170" s="30" t="s">
        <v>133</v>
      </c>
      <c r="H1170" s="65" t="s">
        <v>472</v>
      </c>
      <c r="I1170" s="30" t="s">
        <v>68</v>
      </c>
      <c r="J1170" s="32" t="s">
        <v>36</v>
      </c>
      <c r="K1170" s="33" t="s">
        <v>6</v>
      </c>
      <c r="L1170" s="46"/>
      <c r="M1170" s="120"/>
      <c r="N1170" s="120"/>
      <c r="O1170" s="120"/>
      <c r="P1170" s="122"/>
      <c r="Q1170" s="122"/>
      <c r="R1170" s="204"/>
      <c r="S1170" s="204"/>
    </row>
    <row r="1171" spans="1:19" s="61" customFormat="1">
      <c r="A1171" s="252"/>
      <c r="B1171" s="254"/>
      <c r="C1171" s="43" t="s">
        <v>473</v>
      </c>
      <c r="D1171" s="62">
        <v>10</v>
      </c>
      <c r="E1171" s="33" t="str">
        <f t="shared" ref="E1171:E1173" si="947">(MID(E1170,SEARCH(":",E1170)+1,2)-1) &amp; ":" &amp; (MID(E1170,SEARCH(":",E1170)+1,2)-D1171)</f>
        <v>15:6</v>
      </c>
      <c r="F1171" s="30" t="s">
        <v>474</v>
      </c>
      <c r="G1171" s="30" t="s">
        <v>474</v>
      </c>
      <c r="H1171" s="64" t="s">
        <v>475</v>
      </c>
      <c r="I1171" s="30" t="s">
        <v>68</v>
      </c>
      <c r="J1171" s="32" t="s">
        <v>36</v>
      </c>
      <c r="K1171" s="33" t="s">
        <v>6</v>
      </c>
      <c r="L1171" s="46"/>
      <c r="M1171" s="120"/>
      <c r="N1171" s="120"/>
      <c r="O1171" s="120"/>
      <c r="P1171" s="122"/>
      <c r="Q1171" s="122"/>
      <c r="R1171" s="204"/>
      <c r="S1171" s="204"/>
    </row>
    <row r="1172" spans="1:19" s="61" customFormat="1" ht="15.75" customHeight="1">
      <c r="A1172" s="252"/>
      <c r="B1172" s="254"/>
      <c r="C1172" s="43" t="s">
        <v>476</v>
      </c>
      <c r="D1172" s="62">
        <v>1</v>
      </c>
      <c r="E1172" s="33" t="str">
        <f t="shared" si="947"/>
        <v>5:5</v>
      </c>
      <c r="F1172" s="30" t="s">
        <v>269</v>
      </c>
      <c r="G1172" s="30" t="s">
        <v>7</v>
      </c>
      <c r="H1172" s="65" t="s">
        <v>477</v>
      </c>
      <c r="I1172" s="30" t="s">
        <v>68</v>
      </c>
      <c r="J1172" s="32" t="s">
        <v>36</v>
      </c>
      <c r="K1172" s="33" t="s">
        <v>6</v>
      </c>
      <c r="L1172" s="46"/>
      <c r="M1172" s="120"/>
      <c r="N1172" s="120"/>
      <c r="O1172" s="120"/>
      <c r="P1172" s="122"/>
      <c r="Q1172" s="122"/>
      <c r="R1172" s="204"/>
      <c r="S1172" s="204"/>
    </row>
    <row r="1173" spans="1:19" s="61" customFormat="1" ht="15" thickBot="1">
      <c r="A1173" s="252"/>
      <c r="B1173" s="254"/>
      <c r="C1173" s="43" t="s">
        <v>478</v>
      </c>
      <c r="D1173" s="62">
        <v>5</v>
      </c>
      <c r="E1173" s="33" t="str">
        <f t="shared" si="947"/>
        <v>4:0</v>
      </c>
      <c r="F1173" s="30" t="s">
        <v>434</v>
      </c>
      <c r="G1173" s="30" t="s">
        <v>434</v>
      </c>
      <c r="H1173" s="65" t="s">
        <v>479</v>
      </c>
      <c r="I1173" s="30" t="s">
        <v>68</v>
      </c>
      <c r="J1173" s="32" t="s">
        <v>36</v>
      </c>
      <c r="K1173" s="33" t="s">
        <v>6</v>
      </c>
      <c r="L1173" s="46"/>
      <c r="M1173" s="120"/>
      <c r="N1173" s="120"/>
      <c r="O1173" s="120"/>
      <c r="P1173" s="122"/>
      <c r="Q1173" s="122"/>
      <c r="R1173" s="210"/>
      <c r="S1173" s="210"/>
    </row>
    <row r="1174" spans="1:19" s="61" customFormat="1">
      <c r="A1174" s="251" t="s">
        <v>651</v>
      </c>
      <c r="B1174" s="253" t="str">
        <f t="shared" ref="B1174" si="948">DEC2HEX(P1174*4)</f>
        <v>C</v>
      </c>
      <c r="C1174" s="56" t="s">
        <v>383</v>
      </c>
      <c r="D1174" s="129" t="str">
        <f>bitConcat(F1175:F1178)</f>
        <v>32'b00000000000000000000000000000000</v>
      </c>
      <c r="E1174" s="130"/>
      <c r="F1174" s="130"/>
      <c r="G1174" s="205"/>
      <c r="H1174" s="73" t="s">
        <v>384</v>
      </c>
      <c r="I1174" s="74"/>
      <c r="J1174" s="202" t="str">
        <f>bitConcat(G1175:G1178)</f>
        <v>32'b00000000000000000000000000000000</v>
      </c>
      <c r="K1174" s="131"/>
      <c r="L1174" s="132"/>
      <c r="M1174" s="119" t="str">
        <f t="shared" ref="M1174" si="949">DEC2HEX(_xlfn.BITLSHIFT(O1174,7)+4*P1174)</f>
        <v>38C</v>
      </c>
      <c r="N1174" s="119" t="s">
        <v>385</v>
      </c>
      <c r="O1174" s="119">
        <v>7</v>
      </c>
      <c r="P1174" s="121">
        <v>3</v>
      </c>
      <c r="Q1174" s="121" t="str">
        <f>DEC2HEX(_xlfn.BITLSHIFT(O1174,5)+P1174)</f>
        <v>E3</v>
      </c>
      <c r="R1174" s="203" t="str">
        <f>BIN2HEX(LEFT(RIGHT(D1174,32),4))&amp;BIN2HEX(LEFT(RIGHT(D1174,28),4))&amp;BIN2HEX(LEFT(RIGHT(D1174,24),4))&amp;BIN2HEX(LEFT(RIGHT(D1174,20),4))&amp;BIN2HEX(LEFT(RIGHT(D1174,16),4))&amp;BIN2HEX(LEFT(RIGHT(D1174,12),4))&amp;BIN2HEX(LEFT(RIGHT(D1174,8),4))&amp;BIN2HEX(LEFT(RIGHT(D1174,4),4))</f>
        <v>00000000</v>
      </c>
      <c r="S1174" s="203" t="str">
        <f t="shared" ref="S1174" si="950">BIN2HEX(LEFT(RIGHT(J1174,32),4))&amp;BIN2HEX(LEFT(RIGHT(J1174,28),4))&amp;BIN2HEX(LEFT(RIGHT(J1174,24),4))&amp;BIN2HEX(LEFT(RIGHT(J1174,20),4))&amp;BIN2HEX(LEFT(RIGHT(J1174,16),4))&amp;BIN2HEX(LEFT(RIGHT(J1174,12),4))&amp;BIN2HEX(LEFT(RIGHT(J1174,8),4))&amp;BIN2HEX(LEFT(RIGHT(J1174,4),4))</f>
        <v>00000000</v>
      </c>
    </row>
    <row r="1175" spans="1:19" s="61" customFormat="1" ht="15.75" customHeight="1">
      <c r="A1175" s="252"/>
      <c r="B1175" s="254"/>
      <c r="C1175" s="43" t="s">
        <v>481</v>
      </c>
      <c r="D1175" s="62">
        <v>8</v>
      </c>
      <c r="E1175" s="70" t="str">
        <f>IF(D1175&gt;1,(31)&amp;":"&amp;(31-D1175+1),(31-D1175+1)&amp;":"&amp;(31-D1175+1))</f>
        <v>31:24</v>
      </c>
      <c r="F1175" s="30" t="s">
        <v>133</v>
      </c>
      <c r="G1175" s="30" t="s">
        <v>133</v>
      </c>
      <c r="H1175" s="64" t="s">
        <v>448</v>
      </c>
      <c r="I1175" s="30" t="s">
        <v>68</v>
      </c>
      <c r="J1175" s="32" t="s">
        <v>36</v>
      </c>
      <c r="K1175" s="33" t="s">
        <v>6</v>
      </c>
      <c r="L1175" s="46"/>
      <c r="M1175" s="120"/>
      <c r="N1175" s="120"/>
      <c r="O1175" s="120"/>
      <c r="P1175" s="122"/>
      <c r="Q1175" s="122"/>
      <c r="R1175" s="204"/>
      <c r="S1175" s="204"/>
    </row>
    <row r="1176" spans="1:19" s="61" customFormat="1">
      <c r="A1176" s="252"/>
      <c r="B1176" s="254"/>
      <c r="C1176" s="43" t="s">
        <v>482</v>
      </c>
      <c r="D1176" s="62">
        <v>8</v>
      </c>
      <c r="E1176" s="33" t="str">
        <f t="shared" ref="E1176" si="951">(MID(E1175,SEARCH(":",E1175)+1,2)-1) &amp; ":" &amp; (MID(E1175,SEARCH(":",E1175)+1,2)-D1176)</f>
        <v>23:16</v>
      </c>
      <c r="F1176" s="30" t="s">
        <v>133</v>
      </c>
      <c r="G1176" s="30" t="s">
        <v>133</v>
      </c>
      <c r="H1176" s="64" t="s">
        <v>450</v>
      </c>
      <c r="I1176" s="30" t="s">
        <v>68</v>
      </c>
      <c r="J1176" s="32" t="s">
        <v>36</v>
      </c>
      <c r="K1176" s="33" t="s">
        <v>6</v>
      </c>
      <c r="L1176" s="46"/>
      <c r="M1176" s="120"/>
      <c r="N1176" s="120"/>
      <c r="O1176" s="120"/>
      <c r="P1176" s="122"/>
      <c r="Q1176" s="122"/>
      <c r="R1176" s="204"/>
      <c r="S1176" s="204"/>
    </row>
    <row r="1177" spans="1:19" s="61" customFormat="1">
      <c r="A1177" s="252"/>
      <c r="B1177" s="254"/>
      <c r="C1177" s="43" t="s">
        <v>483</v>
      </c>
      <c r="D1177" s="62">
        <v>8</v>
      </c>
      <c r="E1177" s="33" t="str">
        <f>(MID(E1176,SEARCH(":",E1176)+1,2)-1) &amp; ":" &amp; (MID(E1176,SEARCH(":",E1176)+1,2)-D1177)</f>
        <v>15:8</v>
      </c>
      <c r="F1177" s="30" t="s">
        <v>133</v>
      </c>
      <c r="G1177" s="30" t="s">
        <v>133</v>
      </c>
      <c r="H1177" s="64" t="s">
        <v>452</v>
      </c>
      <c r="I1177" s="30" t="s">
        <v>68</v>
      </c>
      <c r="J1177" s="32" t="s">
        <v>36</v>
      </c>
      <c r="K1177" s="33" t="s">
        <v>6</v>
      </c>
      <c r="L1177" s="46"/>
      <c r="M1177" s="120"/>
      <c r="N1177" s="120"/>
      <c r="O1177" s="120"/>
      <c r="P1177" s="122"/>
      <c r="Q1177" s="122"/>
      <c r="R1177" s="204"/>
      <c r="S1177" s="204"/>
    </row>
    <row r="1178" spans="1:19" s="61" customFormat="1" ht="15" thickBot="1">
      <c r="A1178" s="252"/>
      <c r="B1178" s="254"/>
      <c r="C1178" s="43" t="s">
        <v>484</v>
      </c>
      <c r="D1178" s="62">
        <v>8</v>
      </c>
      <c r="E1178" s="33" t="str">
        <f>(MID(E1177,SEARCH(":",E1177)+1,2)-1) &amp; ":" &amp; (MID(E1177,SEARCH(":",E1177)+1,2)-D1178)</f>
        <v>7:0</v>
      </c>
      <c r="F1178" s="30" t="s">
        <v>133</v>
      </c>
      <c r="G1178" s="30" t="s">
        <v>133</v>
      </c>
      <c r="H1178" s="64" t="s">
        <v>454</v>
      </c>
      <c r="I1178" s="30" t="s">
        <v>68</v>
      </c>
      <c r="J1178" s="32" t="s">
        <v>36</v>
      </c>
      <c r="K1178" s="33" t="s">
        <v>6</v>
      </c>
      <c r="L1178" s="46"/>
      <c r="M1178" s="120"/>
      <c r="N1178" s="120"/>
      <c r="O1178" s="120"/>
      <c r="P1178" s="122"/>
      <c r="Q1178" s="122"/>
      <c r="R1178" s="210"/>
      <c r="S1178" s="210"/>
    </row>
    <row r="1179" spans="1:19" s="61" customFormat="1">
      <c r="A1179" s="252" t="s">
        <v>652</v>
      </c>
      <c r="B1179" s="253" t="str">
        <f t="shared" ref="B1179" si="952">DEC2HEX(P1179*4)</f>
        <v>10</v>
      </c>
      <c r="C1179" s="56" t="s">
        <v>383</v>
      </c>
      <c r="D1179" s="129" t="str">
        <f>bitConcat(F1180:F1181)</f>
        <v>32'b00000000000000000000000000000000</v>
      </c>
      <c r="E1179" s="130"/>
      <c r="F1179" s="130"/>
      <c r="G1179" s="205"/>
      <c r="H1179" s="73" t="s">
        <v>384</v>
      </c>
      <c r="I1179" s="74"/>
      <c r="J1179" s="202" t="str">
        <f>bitConcat(G1180:G1181)</f>
        <v>32'b00000000000000000000000000000000</v>
      </c>
      <c r="K1179" s="131"/>
      <c r="L1179" s="132"/>
      <c r="M1179" s="119" t="str">
        <f t="shared" ref="M1179" si="953">DEC2HEX(_xlfn.BITLSHIFT(O1179,7)+4*P1179)</f>
        <v>390</v>
      </c>
      <c r="N1179" s="120" t="s">
        <v>385</v>
      </c>
      <c r="O1179" s="120">
        <v>7</v>
      </c>
      <c r="P1179" s="122">
        <v>4</v>
      </c>
      <c r="Q1179" s="121" t="str">
        <f>DEC2HEX(_xlfn.BITLSHIFT(O1179,5)+P1179)</f>
        <v>E4</v>
      </c>
      <c r="R1179" s="203" t="str">
        <f>BIN2HEX(LEFT(RIGHT(D1179,32),4))&amp;BIN2HEX(LEFT(RIGHT(D1179,28),4))&amp;BIN2HEX(LEFT(RIGHT(D1179,24),4))&amp;BIN2HEX(LEFT(RIGHT(D1179,20),4))&amp;BIN2HEX(LEFT(RIGHT(D1179,16),4))&amp;BIN2HEX(LEFT(RIGHT(D1179,12),4))&amp;BIN2HEX(LEFT(RIGHT(D1179,8),4))&amp;BIN2HEX(LEFT(RIGHT(D1179,4),4))</f>
        <v>00000000</v>
      </c>
      <c r="S1179" s="203" t="str">
        <f t="shared" ref="S1179" si="954">BIN2HEX(LEFT(RIGHT(J1179,32),4))&amp;BIN2HEX(LEFT(RIGHT(J1179,28),4))&amp;BIN2HEX(LEFT(RIGHT(J1179,24),4))&amp;BIN2HEX(LEFT(RIGHT(J1179,20),4))&amp;BIN2HEX(LEFT(RIGHT(J1179,16),4))&amp;BIN2HEX(LEFT(RIGHT(J1179,12),4))&amp;BIN2HEX(LEFT(RIGHT(J1179,8),4))&amp;BIN2HEX(LEFT(RIGHT(J1179,4),4))</f>
        <v>00000000</v>
      </c>
    </row>
    <row r="1180" spans="1:19" s="61" customFormat="1">
      <c r="A1180" s="252"/>
      <c r="B1180" s="254"/>
      <c r="C1180" s="43" t="s">
        <v>486</v>
      </c>
      <c r="D1180" s="62">
        <v>16</v>
      </c>
      <c r="E1180" s="70" t="str">
        <f>IF(D1180&gt;1,(31)&amp;":"&amp;(31-D1180+1),(31-D1180+1)&amp;":"&amp;(31-D1180+1))</f>
        <v>31:16</v>
      </c>
      <c r="F1180" s="30" t="s">
        <v>457</v>
      </c>
      <c r="G1180" s="30" t="s">
        <v>457</v>
      </c>
      <c r="H1180" s="64" t="s">
        <v>458</v>
      </c>
      <c r="I1180" s="30" t="s">
        <v>68</v>
      </c>
      <c r="J1180" s="32" t="s">
        <v>36</v>
      </c>
      <c r="K1180" s="33" t="s">
        <v>6</v>
      </c>
      <c r="L1180" s="46"/>
      <c r="M1180" s="120"/>
      <c r="N1180" s="120"/>
      <c r="O1180" s="120"/>
      <c r="P1180" s="122"/>
      <c r="Q1180" s="122"/>
      <c r="R1180" s="204"/>
      <c r="S1180" s="204"/>
    </row>
    <row r="1181" spans="1:19" s="61" customFormat="1" ht="15.75" customHeight="1" thickBot="1">
      <c r="A1181" s="252"/>
      <c r="B1181" s="254"/>
      <c r="C1181" s="43" t="s">
        <v>557</v>
      </c>
      <c r="D1181" s="62">
        <v>16</v>
      </c>
      <c r="E1181" s="33" t="str">
        <f>(MID(E1180,SEARCH(":",E1180)+1,2)-1) &amp; ":" &amp; (MID(E1180,SEARCH(":",E1180)+1,2)-D1181)</f>
        <v>15:0</v>
      </c>
      <c r="F1181" s="30" t="s">
        <v>457</v>
      </c>
      <c r="G1181" s="30" t="s">
        <v>457</v>
      </c>
      <c r="H1181" s="65" t="s">
        <v>406</v>
      </c>
      <c r="I1181" s="30" t="s">
        <v>68</v>
      </c>
      <c r="J1181" s="32" t="s">
        <v>36</v>
      </c>
      <c r="K1181" s="33" t="s">
        <v>6</v>
      </c>
      <c r="L1181" s="46"/>
      <c r="M1181" s="120"/>
      <c r="N1181" s="120"/>
      <c r="O1181" s="120"/>
      <c r="P1181" s="122"/>
      <c r="Q1181" s="122"/>
      <c r="R1181" s="210"/>
      <c r="S1181" s="210"/>
    </row>
    <row r="1182" spans="1:19" s="61" customFormat="1">
      <c r="A1182" s="252" t="s">
        <v>653</v>
      </c>
      <c r="B1182" s="253" t="str">
        <f t="shared" ref="B1182" si="955">DEC2HEX(P1182*4)</f>
        <v>14</v>
      </c>
      <c r="C1182" s="56" t="s">
        <v>383</v>
      </c>
      <c r="D1182" s="129" t="str">
        <f>bitConcat(F1183:F1187)</f>
        <v>32'b00000000101100110001100000100000</v>
      </c>
      <c r="E1182" s="130"/>
      <c r="F1182" s="130"/>
      <c r="G1182" s="205"/>
      <c r="H1182" s="73" t="s">
        <v>384</v>
      </c>
      <c r="I1182" s="74"/>
      <c r="J1182" s="202" t="str">
        <f>bitConcat(G1183:G1187)</f>
        <v>32'b00000000000000000001100000000000</v>
      </c>
      <c r="K1182" s="131"/>
      <c r="L1182" s="132"/>
      <c r="M1182" s="119" t="str">
        <f t="shared" ref="M1182" si="956">DEC2HEX(_xlfn.BITLSHIFT(O1182,7)+4*P1182)</f>
        <v>394</v>
      </c>
      <c r="N1182" s="120" t="s">
        <v>385</v>
      </c>
      <c r="O1182" s="120">
        <v>7</v>
      </c>
      <c r="P1182" s="122">
        <v>5</v>
      </c>
      <c r="Q1182" s="121" t="str">
        <f>DEC2HEX(_xlfn.BITLSHIFT(O1182,5)+P1182)</f>
        <v>E5</v>
      </c>
      <c r="R1182" s="203" t="str">
        <f>BIN2HEX(LEFT(RIGHT(D1182,32),4))&amp;BIN2HEX(LEFT(RIGHT(D1182,28),4))&amp;BIN2HEX(LEFT(RIGHT(D1182,24),4))&amp;BIN2HEX(LEFT(RIGHT(D1182,20),4))&amp;BIN2HEX(LEFT(RIGHT(D1182,16),4))&amp;BIN2HEX(LEFT(RIGHT(D1182,12),4))&amp;BIN2HEX(LEFT(RIGHT(D1182,8),4))&amp;BIN2HEX(LEFT(RIGHT(D1182,4),4))</f>
        <v>00B31820</v>
      </c>
      <c r="S1182" s="203" t="str">
        <f t="shared" ref="S1182" si="957">BIN2HEX(LEFT(RIGHT(J1182,32),4))&amp;BIN2HEX(LEFT(RIGHT(J1182,28),4))&amp;BIN2HEX(LEFT(RIGHT(J1182,24),4))&amp;BIN2HEX(LEFT(RIGHT(J1182,20),4))&amp;BIN2HEX(LEFT(RIGHT(J1182,16),4))&amp;BIN2HEX(LEFT(RIGHT(J1182,12),4))&amp;BIN2HEX(LEFT(RIGHT(J1182,8),4))&amp;BIN2HEX(LEFT(RIGHT(J1182,4),4))</f>
        <v>00001800</v>
      </c>
    </row>
    <row r="1183" spans="1:19" s="61" customFormat="1">
      <c r="A1183" s="252"/>
      <c r="B1183" s="254"/>
      <c r="C1183" s="43" t="s">
        <v>495</v>
      </c>
      <c r="D1183" s="62">
        <v>8</v>
      </c>
      <c r="E1183" s="70" t="str">
        <f>IF(D1183&gt;1,(31)&amp;":"&amp;(31-D1183+1),(31-D1183+1)&amp;":"&amp;(31-D1183+1))</f>
        <v>31:24</v>
      </c>
      <c r="F1183" s="30" t="s">
        <v>133</v>
      </c>
      <c r="G1183" s="30" t="s">
        <v>133</v>
      </c>
      <c r="H1183" s="64" t="s">
        <v>469</v>
      </c>
      <c r="I1183" s="30" t="s">
        <v>68</v>
      </c>
      <c r="J1183" s="32" t="s">
        <v>36</v>
      </c>
      <c r="K1183" s="33" t="s">
        <v>6</v>
      </c>
      <c r="L1183" s="46"/>
      <c r="M1183" s="120"/>
      <c r="N1183" s="120"/>
      <c r="O1183" s="120"/>
      <c r="P1183" s="122"/>
      <c r="Q1183" s="122"/>
      <c r="R1183" s="204"/>
      <c r="S1183" s="204"/>
    </row>
    <row r="1184" spans="1:19" s="61" customFormat="1">
      <c r="A1184" s="252"/>
      <c r="B1184" s="254"/>
      <c r="C1184" s="43" t="s">
        <v>496</v>
      </c>
      <c r="D1184" s="62">
        <v>8</v>
      </c>
      <c r="E1184" s="33" t="str">
        <f>(MID(E1183,SEARCH(":",E1183)+1,2)-1) &amp; ":" &amp; (MID(E1183,SEARCH(":",E1183)+1,2)-D1184)</f>
        <v>23:16</v>
      </c>
      <c r="F1184" s="30" t="s">
        <v>471</v>
      </c>
      <c r="G1184" s="30" t="s">
        <v>133</v>
      </c>
      <c r="H1184" s="65" t="s">
        <v>472</v>
      </c>
      <c r="I1184" s="30" t="s">
        <v>68</v>
      </c>
      <c r="J1184" s="32" t="s">
        <v>36</v>
      </c>
      <c r="K1184" s="33" t="s">
        <v>6</v>
      </c>
      <c r="L1184" s="46"/>
      <c r="M1184" s="120"/>
      <c r="N1184" s="120"/>
      <c r="O1184" s="120"/>
      <c r="P1184" s="122"/>
      <c r="Q1184" s="122"/>
      <c r="R1184" s="204"/>
      <c r="S1184" s="204"/>
    </row>
    <row r="1185" spans="1:19" s="61" customFormat="1">
      <c r="A1185" s="252"/>
      <c r="B1185" s="254"/>
      <c r="C1185" s="43" t="s">
        <v>497</v>
      </c>
      <c r="D1185" s="62">
        <v>10</v>
      </c>
      <c r="E1185" s="33" t="str">
        <f t="shared" ref="E1185:E1187" si="958">(MID(E1184,SEARCH(":",E1184)+1,2)-1) &amp; ":" &amp; (MID(E1184,SEARCH(":",E1184)+1,2)-D1185)</f>
        <v>15:6</v>
      </c>
      <c r="F1185" s="30" t="s">
        <v>474</v>
      </c>
      <c r="G1185" s="30" t="s">
        <v>474</v>
      </c>
      <c r="H1185" s="64" t="s">
        <v>475</v>
      </c>
      <c r="I1185" s="30" t="s">
        <v>68</v>
      </c>
      <c r="J1185" s="32" t="s">
        <v>36</v>
      </c>
      <c r="K1185" s="33" t="s">
        <v>6</v>
      </c>
      <c r="L1185" s="46"/>
      <c r="M1185" s="120"/>
      <c r="N1185" s="120"/>
      <c r="O1185" s="120"/>
      <c r="P1185" s="122"/>
      <c r="Q1185" s="122"/>
      <c r="R1185" s="204"/>
      <c r="S1185" s="204"/>
    </row>
    <row r="1186" spans="1:19" s="61" customFormat="1" ht="15.75" customHeight="1">
      <c r="A1186" s="252"/>
      <c r="B1186" s="254"/>
      <c r="C1186" s="43" t="s">
        <v>498</v>
      </c>
      <c r="D1186" s="62">
        <v>1</v>
      </c>
      <c r="E1186" s="33" t="str">
        <f t="shared" si="958"/>
        <v>5:5</v>
      </c>
      <c r="F1186" s="30" t="s">
        <v>269</v>
      </c>
      <c r="G1186" s="30" t="s">
        <v>7</v>
      </c>
      <c r="H1186" s="65" t="s">
        <v>477</v>
      </c>
      <c r="I1186" s="30" t="s">
        <v>68</v>
      </c>
      <c r="J1186" s="32" t="s">
        <v>36</v>
      </c>
      <c r="K1186" s="33" t="s">
        <v>6</v>
      </c>
      <c r="L1186" s="46"/>
      <c r="M1186" s="120"/>
      <c r="N1186" s="120"/>
      <c r="O1186" s="120"/>
      <c r="P1186" s="122"/>
      <c r="Q1186" s="122"/>
      <c r="R1186" s="204"/>
      <c r="S1186" s="204"/>
    </row>
    <row r="1187" spans="1:19" s="61" customFormat="1" ht="15.75" customHeight="1" thickBot="1">
      <c r="A1187" s="252"/>
      <c r="B1187" s="254"/>
      <c r="C1187" s="43" t="s">
        <v>499</v>
      </c>
      <c r="D1187" s="62">
        <v>5</v>
      </c>
      <c r="E1187" s="33" t="str">
        <f t="shared" si="958"/>
        <v>4:0</v>
      </c>
      <c r="F1187" s="30" t="s">
        <v>434</v>
      </c>
      <c r="G1187" s="30" t="s">
        <v>434</v>
      </c>
      <c r="H1187" s="65" t="s">
        <v>479</v>
      </c>
      <c r="I1187" s="30" t="s">
        <v>68</v>
      </c>
      <c r="J1187" s="32" t="s">
        <v>36</v>
      </c>
      <c r="K1187" s="33" t="s">
        <v>6</v>
      </c>
      <c r="L1187" s="46"/>
      <c r="M1187" s="120"/>
      <c r="N1187" s="120"/>
      <c r="O1187" s="120"/>
      <c r="P1187" s="122"/>
      <c r="Q1187" s="122"/>
      <c r="R1187" s="210"/>
      <c r="S1187" s="210"/>
    </row>
    <row r="1188" spans="1:19" s="61" customFormat="1" ht="15.75" customHeight="1">
      <c r="A1188" s="251" t="s">
        <v>654</v>
      </c>
      <c r="B1188" s="253" t="str">
        <f t="shared" ref="B1188" si="959">DEC2HEX(P1188*4)</f>
        <v>18</v>
      </c>
      <c r="C1188" s="56" t="s">
        <v>383</v>
      </c>
      <c r="D1188" s="129" t="str">
        <f>bitConcat(F1189:F1192)</f>
        <v>32'b00000000000000000000000000000000</v>
      </c>
      <c r="E1188" s="130"/>
      <c r="F1188" s="130"/>
      <c r="G1188" s="205"/>
      <c r="H1188" s="73" t="s">
        <v>384</v>
      </c>
      <c r="I1188" s="74"/>
      <c r="J1188" s="202" t="str">
        <f>bitConcat(G1189:G1192)</f>
        <v>32'b00000000000000000000000000000000</v>
      </c>
      <c r="K1188" s="131"/>
      <c r="L1188" s="132"/>
      <c r="M1188" s="119" t="str">
        <f t="shared" ref="M1188" si="960">DEC2HEX(_xlfn.BITLSHIFT(O1188,7)+4*P1188)</f>
        <v>398</v>
      </c>
      <c r="N1188" s="119" t="s">
        <v>385</v>
      </c>
      <c r="O1188" s="119">
        <v>7</v>
      </c>
      <c r="P1188" s="121">
        <v>6</v>
      </c>
      <c r="Q1188" s="121" t="str">
        <f>DEC2HEX(_xlfn.BITLSHIFT(O1188,5)+P1188)</f>
        <v>E6</v>
      </c>
      <c r="R1188" s="203" t="str">
        <f>BIN2HEX(LEFT(RIGHT(D1188,32),4))&amp;BIN2HEX(LEFT(RIGHT(D1188,28),4))&amp;BIN2HEX(LEFT(RIGHT(D1188,24),4))&amp;BIN2HEX(LEFT(RIGHT(D1188,20),4))&amp;BIN2HEX(LEFT(RIGHT(D1188,16),4))&amp;BIN2HEX(LEFT(RIGHT(D1188,12),4))&amp;BIN2HEX(LEFT(RIGHT(D1188,8),4))&amp;BIN2HEX(LEFT(RIGHT(D1188,4),4))</f>
        <v>00000000</v>
      </c>
      <c r="S1188" s="203" t="str">
        <f t="shared" ref="S1188" si="961">BIN2HEX(LEFT(RIGHT(J1188,32),4))&amp;BIN2HEX(LEFT(RIGHT(J1188,28),4))&amp;BIN2HEX(LEFT(RIGHT(J1188,24),4))&amp;BIN2HEX(LEFT(RIGHT(J1188,20),4))&amp;BIN2HEX(LEFT(RIGHT(J1188,16),4))&amp;BIN2HEX(LEFT(RIGHT(J1188,12),4))&amp;BIN2HEX(LEFT(RIGHT(J1188,8),4))&amp;BIN2HEX(LEFT(RIGHT(J1188,4),4))</f>
        <v>00000000</v>
      </c>
    </row>
    <row r="1189" spans="1:19" s="61" customFormat="1">
      <c r="A1189" s="252"/>
      <c r="B1189" s="254"/>
      <c r="C1189" s="43" t="s">
        <v>501</v>
      </c>
      <c r="D1189" s="62">
        <v>8</v>
      </c>
      <c r="E1189" s="70" t="str">
        <f>IF(D1189&gt;1,(31)&amp;":"&amp;(31-D1189+1),(31-D1189+1)&amp;":"&amp;(31-D1189+1))</f>
        <v>31:24</v>
      </c>
      <c r="F1189" s="30" t="s">
        <v>133</v>
      </c>
      <c r="G1189" s="30" t="s">
        <v>133</v>
      </c>
      <c r="H1189" s="64" t="s">
        <v>448</v>
      </c>
      <c r="I1189" s="30" t="s">
        <v>68</v>
      </c>
      <c r="J1189" s="32" t="s">
        <v>36</v>
      </c>
      <c r="K1189" s="33" t="s">
        <v>6</v>
      </c>
      <c r="L1189" s="46"/>
      <c r="M1189" s="120"/>
      <c r="N1189" s="120"/>
      <c r="O1189" s="120"/>
      <c r="P1189" s="122"/>
      <c r="Q1189" s="122"/>
      <c r="R1189" s="204"/>
      <c r="S1189" s="204"/>
    </row>
    <row r="1190" spans="1:19" s="61" customFormat="1">
      <c r="A1190" s="252"/>
      <c r="B1190" s="254"/>
      <c r="C1190" s="43" t="s">
        <v>502</v>
      </c>
      <c r="D1190" s="62">
        <v>8</v>
      </c>
      <c r="E1190" s="33" t="str">
        <f t="shared" ref="E1190" si="962">(MID(E1189,SEARCH(":",E1189)+1,2)-1) &amp; ":" &amp; (MID(E1189,SEARCH(":",E1189)+1,2)-D1190)</f>
        <v>23:16</v>
      </c>
      <c r="F1190" s="30" t="s">
        <v>133</v>
      </c>
      <c r="G1190" s="30" t="s">
        <v>133</v>
      </c>
      <c r="H1190" s="64" t="s">
        <v>450</v>
      </c>
      <c r="I1190" s="30" t="s">
        <v>68</v>
      </c>
      <c r="J1190" s="32" t="s">
        <v>36</v>
      </c>
      <c r="K1190" s="33" t="s">
        <v>6</v>
      </c>
      <c r="L1190" s="46"/>
      <c r="M1190" s="120"/>
      <c r="N1190" s="120"/>
      <c r="O1190" s="120"/>
      <c r="P1190" s="122"/>
      <c r="Q1190" s="122"/>
      <c r="R1190" s="204"/>
      <c r="S1190" s="204"/>
    </row>
    <row r="1191" spans="1:19" s="61" customFormat="1">
      <c r="A1191" s="252"/>
      <c r="B1191" s="254"/>
      <c r="C1191" s="43" t="s">
        <v>503</v>
      </c>
      <c r="D1191" s="62">
        <v>8</v>
      </c>
      <c r="E1191" s="33" t="str">
        <f>(MID(E1190,SEARCH(":",E1190)+1,2)-1) &amp; ":" &amp; (MID(E1190,SEARCH(":",E1190)+1,2)-D1191)</f>
        <v>15:8</v>
      </c>
      <c r="F1191" s="30" t="s">
        <v>133</v>
      </c>
      <c r="G1191" s="30" t="s">
        <v>133</v>
      </c>
      <c r="H1191" s="64" t="s">
        <v>452</v>
      </c>
      <c r="I1191" s="30" t="s">
        <v>68</v>
      </c>
      <c r="J1191" s="32" t="s">
        <v>36</v>
      </c>
      <c r="K1191" s="33" t="s">
        <v>6</v>
      </c>
      <c r="L1191" s="46"/>
      <c r="M1191" s="120"/>
      <c r="N1191" s="120"/>
      <c r="O1191" s="120"/>
      <c r="P1191" s="122"/>
      <c r="Q1191" s="122"/>
      <c r="R1191" s="204"/>
      <c r="S1191" s="204"/>
    </row>
    <row r="1192" spans="1:19" s="61" customFormat="1" ht="15" thickBot="1">
      <c r="A1192" s="252"/>
      <c r="B1192" s="254"/>
      <c r="C1192" s="43" t="s">
        <v>504</v>
      </c>
      <c r="D1192" s="62">
        <v>8</v>
      </c>
      <c r="E1192" s="33" t="str">
        <f>(MID(E1191,SEARCH(":",E1191)+1,2)-1) &amp; ":" &amp; (MID(E1191,SEARCH(":",E1191)+1,2)-D1192)</f>
        <v>7:0</v>
      </c>
      <c r="F1192" s="30" t="s">
        <v>133</v>
      </c>
      <c r="G1192" s="30" t="s">
        <v>133</v>
      </c>
      <c r="H1192" s="64" t="s">
        <v>454</v>
      </c>
      <c r="I1192" s="30" t="s">
        <v>68</v>
      </c>
      <c r="J1192" s="32" t="s">
        <v>36</v>
      </c>
      <c r="K1192" s="33" t="s">
        <v>6</v>
      </c>
      <c r="L1192" s="46"/>
      <c r="M1192" s="120"/>
      <c r="N1192" s="120"/>
      <c r="O1192" s="120"/>
      <c r="P1192" s="122"/>
      <c r="Q1192" s="122"/>
      <c r="R1192" s="210"/>
      <c r="S1192" s="210"/>
    </row>
    <row r="1193" spans="1:19" s="61" customFormat="1">
      <c r="A1193" s="252" t="s">
        <v>655</v>
      </c>
      <c r="B1193" s="253" t="str">
        <f t="shared" ref="B1193" si="963">DEC2HEX(P1193*4)</f>
        <v>1C</v>
      </c>
      <c r="C1193" s="56" t="s">
        <v>383</v>
      </c>
      <c r="D1193" s="129" t="str">
        <f>bitConcat(F1194:F1195)</f>
        <v>32'b00000000000000000000000000000000</v>
      </c>
      <c r="E1193" s="130"/>
      <c r="F1193" s="130"/>
      <c r="G1193" s="205"/>
      <c r="H1193" s="73" t="s">
        <v>384</v>
      </c>
      <c r="I1193" s="74"/>
      <c r="J1193" s="202" t="str">
        <f>bitConcat(G1194:G1195)</f>
        <v>32'b00000000000000000000000000000000</v>
      </c>
      <c r="K1193" s="131"/>
      <c r="L1193" s="132"/>
      <c r="M1193" s="119" t="str">
        <f t="shared" ref="M1193" si="964">DEC2HEX(_xlfn.BITLSHIFT(O1193,7)+4*P1193)</f>
        <v>39C</v>
      </c>
      <c r="N1193" s="120" t="s">
        <v>385</v>
      </c>
      <c r="O1193" s="120">
        <v>7</v>
      </c>
      <c r="P1193" s="122">
        <v>7</v>
      </c>
      <c r="Q1193" s="121" t="str">
        <f>DEC2HEX(_xlfn.BITLSHIFT(O1193,5)+P1193)</f>
        <v>E7</v>
      </c>
      <c r="R1193" s="203" t="str">
        <f>BIN2HEX(LEFT(RIGHT(D1193,32),4))&amp;BIN2HEX(LEFT(RIGHT(D1193,28),4))&amp;BIN2HEX(LEFT(RIGHT(D1193,24),4))&amp;BIN2HEX(LEFT(RIGHT(D1193,20),4))&amp;BIN2HEX(LEFT(RIGHT(D1193,16),4))&amp;BIN2HEX(LEFT(RIGHT(D1193,12),4))&amp;BIN2HEX(LEFT(RIGHT(D1193,8),4))&amp;BIN2HEX(LEFT(RIGHT(D1193,4),4))</f>
        <v>00000000</v>
      </c>
      <c r="S1193" s="203" t="str">
        <f t="shared" ref="S1193" si="965">BIN2HEX(LEFT(RIGHT(J1193,32),4))&amp;BIN2HEX(LEFT(RIGHT(J1193,28),4))&amp;BIN2HEX(LEFT(RIGHT(J1193,24),4))&amp;BIN2HEX(LEFT(RIGHT(J1193,20),4))&amp;BIN2HEX(LEFT(RIGHT(J1193,16),4))&amp;BIN2HEX(LEFT(RIGHT(J1193,12),4))&amp;BIN2HEX(LEFT(RIGHT(J1193,8),4))&amp;BIN2HEX(LEFT(RIGHT(J1193,4),4))</f>
        <v>00000000</v>
      </c>
    </row>
    <row r="1194" spans="1:19" s="61" customFormat="1" ht="15.75" customHeight="1">
      <c r="A1194" s="252"/>
      <c r="B1194" s="254"/>
      <c r="C1194" s="43" t="s">
        <v>506</v>
      </c>
      <c r="D1194" s="62">
        <v>16</v>
      </c>
      <c r="E1194" s="70" t="str">
        <f>IF(D1194&gt;1,(31)&amp;":"&amp;(31-D1194+1),(31-D1194+1)&amp;":"&amp;(31-D1194+1))</f>
        <v>31:16</v>
      </c>
      <c r="F1194" s="30" t="s">
        <v>457</v>
      </c>
      <c r="G1194" s="30" t="s">
        <v>457</v>
      </c>
      <c r="H1194" s="64" t="s">
        <v>507</v>
      </c>
      <c r="I1194" s="30" t="s">
        <v>68</v>
      </c>
      <c r="J1194" s="32" t="s">
        <v>36</v>
      </c>
      <c r="K1194" s="33" t="s">
        <v>6</v>
      </c>
      <c r="L1194" s="46"/>
      <c r="M1194" s="120"/>
      <c r="N1194" s="120"/>
      <c r="O1194" s="120"/>
      <c r="P1194" s="122"/>
      <c r="Q1194" s="122"/>
      <c r="R1194" s="204"/>
      <c r="S1194" s="204"/>
    </row>
    <row r="1195" spans="1:19" s="61" customFormat="1" ht="15" thickBot="1">
      <c r="A1195" s="252"/>
      <c r="B1195" s="254"/>
      <c r="C1195" s="43" t="s">
        <v>557</v>
      </c>
      <c r="D1195" s="62">
        <v>16</v>
      </c>
      <c r="E1195" s="33" t="str">
        <f>(MID(E1194,SEARCH(":",E1194)+1,2)-1) &amp; ":" &amp; (MID(E1194,SEARCH(":",E1194)+1,2)-D1195)</f>
        <v>15:0</v>
      </c>
      <c r="F1195" s="30" t="s">
        <v>457</v>
      </c>
      <c r="G1195" s="30" t="s">
        <v>457</v>
      </c>
      <c r="H1195" s="65" t="s">
        <v>406</v>
      </c>
      <c r="I1195" s="30" t="s">
        <v>68</v>
      </c>
      <c r="J1195" s="32" t="s">
        <v>36</v>
      </c>
      <c r="K1195" s="33" t="s">
        <v>6</v>
      </c>
      <c r="L1195" s="46"/>
      <c r="M1195" s="120"/>
      <c r="N1195" s="120"/>
      <c r="O1195" s="120"/>
      <c r="P1195" s="122"/>
      <c r="Q1195" s="122"/>
      <c r="R1195" s="210"/>
      <c r="S1195" s="210"/>
    </row>
    <row r="1196" spans="1:19" s="61" customFormat="1">
      <c r="A1196" s="252" t="s">
        <v>656</v>
      </c>
      <c r="B1196" s="253" t="str">
        <f t="shared" ref="B1196" si="966">DEC2HEX(P1196*4)</f>
        <v>20</v>
      </c>
      <c r="C1196" s="56" t="s">
        <v>383</v>
      </c>
      <c r="D1196" s="129" t="str">
        <f>bitConcat(F1197:F1202)</f>
        <v>32'b00000000101100110001100000100000</v>
      </c>
      <c r="E1196" s="130"/>
      <c r="F1196" s="130"/>
      <c r="G1196" s="205"/>
      <c r="H1196" s="73" t="s">
        <v>384</v>
      </c>
      <c r="I1196" s="74"/>
      <c r="J1196" s="202" t="str">
        <f>bitConcat(G1197:G1202)</f>
        <v>32'b00000000000000000001100000000000</v>
      </c>
      <c r="K1196" s="131"/>
      <c r="L1196" s="132"/>
      <c r="M1196" s="119" t="str">
        <f t="shared" ref="M1196" si="967">DEC2HEX(_xlfn.BITLSHIFT(O1196,7)+4*P1196)</f>
        <v>3A0</v>
      </c>
      <c r="N1196" s="120" t="s">
        <v>385</v>
      </c>
      <c r="O1196" s="120">
        <v>7</v>
      </c>
      <c r="P1196" s="122">
        <v>8</v>
      </c>
      <c r="Q1196" s="121" t="str">
        <f t="shared" ref="Q1196" si="968">DEC2HEX(_xlfn.BITLSHIFT(O1196,5)+P1196*4)</f>
        <v>100</v>
      </c>
      <c r="R1196" s="203" t="str">
        <f>BIN2HEX(LEFT(RIGHT(D1196,32),4))&amp;BIN2HEX(LEFT(RIGHT(D1196,28),4))&amp;BIN2HEX(LEFT(RIGHT(D1196,24),4))&amp;BIN2HEX(LEFT(RIGHT(D1196,20),4))&amp;BIN2HEX(LEFT(RIGHT(D1196,16),4))&amp;BIN2HEX(LEFT(RIGHT(D1196,12),4))&amp;BIN2HEX(LEFT(RIGHT(D1196,8),4))&amp;BIN2HEX(LEFT(RIGHT(D1196,4),4))</f>
        <v>00B31820</v>
      </c>
      <c r="S1196" s="203" t="str">
        <f t="shared" ref="S1196" si="969">BIN2HEX(LEFT(RIGHT(J1196,32),4))&amp;BIN2HEX(LEFT(RIGHT(J1196,28),4))&amp;BIN2HEX(LEFT(RIGHT(J1196,24),4))&amp;BIN2HEX(LEFT(RIGHT(J1196,20),4))&amp;BIN2HEX(LEFT(RIGHT(J1196,16),4))&amp;BIN2HEX(LEFT(RIGHT(J1196,12),4))&amp;BIN2HEX(LEFT(RIGHT(J1196,8),4))&amp;BIN2HEX(LEFT(RIGHT(J1196,4),4))</f>
        <v>00001800</v>
      </c>
    </row>
    <row r="1197" spans="1:19" s="61" customFormat="1" ht="15.75" customHeight="1">
      <c r="A1197" s="252"/>
      <c r="B1197" s="254"/>
      <c r="C1197" s="43" t="s">
        <v>514</v>
      </c>
      <c r="D1197" s="62">
        <v>8</v>
      </c>
      <c r="E1197" s="70" t="str">
        <f>IF(D1197&gt;1,(31)&amp;":"&amp;(31-D1197+1),(31-D1197+1)&amp;":"&amp;(31-D1197+1))</f>
        <v>31:24</v>
      </c>
      <c r="F1197" s="30" t="s">
        <v>133</v>
      </c>
      <c r="G1197" s="30" t="s">
        <v>133</v>
      </c>
      <c r="H1197" s="64" t="s">
        <v>469</v>
      </c>
      <c r="I1197" s="30" t="s">
        <v>68</v>
      </c>
      <c r="J1197" s="32" t="s">
        <v>36</v>
      </c>
      <c r="K1197" s="33" t="s">
        <v>6</v>
      </c>
      <c r="L1197" s="46"/>
      <c r="M1197" s="120"/>
      <c r="N1197" s="120"/>
      <c r="O1197" s="120"/>
      <c r="P1197" s="122"/>
      <c r="Q1197" s="122"/>
      <c r="R1197" s="204"/>
      <c r="S1197" s="204"/>
    </row>
    <row r="1198" spans="1:19" s="61" customFormat="1">
      <c r="A1198" s="252"/>
      <c r="B1198" s="254"/>
      <c r="C1198" s="43" t="s">
        <v>515</v>
      </c>
      <c r="D1198" s="62">
        <v>8</v>
      </c>
      <c r="E1198" s="33" t="str">
        <f>(MID(E1197,SEARCH(":",E1197)+1,2)-1) &amp; ":" &amp; (MID(E1197,SEARCH(":",E1197)+1,2)-D1198)</f>
        <v>23:16</v>
      </c>
      <c r="F1198" s="30" t="s">
        <v>471</v>
      </c>
      <c r="G1198" s="30" t="s">
        <v>133</v>
      </c>
      <c r="H1198" s="65" t="s">
        <v>472</v>
      </c>
      <c r="I1198" s="30" t="s">
        <v>68</v>
      </c>
      <c r="J1198" s="32" t="s">
        <v>36</v>
      </c>
      <c r="K1198" s="33" t="s">
        <v>6</v>
      </c>
      <c r="L1198" s="46"/>
      <c r="M1198" s="120"/>
      <c r="N1198" s="120"/>
      <c r="O1198" s="120"/>
      <c r="P1198" s="122"/>
      <c r="Q1198" s="122"/>
      <c r="R1198" s="204"/>
      <c r="S1198" s="204"/>
    </row>
    <row r="1199" spans="1:19" s="61" customFormat="1">
      <c r="A1199" s="252"/>
      <c r="B1199" s="254"/>
      <c r="C1199" s="43" t="s">
        <v>516</v>
      </c>
      <c r="D1199" s="62">
        <v>10</v>
      </c>
      <c r="E1199" s="33" t="str">
        <f t="shared" ref="E1199:E1201" si="970">(MID(E1198,SEARCH(":",E1198)+1,2)-1) &amp; ":" &amp; (MID(E1198,SEARCH(":",E1198)+1,2)-D1199)</f>
        <v>15:6</v>
      </c>
      <c r="F1199" s="30" t="s">
        <v>474</v>
      </c>
      <c r="G1199" s="30" t="s">
        <v>474</v>
      </c>
      <c r="H1199" s="64" t="s">
        <v>475</v>
      </c>
      <c r="I1199" s="30" t="s">
        <v>68</v>
      </c>
      <c r="J1199" s="32" t="s">
        <v>36</v>
      </c>
      <c r="K1199" s="33" t="s">
        <v>6</v>
      </c>
      <c r="L1199" s="46"/>
      <c r="M1199" s="120"/>
      <c r="N1199" s="120"/>
      <c r="O1199" s="120"/>
      <c r="P1199" s="122"/>
      <c r="Q1199" s="122"/>
      <c r="R1199" s="204"/>
      <c r="S1199" s="204"/>
    </row>
    <row r="1200" spans="1:19" s="61" customFormat="1">
      <c r="A1200" s="252"/>
      <c r="B1200" s="254"/>
      <c r="C1200" s="43" t="s">
        <v>517</v>
      </c>
      <c r="D1200" s="62">
        <v>1</v>
      </c>
      <c r="E1200" s="33" t="str">
        <f t="shared" si="970"/>
        <v>5:5</v>
      </c>
      <c r="F1200" s="30" t="s">
        <v>269</v>
      </c>
      <c r="G1200" s="30" t="s">
        <v>7</v>
      </c>
      <c r="H1200" s="65" t="s">
        <v>477</v>
      </c>
      <c r="I1200" s="30" t="s">
        <v>68</v>
      </c>
      <c r="J1200" s="32" t="s">
        <v>36</v>
      </c>
      <c r="K1200" s="33" t="s">
        <v>6</v>
      </c>
      <c r="L1200" s="46"/>
      <c r="M1200" s="120"/>
      <c r="N1200" s="120"/>
      <c r="O1200" s="120"/>
      <c r="P1200" s="122"/>
      <c r="Q1200" s="122"/>
      <c r="R1200" s="204"/>
      <c r="S1200" s="204"/>
    </row>
    <row r="1201" spans="1:19" s="61" customFormat="1" ht="15" thickBot="1">
      <c r="A1201" s="252"/>
      <c r="B1201" s="254"/>
      <c r="C1201" s="43" t="s">
        <v>518</v>
      </c>
      <c r="D1201" s="62">
        <v>5</v>
      </c>
      <c r="E1201" s="33" t="str">
        <f t="shared" si="970"/>
        <v>4:0</v>
      </c>
      <c r="F1201" s="30" t="s">
        <v>434</v>
      </c>
      <c r="G1201" s="30" t="s">
        <v>434</v>
      </c>
      <c r="H1201" s="65" t="s">
        <v>479</v>
      </c>
      <c r="I1201" s="30" t="s">
        <v>68</v>
      </c>
      <c r="J1201" s="32" t="s">
        <v>36</v>
      </c>
      <c r="K1201" s="33" t="s">
        <v>6</v>
      </c>
      <c r="L1201" s="46"/>
      <c r="M1201" s="120"/>
      <c r="N1201" s="120"/>
      <c r="O1201" s="120"/>
      <c r="P1201" s="122"/>
      <c r="Q1201" s="122"/>
      <c r="R1201" s="210"/>
      <c r="S1201" s="210"/>
    </row>
    <row r="1202" spans="1:19" s="61" customFormat="1">
      <c r="A1202" s="251" t="s">
        <v>657</v>
      </c>
      <c r="B1202" s="253" t="str">
        <f t="shared" ref="B1202" si="971">DEC2HEX(P1202*4)</f>
        <v>24</v>
      </c>
      <c r="C1202" s="56" t="s">
        <v>383</v>
      </c>
      <c r="D1202" s="129" t="str">
        <f>bitConcat(F1203:F1206)</f>
        <v>32'b00000000000000000000000000000000</v>
      </c>
      <c r="E1202" s="130"/>
      <c r="F1202" s="130"/>
      <c r="G1202" s="205"/>
      <c r="H1202" s="73" t="s">
        <v>384</v>
      </c>
      <c r="I1202" s="74"/>
      <c r="J1202" s="202" t="str">
        <f>bitConcat(G1203:G1206)</f>
        <v>32'b00000000000000000000000000000000</v>
      </c>
      <c r="K1202" s="131"/>
      <c r="L1202" s="132"/>
      <c r="M1202" s="119" t="str">
        <f t="shared" ref="M1202" si="972">DEC2HEX(_xlfn.BITLSHIFT(O1202,7)+4*P1202)</f>
        <v>3A4</v>
      </c>
      <c r="N1202" s="119" t="s">
        <v>385</v>
      </c>
      <c r="O1202" s="119">
        <v>7</v>
      </c>
      <c r="P1202" s="121">
        <v>9</v>
      </c>
      <c r="Q1202" s="121" t="str">
        <f>DEC2HEX(_xlfn.BITLSHIFT(O1202,5)+P1202)</f>
        <v>E9</v>
      </c>
      <c r="R1202" s="203" t="str">
        <f>BIN2HEX(LEFT(RIGHT(D1202,32),4))&amp;BIN2HEX(LEFT(RIGHT(D1202,28),4))&amp;BIN2HEX(LEFT(RIGHT(D1202,24),4))&amp;BIN2HEX(LEFT(RIGHT(D1202,20),4))&amp;BIN2HEX(LEFT(RIGHT(D1202,16),4))&amp;BIN2HEX(LEFT(RIGHT(D1202,12),4))&amp;BIN2HEX(LEFT(RIGHT(D1202,8),4))&amp;BIN2HEX(LEFT(RIGHT(D1202,4),4))</f>
        <v>00000000</v>
      </c>
      <c r="S1202" s="203" t="str">
        <f t="shared" ref="S1202" si="973">BIN2HEX(LEFT(RIGHT(J1202,32),4))&amp;BIN2HEX(LEFT(RIGHT(J1202,28),4))&amp;BIN2HEX(LEFT(RIGHT(J1202,24),4))&amp;BIN2HEX(LEFT(RIGHT(J1202,20),4))&amp;BIN2HEX(LEFT(RIGHT(J1202,16),4))&amp;BIN2HEX(LEFT(RIGHT(J1202,12),4))&amp;BIN2HEX(LEFT(RIGHT(J1202,8),4))&amp;BIN2HEX(LEFT(RIGHT(J1202,4),4))</f>
        <v>00000000</v>
      </c>
    </row>
    <row r="1203" spans="1:19" s="61" customFormat="1" ht="15.75" customHeight="1">
      <c r="A1203" s="252"/>
      <c r="B1203" s="254"/>
      <c r="C1203" s="43" t="s">
        <v>520</v>
      </c>
      <c r="D1203" s="62">
        <v>8</v>
      </c>
      <c r="E1203" s="70" t="str">
        <f>IF(D1203&gt;1,(31)&amp;":"&amp;(31-D1203+1),(31-D1203+1)&amp;":"&amp;(31-D1203+1))</f>
        <v>31:24</v>
      </c>
      <c r="F1203" s="30" t="s">
        <v>133</v>
      </c>
      <c r="G1203" s="30" t="s">
        <v>133</v>
      </c>
      <c r="H1203" s="64" t="s">
        <v>448</v>
      </c>
      <c r="I1203" s="30" t="s">
        <v>68</v>
      </c>
      <c r="J1203" s="32" t="s">
        <v>36</v>
      </c>
      <c r="K1203" s="33" t="s">
        <v>6</v>
      </c>
      <c r="L1203" s="46"/>
      <c r="M1203" s="120"/>
      <c r="N1203" s="120"/>
      <c r="O1203" s="120"/>
      <c r="P1203" s="122"/>
      <c r="Q1203" s="122"/>
      <c r="R1203" s="204"/>
      <c r="S1203" s="204"/>
    </row>
    <row r="1204" spans="1:19" s="61" customFormat="1">
      <c r="A1204" s="252"/>
      <c r="B1204" s="254"/>
      <c r="C1204" s="43" t="s">
        <v>521</v>
      </c>
      <c r="D1204" s="62">
        <v>8</v>
      </c>
      <c r="E1204" s="33" t="str">
        <f t="shared" ref="E1204" si="974">(MID(E1203,SEARCH(":",E1203)+1,2)-1) &amp; ":" &amp; (MID(E1203,SEARCH(":",E1203)+1,2)-D1204)</f>
        <v>23:16</v>
      </c>
      <c r="F1204" s="30" t="s">
        <v>133</v>
      </c>
      <c r="G1204" s="30" t="s">
        <v>133</v>
      </c>
      <c r="H1204" s="64" t="s">
        <v>450</v>
      </c>
      <c r="I1204" s="30" t="s">
        <v>68</v>
      </c>
      <c r="J1204" s="32" t="s">
        <v>36</v>
      </c>
      <c r="K1204" s="33" t="s">
        <v>6</v>
      </c>
      <c r="L1204" s="46"/>
      <c r="M1204" s="120"/>
      <c r="N1204" s="120"/>
      <c r="O1204" s="120"/>
      <c r="P1204" s="122"/>
      <c r="Q1204" s="122"/>
      <c r="R1204" s="204"/>
      <c r="S1204" s="204"/>
    </row>
    <row r="1205" spans="1:19" s="61" customFormat="1">
      <c r="A1205" s="252"/>
      <c r="B1205" s="254"/>
      <c r="C1205" s="43" t="s">
        <v>522</v>
      </c>
      <c r="D1205" s="62">
        <v>8</v>
      </c>
      <c r="E1205" s="33" t="str">
        <f>(MID(E1204,SEARCH(":",E1204)+1,2)-1) &amp; ":" &amp; (MID(E1204,SEARCH(":",E1204)+1,2)-D1205)</f>
        <v>15:8</v>
      </c>
      <c r="F1205" s="30" t="s">
        <v>133</v>
      </c>
      <c r="G1205" s="30" t="s">
        <v>133</v>
      </c>
      <c r="H1205" s="64" t="s">
        <v>452</v>
      </c>
      <c r="I1205" s="30" t="s">
        <v>68</v>
      </c>
      <c r="J1205" s="32" t="s">
        <v>36</v>
      </c>
      <c r="K1205" s="33" t="s">
        <v>6</v>
      </c>
      <c r="L1205" s="46"/>
      <c r="M1205" s="120"/>
      <c r="N1205" s="120"/>
      <c r="O1205" s="120"/>
      <c r="P1205" s="122"/>
      <c r="Q1205" s="122"/>
      <c r="R1205" s="204"/>
      <c r="S1205" s="204"/>
    </row>
    <row r="1206" spans="1:19" s="61" customFormat="1" ht="15" thickBot="1">
      <c r="A1206" s="252"/>
      <c r="B1206" s="254"/>
      <c r="C1206" s="43" t="s">
        <v>523</v>
      </c>
      <c r="D1206" s="62">
        <v>8</v>
      </c>
      <c r="E1206" s="33" t="str">
        <f>(MID(E1205,SEARCH(":",E1205)+1,2)-1) &amp; ":" &amp; (MID(E1205,SEARCH(":",E1205)+1,2)-D1206)</f>
        <v>7:0</v>
      </c>
      <c r="F1206" s="30" t="s">
        <v>133</v>
      </c>
      <c r="G1206" s="30" t="s">
        <v>133</v>
      </c>
      <c r="H1206" s="64" t="s">
        <v>454</v>
      </c>
      <c r="I1206" s="30" t="s">
        <v>68</v>
      </c>
      <c r="J1206" s="32" t="s">
        <v>36</v>
      </c>
      <c r="K1206" s="33" t="s">
        <v>6</v>
      </c>
      <c r="L1206" s="46"/>
      <c r="M1206" s="120"/>
      <c r="N1206" s="120"/>
      <c r="O1206" s="120"/>
      <c r="P1206" s="122"/>
      <c r="Q1206" s="122"/>
      <c r="R1206" s="210"/>
      <c r="S1206" s="210"/>
    </row>
    <row r="1207" spans="1:19" s="61" customFormat="1">
      <c r="A1207" s="252" t="s">
        <v>658</v>
      </c>
      <c r="B1207" s="253" t="str">
        <f t="shared" ref="B1207" si="975">DEC2HEX(P1207*4)</f>
        <v>28</v>
      </c>
      <c r="C1207" s="56" t="s">
        <v>383</v>
      </c>
      <c r="D1207" s="129" t="str">
        <f>bitConcat(F1208:F1209)</f>
        <v>32'b00000000000000000000000000000000</v>
      </c>
      <c r="E1207" s="130"/>
      <c r="F1207" s="130"/>
      <c r="G1207" s="205"/>
      <c r="H1207" s="73" t="s">
        <v>384</v>
      </c>
      <c r="I1207" s="74"/>
      <c r="J1207" s="202" t="str">
        <f>bitConcat(G1208:G1209)</f>
        <v>32'b00000000000000000000000000000000</v>
      </c>
      <c r="K1207" s="131"/>
      <c r="L1207" s="132"/>
      <c r="M1207" s="119" t="str">
        <f t="shared" ref="M1207" si="976">DEC2HEX(_xlfn.BITLSHIFT(O1207,7)+4*P1207)</f>
        <v>3A8</v>
      </c>
      <c r="N1207" s="120" t="s">
        <v>385</v>
      </c>
      <c r="O1207" s="120">
        <v>7</v>
      </c>
      <c r="P1207" s="122">
        <v>10</v>
      </c>
      <c r="Q1207" s="121" t="str">
        <f>DEC2HEX(_xlfn.BITLSHIFT(O1207,5)+P1207)</f>
        <v>EA</v>
      </c>
      <c r="R1207" s="203" t="str">
        <f>BIN2HEX(LEFT(RIGHT(D1207,32),4))&amp;BIN2HEX(LEFT(RIGHT(D1207,28),4))&amp;BIN2HEX(LEFT(RIGHT(D1207,24),4))&amp;BIN2HEX(LEFT(RIGHT(D1207,20),4))&amp;BIN2HEX(LEFT(RIGHT(D1207,16),4))&amp;BIN2HEX(LEFT(RIGHT(D1207,12),4))&amp;BIN2HEX(LEFT(RIGHT(D1207,8),4))&amp;BIN2HEX(LEFT(RIGHT(D1207,4),4))</f>
        <v>00000000</v>
      </c>
      <c r="S1207" s="203" t="str">
        <f t="shared" ref="S1207" si="977">BIN2HEX(LEFT(RIGHT(J1207,32),4))&amp;BIN2HEX(LEFT(RIGHT(J1207,28),4))&amp;BIN2HEX(LEFT(RIGHT(J1207,24),4))&amp;BIN2HEX(LEFT(RIGHT(J1207,20),4))&amp;BIN2HEX(LEFT(RIGHT(J1207,16),4))&amp;BIN2HEX(LEFT(RIGHT(J1207,12),4))&amp;BIN2HEX(LEFT(RIGHT(J1207,8),4))&amp;BIN2HEX(LEFT(RIGHT(J1207,4),4))</f>
        <v>00000000</v>
      </c>
    </row>
    <row r="1208" spans="1:19" s="61" customFormat="1" ht="15.75" customHeight="1">
      <c r="A1208" s="252"/>
      <c r="B1208" s="254"/>
      <c r="C1208" s="43" t="s">
        <v>525</v>
      </c>
      <c r="D1208" s="62">
        <v>16</v>
      </c>
      <c r="E1208" s="70" t="str">
        <f>IF(D1208&gt;1,(31)&amp;":"&amp;(31-D1208+1),(31-D1208+1)&amp;":"&amp;(31-D1208+1))</f>
        <v>31:16</v>
      </c>
      <c r="F1208" s="30" t="s">
        <v>457</v>
      </c>
      <c r="G1208" s="30" t="s">
        <v>457</v>
      </c>
      <c r="H1208" s="64" t="s">
        <v>526</v>
      </c>
      <c r="I1208" s="30" t="s">
        <v>68</v>
      </c>
      <c r="J1208" s="32" t="s">
        <v>36</v>
      </c>
      <c r="K1208" s="33" t="s">
        <v>6</v>
      </c>
      <c r="L1208" s="46"/>
      <c r="M1208" s="120"/>
      <c r="N1208" s="120"/>
      <c r="O1208" s="120"/>
      <c r="P1208" s="122"/>
      <c r="Q1208" s="122"/>
      <c r="R1208" s="204"/>
      <c r="S1208" s="204"/>
    </row>
    <row r="1209" spans="1:19" s="61" customFormat="1" ht="15.75" customHeight="1" thickBot="1">
      <c r="A1209" s="252"/>
      <c r="B1209" s="254"/>
      <c r="C1209" s="43" t="s">
        <v>557</v>
      </c>
      <c r="D1209" s="62">
        <v>16</v>
      </c>
      <c r="E1209" s="33" t="str">
        <f>(MID(E1208,SEARCH(":",E1208)+1,2)-1) &amp; ":" &amp; (MID(E1208,SEARCH(":",E1208)+1,2)-D1209)</f>
        <v>15:0</v>
      </c>
      <c r="F1209" s="30" t="s">
        <v>457</v>
      </c>
      <c r="G1209" s="30" t="s">
        <v>457</v>
      </c>
      <c r="H1209" s="65" t="s">
        <v>406</v>
      </c>
      <c r="I1209" s="30" t="s">
        <v>68</v>
      </c>
      <c r="J1209" s="32" t="s">
        <v>36</v>
      </c>
      <c r="K1209" s="33" t="s">
        <v>6</v>
      </c>
      <c r="L1209" s="46"/>
      <c r="M1209" s="120"/>
      <c r="N1209" s="120"/>
      <c r="O1209" s="120"/>
      <c r="P1209" s="122"/>
      <c r="Q1209" s="122"/>
      <c r="R1209" s="210"/>
      <c r="S1209" s="210"/>
    </row>
    <row r="1210" spans="1:19" s="61" customFormat="1" ht="15.75" customHeight="1">
      <c r="A1210" s="252" t="s">
        <v>659</v>
      </c>
      <c r="B1210" s="253" t="str">
        <f t="shared" ref="B1210" si="978">DEC2HEX(P1210*4)</f>
        <v>2C</v>
      </c>
      <c r="C1210" s="56" t="s">
        <v>383</v>
      </c>
      <c r="D1210" s="129" t="str">
        <f>bitConcat(F1211:F1216)</f>
        <v>32'b00000000101100110001100000100000</v>
      </c>
      <c r="E1210" s="130"/>
      <c r="F1210" s="130"/>
      <c r="G1210" s="205"/>
      <c r="H1210" s="73" t="s">
        <v>384</v>
      </c>
      <c r="I1210" s="74"/>
      <c r="J1210" s="202" t="str">
        <f>bitConcat(G1211:G1216)</f>
        <v>32'b00000000000000000001100000000000</v>
      </c>
      <c r="K1210" s="131"/>
      <c r="L1210" s="132"/>
      <c r="M1210" s="119" t="str">
        <f t="shared" ref="M1210" si="979">DEC2HEX(_xlfn.BITLSHIFT(O1210,7)+4*P1210)</f>
        <v>3AC</v>
      </c>
      <c r="N1210" s="120" t="s">
        <v>385</v>
      </c>
      <c r="O1210" s="120">
        <v>7</v>
      </c>
      <c r="P1210" s="122">
        <v>11</v>
      </c>
      <c r="Q1210" s="121" t="str">
        <f>DEC2HEX(_xlfn.BITLSHIFT(O1210,5)+P1210)</f>
        <v>EB</v>
      </c>
      <c r="R1210" s="203" t="str">
        <f>BIN2HEX(LEFT(RIGHT(D1210,32),4))&amp;BIN2HEX(LEFT(RIGHT(D1210,28),4))&amp;BIN2HEX(LEFT(RIGHT(D1210,24),4))&amp;BIN2HEX(LEFT(RIGHT(D1210,20),4))&amp;BIN2HEX(LEFT(RIGHT(D1210,16),4))&amp;BIN2HEX(LEFT(RIGHT(D1210,12),4))&amp;BIN2HEX(LEFT(RIGHT(D1210,8),4))&amp;BIN2HEX(LEFT(RIGHT(D1210,4),4))</f>
        <v>00B31820</v>
      </c>
      <c r="S1210" s="203" t="str">
        <f t="shared" ref="S1210" si="980">BIN2HEX(LEFT(RIGHT(J1210,32),4))&amp;BIN2HEX(LEFT(RIGHT(J1210,28),4))&amp;BIN2HEX(LEFT(RIGHT(J1210,24),4))&amp;BIN2HEX(LEFT(RIGHT(J1210,20),4))&amp;BIN2HEX(LEFT(RIGHT(J1210,16),4))&amp;BIN2HEX(LEFT(RIGHT(J1210,12),4))&amp;BIN2HEX(LEFT(RIGHT(J1210,8),4))&amp;BIN2HEX(LEFT(RIGHT(J1210,4),4))</f>
        <v>00001800</v>
      </c>
    </row>
    <row r="1211" spans="1:19" s="61" customFormat="1">
      <c r="A1211" s="252"/>
      <c r="B1211" s="254"/>
      <c r="C1211" s="43" t="s">
        <v>533</v>
      </c>
      <c r="D1211" s="62">
        <v>8</v>
      </c>
      <c r="E1211" s="70" t="str">
        <f>IF(D1211&gt;1,(31)&amp;":"&amp;(31-D1211+1),(31-D1211+1)&amp;":"&amp;(31-D1211+1))</f>
        <v>31:24</v>
      </c>
      <c r="F1211" s="30" t="s">
        <v>133</v>
      </c>
      <c r="G1211" s="30" t="s">
        <v>133</v>
      </c>
      <c r="H1211" s="64" t="s">
        <v>469</v>
      </c>
      <c r="I1211" s="30" t="s">
        <v>68</v>
      </c>
      <c r="J1211" s="32" t="s">
        <v>36</v>
      </c>
      <c r="K1211" s="33" t="s">
        <v>6</v>
      </c>
      <c r="L1211" s="46"/>
      <c r="M1211" s="120"/>
      <c r="N1211" s="120"/>
      <c r="O1211" s="120"/>
      <c r="P1211" s="122"/>
      <c r="Q1211" s="122"/>
      <c r="R1211" s="204"/>
      <c r="S1211" s="204"/>
    </row>
    <row r="1212" spans="1:19" s="61" customFormat="1">
      <c r="A1212" s="252"/>
      <c r="B1212" s="254"/>
      <c r="C1212" s="43" t="s">
        <v>534</v>
      </c>
      <c r="D1212" s="62">
        <v>8</v>
      </c>
      <c r="E1212" s="33" t="str">
        <f>(MID(E1211,SEARCH(":",E1211)+1,2)-1) &amp; ":" &amp; (MID(E1211,SEARCH(":",E1211)+1,2)-D1212)</f>
        <v>23:16</v>
      </c>
      <c r="F1212" s="30" t="s">
        <v>471</v>
      </c>
      <c r="G1212" s="30" t="s">
        <v>133</v>
      </c>
      <c r="H1212" s="65" t="s">
        <v>472</v>
      </c>
      <c r="I1212" s="30" t="s">
        <v>68</v>
      </c>
      <c r="J1212" s="32" t="s">
        <v>36</v>
      </c>
      <c r="K1212" s="33" t="s">
        <v>6</v>
      </c>
      <c r="L1212" s="46"/>
      <c r="M1212" s="120"/>
      <c r="N1212" s="120"/>
      <c r="O1212" s="120"/>
      <c r="P1212" s="122"/>
      <c r="Q1212" s="122"/>
      <c r="R1212" s="204"/>
      <c r="S1212" s="204"/>
    </row>
    <row r="1213" spans="1:19" s="61" customFormat="1">
      <c r="A1213" s="252"/>
      <c r="B1213" s="254"/>
      <c r="C1213" s="43" t="s">
        <v>535</v>
      </c>
      <c r="D1213" s="62">
        <v>10</v>
      </c>
      <c r="E1213" s="33" t="str">
        <f t="shared" ref="E1213:E1215" si="981">(MID(E1212,SEARCH(":",E1212)+1,2)-1) &amp; ":" &amp; (MID(E1212,SEARCH(":",E1212)+1,2)-D1213)</f>
        <v>15:6</v>
      </c>
      <c r="F1213" s="30" t="s">
        <v>474</v>
      </c>
      <c r="G1213" s="30" t="s">
        <v>474</v>
      </c>
      <c r="H1213" s="64" t="s">
        <v>475</v>
      </c>
      <c r="I1213" s="30" t="s">
        <v>68</v>
      </c>
      <c r="J1213" s="32" t="s">
        <v>36</v>
      </c>
      <c r="K1213" s="33" t="s">
        <v>6</v>
      </c>
      <c r="L1213" s="46"/>
      <c r="M1213" s="120"/>
      <c r="N1213" s="120"/>
      <c r="O1213" s="120"/>
      <c r="P1213" s="122"/>
      <c r="Q1213" s="122"/>
      <c r="R1213" s="204"/>
      <c r="S1213" s="204"/>
    </row>
    <row r="1214" spans="1:19" s="61" customFormat="1">
      <c r="A1214" s="252"/>
      <c r="B1214" s="254"/>
      <c r="C1214" s="43" t="s">
        <v>536</v>
      </c>
      <c r="D1214" s="62">
        <v>1</v>
      </c>
      <c r="E1214" s="33" t="str">
        <f t="shared" si="981"/>
        <v>5:5</v>
      </c>
      <c r="F1214" s="30" t="s">
        <v>269</v>
      </c>
      <c r="G1214" s="30" t="s">
        <v>7</v>
      </c>
      <c r="H1214" s="65" t="s">
        <v>477</v>
      </c>
      <c r="I1214" s="30" t="s">
        <v>68</v>
      </c>
      <c r="J1214" s="32" t="s">
        <v>36</v>
      </c>
      <c r="K1214" s="33" t="s">
        <v>6</v>
      </c>
      <c r="L1214" s="46"/>
      <c r="M1214" s="120"/>
      <c r="N1214" s="120"/>
      <c r="O1214" s="120"/>
      <c r="P1214" s="122"/>
      <c r="Q1214" s="122"/>
      <c r="R1214" s="204"/>
      <c r="S1214" s="204"/>
    </row>
    <row r="1215" spans="1:19" s="61" customFormat="1" ht="15" thickBot="1">
      <c r="A1215" s="252"/>
      <c r="B1215" s="254"/>
      <c r="C1215" s="43" t="s">
        <v>537</v>
      </c>
      <c r="D1215" s="62">
        <v>5</v>
      </c>
      <c r="E1215" s="33" t="str">
        <f t="shared" si="981"/>
        <v>4:0</v>
      </c>
      <c r="F1215" s="30" t="s">
        <v>434</v>
      </c>
      <c r="G1215" s="30" t="s">
        <v>434</v>
      </c>
      <c r="H1215" s="65" t="s">
        <v>479</v>
      </c>
      <c r="I1215" s="30" t="s">
        <v>68</v>
      </c>
      <c r="J1215" s="32" t="s">
        <v>36</v>
      </c>
      <c r="K1215" s="33" t="s">
        <v>6</v>
      </c>
      <c r="L1215" s="46"/>
      <c r="M1215" s="120"/>
      <c r="N1215" s="120"/>
      <c r="O1215" s="120"/>
      <c r="P1215" s="122"/>
      <c r="Q1215" s="122"/>
      <c r="R1215" s="210"/>
      <c r="S1215" s="210"/>
    </row>
    <row r="1216" spans="1:19" s="61" customFormat="1" ht="15.75" customHeight="1">
      <c r="A1216" s="255" t="s">
        <v>660</v>
      </c>
      <c r="B1216" s="257" t="str">
        <f t="shared" ref="B1216" si="982">DEC2HEX(P1216*4)</f>
        <v>30</v>
      </c>
      <c r="C1216" s="56" t="s">
        <v>383</v>
      </c>
      <c r="D1216" s="129" t="str">
        <f>bitConcat(F1217:F1224)</f>
        <v>32'b11110111110101001011000101000100</v>
      </c>
      <c r="E1216" s="130"/>
      <c r="F1216" s="130"/>
      <c r="G1216" s="205"/>
      <c r="H1216" s="73" t="s">
        <v>384</v>
      </c>
      <c r="I1216" s="74"/>
      <c r="J1216" s="202" t="str">
        <f>bitConcat(G1217:G1224)</f>
        <v>32'b11110111111110001000000010001111</v>
      </c>
      <c r="K1216" s="131"/>
      <c r="L1216" s="132"/>
      <c r="M1216" s="217" t="str">
        <f t="shared" ref="M1216" si="983">DEC2HEX(_xlfn.BITLSHIFT(O1216,7)+4*P1216)</f>
        <v>3B0</v>
      </c>
      <c r="N1216" s="170" t="s">
        <v>385</v>
      </c>
      <c r="O1216" s="170">
        <v>7</v>
      </c>
      <c r="P1216" s="171">
        <v>12</v>
      </c>
      <c r="Q1216" s="203" t="str">
        <f>DEC2HEX(_xlfn.BITLSHIFT(O1216,5)+P1216)</f>
        <v>EC</v>
      </c>
      <c r="R1216" s="203" t="str">
        <f>BIN2HEX(LEFT(RIGHT(D1216,32),4))&amp;BIN2HEX(LEFT(RIGHT(D1216,28),4))&amp;BIN2HEX(LEFT(RIGHT(D1216,24),4))&amp;BIN2HEX(LEFT(RIGHT(D1216,20),4))&amp;BIN2HEX(LEFT(RIGHT(D1216,16),4))&amp;BIN2HEX(LEFT(RIGHT(D1216,12),4))&amp;BIN2HEX(LEFT(RIGHT(D1216,8),4))&amp;BIN2HEX(LEFT(RIGHT(D1216,4),4))</f>
        <v>F7D4B144</v>
      </c>
      <c r="S1216" s="203" t="str">
        <f t="shared" ref="S1216" si="984">BIN2HEX(LEFT(RIGHT(J1216,32),4))&amp;BIN2HEX(LEFT(RIGHT(J1216,28),4))&amp;BIN2HEX(LEFT(RIGHT(J1216,24),4))&amp;BIN2HEX(LEFT(RIGHT(J1216,20),4))&amp;BIN2HEX(LEFT(RIGHT(J1216,16),4))&amp;BIN2HEX(LEFT(RIGHT(J1216,12),4))&amp;BIN2HEX(LEFT(RIGHT(J1216,8),4))&amp;BIN2HEX(LEFT(RIGHT(J1216,4),4))</f>
        <v>F7F8808F</v>
      </c>
    </row>
    <row r="1217" spans="1:19" s="61" customFormat="1">
      <c r="A1217" s="256"/>
      <c r="B1217" s="258"/>
      <c r="C1217" s="43" t="s">
        <v>661</v>
      </c>
      <c r="D1217" s="62">
        <v>4</v>
      </c>
      <c r="E1217" s="70" t="str">
        <f>IF(D1217&gt;1,(31)&amp;":"&amp;(31-D1217+1),(31-D1217+1)&amp;":"&amp;(31-D1217+1))</f>
        <v>31:28</v>
      </c>
      <c r="F1217" s="30" t="s">
        <v>540</v>
      </c>
      <c r="G1217" s="30" t="s">
        <v>540</v>
      </c>
      <c r="H1217" s="64" t="s">
        <v>541</v>
      </c>
      <c r="I1217" s="30" t="s">
        <v>68</v>
      </c>
      <c r="J1217" s="32" t="s">
        <v>36</v>
      </c>
      <c r="K1217" s="33" t="s">
        <v>6</v>
      </c>
      <c r="L1217" s="46"/>
      <c r="M1217" s="218"/>
      <c r="N1217" s="218"/>
      <c r="O1217" s="218"/>
      <c r="P1217" s="225"/>
      <c r="Q1217" s="204"/>
      <c r="R1217" s="204"/>
      <c r="S1217" s="204"/>
    </row>
    <row r="1218" spans="1:19" s="61" customFormat="1">
      <c r="A1218" s="256"/>
      <c r="B1218" s="258"/>
      <c r="C1218" s="43" t="s">
        <v>662</v>
      </c>
      <c r="D1218" s="62">
        <v>4</v>
      </c>
      <c r="E1218" s="33" t="str">
        <f>(MID(E1217,SEARCH(":",E1217)+1,2)-1) &amp; ":" &amp; (MID(E1217,SEARCH(":",E1217)+1,2)-D1218)</f>
        <v>27:24</v>
      </c>
      <c r="F1218" s="30" t="s">
        <v>543</v>
      </c>
      <c r="G1218" s="30" t="s">
        <v>543</v>
      </c>
      <c r="H1218" s="65" t="s">
        <v>544</v>
      </c>
      <c r="I1218" s="30" t="s">
        <v>68</v>
      </c>
      <c r="J1218" s="32" t="s">
        <v>36</v>
      </c>
      <c r="K1218" s="33" t="s">
        <v>6</v>
      </c>
      <c r="L1218" s="46"/>
      <c r="M1218" s="218"/>
      <c r="N1218" s="218"/>
      <c r="O1218" s="218"/>
      <c r="P1218" s="225"/>
      <c r="Q1218" s="204"/>
      <c r="R1218" s="204"/>
      <c r="S1218" s="204"/>
    </row>
    <row r="1219" spans="1:19" s="61" customFormat="1" ht="15.75" customHeight="1">
      <c r="A1219" s="256"/>
      <c r="B1219" s="258"/>
      <c r="C1219" s="43" t="s">
        <v>663</v>
      </c>
      <c r="D1219" s="62">
        <v>4</v>
      </c>
      <c r="E1219" s="33" t="str">
        <f t="shared" ref="E1219:E1222" si="985">(MID(E1218,SEARCH(":",E1218)+1,2)-1) &amp; ":" &amp; (MID(E1218,SEARCH(":",E1218)+1,2)-D1219)</f>
        <v>23:20</v>
      </c>
      <c r="F1219" s="30" t="s">
        <v>546</v>
      </c>
      <c r="G1219" s="30" t="s">
        <v>540</v>
      </c>
      <c r="H1219" s="65" t="s">
        <v>547</v>
      </c>
      <c r="I1219" s="30" t="s">
        <v>68</v>
      </c>
      <c r="J1219" s="32" t="s">
        <v>36</v>
      </c>
      <c r="K1219" s="33" t="s">
        <v>6</v>
      </c>
      <c r="L1219" s="46"/>
      <c r="M1219" s="218"/>
      <c r="N1219" s="218"/>
      <c r="O1219" s="218"/>
      <c r="P1219" s="225"/>
      <c r="Q1219" s="204"/>
      <c r="R1219" s="204"/>
      <c r="S1219" s="204"/>
    </row>
    <row r="1220" spans="1:19" s="61" customFormat="1">
      <c r="A1220" s="256"/>
      <c r="B1220" s="258"/>
      <c r="C1220" s="43" t="s">
        <v>664</v>
      </c>
      <c r="D1220" s="62">
        <v>4</v>
      </c>
      <c r="E1220" s="33" t="str">
        <f t="shared" si="985"/>
        <v>19:16</v>
      </c>
      <c r="F1220" s="30" t="s">
        <v>182</v>
      </c>
      <c r="G1220" s="30" t="s">
        <v>146</v>
      </c>
      <c r="H1220" s="65" t="s">
        <v>549</v>
      </c>
      <c r="I1220" s="30" t="s">
        <v>68</v>
      </c>
      <c r="J1220" s="32" t="s">
        <v>36</v>
      </c>
      <c r="K1220" s="33" t="s">
        <v>6</v>
      </c>
      <c r="L1220" s="46"/>
      <c r="M1220" s="218"/>
      <c r="N1220" s="218"/>
      <c r="O1220" s="218"/>
      <c r="P1220" s="225"/>
      <c r="Q1220" s="204"/>
      <c r="R1220" s="204"/>
      <c r="S1220" s="204"/>
    </row>
    <row r="1221" spans="1:19" s="61" customFormat="1">
      <c r="A1221" s="256"/>
      <c r="B1221" s="258"/>
      <c r="C1221" s="43" t="s">
        <v>665</v>
      </c>
      <c r="D1221" s="62">
        <v>4</v>
      </c>
      <c r="E1221" s="33" t="str">
        <f t="shared" si="985"/>
        <v>15:12</v>
      </c>
      <c r="F1221" s="30" t="s">
        <v>551</v>
      </c>
      <c r="G1221" s="30" t="s">
        <v>146</v>
      </c>
      <c r="H1221" s="64" t="s">
        <v>552</v>
      </c>
      <c r="I1221" s="30" t="s">
        <v>68</v>
      </c>
      <c r="J1221" s="32" t="s">
        <v>36</v>
      </c>
      <c r="K1221" s="33" t="s">
        <v>6</v>
      </c>
      <c r="L1221" s="46"/>
      <c r="M1221" s="218"/>
      <c r="N1221" s="218"/>
      <c r="O1221" s="218"/>
      <c r="P1221" s="225"/>
      <c r="Q1221" s="204"/>
      <c r="R1221" s="204"/>
      <c r="S1221" s="204"/>
    </row>
    <row r="1222" spans="1:19" s="61" customFormat="1">
      <c r="A1222" s="256"/>
      <c r="B1222" s="258"/>
      <c r="C1222" s="43" t="s">
        <v>666</v>
      </c>
      <c r="D1222" s="62">
        <v>4</v>
      </c>
      <c r="E1222" s="33" t="str">
        <f t="shared" si="985"/>
        <v>11:8</v>
      </c>
      <c r="F1222" s="30" t="s">
        <v>220</v>
      </c>
      <c r="G1222" s="30" t="s">
        <v>330</v>
      </c>
      <c r="H1222" s="64" t="s">
        <v>554</v>
      </c>
      <c r="I1222" s="30" t="s">
        <v>68</v>
      </c>
      <c r="J1222" s="32" t="s">
        <v>36</v>
      </c>
      <c r="K1222" s="33" t="s">
        <v>6</v>
      </c>
      <c r="L1222" s="46"/>
      <c r="M1222" s="218"/>
      <c r="N1222" s="218"/>
      <c r="O1222" s="218"/>
      <c r="P1222" s="225"/>
      <c r="Q1222" s="204"/>
      <c r="R1222" s="204"/>
      <c r="S1222" s="204"/>
    </row>
    <row r="1223" spans="1:19" s="61" customFormat="1">
      <c r="A1223" s="256"/>
      <c r="B1223" s="258"/>
      <c r="C1223" s="63" t="s">
        <v>667</v>
      </c>
      <c r="D1223" s="62">
        <v>4</v>
      </c>
      <c r="E1223" s="33" t="str">
        <f>(MID(E1222,SEARCH(":",E1222)+1,2)-1) &amp; ":" &amp; (MID(E1222,SEARCH(":",E1222)+1,2)-D1223)</f>
        <v>7:4</v>
      </c>
      <c r="F1223" s="30" t="s">
        <v>182</v>
      </c>
      <c r="G1223" s="30" t="s">
        <v>146</v>
      </c>
      <c r="H1223" s="63" t="s">
        <v>556</v>
      </c>
      <c r="I1223" s="30" t="s">
        <v>68</v>
      </c>
      <c r="J1223" s="32" t="s">
        <v>36</v>
      </c>
      <c r="K1223" s="33" t="s">
        <v>6</v>
      </c>
      <c r="L1223" s="46"/>
      <c r="M1223" s="218"/>
      <c r="N1223" s="218"/>
      <c r="O1223" s="218"/>
      <c r="P1223" s="225"/>
      <c r="Q1223" s="204"/>
      <c r="R1223" s="204"/>
      <c r="S1223" s="204"/>
    </row>
    <row r="1224" spans="1:19" s="61" customFormat="1" ht="15" thickBot="1">
      <c r="A1224" s="256"/>
      <c r="B1224" s="258"/>
      <c r="C1224" s="43" t="s">
        <v>668</v>
      </c>
      <c r="D1224" s="62">
        <v>4</v>
      </c>
      <c r="E1224" s="33" t="str">
        <f>(MID(E1223,SEARCH(":",E1223)+1,2)-1) &amp; ":" &amp; (MID(E1223,SEARCH(":",E1223)+1,2)-D1224)</f>
        <v>3:0</v>
      </c>
      <c r="F1224" s="83" t="s">
        <v>182</v>
      </c>
      <c r="G1224" s="83" t="s">
        <v>540</v>
      </c>
      <c r="H1224" s="64" t="s">
        <v>669</v>
      </c>
      <c r="I1224" s="30" t="s">
        <v>68</v>
      </c>
      <c r="J1224" s="32" t="s">
        <v>36</v>
      </c>
      <c r="K1224" s="33" t="s">
        <v>6</v>
      </c>
      <c r="L1224" s="46"/>
      <c r="M1224" s="218"/>
      <c r="N1224" s="218"/>
      <c r="O1224" s="218"/>
      <c r="P1224" s="225"/>
      <c r="Q1224" s="204"/>
      <c r="R1224" s="210"/>
      <c r="S1224" s="210"/>
    </row>
    <row r="1225" spans="1:19" s="61" customFormat="1">
      <c r="A1225" s="255" t="s">
        <v>670</v>
      </c>
      <c r="B1225" s="257" t="str">
        <f t="shared" ref="B1225" si="986">DEC2HEX(P1225*4)</f>
        <v>34</v>
      </c>
      <c r="C1225" s="56" t="s">
        <v>383</v>
      </c>
      <c r="D1225" s="129" t="str">
        <f>bitConcat(F1226:F1236)</f>
        <v>32'b11110111110101001011000101000000</v>
      </c>
      <c r="E1225" s="130"/>
      <c r="F1225" s="130"/>
      <c r="G1225" s="205"/>
      <c r="H1225" s="73" t="s">
        <v>384</v>
      </c>
      <c r="I1225" s="74"/>
      <c r="J1225" s="202" t="str">
        <f>bitConcat(G1226:G1236)</f>
        <v>32'b11110111111110001000000010000000</v>
      </c>
      <c r="K1225" s="131"/>
      <c r="L1225" s="132"/>
      <c r="M1225" s="217" t="str">
        <f t="shared" ref="M1225" si="987">DEC2HEX(_xlfn.BITLSHIFT(O1225,7)+4*P1225)</f>
        <v>3B4</v>
      </c>
      <c r="N1225" s="170" t="s">
        <v>385</v>
      </c>
      <c r="O1225" s="170">
        <v>7</v>
      </c>
      <c r="P1225" s="171">
        <v>13</v>
      </c>
      <c r="Q1225" s="203" t="str">
        <f>DEC2HEX(_xlfn.BITLSHIFT(O1225,5)+P1225)</f>
        <v>ED</v>
      </c>
      <c r="R1225" s="203" t="str">
        <f>BIN2HEX(LEFT(RIGHT(D1225,32),4))&amp;BIN2HEX(LEFT(RIGHT(D1225,28),4))&amp;BIN2HEX(LEFT(RIGHT(D1225,24),4))&amp;BIN2HEX(LEFT(RIGHT(D1225,20),4))&amp;BIN2HEX(LEFT(RIGHT(D1225,16),4))&amp;BIN2HEX(LEFT(RIGHT(D1225,12),4))&amp;BIN2HEX(LEFT(RIGHT(D1225,8),4))&amp;BIN2HEX(LEFT(RIGHT(D1225,4),4))</f>
        <v>F7D4B140</v>
      </c>
      <c r="S1225" s="203" t="str">
        <f t="shared" ref="S1225" si="988">BIN2HEX(LEFT(RIGHT(J1225,32),4))&amp;BIN2HEX(LEFT(RIGHT(J1225,28),4))&amp;BIN2HEX(LEFT(RIGHT(J1225,24),4))&amp;BIN2HEX(LEFT(RIGHT(J1225,20),4))&amp;BIN2HEX(LEFT(RIGHT(J1225,16),4))&amp;BIN2HEX(LEFT(RIGHT(J1225,12),4))&amp;BIN2HEX(LEFT(RIGHT(J1225,8),4))&amp;BIN2HEX(LEFT(RIGHT(J1225,4),4))</f>
        <v>F7F88080</v>
      </c>
    </row>
    <row r="1226" spans="1:19" s="61" customFormat="1" ht="15.75" customHeight="1">
      <c r="A1226" s="256"/>
      <c r="B1226" s="258"/>
      <c r="C1226" s="43" t="s">
        <v>671</v>
      </c>
      <c r="D1226" s="62">
        <v>4</v>
      </c>
      <c r="E1226" s="70" t="str">
        <f>IF(D1226&gt;1,(31)&amp;":"&amp;(31-D1226+1),(31-D1226+1)&amp;":"&amp;(31-D1226+1))</f>
        <v>31:28</v>
      </c>
      <c r="F1226" s="30" t="s">
        <v>540</v>
      </c>
      <c r="G1226" s="30" t="s">
        <v>540</v>
      </c>
      <c r="H1226" s="64" t="s">
        <v>541</v>
      </c>
      <c r="I1226" s="30" t="s">
        <v>68</v>
      </c>
      <c r="J1226" s="32" t="s">
        <v>36</v>
      </c>
      <c r="K1226" s="33" t="s">
        <v>6</v>
      </c>
      <c r="L1226" s="46"/>
      <c r="M1226" s="218"/>
      <c r="N1226" s="218"/>
      <c r="O1226" s="218"/>
      <c r="P1226" s="225"/>
      <c r="Q1226" s="204"/>
      <c r="R1226" s="204"/>
      <c r="S1226" s="204"/>
    </row>
    <row r="1227" spans="1:19" s="61" customFormat="1">
      <c r="A1227" s="256"/>
      <c r="B1227" s="258"/>
      <c r="C1227" s="43" t="s">
        <v>672</v>
      </c>
      <c r="D1227" s="62">
        <v>4</v>
      </c>
      <c r="E1227" s="33" t="str">
        <f>(MID(E1226,SEARCH(":",E1226)+1,2)-1) &amp; ":" &amp; (MID(E1226,SEARCH(":",E1226)+1,2)-D1227)</f>
        <v>27:24</v>
      </c>
      <c r="F1227" s="30" t="s">
        <v>543</v>
      </c>
      <c r="G1227" s="30" t="s">
        <v>543</v>
      </c>
      <c r="H1227" s="65" t="s">
        <v>544</v>
      </c>
      <c r="I1227" s="30" t="s">
        <v>68</v>
      </c>
      <c r="J1227" s="32" t="s">
        <v>36</v>
      </c>
      <c r="K1227" s="33" t="s">
        <v>6</v>
      </c>
      <c r="L1227" s="46"/>
      <c r="M1227" s="218"/>
      <c r="N1227" s="218"/>
      <c r="O1227" s="218"/>
      <c r="P1227" s="225"/>
      <c r="Q1227" s="204"/>
      <c r="R1227" s="204"/>
      <c r="S1227" s="204"/>
    </row>
    <row r="1228" spans="1:19" s="61" customFormat="1">
      <c r="A1228" s="256"/>
      <c r="B1228" s="258"/>
      <c r="C1228" s="43" t="s">
        <v>673</v>
      </c>
      <c r="D1228" s="62">
        <v>4</v>
      </c>
      <c r="E1228" s="33" t="str">
        <f t="shared" ref="E1228:E1231" si="989">(MID(E1227,SEARCH(":",E1227)+1,2)-1) &amp; ":" &amp; (MID(E1227,SEARCH(":",E1227)+1,2)-D1228)</f>
        <v>23:20</v>
      </c>
      <c r="F1228" s="30" t="s">
        <v>546</v>
      </c>
      <c r="G1228" s="30" t="s">
        <v>540</v>
      </c>
      <c r="H1228" s="65" t="s">
        <v>547</v>
      </c>
      <c r="I1228" s="30" t="s">
        <v>68</v>
      </c>
      <c r="J1228" s="32" t="s">
        <v>36</v>
      </c>
      <c r="K1228" s="33" t="s">
        <v>6</v>
      </c>
      <c r="L1228" s="46"/>
      <c r="M1228" s="218"/>
      <c r="N1228" s="218"/>
      <c r="O1228" s="218"/>
      <c r="P1228" s="225"/>
      <c r="Q1228" s="204"/>
      <c r="R1228" s="204"/>
      <c r="S1228" s="204"/>
    </row>
    <row r="1229" spans="1:19" s="61" customFormat="1">
      <c r="A1229" s="256"/>
      <c r="B1229" s="258"/>
      <c r="C1229" s="43" t="s">
        <v>674</v>
      </c>
      <c r="D1229" s="62">
        <v>4</v>
      </c>
      <c r="E1229" s="33" t="str">
        <f t="shared" si="989"/>
        <v>19:16</v>
      </c>
      <c r="F1229" s="30" t="s">
        <v>182</v>
      </c>
      <c r="G1229" s="30" t="s">
        <v>146</v>
      </c>
      <c r="H1229" s="65" t="s">
        <v>549</v>
      </c>
      <c r="I1229" s="30" t="s">
        <v>68</v>
      </c>
      <c r="J1229" s="32" t="s">
        <v>36</v>
      </c>
      <c r="K1229" s="33" t="s">
        <v>6</v>
      </c>
      <c r="L1229" s="46"/>
      <c r="M1229" s="218"/>
      <c r="N1229" s="218"/>
      <c r="O1229" s="218"/>
      <c r="P1229" s="225"/>
      <c r="Q1229" s="204"/>
      <c r="R1229" s="204"/>
      <c r="S1229" s="204"/>
    </row>
    <row r="1230" spans="1:19" s="61" customFormat="1">
      <c r="A1230" s="256"/>
      <c r="B1230" s="258"/>
      <c r="C1230" s="43" t="s">
        <v>675</v>
      </c>
      <c r="D1230" s="62">
        <v>4</v>
      </c>
      <c r="E1230" s="33" t="str">
        <f t="shared" si="989"/>
        <v>15:12</v>
      </c>
      <c r="F1230" s="30" t="s">
        <v>551</v>
      </c>
      <c r="G1230" s="30" t="s">
        <v>146</v>
      </c>
      <c r="H1230" s="64" t="s">
        <v>552</v>
      </c>
      <c r="I1230" s="30" t="s">
        <v>68</v>
      </c>
      <c r="J1230" s="32" t="s">
        <v>36</v>
      </c>
      <c r="K1230" s="33" t="s">
        <v>6</v>
      </c>
      <c r="L1230" s="46"/>
      <c r="M1230" s="218"/>
      <c r="N1230" s="218"/>
      <c r="O1230" s="218"/>
      <c r="P1230" s="225"/>
      <c r="Q1230" s="204"/>
      <c r="R1230" s="204"/>
      <c r="S1230" s="204"/>
    </row>
    <row r="1231" spans="1:19" s="61" customFormat="1">
      <c r="A1231" s="256"/>
      <c r="B1231" s="258"/>
      <c r="C1231" s="43" t="s">
        <v>676</v>
      </c>
      <c r="D1231" s="62">
        <v>4</v>
      </c>
      <c r="E1231" s="33" t="str">
        <f t="shared" si="989"/>
        <v>11:8</v>
      </c>
      <c r="F1231" s="30" t="s">
        <v>220</v>
      </c>
      <c r="G1231" s="30" t="s">
        <v>330</v>
      </c>
      <c r="H1231" s="64" t="s">
        <v>554</v>
      </c>
      <c r="I1231" s="30" t="s">
        <v>68</v>
      </c>
      <c r="J1231" s="32" t="s">
        <v>36</v>
      </c>
      <c r="K1231" s="33" t="s">
        <v>6</v>
      </c>
      <c r="L1231" s="46"/>
      <c r="M1231" s="218"/>
      <c r="N1231" s="218"/>
      <c r="O1231" s="218"/>
      <c r="P1231" s="225"/>
      <c r="Q1231" s="204"/>
      <c r="R1231" s="204"/>
      <c r="S1231" s="204"/>
    </row>
    <row r="1232" spans="1:19" s="61" customFormat="1" ht="15.75" customHeight="1">
      <c r="A1232" s="256"/>
      <c r="B1232" s="258"/>
      <c r="C1232" s="89" t="s">
        <v>677</v>
      </c>
      <c r="D1232" s="62">
        <v>4</v>
      </c>
      <c r="E1232" s="33" t="str">
        <f>(MID(E1231,SEARCH(":",E1231)+1,2)-1) &amp; ":" &amp; (MID(E1231,SEARCH(":",E1231)+1,2)-D1232)</f>
        <v>7:4</v>
      </c>
      <c r="F1232" s="30" t="s">
        <v>182</v>
      </c>
      <c r="G1232" s="30" t="s">
        <v>146</v>
      </c>
      <c r="H1232" s="63" t="s">
        <v>556</v>
      </c>
      <c r="I1232" s="30" t="s">
        <v>68</v>
      </c>
      <c r="J1232" s="32" t="s">
        <v>36</v>
      </c>
      <c r="K1232" s="33" t="s">
        <v>6</v>
      </c>
      <c r="L1232" s="46"/>
      <c r="M1232" s="218"/>
      <c r="N1232" s="218"/>
      <c r="O1232" s="218"/>
      <c r="P1232" s="225"/>
      <c r="Q1232" s="204"/>
      <c r="R1232" s="204"/>
      <c r="S1232" s="204"/>
    </row>
    <row r="1233" spans="1:19" s="61" customFormat="1" ht="15.75" customHeight="1">
      <c r="A1233" s="256"/>
      <c r="B1233" s="258"/>
      <c r="C1233" s="63" t="s">
        <v>678</v>
      </c>
      <c r="D1233" s="62">
        <v>1</v>
      </c>
      <c r="E1233" s="33" t="str">
        <f t="shared" ref="E1233:E1236" si="990">(MID(E1232,SEARCH(":",E1232)+1,2)-1) &amp; ":" &amp; (MID(E1232,SEARCH(":",E1232)+1,2)-D1233)</f>
        <v>3:3</v>
      </c>
      <c r="F1233" s="30" t="s">
        <v>7</v>
      </c>
      <c r="G1233" s="30" t="s">
        <v>7</v>
      </c>
      <c r="H1233" s="89" t="s">
        <v>679</v>
      </c>
      <c r="I1233" s="30" t="s">
        <v>68</v>
      </c>
      <c r="J1233" s="32" t="s">
        <v>36</v>
      </c>
      <c r="K1233" s="33" t="s">
        <v>6</v>
      </c>
      <c r="L1233" s="46"/>
      <c r="M1233" s="218"/>
      <c r="N1233" s="218"/>
      <c r="O1233" s="218"/>
      <c r="P1233" s="225"/>
      <c r="Q1233" s="204"/>
      <c r="R1233" s="204"/>
      <c r="S1233" s="204"/>
    </row>
    <row r="1234" spans="1:19" s="61" customFormat="1" ht="15.75" customHeight="1">
      <c r="A1234" s="256"/>
      <c r="B1234" s="258"/>
      <c r="C1234" s="89" t="s">
        <v>680</v>
      </c>
      <c r="D1234" s="62">
        <v>1</v>
      </c>
      <c r="E1234" s="33" t="str">
        <f t="shared" si="990"/>
        <v>2:2</v>
      </c>
      <c r="F1234" s="30" t="s">
        <v>7</v>
      </c>
      <c r="G1234" s="30" t="s">
        <v>7</v>
      </c>
      <c r="H1234" s="89" t="s">
        <v>681</v>
      </c>
      <c r="I1234" s="30" t="s">
        <v>68</v>
      </c>
      <c r="J1234" s="32" t="s">
        <v>36</v>
      </c>
      <c r="K1234" s="33" t="s">
        <v>6</v>
      </c>
      <c r="L1234" s="46"/>
      <c r="M1234" s="218"/>
      <c r="N1234" s="218"/>
      <c r="O1234" s="218"/>
      <c r="P1234" s="225"/>
      <c r="Q1234" s="204"/>
      <c r="R1234" s="204"/>
      <c r="S1234" s="204"/>
    </row>
    <row r="1235" spans="1:19" s="61" customFormat="1" ht="15.75" customHeight="1">
      <c r="A1235" s="256"/>
      <c r="B1235" s="258"/>
      <c r="C1235" s="89" t="s">
        <v>682</v>
      </c>
      <c r="D1235" s="62">
        <v>1</v>
      </c>
      <c r="E1235" s="33" t="str">
        <f t="shared" si="990"/>
        <v>1:1</v>
      </c>
      <c r="F1235" s="30" t="s">
        <v>7</v>
      </c>
      <c r="G1235" s="30" t="s">
        <v>7</v>
      </c>
      <c r="H1235" s="89" t="s">
        <v>683</v>
      </c>
      <c r="I1235" s="30" t="s">
        <v>68</v>
      </c>
      <c r="J1235" s="32" t="s">
        <v>36</v>
      </c>
      <c r="K1235" s="33" t="s">
        <v>6</v>
      </c>
      <c r="L1235" s="46"/>
      <c r="M1235" s="218"/>
      <c r="N1235" s="218"/>
      <c r="O1235" s="218"/>
      <c r="P1235" s="225"/>
      <c r="Q1235" s="204"/>
      <c r="R1235" s="204"/>
      <c r="S1235" s="204"/>
    </row>
    <row r="1236" spans="1:19" s="61" customFormat="1" ht="15.75" customHeight="1" thickBot="1">
      <c r="A1236" s="256"/>
      <c r="B1236" s="258"/>
      <c r="C1236" s="43" t="s">
        <v>684</v>
      </c>
      <c r="D1236" s="62">
        <v>1</v>
      </c>
      <c r="E1236" s="33" t="str">
        <f t="shared" si="990"/>
        <v>0:0</v>
      </c>
      <c r="F1236" s="30" t="s">
        <v>7</v>
      </c>
      <c r="G1236" s="30" t="s">
        <v>7</v>
      </c>
      <c r="H1236" s="64" t="s">
        <v>685</v>
      </c>
      <c r="I1236" s="30" t="s">
        <v>68</v>
      </c>
      <c r="J1236" s="32" t="s">
        <v>36</v>
      </c>
      <c r="K1236" s="33" t="s">
        <v>6</v>
      </c>
      <c r="L1236" s="46"/>
      <c r="M1236" s="218"/>
      <c r="N1236" s="218"/>
      <c r="O1236" s="218"/>
      <c r="P1236" s="225"/>
      <c r="Q1236" s="204"/>
      <c r="R1236" s="210"/>
      <c r="S1236" s="210"/>
    </row>
    <row r="1237" spans="1:19" s="61" customFormat="1" ht="15.75" customHeight="1">
      <c r="A1237" s="255" t="s">
        <v>686</v>
      </c>
      <c r="B1237" s="257" t="str">
        <f t="shared" ref="B1237" si="991">DEC2HEX(P1237*4)</f>
        <v>38</v>
      </c>
      <c r="C1237" s="87" t="s">
        <v>383</v>
      </c>
      <c r="D1237" s="129" t="str">
        <f>bitConcat(F1238:F1245)</f>
        <v>32'b11110111110101001011000101001111</v>
      </c>
      <c r="E1237" s="130"/>
      <c r="F1237" s="130"/>
      <c r="G1237" s="205"/>
      <c r="H1237" s="73" t="s">
        <v>384</v>
      </c>
      <c r="I1237" s="74"/>
      <c r="J1237" s="202" t="str">
        <f>bitConcat(G1238:G1245)</f>
        <v>32'b11110111111110001000000010001111</v>
      </c>
      <c r="K1237" s="131"/>
      <c r="L1237" s="132"/>
      <c r="M1237" s="217" t="str">
        <f t="shared" ref="M1237" si="992">DEC2HEX(_xlfn.BITLSHIFT(O1237,7)+4*P1237)</f>
        <v>3B8</v>
      </c>
      <c r="N1237" s="170" t="s">
        <v>385</v>
      </c>
      <c r="O1237" s="170">
        <v>7</v>
      </c>
      <c r="P1237" s="171">
        <v>14</v>
      </c>
      <c r="Q1237" s="203" t="str">
        <f>DEC2HEX(_xlfn.BITLSHIFT(O1237,5)+P1237)</f>
        <v>EE</v>
      </c>
      <c r="R1237" s="203" t="str">
        <f>BIN2HEX(LEFT(RIGHT(D1237,32),4))&amp;BIN2HEX(LEFT(RIGHT(D1237,28),4))&amp;BIN2HEX(LEFT(RIGHT(D1237,24),4))&amp;BIN2HEX(LEFT(RIGHT(D1237,20),4))&amp;BIN2HEX(LEFT(RIGHT(D1237,16),4))&amp;BIN2HEX(LEFT(RIGHT(D1237,12),4))&amp;BIN2HEX(LEFT(RIGHT(D1237,8),4))&amp;BIN2HEX(LEFT(RIGHT(D1237,4),4))</f>
        <v>F7D4B14F</v>
      </c>
      <c r="S1237" s="203" t="str">
        <f t="shared" ref="S1237" si="993">BIN2HEX(LEFT(RIGHT(J1237,32),4))&amp;BIN2HEX(LEFT(RIGHT(J1237,28),4))&amp;BIN2HEX(LEFT(RIGHT(J1237,24),4))&amp;BIN2HEX(LEFT(RIGHT(J1237,20),4))&amp;BIN2HEX(LEFT(RIGHT(J1237,16),4))&amp;BIN2HEX(LEFT(RIGHT(J1237,12),4))&amp;BIN2HEX(LEFT(RIGHT(J1237,8),4))&amp;BIN2HEX(LEFT(RIGHT(J1237,4),4))</f>
        <v>F7F8808F</v>
      </c>
    </row>
    <row r="1238" spans="1:19" s="61" customFormat="1">
      <c r="A1238" s="256"/>
      <c r="B1238" s="258"/>
      <c r="C1238" s="43" t="s">
        <v>687</v>
      </c>
      <c r="D1238" s="62">
        <v>4</v>
      </c>
      <c r="E1238" s="70" t="str">
        <f>IF(D1238&gt;1,(31)&amp;":"&amp;(31-D1238+1),(31-D1238+1)&amp;":"&amp;(31-D1238+1))</f>
        <v>31:28</v>
      </c>
      <c r="F1238" s="30" t="s">
        <v>540</v>
      </c>
      <c r="G1238" s="30" t="s">
        <v>540</v>
      </c>
      <c r="H1238" s="64" t="s">
        <v>541</v>
      </c>
      <c r="I1238" s="30" t="s">
        <v>68</v>
      </c>
      <c r="J1238" s="32" t="s">
        <v>36</v>
      </c>
      <c r="K1238" s="33" t="s">
        <v>6</v>
      </c>
      <c r="L1238" s="46"/>
      <c r="M1238" s="218"/>
      <c r="N1238" s="218"/>
      <c r="O1238" s="218"/>
      <c r="P1238" s="225"/>
      <c r="Q1238" s="204"/>
      <c r="R1238" s="204"/>
      <c r="S1238" s="204"/>
    </row>
    <row r="1239" spans="1:19" s="61" customFormat="1">
      <c r="A1239" s="256"/>
      <c r="B1239" s="258"/>
      <c r="C1239" s="43" t="s">
        <v>688</v>
      </c>
      <c r="D1239" s="62">
        <v>4</v>
      </c>
      <c r="E1239" s="33" t="str">
        <f>(MID(E1238,SEARCH(":",E1238)+1,2)-1) &amp; ":" &amp; (MID(E1238,SEARCH(":",E1238)+1,2)-D1239)</f>
        <v>27:24</v>
      </c>
      <c r="F1239" s="30" t="s">
        <v>543</v>
      </c>
      <c r="G1239" s="30" t="s">
        <v>543</v>
      </c>
      <c r="H1239" s="65" t="s">
        <v>544</v>
      </c>
      <c r="I1239" s="30" t="s">
        <v>68</v>
      </c>
      <c r="J1239" s="32" t="s">
        <v>36</v>
      </c>
      <c r="K1239" s="33" t="s">
        <v>6</v>
      </c>
      <c r="L1239" s="46"/>
      <c r="M1239" s="218"/>
      <c r="N1239" s="218"/>
      <c r="O1239" s="218"/>
      <c r="P1239" s="225"/>
      <c r="Q1239" s="204"/>
      <c r="R1239" s="204"/>
      <c r="S1239" s="204"/>
    </row>
    <row r="1240" spans="1:19" s="61" customFormat="1">
      <c r="A1240" s="256"/>
      <c r="B1240" s="258"/>
      <c r="C1240" s="43" t="s">
        <v>689</v>
      </c>
      <c r="D1240" s="62">
        <v>4</v>
      </c>
      <c r="E1240" s="33" t="str">
        <f t="shared" ref="E1240:E1243" si="994">(MID(E1239,SEARCH(":",E1239)+1,2)-1) &amp; ":" &amp; (MID(E1239,SEARCH(":",E1239)+1,2)-D1240)</f>
        <v>23:20</v>
      </c>
      <c r="F1240" s="30" t="s">
        <v>546</v>
      </c>
      <c r="G1240" s="30" t="s">
        <v>540</v>
      </c>
      <c r="H1240" s="65" t="s">
        <v>547</v>
      </c>
      <c r="I1240" s="30" t="s">
        <v>68</v>
      </c>
      <c r="J1240" s="32" t="s">
        <v>36</v>
      </c>
      <c r="K1240" s="33" t="s">
        <v>6</v>
      </c>
      <c r="L1240" s="46"/>
      <c r="M1240" s="218"/>
      <c r="N1240" s="218"/>
      <c r="O1240" s="218"/>
      <c r="P1240" s="225"/>
      <c r="Q1240" s="204"/>
      <c r="R1240" s="204"/>
      <c r="S1240" s="204"/>
    </row>
    <row r="1241" spans="1:19" s="61" customFormat="1">
      <c r="A1241" s="256"/>
      <c r="B1241" s="258"/>
      <c r="C1241" s="43" t="s">
        <v>690</v>
      </c>
      <c r="D1241" s="62">
        <v>4</v>
      </c>
      <c r="E1241" s="33" t="str">
        <f t="shared" si="994"/>
        <v>19:16</v>
      </c>
      <c r="F1241" s="30" t="s">
        <v>182</v>
      </c>
      <c r="G1241" s="30" t="s">
        <v>146</v>
      </c>
      <c r="H1241" s="65" t="s">
        <v>549</v>
      </c>
      <c r="I1241" s="30" t="s">
        <v>68</v>
      </c>
      <c r="J1241" s="32" t="s">
        <v>36</v>
      </c>
      <c r="K1241" s="33" t="s">
        <v>6</v>
      </c>
      <c r="L1241" s="46"/>
      <c r="M1241" s="218"/>
      <c r="N1241" s="218"/>
      <c r="O1241" s="218"/>
      <c r="P1241" s="225"/>
      <c r="Q1241" s="204"/>
      <c r="R1241" s="204"/>
      <c r="S1241" s="204"/>
    </row>
    <row r="1242" spans="1:19" s="61" customFormat="1">
      <c r="A1242" s="256"/>
      <c r="B1242" s="258"/>
      <c r="C1242" s="43" t="s">
        <v>691</v>
      </c>
      <c r="D1242" s="62">
        <v>4</v>
      </c>
      <c r="E1242" s="33" t="str">
        <f t="shared" si="994"/>
        <v>15:12</v>
      </c>
      <c r="F1242" s="30" t="s">
        <v>551</v>
      </c>
      <c r="G1242" s="30" t="s">
        <v>146</v>
      </c>
      <c r="H1242" s="64" t="s">
        <v>552</v>
      </c>
      <c r="I1242" s="30" t="s">
        <v>68</v>
      </c>
      <c r="J1242" s="32" t="s">
        <v>36</v>
      </c>
      <c r="K1242" s="33" t="s">
        <v>6</v>
      </c>
      <c r="L1242" s="46"/>
      <c r="M1242" s="218"/>
      <c r="N1242" s="218"/>
      <c r="O1242" s="218"/>
      <c r="P1242" s="225"/>
      <c r="Q1242" s="204"/>
      <c r="R1242" s="204"/>
      <c r="S1242" s="204"/>
    </row>
    <row r="1243" spans="1:19" s="61" customFormat="1">
      <c r="A1243" s="256"/>
      <c r="B1243" s="258"/>
      <c r="C1243" s="43" t="s">
        <v>692</v>
      </c>
      <c r="D1243" s="62">
        <v>4</v>
      </c>
      <c r="E1243" s="33" t="str">
        <f t="shared" si="994"/>
        <v>11:8</v>
      </c>
      <c r="F1243" s="30" t="s">
        <v>220</v>
      </c>
      <c r="G1243" s="30" t="s">
        <v>330</v>
      </c>
      <c r="H1243" s="64" t="s">
        <v>554</v>
      </c>
      <c r="I1243" s="30" t="s">
        <v>68</v>
      </c>
      <c r="J1243" s="32" t="s">
        <v>36</v>
      </c>
      <c r="K1243" s="33" t="s">
        <v>6</v>
      </c>
      <c r="L1243" s="46"/>
      <c r="M1243" s="218"/>
      <c r="N1243" s="218"/>
      <c r="O1243" s="218"/>
      <c r="P1243" s="225"/>
      <c r="Q1243" s="204"/>
      <c r="R1243" s="204"/>
      <c r="S1243" s="204"/>
    </row>
    <row r="1244" spans="1:19" s="61" customFormat="1">
      <c r="A1244" s="256"/>
      <c r="B1244" s="258"/>
      <c r="C1244" s="63" t="s">
        <v>693</v>
      </c>
      <c r="D1244" s="62">
        <v>4</v>
      </c>
      <c r="E1244" s="33" t="str">
        <f>(MID(E1243,SEARCH(":",E1243)+1,2)-1) &amp; ":" &amp; (MID(E1243,SEARCH(":",E1243)+1,2)-D1244)</f>
        <v>7:4</v>
      </c>
      <c r="F1244" s="30" t="s">
        <v>182</v>
      </c>
      <c r="G1244" s="30" t="s">
        <v>146</v>
      </c>
      <c r="H1244" s="63" t="s">
        <v>556</v>
      </c>
      <c r="I1244" s="30" t="s">
        <v>68</v>
      </c>
      <c r="J1244" s="32" t="s">
        <v>36</v>
      </c>
      <c r="K1244" s="33" t="s">
        <v>6</v>
      </c>
      <c r="L1244" s="46"/>
      <c r="M1244" s="218"/>
      <c r="N1244" s="218"/>
      <c r="O1244" s="218"/>
      <c r="P1244" s="225"/>
      <c r="Q1244" s="204"/>
      <c r="R1244" s="204"/>
      <c r="S1244" s="204"/>
    </row>
    <row r="1245" spans="1:19" s="61" customFormat="1" ht="15.75" customHeight="1" thickBot="1">
      <c r="A1245" s="256"/>
      <c r="B1245" s="258"/>
      <c r="C1245" s="43" t="s">
        <v>557</v>
      </c>
      <c r="D1245" s="62">
        <v>4</v>
      </c>
      <c r="E1245" s="33" t="str">
        <f>(MID(E1244,SEARCH(":",E1244)+1,2)-1) &amp; ":" &amp; (MID(E1244,SEARCH(":",E1244)+1,2)-D1245)</f>
        <v>3:0</v>
      </c>
      <c r="F1245" s="83" t="s">
        <v>540</v>
      </c>
      <c r="G1245" s="83" t="s">
        <v>540</v>
      </c>
      <c r="H1245" s="64" t="s">
        <v>155</v>
      </c>
      <c r="I1245" s="30" t="s">
        <v>68</v>
      </c>
      <c r="J1245" s="32" t="s">
        <v>36</v>
      </c>
      <c r="K1245" s="33" t="s">
        <v>6</v>
      </c>
      <c r="L1245" s="46"/>
      <c r="M1245" s="218"/>
      <c r="N1245" s="218"/>
      <c r="O1245" s="218"/>
      <c r="P1245" s="225"/>
      <c r="Q1245" s="204"/>
      <c r="R1245" s="210"/>
      <c r="S1245" s="210"/>
    </row>
    <row r="1246" spans="1:19" s="61" customFormat="1">
      <c r="A1246" s="255" t="s">
        <v>694</v>
      </c>
      <c r="B1246" s="257" t="str">
        <f t="shared" ref="B1246" si="995">DEC2HEX(P1246*4)</f>
        <v>3C</v>
      </c>
      <c r="C1246" s="56" t="s">
        <v>383</v>
      </c>
      <c r="D1246" s="129" t="str">
        <f>bitConcat(F1247:F1254)</f>
        <v>32'b11110111110101001011000101000111</v>
      </c>
      <c r="E1246" s="130"/>
      <c r="F1246" s="130"/>
      <c r="G1246" s="205"/>
      <c r="H1246" s="73" t="s">
        <v>384</v>
      </c>
      <c r="I1246" s="74"/>
      <c r="J1246" s="202" t="str">
        <f>bitConcat(G1247:G1254)</f>
        <v>32'b11110111111110001000000010000111</v>
      </c>
      <c r="K1246" s="131"/>
      <c r="L1246" s="132"/>
      <c r="M1246" s="217" t="str">
        <f t="shared" ref="M1246" si="996">DEC2HEX(_xlfn.BITLSHIFT(O1246,7)+4*P1246)</f>
        <v>3BC</v>
      </c>
      <c r="N1246" s="170" t="s">
        <v>385</v>
      </c>
      <c r="O1246" s="170">
        <v>7</v>
      </c>
      <c r="P1246" s="171">
        <v>15</v>
      </c>
      <c r="Q1246" s="203" t="str">
        <f>DEC2HEX(_xlfn.BITLSHIFT(O1246,5)+P1246)</f>
        <v>EF</v>
      </c>
      <c r="R1246" s="203" t="str">
        <f>BIN2HEX(LEFT(RIGHT(D1246,32),4))&amp;BIN2HEX(LEFT(RIGHT(D1246,28),4))&amp;BIN2HEX(LEFT(RIGHT(D1246,24),4))&amp;BIN2HEX(LEFT(RIGHT(D1246,20),4))&amp;BIN2HEX(LEFT(RIGHT(D1246,16),4))&amp;BIN2HEX(LEFT(RIGHT(D1246,12),4))&amp;BIN2HEX(LEFT(RIGHT(D1246,8),4))&amp;BIN2HEX(LEFT(RIGHT(D1246,4),4))</f>
        <v>F7D4B147</v>
      </c>
      <c r="S1246" s="203" t="str">
        <f t="shared" ref="S1246" si="997">BIN2HEX(LEFT(RIGHT(J1246,32),4))&amp;BIN2HEX(LEFT(RIGHT(J1246,28),4))&amp;BIN2HEX(LEFT(RIGHT(J1246,24),4))&amp;BIN2HEX(LEFT(RIGHT(J1246,20),4))&amp;BIN2HEX(LEFT(RIGHT(J1246,16),4))&amp;BIN2HEX(LEFT(RIGHT(J1246,12),4))&amp;BIN2HEX(LEFT(RIGHT(J1246,8),4))&amp;BIN2HEX(LEFT(RIGHT(J1246,4),4))</f>
        <v>F7F88087</v>
      </c>
    </row>
    <row r="1247" spans="1:19" s="61" customFormat="1">
      <c r="A1247" s="256"/>
      <c r="B1247" s="258"/>
      <c r="C1247" s="43" t="s">
        <v>695</v>
      </c>
      <c r="D1247" s="62">
        <v>4</v>
      </c>
      <c r="E1247" s="70" t="str">
        <f>IF(D1247&gt;1,(31)&amp;":"&amp;(31-D1247+1),(31-D1247+1)&amp;":"&amp;(31-D1247+1))</f>
        <v>31:28</v>
      </c>
      <c r="F1247" s="30" t="s">
        <v>540</v>
      </c>
      <c r="G1247" s="30" t="s">
        <v>540</v>
      </c>
      <c r="H1247" s="64" t="s">
        <v>541</v>
      </c>
      <c r="I1247" s="30" t="s">
        <v>68</v>
      </c>
      <c r="J1247" s="32" t="s">
        <v>36</v>
      </c>
      <c r="K1247" s="33" t="s">
        <v>6</v>
      </c>
      <c r="L1247" s="46"/>
      <c r="M1247" s="218"/>
      <c r="N1247" s="218"/>
      <c r="O1247" s="218"/>
      <c r="P1247" s="225"/>
      <c r="Q1247" s="204"/>
      <c r="R1247" s="204"/>
      <c r="S1247" s="204"/>
    </row>
    <row r="1248" spans="1:19" s="61" customFormat="1" ht="15.75" customHeight="1">
      <c r="A1248" s="256"/>
      <c r="B1248" s="258"/>
      <c r="C1248" s="43" t="s">
        <v>696</v>
      </c>
      <c r="D1248" s="62">
        <v>4</v>
      </c>
      <c r="E1248" s="33" t="str">
        <f>(MID(E1247,SEARCH(":",E1247)+1,2)-1) &amp; ":" &amp; (MID(E1247,SEARCH(":",E1247)+1,2)-D1248)</f>
        <v>27:24</v>
      </c>
      <c r="F1248" s="30" t="s">
        <v>543</v>
      </c>
      <c r="G1248" s="30" t="s">
        <v>543</v>
      </c>
      <c r="H1248" s="65" t="s">
        <v>544</v>
      </c>
      <c r="I1248" s="30" t="s">
        <v>68</v>
      </c>
      <c r="J1248" s="32" t="s">
        <v>36</v>
      </c>
      <c r="K1248" s="33" t="s">
        <v>6</v>
      </c>
      <c r="L1248" s="46"/>
      <c r="M1248" s="218"/>
      <c r="N1248" s="218"/>
      <c r="O1248" s="218"/>
      <c r="P1248" s="225"/>
      <c r="Q1248" s="204"/>
      <c r="R1248" s="204"/>
      <c r="S1248" s="204"/>
    </row>
    <row r="1249" spans="1:19" s="61" customFormat="1">
      <c r="A1249" s="256"/>
      <c r="B1249" s="258"/>
      <c r="C1249" s="43" t="s">
        <v>697</v>
      </c>
      <c r="D1249" s="62">
        <v>4</v>
      </c>
      <c r="E1249" s="33" t="str">
        <f t="shared" ref="E1249:E1252" si="998">(MID(E1248,SEARCH(":",E1248)+1,2)-1) &amp; ":" &amp; (MID(E1248,SEARCH(":",E1248)+1,2)-D1249)</f>
        <v>23:20</v>
      </c>
      <c r="F1249" s="30" t="s">
        <v>546</v>
      </c>
      <c r="G1249" s="30" t="s">
        <v>540</v>
      </c>
      <c r="H1249" s="65" t="s">
        <v>547</v>
      </c>
      <c r="I1249" s="30" t="s">
        <v>68</v>
      </c>
      <c r="J1249" s="32" t="s">
        <v>36</v>
      </c>
      <c r="K1249" s="33" t="s">
        <v>6</v>
      </c>
      <c r="L1249" s="46"/>
      <c r="M1249" s="218"/>
      <c r="N1249" s="218"/>
      <c r="O1249" s="218"/>
      <c r="P1249" s="225"/>
      <c r="Q1249" s="204"/>
      <c r="R1249" s="204"/>
      <c r="S1249" s="204"/>
    </row>
    <row r="1250" spans="1:19" s="61" customFormat="1">
      <c r="A1250" s="256"/>
      <c r="B1250" s="258"/>
      <c r="C1250" s="43" t="s">
        <v>698</v>
      </c>
      <c r="D1250" s="62">
        <v>4</v>
      </c>
      <c r="E1250" s="33" t="str">
        <f t="shared" si="998"/>
        <v>19:16</v>
      </c>
      <c r="F1250" s="30" t="s">
        <v>182</v>
      </c>
      <c r="G1250" s="30" t="s">
        <v>146</v>
      </c>
      <c r="H1250" s="65" t="s">
        <v>549</v>
      </c>
      <c r="I1250" s="30" t="s">
        <v>68</v>
      </c>
      <c r="J1250" s="32" t="s">
        <v>36</v>
      </c>
      <c r="K1250" s="33" t="s">
        <v>6</v>
      </c>
      <c r="L1250" s="46"/>
      <c r="M1250" s="218"/>
      <c r="N1250" s="218"/>
      <c r="O1250" s="218"/>
      <c r="P1250" s="225"/>
      <c r="Q1250" s="204"/>
      <c r="R1250" s="204"/>
      <c r="S1250" s="204"/>
    </row>
    <row r="1251" spans="1:19" s="61" customFormat="1">
      <c r="A1251" s="256"/>
      <c r="B1251" s="258"/>
      <c r="C1251" s="43" t="s">
        <v>699</v>
      </c>
      <c r="D1251" s="62">
        <v>4</v>
      </c>
      <c r="E1251" s="33" t="str">
        <f t="shared" si="998"/>
        <v>15:12</v>
      </c>
      <c r="F1251" s="30" t="s">
        <v>551</v>
      </c>
      <c r="G1251" s="30" t="s">
        <v>146</v>
      </c>
      <c r="H1251" s="64" t="s">
        <v>552</v>
      </c>
      <c r="I1251" s="30" t="s">
        <v>68</v>
      </c>
      <c r="J1251" s="32" t="s">
        <v>36</v>
      </c>
      <c r="K1251" s="33" t="s">
        <v>6</v>
      </c>
      <c r="L1251" s="46"/>
      <c r="M1251" s="218"/>
      <c r="N1251" s="218"/>
      <c r="O1251" s="218"/>
      <c r="P1251" s="225"/>
      <c r="Q1251" s="204"/>
      <c r="R1251" s="204"/>
      <c r="S1251" s="204"/>
    </row>
    <row r="1252" spans="1:19" s="61" customFormat="1">
      <c r="A1252" s="256"/>
      <c r="B1252" s="258"/>
      <c r="C1252" s="43" t="s">
        <v>700</v>
      </c>
      <c r="D1252" s="62">
        <v>4</v>
      </c>
      <c r="E1252" s="33" t="str">
        <f t="shared" si="998"/>
        <v>11:8</v>
      </c>
      <c r="F1252" s="30" t="s">
        <v>220</v>
      </c>
      <c r="G1252" s="30" t="s">
        <v>330</v>
      </c>
      <c r="H1252" s="64" t="s">
        <v>554</v>
      </c>
      <c r="I1252" s="30" t="s">
        <v>68</v>
      </c>
      <c r="J1252" s="32" t="s">
        <v>36</v>
      </c>
      <c r="K1252" s="33" t="s">
        <v>6</v>
      </c>
      <c r="L1252" s="46"/>
      <c r="M1252" s="218"/>
      <c r="N1252" s="218"/>
      <c r="O1252" s="218"/>
      <c r="P1252" s="225"/>
      <c r="Q1252" s="204"/>
      <c r="R1252" s="204"/>
      <c r="S1252" s="204"/>
    </row>
    <row r="1253" spans="1:19" s="61" customFormat="1">
      <c r="A1253" s="256"/>
      <c r="B1253" s="258"/>
      <c r="C1253" s="63" t="s">
        <v>701</v>
      </c>
      <c r="D1253" s="62">
        <v>4</v>
      </c>
      <c r="E1253" s="33" t="str">
        <f>(MID(E1252,SEARCH(":",E1252)+1,2)-1) &amp; ":" &amp; (MID(E1252,SEARCH(":",E1252)+1,2)-D1253)</f>
        <v>7:4</v>
      </c>
      <c r="F1253" s="30" t="s">
        <v>182</v>
      </c>
      <c r="G1253" s="30" t="s">
        <v>146</v>
      </c>
      <c r="H1253" s="63" t="s">
        <v>556</v>
      </c>
      <c r="I1253" s="30" t="s">
        <v>68</v>
      </c>
      <c r="J1253" s="32" t="s">
        <v>36</v>
      </c>
      <c r="K1253" s="33" t="s">
        <v>6</v>
      </c>
      <c r="L1253" s="46"/>
      <c r="M1253" s="218"/>
      <c r="N1253" s="218"/>
      <c r="O1253" s="218"/>
      <c r="P1253" s="225"/>
      <c r="Q1253" s="204"/>
      <c r="R1253" s="204"/>
      <c r="S1253" s="204"/>
    </row>
    <row r="1254" spans="1:19" s="61" customFormat="1" ht="15" thickBot="1">
      <c r="A1254" s="256"/>
      <c r="B1254" s="258"/>
      <c r="C1254" s="43" t="s">
        <v>557</v>
      </c>
      <c r="D1254" s="62">
        <v>4</v>
      </c>
      <c r="E1254" s="33" t="str">
        <f>(MID(E1253,SEARCH(":",E1253)+1,2)-1) &amp; ":" &amp; (MID(E1253,SEARCH(":",E1253)+1,2)-D1254)</f>
        <v>3:0</v>
      </c>
      <c r="F1254" s="83" t="s">
        <v>543</v>
      </c>
      <c r="G1254" s="83" t="s">
        <v>543</v>
      </c>
      <c r="H1254" s="64" t="s">
        <v>155</v>
      </c>
      <c r="I1254" s="30" t="s">
        <v>68</v>
      </c>
      <c r="J1254" s="32" t="s">
        <v>36</v>
      </c>
      <c r="K1254" s="33" t="s">
        <v>6</v>
      </c>
      <c r="L1254" s="46"/>
      <c r="M1254" s="218"/>
      <c r="N1254" s="218"/>
      <c r="O1254" s="218"/>
      <c r="P1254" s="225"/>
      <c r="Q1254" s="204"/>
      <c r="R1254" s="210"/>
      <c r="S1254" s="210"/>
    </row>
    <row r="1255" spans="1:19" s="61" customFormat="1">
      <c r="A1255" s="259" t="s">
        <v>702</v>
      </c>
      <c r="B1255" s="261" t="str">
        <f>DEC2HEX(P1255*4)</f>
        <v>20</v>
      </c>
      <c r="C1255" s="56" t="s">
        <v>383</v>
      </c>
      <c r="D1255" s="129" t="str">
        <f>bitConcat(F1256:F1263)</f>
        <v>32'b00000000000000010000100000000000</v>
      </c>
      <c r="E1255" s="130"/>
      <c r="F1255" s="130"/>
      <c r="G1255" s="205"/>
      <c r="H1255" s="73" t="s">
        <v>384</v>
      </c>
      <c r="I1255" s="74"/>
      <c r="J1255" s="202" t="str">
        <f>bitConcat(G1256:G1263)</f>
        <v>32'b00000000000000010000000000000000</v>
      </c>
      <c r="K1255" s="131"/>
      <c r="L1255" s="132"/>
      <c r="M1255" s="119" t="str">
        <f>DEC2HEX(_xlfn.BITLSHIFT(O1255,7)+4*P1255)</f>
        <v>420</v>
      </c>
      <c r="N1255" s="119" t="s">
        <v>385</v>
      </c>
      <c r="O1255" s="119">
        <v>8</v>
      </c>
      <c r="P1255" s="121">
        <v>8</v>
      </c>
      <c r="Q1255" s="121" t="str">
        <f>DEC2HEX(_xlfn.BITLSHIFT(O1255,5)+P1255)</f>
        <v>108</v>
      </c>
      <c r="R1255" s="203" t="str">
        <f>BIN2HEX(LEFT(RIGHT(D1255,32),4))&amp;BIN2HEX(LEFT(RIGHT(D1255,28),4))&amp;BIN2HEX(LEFT(RIGHT(D1255,24),4))&amp;BIN2HEX(LEFT(RIGHT(D1255,20),4))&amp;BIN2HEX(LEFT(RIGHT(D1255,16),4))&amp;BIN2HEX(LEFT(RIGHT(D1255,12),4))&amp;BIN2HEX(LEFT(RIGHT(D1255,8),4))&amp;BIN2HEX(LEFT(RIGHT(D1255,4),4))</f>
        <v>00010800</v>
      </c>
      <c r="S1255" s="203" t="str">
        <f>BIN2HEX(LEFT(RIGHT(J1255,32),4))&amp;BIN2HEX(LEFT(RIGHT(J1255,28),4))&amp;BIN2HEX(LEFT(RIGHT(J1255,24),4))&amp;BIN2HEX(LEFT(RIGHT(J1255,20),4))&amp;BIN2HEX(LEFT(RIGHT(J1255,16),4))&amp;BIN2HEX(LEFT(RIGHT(J1255,12),4))&amp;BIN2HEX(LEFT(RIGHT(J1255,8),4))&amp;BIN2HEX(LEFT(RIGHT(J1255,4),4))</f>
        <v>00010000</v>
      </c>
    </row>
    <row r="1256" spans="1:19" s="61" customFormat="1" ht="15.75" customHeight="1">
      <c r="A1256" s="260"/>
      <c r="B1256" s="262"/>
      <c r="C1256" s="43" t="s">
        <v>386</v>
      </c>
      <c r="D1256" s="62">
        <v>1</v>
      </c>
      <c r="E1256" s="70" t="str">
        <f>IF(D1256&gt;1,(31)&amp;":"&amp;(31-D1256+1),(31-D1256+1)&amp;":"&amp;(31-D1256+1))</f>
        <v>31:31</v>
      </c>
      <c r="F1256" s="30" t="s">
        <v>7</v>
      </c>
      <c r="G1256" s="30" t="s">
        <v>7</v>
      </c>
      <c r="H1256" s="65" t="s">
        <v>387</v>
      </c>
      <c r="I1256" s="30" t="s">
        <v>68</v>
      </c>
      <c r="J1256" s="32" t="s">
        <v>36</v>
      </c>
      <c r="K1256" s="33" t="s">
        <v>6</v>
      </c>
      <c r="L1256" s="46"/>
      <c r="M1256" s="120"/>
      <c r="N1256" s="120"/>
      <c r="O1256" s="120"/>
      <c r="P1256" s="122"/>
      <c r="Q1256" s="122"/>
      <c r="R1256" s="204"/>
      <c r="S1256" s="204"/>
    </row>
    <row r="1257" spans="1:19" s="61" customFormat="1">
      <c r="A1257" s="260"/>
      <c r="B1257" s="262"/>
      <c r="C1257" s="43" t="s">
        <v>388</v>
      </c>
      <c r="D1257" s="62">
        <v>6</v>
      </c>
      <c r="E1257" s="33" t="str">
        <f>(MID(E1256,SEARCH(":",E1256)+1,2)-1) &amp; ":" &amp; (MID(E1256,SEARCH(":",E1256)+1,2)-D1257)</f>
        <v>30:25</v>
      </c>
      <c r="F1257" s="30" t="s">
        <v>249</v>
      </c>
      <c r="G1257" s="30" t="s">
        <v>249</v>
      </c>
      <c r="H1257" s="65" t="s">
        <v>389</v>
      </c>
      <c r="I1257" s="30" t="s">
        <v>68</v>
      </c>
      <c r="J1257" s="32" t="s">
        <v>36</v>
      </c>
      <c r="K1257" s="33" t="s">
        <v>6</v>
      </c>
      <c r="L1257" s="46"/>
      <c r="M1257" s="120"/>
      <c r="N1257" s="120"/>
      <c r="O1257" s="120"/>
      <c r="P1257" s="122"/>
      <c r="Q1257" s="122"/>
      <c r="R1257" s="204"/>
      <c r="S1257" s="204"/>
    </row>
    <row r="1258" spans="1:19" s="61" customFormat="1">
      <c r="A1258" s="260"/>
      <c r="B1258" s="262"/>
      <c r="C1258" s="43" t="s">
        <v>390</v>
      </c>
      <c r="D1258" s="62">
        <v>4</v>
      </c>
      <c r="E1258" s="33" t="str">
        <f t="shared" ref="E1258:E1263" si="999">(MID(E1257,SEARCH(":",E1257)+1,2)-1) &amp; ":" &amp; (MID(E1257,SEARCH(":",E1257)+1,2)-D1258)</f>
        <v>24:21</v>
      </c>
      <c r="F1258" s="30" t="s">
        <v>149</v>
      </c>
      <c r="G1258" s="30" t="s">
        <v>149</v>
      </c>
      <c r="H1258" s="65" t="s">
        <v>391</v>
      </c>
      <c r="I1258" s="30" t="s">
        <v>68</v>
      </c>
      <c r="J1258" s="32" t="s">
        <v>36</v>
      </c>
      <c r="K1258" s="33" t="s">
        <v>6</v>
      </c>
      <c r="L1258" s="46"/>
      <c r="M1258" s="120"/>
      <c r="N1258" s="120"/>
      <c r="O1258" s="120"/>
      <c r="P1258" s="122"/>
      <c r="Q1258" s="122"/>
      <c r="R1258" s="204"/>
      <c r="S1258" s="204"/>
    </row>
    <row r="1259" spans="1:19" s="61" customFormat="1">
      <c r="A1259" s="260"/>
      <c r="B1259" s="262"/>
      <c r="C1259" s="43" t="s">
        <v>392</v>
      </c>
      <c r="D1259" s="62">
        <v>5</v>
      </c>
      <c r="E1259" s="33" t="str">
        <f t="shared" si="999"/>
        <v>20:16</v>
      </c>
      <c r="F1259" s="30" t="s">
        <v>393</v>
      </c>
      <c r="G1259" s="30" t="s">
        <v>393</v>
      </c>
      <c r="H1259" s="65" t="s">
        <v>394</v>
      </c>
      <c r="I1259" s="30" t="s">
        <v>68</v>
      </c>
      <c r="J1259" s="32" t="s">
        <v>36</v>
      </c>
      <c r="K1259" s="33" t="s">
        <v>6</v>
      </c>
      <c r="L1259" s="46"/>
      <c r="M1259" s="120"/>
      <c r="N1259" s="120"/>
      <c r="O1259" s="120"/>
      <c r="P1259" s="122"/>
      <c r="Q1259" s="122"/>
      <c r="R1259" s="204"/>
      <c r="S1259" s="204"/>
    </row>
    <row r="1260" spans="1:19" s="61" customFormat="1">
      <c r="A1260" s="260"/>
      <c r="B1260" s="262"/>
      <c r="C1260" s="43" t="s">
        <v>395</v>
      </c>
      <c r="D1260" s="62">
        <v>3</v>
      </c>
      <c r="E1260" s="33" t="str">
        <f t="shared" si="999"/>
        <v>15:13</v>
      </c>
      <c r="F1260" s="30" t="s">
        <v>178</v>
      </c>
      <c r="G1260" s="30" t="s">
        <v>178</v>
      </c>
      <c r="H1260" s="65" t="s">
        <v>396</v>
      </c>
      <c r="I1260" s="30"/>
      <c r="J1260" s="32"/>
      <c r="K1260" s="33"/>
      <c r="L1260" s="46"/>
      <c r="M1260" s="120"/>
      <c r="N1260" s="120"/>
      <c r="O1260" s="120"/>
      <c r="P1260" s="122"/>
      <c r="Q1260" s="122"/>
      <c r="R1260" s="204"/>
      <c r="S1260" s="204"/>
    </row>
    <row r="1261" spans="1:19" s="61" customFormat="1">
      <c r="A1261" s="260"/>
      <c r="B1261" s="262"/>
      <c r="C1261" s="43" t="s">
        <v>397</v>
      </c>
      <c r="D1261" s="62">
        <v>1</v>
      </c>
      <c r="E1261" s="33" t="str">
        <f t="shared" si="999"/>
        <v>12:12</v>
      </c>
      <c r="F1261" s="30" t="s">
        <v>7</v>
      </c>
      <c r="G1261" s="30" t="s">
        <v>7</v>
      </c>
      <c r="H1261" s="75" t="s">
        <v>398</v>
      </c>
      <c r="I1261" s="30" t="s">
        <v>68</v>
      </c>
      <c r="J1261" s="32" t="s">
        <v>36</v>
      </c>
      <c r="K1261" s="33" t="s">
        <v>6</v>
      </c>
      <c r="L1261" s="46"/>
      <c r="M1261" s="120"/>
      <c r="N1261" s="120"/>
      <c r="O1261" s="120"/>
      <c r="P1261" s="122"/>
      <c r="Q1261" s="122"/>
      <c r="R1261" s="204"/>
      <c r="S1261" s="204"/>
    </row>
    <row r="1262" spans="1:19" s="61" customFormat="1" ht="15.75" customHeight="1">
      <c r="A1262" s="260"/>
      <c r="B1262" s="262"/>
      <c r="C1262" s="43" t="s">
        <v>399</v>
      </c>
      <c r="D1262" s="62">
        <v>1</v>
      </c>
      <c r="E1262" s="33" t="str">
        <f t="shared" si="999"/>
        <v>11:11</v>
      </c>
      <c r="F1262" s="76" t="s">
        <v>269</v>
      </c>
      <c r="G1262" s="30" t="s">
        <v>7</v>
      </c>
      <c r="H1262" s="65" t="s">
        <v>400</v>
      </c>
      <c r="I1262" s="30" t="s">
        <v>68</v>
      </c>
      <c r="J1262" s="32" t="s">
        <v>36</v>
      </c>
      <c r="K1262" s="33" t="s">
        <v>6</v>
      </c>
      <c r="L1262" s="46"/>
      <c r="M1262" s="120"/>
      <c r="N1262" s="120"/>
      <c r="O1262" s="120"/>
      <c r="P1262" s="122"/>
      <c r="Q1262" s="122"/>
      <c r="R1262" s="204"/>
      <c r="S1262" s="204"/>
    </row>
    <row r="1263" spans="1:19" s="61" customFormat="1" ht="15.75" customHeight="1" thickBot="1">
      <c r="A1263" s="260"/>
      <c r="B1263" s="262"/>
      <c r="C1263" s="43" t="s">
        <v>401</v>
      </c>
      <c r="D1263" s="62">
        <v>11</v>
      </c>
      <c r="E1263" s="33" t="str">
        <f t="shared" si="999"/>
        <v>10:0</v>
      </c>
      <c r="F1263" s="76" t="s">
        <v>944</v>
      </c>
      <c r="G1263" s="30" t="s">
        <v>402</v>
      </c>
      <c r="H1263" s="65" t="s">
        <v>403</v>
      </c>
      <c r="I1263" s="30" t="s">
        <v>68</v>
      </c>
      <c r="J1263" s="32" t="s">
        <v>36</v>
      </c>
      <c r="K1263" s="33" t="s">
        <v>6</v>
      </c>
      <c r="L1263" s="46"/>
      <c r="M1263" s="120"/>
      <c r="N1263" s="120"/>
      <c r="O1263" s="120"/>
      <c r="P1263" s="122"/>
      <c r="Q1263" s="122"/>
      <c r="R1263" s="210"/>
      <c r="S1263" s="210"/>
    </row>
    <row r="1264" spans="1:19" s="61" customFormat="1" ht="14.4" customHeight="1">
      <c r="A1264" s="260" t="s">
        <v>703</v>
      </c>
      <c r="B1264" s="261" t="str">
        <f t="shared" ref="B1264" si="1000">DEC2HEX(P1264*4)</f>
        <v>2C</v>
      </c>
      <c r="C1264" s="56" t="s">
        <v>383</v>
      </c>
      <c r="D1264" s="129" t="str">
        <f>bitConcat(F1265:F1270)</f>
        <v>32'b00111111111111110000100000000000</v>
      </c>
      <c r="E1264" s="130"/>
      <c r="F1264" s="130"/>
      <c r="G1264" s="205"/>
      <c r="H1264" s="73" t="s">
        <v>384</v>
      </c>
      <c r="I1264" s="74"/>
      <c r="J1264" s="202" t="str">
        <f>bitConcat(G1265:G1270)</f>
        <v>32'b00111111111111110000001100010000</v>
      </c>
      <c r="K1264" s="131"/>
      <c r="L1264" s="132"/>
      <c r="M1264" s="119" t="str">
        <f t="shared" ref="M1264" si="1001">DEC2HEX(_xlfn.BITLSHIFT(O1264,7)+4*P1264)</f>
        <v>42C</v>
      </c>
      <c r="N1264" s="120" t="s">
        <v>385</v>
      </c>
      <c r="O1264" s="120">
        <v>8</v>
      </c>
      <c r="P1264" s="122">
        <v>11</v>
      </c>
      <c r="Q1264" s="121" t="str">
        <f>DEC2HEX(_xlfn.BITLSHIFT(O1264,5)+P1264)</f>
        <v>10B</v>
      </c>
      <c r="R1264" s="203" t="str">
        <f>BIN2HEX(LEFT(RIGHT(D1264,32),4))&amp;BIN2HEX(LEFT(RIGHT(D1264,28),4))&amp;BIN2HEX(LEFT(RIGHT(D1264,24),4))&amp;BIN2HEX(LEFT(RIGHT(D1264,20),4))&amp;BIN2HEX(LEFT(RIGHT(D1264,16),4))&amp;BIN2HEX(LEFT(RIGHT(D1264,12),4))&amp;BIN2HEX(LEFT(RIGHT(D1264,8),4))&amp;BIN2HEX(LEFT(RIGHT(D1264,4),4))</f>
        <v>3FFF0800</v>
      </c>
      <c r="S1264" s="203" t="str">
        <f t="shared" ref="S1264" si="1002">BIN2HEX(LEFT(RIGHT(J1264,32),4))&amp;BIN2HEX(LEFT(RIGHT(J1264,28),4))&amp;BIN2HEX(LEFT(RIGHT(J1264,24),4))&amp;BIN2HEX(LEFT(RIGHT(J1264,20),4))&amp;BIN2HEX(LEFT(RIGHT(J1264,16),4))&amp;BIN2HEX(LEFT(RIGHT(J1264,12),4))&amp;BIN2HEX(LEFT(RIGHT(J1264,8),4))&amp;BIN2HEX(LEFT(RIGHT(J1264,4),4))</f>
        <v>3FFF0310</v>
      </c>
    </row>
    <row r="1265" spans="1:19" s="61" customFormat="1">
      <c r="A1265" s="260"/>
      <c r="B1265" s="262"/>
      <c r="C1265" s="43" t="s">
        <v>405</v>
      </c>
      <c r="D1265" s="62">
        <v>2</v>
      </c>
      <c r="E1265" s="70" t="str">
        <f>IF(D1265&gt;1,(31)&amp;":"&amp;(31-D1265+1),(31-D1265+1)&amp;":"&amp;(31-D1265+1))</f>
        <v>31:30</v>
      </c>
      <c r="F1265" s="30" t="s">
        <v>154</v>
      </c>
      <c r="G1265" s="30" t="s">
        <v>154</v>
      </c>
      <c r="H1265" s="64" t="s">
        <v>406</v>
      </c>
      <c r="I1265" s="30" t="s">
        <v>68</v>
      </c>
      <c r="J1265" s="32" t="s">
        <v>36</v>
      </c>
      <c r="K1265" s="33" t="s">
        <v>6</v>
      </c>
      <c r="L1265" s="46"/>
      <c r="M1265" s="120"/>
      <c r="N1265" s="120"/>
      <c r="O1265" s="120"/>
      <c r="P1265" s="122"/>
      <c r="Q1265" s="122"/>
      <c r="R1265" s="204"/>
      <c r="S1265" s="204"/>
    </row>
    <row r="1266" spans="1:19" s="61" customFormat="1">
      <c r="A1266" s="260"/>
      <c r="B1266" s="262"/>
      <c r="C1266" s="43" t="s">
        <v>407</v>
      </c>
      <c r="D1266" s="62">
        <v>14</v>
      </c>
      <c r="E1266" s="33" t="str">
        <f>(MID(E1265,SEARCH(":",E1265)+1,2)-1) &amp; ":" &amp; (MID(E1265,SEARCH(":",E1265)+1,2)-D1266)</f>
        <v>29:16</v>
      </c>
      <c r="F1266" s="30" t="s">
        <v>408</v>
      </c>
      <c r="G1266" s="30" t="s">
        <v>408</v>
      </c>
      <c r="H1266" s="65" t="s">
        <v>409</v>
      </c>
      <c r="I1266" s="30" t="s">
        <v>68</v>
      </c>
      <c r="J1266" s="32" t="s">
        <v>36</v>
      </c>
      <c r="K1266" s="33" t="s">
        <v>6</v>
      </c>
      <c r="L1266" s="46"/>
      <c r="M1266" s="120"/>
      <c r="N1266" s="120"/>
      <c r="O1266" s="120"/>
      <c r="P1266" s="122"/>
      <c r="Q1266" s="122"/>
      <c r="R1266" s="204"/>
      <c r="S1266" s="204"/>
    </row>
    <row r="1267" spans="1:19" s="61" customFormat="1">
      <c r="A1267" s="260"/>
      <c r="B1267" s="262"/>
      <c r="C1267" s="43" t="s">
        <v>410</v>
      </c>
      <c r="D1267" s="62">
        <v>3</v>
      </c>
      <c r="E1267" s="33" t="str">
        <f t="shared" ref="E1267:E1270" si="1003">(MID(E1266,SEARCH(":",E1266)+1,2)-1) &amp; ":" &amp; (MID(E1266,SEARCH(":",E1266)+1,2)-D1267)</f>
        <v>15:13</v>
      </c>
      <c r="F1267" s="30" t="s">
        <v>178</v>
      </c>
      <c r="G1267" s="30" t="s">
        <v>178</v>
      </c>
      <c r="H1267" s="65" t="s">
        <v>396</v>
      </c>
      <c r="I1267" s="30" t="s">
        <v>68</v>
      </c>
      <c r="J1267" s="32" t="s">
        <v>36</v>
      </c>
      <c r="K1267" s="33" t="s">
        <v>6</v>
      </c>
      <c r="L1267" s="46"/>
      <c r="M1267" s="120"/>
      <c r="N1267" s="120"/>
      <c r="O1267" s="120"/>
      <c r="P1267" s="122"/>
      <c r="Q1267" s="122"/>
      <c r="R1267" s="204"/>
      <c r="S1267" s="204"/>
    </row>
    <row r="1268" spans="1:19" s="61" customFormat="1">
      <c r="A1268" s="260"/>
      <c r="B1268" s="262"/>
      <c r="C1268" s="43" t="s">
        <v>397</v>
      </c>
      <c r="D1268" s="62">
        <v>1</v>
      </c>
      <c r="E1268" s="33" t="str">
        <f t="shared" si="1003"/>
        <v>12:12</v>
      </c>
      <c r="F1268" s="30" t="s">
        <v>7</v>
      </c>
      <c r="G1268" s="30" t="s">
        <v>7</v>
      </c>
      <c r="H1268" s="75" t="s">
        <v>398</v>
      </c>
      <c r="I1268" s="30" t="s">
        <v>68</v>
      </c>
      <c r="J1268" s="32" t="s">
        <v>36</v>
      </c>
      <c r="K1268" s="33" t="s">
        <v>6</v>
      </c>
      <c r="L1268" s="46"/>
      <c r="M1268" s="120"/>
      <c r="N1268" s="120"/>
      <c r="O1268" s="120"/>
      <c r="P1268" s="122"/>
      <c r="Q1268" s="122"/>
      <c r="R1268" s="204"/>
      <c r="S1268" s="204"/>
    </row>
    <row r="1269" spans="1:19" s="61" customFormat="1">
      <c r="A1269" s="260"/>
      <c r="B1269" s="262"/>
      <c r="C1269" s="43" t="s">
        <v>412</v>
      </c>
      <c r="D1269" s="62">
        <v>1</v>
      </c>
      <c r="E1269" s="33" t="str">
        <f t="shared" si="1003"/>
        <v>11:11</v>
      </c>
      <c r="F1269" s="76" t="s">
        <v>269</v>
      </c>
      <c r="G1269" s="30" t="s">
        <v>7</v>
      </c>
      <c r="H1269" s="65" t="s">
        <v>400</v>
      </c>
      <c r="I1269" s="30" t="s">
        <v>68</v>
      </c>
      <c r="J1269" s="32" t="s">
        <v>36</v>
      </c>
      <c r="K1269" s="33" t="s">
        <v>6</v>
      </c>
      <c r="L1269" s="46"/>
      <c r="M1269" s="120"/>
      <c r="N1269" s="120"/>
      <c r="O1269" s="120"/>
      <c r="P1269" s="122"/>
      <c r="Q1269" s="122"/>
      <c r="R1269" s="204"/>
      <c r="S1269" s="204"/>
    </row>
    <row r="1270" spans="1:19" s="61" customFormat="1" ht="15.75" customHeight="1" thickBot="1">
      <c r="A1270" s="260"/>
      <c r="B1270" s="262"/>
      <c r="C1270" s="43" t="s">
        <v>413</v>
      </c>
      <c r="D1270" s="62">
        <v>11</v>
      </c>
      <c r="E1270" s="33" t="str">
        <f t="shared" si="1003"/>
        <v>10:0</v>
      </c>
      <c r="F1270" s="76" t="s">
        <v>944</v>
      </c>
      <c r="G1270" s="30" t="s">
        <v>414</v>
      </c>
      <c r="H1270" s="65" t="s">
        <v>403</v>
      </c>
      <c r="I1270" s="30" t="s">
        <v>68</v>
      </c>
      <c r="J1270" s="32" t="s">
        <v>36</v>
      </c>
      <c r="K1270" s="33" t="s">
        <v>6</v>
      </c>
      <c r="L1270" s="46"/>
      <c r="M1270" s="120"/>
      <c r="N1270" s="120"/>
      <c r="O1270" s="120"/>
      <c r="P1270" s="122"/>
      <c r="Q1270" s="122"/>
      <c r="R1270" s="204"/>
      <c r="S1270" s="204"/>
    </row>
    <row r="1271" spans="1:19" s="61" customFormat="1" ht="14.4" customHeight="1">
      <c r="A1271" s="260" t="s">
        <v>704</v>
      </c>
      <c r="B1271" s="261" t="str">
        <f t="shared" ref="B1271" si="1004">DEC2HEX(P1271*4)</f>
        <v>24</v>
      </c>
      <c r="C1271" s="56" t="s">
        <v>383</v>
      </c>
      <c r="D1271" s="129" t="str">
        <f>bitConcat(F1272:F1280)</f>
        <v>32'b00011100000011100000100000000000</v>
      </c>
      <c r="E1271" s="130"/>
      <c r="F1271" s="130"/>
      <c r="G1271" s="205"/>
      <c r="H1271" s="73" t="s">
        <v>384</v>
      </c>
      <c r="I1271" s="74"/>
      <c r="J1271" s="202" t="str">
        <f>bitConcat(G1272:G1280)</f>
        <v>32'b00011100000011100000001100010000</v>
      </c>
      <c r="K1271" s="131"/>
      <c r="L1271" s="132"/>
      <c r="M1271" s="119" t="str">
        <f t="shared" ref="M1271" si="1005">DEC2HEX(_xlfn.BITLSHIFT(O1271,7)+4*P1271)</f>
        <v>424</v>
      </c>
      <c r="N1271" s="120" t="s">
        <v>385</v>
      </c>
      <c r="O1271" s="120">
        <v>8</v>
      </c>
      <c r="P1271" s="122">
        <v>9</v>
      </c>
      <c r="Q1271" s="121" t="str">
        <f>DEC2HEX(_xlfn.BITLSHIFT(O1271,5)+P1271)</f>
        <v>109</v>
      </c>
      <c r="R1271" s="203" t="str">
        <f>BIN2HEX(LEFT(RIGHT(D1271,32),4))&amp;BIN2HEX(LEFT(RIGHT(D1271,28),4))&amp;BIN2HEX(LEFT(RIGHT(D1271,24),4))&amp;BIN2HEX(LEFT(RIGHT(D1271,20),4))&amp;BIN2HEX(LEFT(RIGHT(D1271,16),4))&amp;BIN2HEX(LEFT(RIGHT(D1271,12),4))&amp;BIN2HEX(LEFT(RIGHT(D1271,8),4))&amp;BIN2HEX(LEFT(RIGHT(D1271,4),4))</f>
        <v>1C0E0800</v>
      </c>
      <c r="S1271" s="203" t="str">
        <f t="shared" ref="S1271" si="1006">BIN2HEX(LEFT(RIGHT(J1271,32),4))&amp;BIN2HEX(LEFT(RIGHT(J1271,28),4))&amp;BIN2HEX(LEFT(RIGHT(J1271,24),4))&amp;BIN2HEX(LEFT(RIGHT(J1271,20),4))&amp;BIN2HEX(LEFT(RIGHT(J1271,16),4))&amp;BIN2HEX(LEFT(RIGHT(J1271,12),4))&amp;BIN2HEX(LEFT(RIGHT(J1271,8),4))&amp;BIN2HEX(LEFT(RIGHT(J1271,4),4))</f>
        <v>1C0E0310</v>
      </c>
    </row>
    <row r="1272" spans="1:19" s="61" customFormat="1">
      <c r="A1272" s="260"/>
      <c r="B1272" s="262"/>
      <c r="C1272" s="43" t="s">
        <v>416</v>
      </c>
      <c r="D1272" s="62">
        <v>2</v>
      </c>
      <c r="E1272" s="70" t="str">
        <f>IF(D1272&gt;1,(31)&amp;":"&amp;(31-D1272+1),(31-D1272+1)&amp;":"&amp;(31-D1272+1))</f>
        <v>31:30</v>
      </c>
      <c r="F1272" s="30" t="s">
        <v>154</v>
      </c>
      <c r="G1272" s="30" t="s">
        <v>154</v>
      </c>
      <c r="H1272" s="64" t="s">
        <v>406</v>
      </c>
      <c r="I1272" s="30" t="s">
        <v>68</v>
      </c>
      <c r="J1272" s="32" t="s">
        <v>36</v>
      </c>
      <c r="K1272" s="33" t="s">
        <v>6</v>
      </c>
      <c r="L1272" s="46"/>
      <c r="M1272" s="120"/>
      <c r="N1272" s="120"/>
      <c r="O1272" s="120"/>
      <c r="P1272" s="122"/>
      <c r="Q1272" s="122"/>
      <c r="R1272" s="204"/>
      <c r="S1272" s="204"/>
    </row>
    <row r="1273" spans="1:19" s="61" customFormat="1">
      <c r="A1273" s="260"/>
      <c r="B1273" s="262"/>
      <c r="C1273" s="43" t="s">
        <v>417</v>
      </c>
      <c r="D1273" s="62">
        <v>1</v>
      </c>
      <c r="E1273" s="33" t="str">
        <f t="shared" ref="E1273" si="1007">(MID(E1272,SEARCH(":",E1272)+1,2)-1) &amp; ":" &amp; (MID(E1272,SEARCH(":",E1272)+1,2)-D1273)</f>
        <v>29:29</v>
      </c>
      <c r="F1273" s="30" t="s">
        <v>7</v>
      </c>
      <c r="G1273" s="30" t="s">
        <v>7</v>
      </c>
      <c r="H1273" s="65" t="s">
        <v>418</v>
      </c>
      <c r="I1273" s="30" t="s">
        <v>68</v>
      </c>
      <c r="J1273" s="32" t="s">
        <v>36</v>
      </c>
      <c r="K1273" s="33" t="s">
        <v>6</v>
      </c>
      <c r="L1273" s="46"/>
      <c r="M1273" s="120"/>
      <c r="N1273" s="120"/>
      <c r="O1273" s="120"/>
      <c r="P1273" s="122"/>
      <c r="Q1273" s="122"/>
      <c r="R1273" s="204"/>
      <c r="S1273" s="204"/>
    </row>
    <row r="1274" spans="1:19" s="61" customFormat="1">
      <c r="A1274" s="260"/>
      <c r="B1274" s="262"/>
      <c r="C1274" s="43" t="s">
        <v>419</v>
      </c>
      <c r="D1274" s="62">
        <v>6</v>
      </c>
      <c r="E1274" s="33" t="str">
        <f>(MID(E1273,SEARCH(":",E1273)+1,2)-1) &amp; ":" &amp; (MID(E1273,SEARCH(":",E1273)+1,2)-D1274)</f>
        <v>28:23</v>
      </c>
      <c r="F1274" s="30" t="s">
        <v>420</v>
      </c>
      <c r="G1274" s="30" t="s">
        <v>420</v>
      </c>
      <c r="H1274" s="65" t="s">
        <v>421</v>
      </c>
      <c r="I1274" s="30" t="s">
        <v>68</v>
      </c>
      <c r="J1274" s="32" t="s">
        <v>36</v>
      </c>
      <c r="K1274" s="33" t="s">
        <v>6</v>
      </c>
      <c r="L1274" s="46"/>
      <c r="M1274" s="120"/>
      <c r="N1274" s="120"/>
      <c r="O1274" s="120"/>
      <c r="P1274" s="122"/>
      <c r="Q1274" s="122"/>
      <c r="R1274" s="204"/>
      <c r="S1274" s="204"/>
    </row>
    <row r="1275" spans="1:19" s="61" customFormat="1">
      <c r="A1275" s="260"/>
      <c r="B1275" s="262"/>
      <c r="C1275" s="43" t="s">
        <v>422</v>
      </c>
      <c r="D1275" s="62">
        <v>6</v>
      </c>
      <c r="E1275" s="33" t="str">
        <f t="shared" ref="E1275:E1280" si="1008">(MID(E1274,SEARCH(":",E1274)+1,2)-1) &amp; ":" &amp; (MID(E1274,SEARCH(":",E1274)+1,2)-D1275)</f>
        <v>22:17</v>
      </c>
      <c r="F1275" s="30" t="s">
        <v>423</v>
      </c>
      <c r="G1275" s="30" t="s">
        <v>423</v>
      </c>
      <c r="H1275" s="64" t="s">
        <v>421</v>
      </c>
      <c r="I1275" s="30" t="s">
        <v>68</v>
      </c>
      <c r="J1275" s="32" t="s">
        <v>36</v>
      </c>
      <c r="K1275" s="33" t="s">
        <v>6</v>
      </c>
      <c r="L1275" s="46"/>
      <c r="M1275" s="120"/>
      <c r="N1275" s="120"/>
      <c r="O1275" s="120"/>
      <c r="P1275" s="122"/>
      <c r="Q1275" s="122"/>
      <c r="R1275" s="204"/>
      <c r="S1275" s="204"/>
    </row>
    <row r="1276" spans="1:19" s="61" customFormat="1" ht="15.75" customHeight="1">
      <c r="A1276" s="260"/>
      <c r="B1276" s="262"/>
      <c r="C1276" s="43" t="s">
        <v>424</v>
      </c>
      <c r="D1276" s="62">
        <v>1</v>
      </c>
      <c r="E1276" s="33" t="str">
        <f t="shared" si="1008"/>
        <v>16:16</v>
      </c>
      <c r="F1276" s="30" t="s">
        <v>7</v>
      </c>
      <c r="G1276" s="30" t="s">
        <v>7</v>
      </c>
      <c r="H1276" s="64" t="s">
        <v>425</v>
      </c>
      <c r="I1276" s="30" t="s">
        <v>68</v>
      </c>
      <c r="J1276" s="32" t="s">
        <v>36</v>
      </c>
      <c r="K1276" s="33" t="s">
        <v>6</v>
      </c>
      <c r="L1276" s="46"/>
      <c r="M1276" s="120"/>
      <c r="N1276" s="120"/>
      <c r="O1276" s="120"/>
      <c r="P1276" s="122"/>
      <c r="Q1276" s="122"/>
      <c r="R1276" s="204"/>
      <c r="S1276" s="204"/>
    </row>
    <row r="1277" spans="1:19" s="61" customFormat="1">
      <c r="A1277" s="260"/>
      <c r="B1277" s="262"/>
      <c r="C1277" s="43" t="s">
        <v>426</v>
      </c>
      <c r="D1277" s="62">
        <v>3</v>
      </c>
      <c r="E1277" s="33" t="str">
        <f t="shared" si="1008"/>
        <v>15:13</v>
      </c>
      <c r="F1277" s="30" t="s">
        <v>178</v>
      </c>
      <c r="G1277" s="30" t="s">
        <v>178</v>
      </c>
      <c r="H1277" s="65" t="s">
        <v>396</v>
      </c>
      <c r="I1277" s="30" t="s">
        <v>68</v>
      </c>
      <c r="J1277" s="32" t="s">
        <v>36</v>
      </c>
      <c r="K1277" s="33" t="s">
        <v>6</v>
      </c>
      <c r="L1277" s="46"/>
      <c r="M1277" s="120"/>
      <c r="N1277" s="120"/>
      <c r="O1277" s="120"/>
      <c r="P1277" s="122"/>
      <c r="Q1277" s="122"/>
      <c r="R1277" s="204"/>
      <c r="S1277" s="204"/>
    </row>
    <row r="1278" spans="1:19" s="61" customFormat="1">
      <c r="A1278" s="260"/>
      <c r="B1278" s="262"/>
      <c r="C1278" s="43" t="s">
        <v>397</v>
      </c>
      <c r="D1278" s="62">
        <v>1</v>
      </c>
      <c r="E1278" s="33" t="str">
        <f t="shared" si="1008"/>
        <v>12:12</v>
      </c>
      <c r="F1278" s="30" t="s">
        <v>7</v>
      </c>
      <c r="G1278" s="30" t="s">
        <v>7</v>
      </c>
      <c r="H1278" s="75" t="s">
        <v>398</v>
      </c>
      <c r="I1278" s="30" t="s">
        <v>68</v>
      </c>
      <c r="J1278" s="32" t="s">
        <v>36</v>
      </c>
      <c r="K1278" s="33" t="s">
        <v>6</v>
      </c>
      <c r="L1278" s="46"/>
      <c r="M1278" s="120"/>
      <c r="N1278" s="120"/>
      <c r="O1278" s="120"/>
      <c r="P1278" s="122"/>
      <c r="Q1278" s="122"/>
      <c r="R1278" s="204"/>
      <c r="S1278" s="204"/>
    </row>
    <row r="1279" spans="1:19" s="61" customFormat="1">
      <c r="A1279" s="260"/>
      <c r="B1279" s="262"/>
      <c r="C1279" s="43" t="s">
        <v>428</v>
      </c>
      <c r="D1279" s="62">
        <v>1</v>
      </c>
      <c r="E1279" s="33" t="str">
        <f t="shared" si="1008"/>
        <v>11:11</v>
      </c>
      <c r="F1279" s="76" t="s">
        <v>269</v>
      </c>
      <c r="G1279" s="30" t="s">
        <v>7</v>
      </c>
      <c r="H1279" s="65" t="s">
        <v>400</v>
      </c>
      <c r="I1279" s="30" t="s">
        <v>68</v>
      </c>
      <c r="J1279" s="32" t="s">
        <v>36</v>
      </c>
      <c r="K1279" s="33" t="s">
        <v>6</v>
      </c>
      <c r="L1279" s="46"/>
      <c r="M1279" s="120"/>
      <c r="N1279" s="120"/>
      <c r="O1279" s="120"/>
      <c r="P1279" s="122"/>
      <c r="Q1279" s="122"/>
      <c r="R1279" s="204"/>
      <c r="S1279" s="204"/>
    </row>
    <row r="1280" spans="1:19" s="61" customFormat="1" ht="15" thickBot="1">
      <c r="A1280" s="260"/>
      <c r="B1280" s="262"/>
      <c r="C1280" s="43" t="s">
        <v>429</v>
      </c>
      <c r="D1280" s="62">
        <v>11</v>
      </c>
      <c r="E1280" s="33" t="str">
        <f t="shared" si="1008"/>
        <v>10:0</v>
      </c>
      <c r="F1280" s="76" t="s">
        <v>944</v>
      </c>
      <c r="G1280" s="30" t="s">
        <v>414</v>
      </c>
      <c r="H1280" s="65" t="s">
        <v>403</v>
      </c>
      <c r="I1280" s="30" t="s">
        <v>68</v>
      </c>
      <c r="J1280" s="32" t="s">
        <v>36</v>
      </c>
      <c r="K1280" s="33" t="s">
        <v>6</v>
      </c>
      <c r="L1280" s="46"/>
      <c r="M1280" s="120"/>
      <c r="N1280" s="120"/>
      <c r="O1280" s="120"/>
      <c r="P1280" s="122"/>
      <c r="Q1280" s="122"/>
      <c r="R1280" s="204"/>
      <c r="S1280" s="204"/>
    </row>
    <row r="1281" spans="1:19" s="61" customFormat="1" ht="15.75" customHeight="1">
      <c r="A1281" s="260" t="s">
        <v>705</v>
      </c>
      <c r="B1281" s="261" t="str">
        <f t="shared" ref="B1281" si="1009">DEC2HEX(P1281*4)</f>
        <v>28</v>
      </c>
      <c r="C1281" s="56" t="s">
        <v>383</v>
      </c>
      <c r="D1281" s="129" t="str">
        <f>bitConcat(F1282:F1290)</f>
        <v>32'b00000000000001100000100000000000</v>
      </c>
      <c r="E1281" s="130"/>
      <c r="F1281" s="130"/>
      <c r="G1281" s="205"/>
      <c r="H1281" s="73" t="s">
        <v>384</v>
      </c>
      <c r="I1281" s="74"/>
      <c r="J1281" s="202" t="str">
        <f>bitConcat(G1282:G1290)</f>
        <v>32'b00000000000011000000001100010000</v>
      </c>
      <c r="K1281" s="131"/>
      <c r="L1281" s="132"/>
      <c r="M1281" s="119" t="str">
        <f t="shared" ref="M1281" si="1010">DEC2HEX(_xlfn.BITLSHIFT(O1281,7)+4*P1281)</f>
        <v>428</v>
      </c>
      <c r="N1281" s="120" t="s">
        <v>385</v>
      </c>
      <c r="O1281" s="120">
        <v>8</v>
      </c>
      <c r="P1281" s="122">
        <v>10</v>
      </c>
      <c r="Q1281" s="121" t="str">
        <f>DEC2HEX(_xlfn.BITLSHIFT(O1281,5)+P1281)</f>
        <v>10A</v>
      </c>
      <c r="R1281" s="203" t="str">
        <f>BIN2HEX(LEFT(RIGHT(D1281,32),4))&amp;BIN2HEX(LEFT(RIGHT(D1281,28),4))&amp;BIN2HEX(LEFT(RIGHT(D1281,24),4))&amp;BIN2HEX(LEFT(RIGHT(D1281,20),4))&amp;BIN2HEX(LEFT(RIGHT(D1281,16),4))&amp;BIN2HEX(LEFT(RIGHT(D1281,12),4))&amp;BIN2HEX(LEFT(RIGHT(D1281,8),4))&amp;BIN2HEX(LEFT(RIGHT(D1281,4),4))</f>
        <v>00060800</v>
      </c>
      <c r="S1281" s="203" t="str">
        <f t="shared" ref="S1281" si="1011">BIN2HEX(LEFT(RIGHT(J1281,32),4))&amp;BIN2HEX(LEFT(RIGHT(J1281,28),4))&amp;BIN2HEX(LEFT(RIGHT(J1281,24),4))&amp;BIN2HEX(LEFT(RIGHT(J1281,20),4))&amp;BIN2HEX(LEFT(RIGHT(J1281,16),4))&amp;BIN2HEX(LEFT(RIGHT(J1281,12),4))&amp;BIN2HEX(LEFT(RIGHT(J1281,8),4))&amp;BIN2HEX(LEFT(RIGHT(J1281,4),4))</f>
        <v>000C0310</v>
      </c>
    </row>
    <row r="1282" spans="1:19" s="61" customFormat="1">
      <c r="A1282" s="260"/>
      <c r="B1282" s="262"/>
      <c r="C1282" s="43" t="s">
        <v>431</v>
      </c>
      <c r="D1282" s="62">
        <v>6</v>
      </c>
      <c r="E1282" s="70" t="str">
        <f>IF(D1282&gt;1,(31)&amp;":"&amp;(31-D1282+1),(31-D1282+1)&amp;":"&amp;(31-D1282+1))</f>
        <v>31:26</v>
      </c>
      <c r="F1282" s="30" t="s">
        <v>249</v>
      </c>
      <c r="G1282" s="30" t="s">
        <v>249</v>
      </c>
      <c r="H1282" s="64" t="s">
        <v>432</v>
      </c>
      <c r="I1282" s="30" t="s">
        <v>68</v>
      </c>
      <c r="J1282" s="32" t="s">
        <v>36</v>
      </c>
      <c r="K1282" s="33" t="s">
        <v>6</v>
      </c>
      <c r="L1282" s="46"/>
      <c r="M1282" s="120"/>
      <c r="N1282" s="120"/>
      <c r="O1282" s="120"/>
      <c r="P1282" s="122"/>
      <c r="Q1282" s="122"/>
      <c r="R1282" s="204"/>
      <c r="S1282" s="204"/>
    </row>
    <row r="1283" spans="1:19" s="61" customFormat="1">
      <c r="A1283" s="260"/>
      <c r="B1283" s="262"/>
      <c r="C1283" s="43" t="s">
        <v>433</v>
      </c>
      <c r="D1283" s="62">
        <v>5</v>
      </c>
      <c r="E1283" s="33" t="str">
        <f t="shared" ref="E1283:E1290" si="1012">(MID(E1282,SEARCH(":",E1282)+1,2)-1) &amp; ":" &amp; (MID(E1282,SEARCH(":",E1282)+1,2)-D1283)</f>
        <v>25:21</v>
      </c>
      <c r="F1283" s="30" t="s">
        <v>434</v>
      </c>
      <c r="G1283" s="30" t="s">
        <v>434</v>
      </c>
      <c r="H1283" s="64" t="s">
        <v>435</v>
      </c>
      <c r="I1283" s="30" t="s">
        <v>68</v>
      </c>
      <c r="J1283" s="32" t="s">
        <v>36</v>
      </c>
      <c r="K1283" s="33" t="s">
        <v>6</v>
      </c>
      <c r="L1283" s="46"/>
      <c r="M1283" s="120"/>
      <c r="N1283" s="120"/>
      <c r="O1283" s="120"/>
      <c r="P1283" s="122"/>
      <c r="Q1283" s="122"/>
      <c r="R1283" s="204"/>
      <c r="S1283" s="204"/>
    </row>
    <row r="1284" spans="1:19" s="61" customFormat="1">
      <c r="A1284" s="260"/>
      <c r="B1284" s="262"/>
      <c r="C1284" s="43" t="s">
        <v>436</v>
      </c>
      <c r="D1284" s="62">
        <v>1</v>
      </c>
      <c r="E1284" s="33" t="str">
        <f t="shared" si="1012"/>
        <v>20:20</v>
      </c>
      <c r="F1284" s="30" t="s">
        <v>7</v>
      </c>
      <c r="G1284" s="30" t="s">
        <v>7</v>
      </c>
      <c r="H1284" s="65" t="s">
        <v>437</v>
      </c>
      <c r="I1284" s="30" t="s">
        <v>68</v>
      </c>
      <c r="J1284" s="32" t="s">
        <v>36</v>
      </c>
      <c r="K1284" s="33" t="s">
        <v>6</v>
      </c>
      <c r="L1284" s="46"/>
      <c r="M1284" s="120"/>
      <c r="N1284" s="120"/>
      <c r="O1284" s="120"/>
      <c r="P1284" s="122"/>
      <c r="Q1284" s="122"/>
      <c r="R1284" s="204"/>
      <c r="S1284" s="204"/>
    </row>
    <row r="1285" spans="1:19" s="61" customFormat="1">
      <c r="A1285" s="260"/>
      <c r="B1285" s="262"/>
      <c r="C1285" s="43" t="s">
        <v>438</v>
      </c>
      <c r="D1285" s="62">
        <v>2</v>
      </c>
      <c r="E1285" s="33" t="str">
        <f t="shared" si="1012"/>
        <v>19:18</v>
      </c>
      <c r="F1285" s="76" t="s">
        <v>943</v>
      </c>
      <c r="G1285" s="30" t="s">
        <v>257</v>
      </c>
      <c r="H1285" s="65" t="s">
        <v>439</v>
      </c>
      <c r="I1285" s="30" t="s">
        <v>68</v>
      </c>
      <c r="J1285" s="32" t="s">
        <v>36</v>
      </c>
      <c r="K1285" s="33" t="s">
        <v>6</v>
      </c>
      <c r="L1285" s="46"/>
      <c r="M1285" s="120"/>
      <c r="N1285" s="120"/>
      <c r="O1285" s="120"/>
      <c r="P1285" s="122"/>
      <c r="Q1285" s="122"/>
      <c r="R1285" s="204"/>
      <c r="S1285" s="204"/>
    </row>
    <row r="1286" spans="1:19" s="61" customFormat="1">
      <c r="A1286" s="260"/>
      <c r="B1286" s="262"/>
      <c r="C1286" s="43" t="s">
        <v>440</v>
      </c>
      <c r="D1286" s="62">
        <v>2</v>
      </c>
      <c r="E1286" s="33" t="str">
        <f t="shared" si="1012"/>
        <v>17:16</v>
      </c>
      <c r="F1286" s="76" t="s">
        <v>945</v>
      </c>
      <c r="G1286" s="30" t="s">
        <v>154</v>
      </c>
      <c r="H1286" s="65" t="s">
        <v>441</v>
      </c>
      <c r="I1286" s="30" t="s">
        <v>68</v>
      </c>
      <c r="J1286" s="32" t="s">
        <v>36</v>
      </c>
      <c r="K1286" s="33" t="s">
        <v>6</v>
      </c>
      <c r="L1286" s="46"/>
      <c r="M1286" s="120"/>
      <c r="N1286" s="120"/>
      <c r="O1286" s="120"/>
      <c r="P1286" s="122"/>
      <c r="Q1286" s="122"/>
      <c r="R1286" s="204"/>
      <c r="S1286" s="204"/>
    </row>
    <row r="1287" spans="1:19" s="61" customFormat="1">
      <c r="A1287" s="260"/>
      <c r="B1287" s="262"/>
      <c r="C1287" s="43" t="s">
        <v>442</v>
      </c>
      <c r="D1287" s="62">
        <v>3</v>
      </c>
      <c r="E1287" s="33" t="str">
        <f t="shared" si="1012"/>
        <v>15:13</v>
      </c>
      <c r="F1287" s="30" t="s">
        <v>178</v>
      </c>
      <c r="G1287" s="30" t="s">
        <v>178</v>
      </c>
      <c r="H1287" s="65" t="s">
        <v>396</v>
      </c>
      <c r="I1287" s="30" t="s">
        <v>68</v>
      </c>
      <c r="J1287" s="32" t="s">
        <v>36</v>
      </c>
      <c r="K1287" s="33" t="s">
        <v>6</v>
      </c>
      <c r="L1287" s="46"/>
      <c r="M1287" s="120"/>
      <c r="N1287" s="120"/>
      <c r="O1287" s="120"/>
      <c r="P1287" s="122"/>
      <c r="Q1287" s="122"/>
      <c r="R1287" s="204"/>
      <c r="S1287" s="204"/>
    </row>
    <row r="1288" spans="1:19" s="61" customFormat="1">
      <c r="A1288" s="260"/>
      <c r="B1288" s="262"/>
      <c r="C1288" s="43" t="s">
        <v>397</v>
      </c>
      <c r="D1288" s="62">
        <v>1</v>
      </c>
      <c r="E1288" s="33" t="str">
        <f t="shared" si="1012"/>
        <v>12:12</v>
      </c>
      <c r="F1288" s="30" t="s">
        <v>7</v>
      </c>
      <c r="G1288" s="30" t="s">
        <v>7</v>
      </c>
      <c r="H1288" s="75" t="s">
        <v>398</v>
      </c>
      <c r="I1288" s="30" t="s">
        <v>68</v>
      </c>
      <c r="J1288" s="32" t="s">
        <v>36</v>
      </c>
      <c r="K1288" s="33" t="s">
        <v>6</v>
      </c>
      <c r="L1288" s="46"/>
      <c r="M1288" s="120"/>
      <c r="N1288" s="120"/>
      <c r="O1288" s="120"/>
      <c r="P1288" s="122"/>
      <c r="Q1288" s="122"/>
      <c r="R1288" s="204"/>
      <c r="S1288" s="204"/>
    </row>
    <row r="1289" spans="1:19" s="61" customFormat="1">
      <c r="A1289" s="260"/>
      <c r="B1289" s="262"/>
      <c r="C1289" s="43" t="s">
        <v>444</v>
      </c>
      <c r="D1289" s="62">
        <v>1</v>
      </c>
      <c r="E1289" s="33" t="str">
        <f t="shared" si="1012"/>
        <v>11:11</v>
      </c>
      <c r="F1289" s="76" t="s">
        <v>269</v>
      </c>
      <c r="G1289" s="30" t="s">
        <v>7</v>
      </c>
      <c r="H1289" s="65" t="s">
        <v>400</v>
      </c>
      <c r="I1289" s="30" t="s">
        <v>68</v>
      </c>
      <c r="J1289" s="32" t="s">
        <v>36</v>
      </c>
      <c r="K1289" s="33" t="s">
        <v>6</v>
      </c>
      <c r="L1289" s="46"/>
      <c r="M1289" s="120"/>
      <c r="N1289" s="120"/>
      <c r="O1289" s="120"/>
      <c r="P1289" s="122"/>
      <c r="Q1289" s="122"/>
      <c r="R1289" s="204"/>
      <c r="S1289" s="204"/>
    </row>
    <row r="1290" spans="1:19" s="61" customFormat="1" ht="15" thickBot="1">
      <c r="A1290" s="260"/>
      <c r="B1290" s="262"/>
      <c r="C1290" s="43" t="s">
        <v>445</v>
      </c>
      <c r="D1290" s="62">
        <v>11</v>
      </c>
      <c r="E1290" s="33" t="str">
        <f t="shared" si="1012"/>
        <v>10:0</v>
      </c>
      <c r="F1290" s="76" t="s">
        <v>944</v>
      </c>
      <c r="G1290" s="30" t="s">
        <v>414</v>
      </c>
      <c r="H1290" s="65" t="s">
        <v>403</v>
      </c>
      <c r="I1290" s="30" t="s">
        <v>68</v>
      </c>
      <c r="J1290" s="32" t="s">
        <v>36</v>
      </c>
      <c r="K1290" s="33" t="s">
        <v>6</v>
      </c>
      <c r="L1290" s="46"/>
      <c r="M1290" s="120"/>
      <c r="N1290" s="120"/>
      <c r="O1290" s="120"/>
      <c r="P1290" s="122"/>
      <c r="Q1290" s="122"/>
      <c r="R1290" s="204"/>
      <c r="S1290" s="204"/>
    </row>
    <row r="1291" spans="1:19" s="61" customFormat="1">
      <c r="A1291" s="263" t="s">
        <v>706</v>
      </c>
      <c r="B1291" s="265" t="str">
        <f t="shared" ref="B1291" si="1013">DEC2HEX(P1291*4)</f>
        <v>40</v>
      </c>
      <c r="C1291" s="56" t="s">
        <v>383</v>
      </c>
      <c r="D1291" s="129" t="str">
        <f>bitConcat(F1292:F1295)</f>
        <v>32'b00000000000000000000000000000000</v>
      </c>
      <c r="E1291" s="130"/>
      <c r="F1291" s="130"/>
      <c r="G1291" s="205"/>
      <c r="H1291" s="73" t="s">
        <v>384</v>
      </c>
      <c r="I1291" s="74"/>
      <c r="J1291" s="202" t="str">
        <f>bitConcat(G1292:G1295)</f>
        <v>32'b00000000000000000000000000000000</v>
      </c>
      <c r="K1291" s="131"/>
      <c r="L1291" s="132"/>
      <c r="M1291" s="119" t="str">
        <f t="shared" ref="M1291" si="1014">DEC2HEX(_xlfn.BITLSHIFT(O1291,7)+4*P1291)</f>
        <v>3C0</v>
      </c>
      <c r="N1291" s="119" t="s">
        <v>385</v>
      </c>
      <c r="O1291" s="119">
        <v>7</v>
      </c>
      <c r="P1291" s="121">
        <v>16</v>
      </c>
      <c r="Q1291" s="121" t="str">
        <f>DEC2HEX(_xlfn.BITLSHIFT(O1291,5)+P1291)</f>
        <v>F0</v>
      </c>
      <c r="R1291" s="203" t="str">
        <f>BIN2HEX(LEFT(RIGHT(D1291,32),4))&amp;BIN2HEX(LEFT(RIGHT(D1291,28),4))&amp;BIN2HEX(LEFT(RIGHT(D1291,24),4))&amp;BIN2HEX(LEFT(RIGHT(D1291,20),4))&amp;BIN2HEX(LEFT(RIGHT(D1291,16),4))&amp;BIN2HEX(LEFT(RIGHT(D1291,12),4))&amp;BIN2HEX(LEFT(RIGHT(D1291,8),4))&amp;BIN2HEX(LEFT(RIGHT(D1291,4),4))</f>
        <v>00000000</v>
      </c>
      <c r="S1291" s="203" t="str">
        <f t="shared" ref="S1291" si="1015">BIN2HEX(LEFT(RIGHT(J1291,32),4))&amp;BIN2HEX(LEFT(RIGHT(J1291,28),4))&amp;BIN2HEX(LEFT(RIGHT(J1291,24),4))&amp;BIN2HEX(LEFT(RIGHT(J1291,20),4))&amp;BIN2HEX(LEFT(RIGHT(J1291,16),4))&amp;BIN2HEX(LEFT(RIGHT(J1291,12),4))&amp;BIN2HEX(LEFT(RIGHT(J1291,8),4))&amp;BIN2HEX(LEFT(RIGHT(J1291,4),4))</f>
        <v>00000000</v>
      </c>
    </row>
    <row r="1292" spans="1:19" s="61" customFormat="1">
      <c r="A1292" s="264"/>
      <c r="B1292" s="266"/>
      <c r="C1292" s="43" t="s">
        <v>447</v>
      </c>
      <c r="D1292" s="62">
        <v>8</v>
      </c>
      <c r="E1292" s="70" t="str">
        <f>IF(D1292&gt;1,(31)&amp;":"&amp;(31-D1292+1),(31-D1292+1)&amp;":"&amp;(31-D1292+1))</f>
        <v>31:24</v>
      </c>
      <c r="F1292" s="30" t="s">
        <v>133</v>
      </c>
      <c r="G1292" s="30" t="s">
        <v>133</v>
      </c>
      <c r="H1292" s="64" t="s">
        <v>448</v>
      </c>
      <c r="I1292" s="30" t="s">
        <v>68</v>
      </c>
      <c r="J1292" s="32" t="s">
        <v>36</v>
      </c>
      <c r="K1292" s="33" t="s">
        <v>6</v>
      </c>
      <c r="L1292" s="46"/>
      <c r="M1292" s="120"/>
      <c r="N1292" s="120"/>
      <c r="O1292" s="120"/>
      <c r="P1292" s="122"/>
      <c r="Q1292" s="122"/>
      <c r="R1292" s="204"/>
      <c r="S1292" s="204"/>
    </row>
    <row r="1293" spans="1:19" s="61" customFormat="1">
      <c r="A1293" s="264"/>
      <c r="B1293" s="266"/>
      <c r="C1293" s="43" t="s">
        <v>449</v>
      </c>
      <c r="D1293" s="62">
        <v>8</v>
      </c>
      <c r="E1293" s="33" t="str">
        <f t="shared" ref="E1293" si="1016">(MID(E1292,SEARCH(":",E1292)+1,2)-1) &amp; ":" &amp; (MID(E1292,SEARCH(":",E1292)+1,2)-D1293)</f>
        <v>23:16</v>
      </c>
      <c r="F1293" s="30" t="s">
        <v>133</v>
      </c>
      <c r="G1293" s="30" t="s">
        <v>133</v>
      </c>
      <c r="H1293" s="64" t="s">
        <v>450</v>
      </c>
      <c r="I1293" s="30" t="s">
        <v>68</v>
      </c>
      <c r="J1293" s="32" t="s">
        <v>36</v>
      </c>
      <c r="K1293" s="33" t="s">
        <v>6</v>
      </c>
      <c r="L1293" s="46"/>
      <c r="M1293" s="120"/>
      <c r="N1293" s="120"/>
      <c r="O1293" s="120"/>
      <c r="P1293" s="122"/>
      <c r="Q1293" s="122"/>
      <c r="R1293" s="204"/>
      <c r="S1293" s="204"/>
    </row>
    <row r="1294" spans="1:19" s="61" customFormat="1">
      <c r="A1294" s="264"/>
      <c r="B1294" s="266"/>
      <c r="C1294" s="43" t="s">
        <v>451</v>
      </c>
      <c r="D1294" s="62">
        <v>8</v>
      </c>
      <c r="E1294" s="33" t="str">
        <f>(MID(E1293,SEARCH(":",E1293)+1,2)-1) &amp; ":" &amp; (MID(E1293,SEARCH(":",E1293)+1,2)-D1294)</f>
        <v>15:8</v>
      </c>
      <c r="F1294" s="30" t="s">
        <v>133</v>
      </c>
      <c r="G1294" s="30" t="s">
        <v>133</v>
      </c>
      <c r="H1294" s="64" t="s">
        <v>452</v>
      </c>
      <c r="I1294" s="30" t="s">
        <v>68</v>
      </c>
      <c r="J1294" s="32" t="s">
        <v>36</v>
      </c>
      <c r="K1294" s="33" t="s">
        <v>6</v>
      </c>
      <c r="L1294" s="46"/>
      <c r="M1294" s="120"/>
      <c r="N1294" s="120"/>
      <c r="O1294" s="120"/>
      <c r="P1294" s="122"/>
      <c r="Q1294" s="122"/>
      <c r="R1294" s="204"/>
      <c r="S1294" s="204"/>
    </row>
    <row r="1295" spans="1:19" s="61" customFormat="1" ht="15.75" customHeight="1" thickBot="1">
      <c r="A1295" s="264"/>
      <c r="B1295" s="266"/>
      <c r="C1295" s="43" t="s">
        <v>453</v>
      </c>
      <c r="D1295" s="62">
        <v>8</v>
      </c>
      <c r="E1295" s="33" t="str">
        <f>(MID(E1294,SEARCH(":",E1294)+1,2)-1) &amp; ":" &amp; (MID(E1294,SEARCH(":",E1294)+1,2)-D1295)</f>
        <v>7:0</v>
      </c>
      <c r="F1295" s="30" t="s">
        <v>133</v>
      </c>
      <c r="G1295" s="30" t="s">
        <v>133</v>
      </c>
      <c r="H1295" s="64" t="s">
        <v>454</v>
      </c>
      <c r="I1295" s="30" t="s">
        <v>68</v>
      </c>
      <c r="J1295" s="32" t="s">
        <v>36</v>
      </c>
      <c r="K1295" s="33" t="s">
        <v>6</v>
      </c>
      <c r="L1295" s="46"/>
      <c r="M1295" s="120"/>
      <c r="N1295" s="120"/>
      <c r="O1295" s="120"/>
      <c r="P1295" s="122"/>
      <c r="Q1295" s="122"/>
      <c r="R1295" s="204"/>
      <c r="S1295" s="210"/>
    </row>
    <row r="1296" spans="1:19" s="61" customFormat="1">
      <c r="A1296" s="264" t="s">
        <v>707</v>
      </c>
      <c r="B1296" s="265" t="str">
        <f t="shared" ref="B1296" si="1017">DEC2HEX(P1296*4)</f>
        <v>44</v>
      </c>
      <c r="C1296" s="56" t="s">
        <v>383</v>
      </c>
      <c r="D1296" s="129" t="str">
        <f>bitConcat(F1297:F1298)</f>
        <v>32'b00000000000000000000000000000000</v>
      </c>
      <c r="E1296" s="130"/>
      <c r="F1296" s="130"/>
      <c r="G1296" s="205"/>
      <c r="H1296" s="73" t="s">
        <v>384</v>
      </c>
      <c r="I1296" s="74"/>
      <c r="J1296" s="202" t="str">
        <f>bitConcat(G1297:G1298)</f>
        <v>32'b00000000000000000000000000000000</v>
      </c>
      <c r="K1296" s="131"/>
      <c r="L1296" s="132"/>
      <c r="M1296" s="119" t="str">
        <f t="shared" ref="M1296" si="1018">DEC2HEX(_xlfn.BITLSHIFT(O1296,7)+4*P1296)</f>
        <v>3C4</v>
      </c>
      <c r="N1296" s="120" t="s">
        <v>385</v>
      </c>
      <c r="O1296" s="120">
        <v>7</v>
      </c>
      <c r="P1296" s="122">
        <f>P1291+1</f>
        <v>17</v>
      </c>
      <c r="Q1296" s="121" t="str">
        <f>DEC2HEX(_xlfn.BITLSHIFT(O1296,5)+P1296)</f>
        <v>F1</v>
      </c>
      <c r="R1296" s="203" t="str">
        <f>BIN2HEX(LEFT(RIGHT(D1296,32),4))&amp;BIN2HEX(LEFT(RIGHT(D1296,28),4))&amp;BIN2HEX(LEFT(RIGHT(D1296,24),4))&amp;BIN2HEX(LEFT(RIGHT(D1296,20),4))&amp;BIN2HEX(LEFT(RIGHT(D1296,16),4))&amp;BIN2HEX(LEFT(RIGHT(D1296,12),4))&amp;BIN2HEX(LEFT(RIGHT(D1296,8),4))&amp;BIN2HEX(LEFT(RIGHT(D1296,4),4))</f>
        <v>00000000</v>
      </c>
      <c r="S1296" s="203" t="str">
        <f t="shared" ref="S1296" si="1019">BIN2HEX(LEFT(RIGHT(J1296,32),4))&amp;BIN2HEX(LEFT(RIGHT(J1296,28),4))&amp;BIN2HEX(LEFT(RIGHT(J1296,24),4))&amp;BIN2HEX(LEFT(RIGHT(J1296,20),4))&amp;BIN2HEX(LEFT(RIGHT(J1296,16),4))&amp;BIN2HEX(LEFT(RIGHT(J1296,12),4))&amp;BIN2HEX(LEFT(RIGHT(J1296,8),4))&amp;BIN2HEX(LEFT(RIGHT(J1296,4),4))</f>
        <v>00000000</v>
      </c>
    </row>
    <row r="1297" spans="1:19" s="61" customFormat="1">
      <c r="A1297" s="264"/>
      <c r="B1297" s="266"/>
      <c r="C1297" s="43" t="s">
        <v>591</v>
      </c>
      <c r="D1297" s="62">
        <v>16</v>
      </c>
      <c r="E1297" s="70" t="str">
        <f>IF(D1297&gt;1,(31)&amp;":"&amp;(31-D1297+1),(31-D1297+1)&amp;":"&amp;(31-D1297+1))</f>
        <v>31:16</v>
      </c>
      <c r="F1297" s="30" t="s">
        <v>457</v>
      </c>
      <c r="G1297" s="30" t="s">
        <v>457</v>
      </c>
      <c r="H1297" s="64" t="s">
        <v>458</v>
      </c>
      <c r="I1297" s="30" t="s">
        <v>68</v>
      </c>
      <c r="J1297" s="32" t="s">
        <v>36</v>
      </c>
      <c r="K1297" s="33" t="s">
        <v>6</v>
      </c>
      <c r="L1297" s="46"/>
      <c r="M1297" s="120"/>
      <c r="N1297" s="120"/>
      <c r="O1297" s="120"/>
      <c r="P1297" s="122"/>
      <c r="Q1297" s="122"/>
      <c r="R1297" s="204"/>
      <c r="S1297" s="204"/>
    </row>
    <row r="1298" spans="1:19" s="61" customFormat="1" ht="15" thickBot="1">
      <c r="A1298" s="264"/>
      <c r="B1298" s="266"/>
      <c r="C1298" s="43" t="s">
        <v>557</v>
      </c>
      <c r="D1298" s="62">
        <v>16</v>
      </c>
      <c r="E1298" s="33" t="str">
        <f>(MID(E1297,SEARCH(":",E1297)+1,2)-1) &amp; ":" &amp; (MID(E1297,SEARCH(":",E1297)+1,2)-D1298)</f>
        <v>15:0</v>
      </c>
      <c r="F1298" s="30" t="s">
        <v>457</v>
      </c>
      <c r="G1298" s="30" t="s">
        <v>457</v>
      </c>
      <c r="H1298" s="65" t="s">
        <v>406</v>
      </c>
      <c r="I1298" s="30" t="s">
        <v>68</v>
      </c>
      <c r="J1298" s="32" t="s">
        <v>36</v>
      </c>
      <c r="K1298" s="33" t="s">
        <v>6</v>
      </c>
      <c r="L1298" s="46"/>
      <c r="M1298" s="120"/>
      <c r="N1298" s="120"/>
      <c r="O1298" s="120"/>
      <c r="P1298" s="122"/>
      <c r="Q1298" s="122"/>
      <c r="R1298" s="210"/>
      <c r="S1298" s="210"/>
    </row>
    <row r="1299" spans="1:19" s="61" customFormat="1">
      <c r="A1299" s="264" t="s">
        <v>708</v>
      </c>
      <c r="B1299" s="265" t="str">
        <f t="shared" ref="B1299" si="1020">DEC2HEX(P1299*4)</f>
        <v>48</v>
      </c>
      <c r="C1299" s="56" t="s">
        <v>383</v>
      </c>
      <c r="D1299" s="129" t="str">
        <f>bitConcat(F1300:F1305)</f>
        <v>32'b00000000101100110001100000100000</v>
      </c>
      <c r="E1299" s="130"/>
      <c r="F1299" s="130"/>
      <c r="G1299" s="205"/>
      <c r="H1299" s="73" t="s">
        <v>384</v>
      </c>
      <c r="I1299" s="74"/>
      <c r="J1299" s="202" t="str">
        <f>bitConcat(G1300:G1305)</f>
        <v>32'b00000000000000000001100000000000</v>
      </c>
      <c r="K1299" s="131"/>
      <c r="L1299" s="132"/>
      <c r="M1299" s="119" t="str">
        <f t="shared" ref="M1299" si="1021">DEC2HEX(_xlfn.BITLSHIFT(O1299,7)+4*P1299)</f>
        <v>3C8</v>
      </c>
      <c r="N1299" s="120" t="s">
        <v>385</v>
      </c>
      <c r="O1299" s="120">
        <v>7</v>
      </c>
      <c r="P1299" s="122">
        <v>18</v>
      </c>
      <c r="Q1299" s="121" t="str">
        <f>DEC2HEX(_xlfn.BITLSHIFT(O1299,5)+P1299)</f>
        <v>F2</v>
      </c>
      <c r="R1299" s="203" t="str">
        <f>BIN2HEX(LEFT(RIGHT(D1299,32),4))&amp;BIN2HEX(LEFT(RIGHT(D1299,28),4))&amp;BIN2HEX(LEFT(RIGHT(D1299,24),4))&amp;BIN2HEX(LEFT(RIGHT(D1299,20),4))&amp;BIN2HEX(LEFT(RIGHT(D1299,16),4))&amp;BIN2HEX(LEFT(RIGHT(D1299,12),4))&amp;BIN2HEX(LEFT(RIGHT(D1299,8),4))&amp;BIN2HEX(LEFT(RIGHT(D1299,4),4))</f>
        <v>00B31820</v>
      </c>
      <c r="S1299" s="203" t="str">
        <f t="shared" ref="S1299" si="1022">BIN2HEX(LEFT(RIGHT(J1299,32),4))&amp;BIN2HEX(LEFT(RIGHT(J1299,28),4))&amp;BIN2HEX(LEFT(RIGHT(J1299,24),4))&amp;BIN2HEX(LEFT(RIGHT(J1299,20),4))&amp;BIN2HEX(LEFT(RIGHT(J1299,16),4))&amp;BIN2HEX(LEFT(RIGHT(J1299,12),4))&amp;BIN2HEX(LEFT(RIGHT(J1299,8),4))&amp;BIN2HEX(LEFT(RIGHT(J1299,4),4))</f>
        <v>00001800</v>
      </c>
    </row>
    <row r="1300" spans="1:19" s="61" customFormat="1">
      <c r="A1300" s="264"/>
      <c r="B1300" s="266"/>
      <c r="C1300" s="43" t="s">
        <v>468</v>
      </c>
      <c r="D1300" s="62">
        <v>8</v>
      </c>
      <c r="E1300" s="70" t="str">
        <f>IF(D1300&gt;1,(31)&amp;":"&amp;(31-D1300+1),(31-D1300+1)&amp;":"&amp;(31-D1300+1))</f>
        <v>31:24</v>
      </c>
      <c r="F1300" s="30" t="s">
        <v>133</v>
      </c>
      <c r="G1300" s="30" t="s">
        <v>133</v>
      </c>
      <c r="H1300" s="64" t="s">
        <v>469</v>
      </c>
      <c r="I1300" s="30" t="s">
        <v>68</v>
      </c>
      <c r="J1300" s="32" t="s">
        <v>36</v>
      </c>
      <c r="K1300" s="33" t="s">
        <v>6</v>
      </c>
      <c r="L1300" s="46"/>
      <c r="M1300" s="120"/>
      <c r="N1300" s="120"/>
      <c r="O1300" s="120"/>
      <c r="P1300" s="122"/>
      <c r="Q1300" s="122"/>
      <c r="R1300" s="204"/>
      <c r="S1300" s="204"/>
    </row>
    <row r="1301" spans="1:19" s="61" customFormat="1" ht="15.75" customHeight="1">
      <c r="A1301" s="264"/>
      <c r="B1301" s="266"/>
      <c r="C1301" s="43" t="s">
        <v>470</v>
      </c>
      <c r="D1301" s="62">
        <v>8</v>
      </c>
      <c r="E1301" s="33" t="str">
        <f>(MID(E1300,SEARCH(":",E1300)+1,2)-1) &amp; ":" &amp; (MID(E1300,SEARCH(":",E1300)+1,2)-D1301)</f>
        <v>23:16</v>
      </c>
      <c r="F1301" s="30" t="s">
        <v>471</v>
      </c>
      <c r="G1301" s="30" t="s">
        <v>133</v>
      </c>
      <c r="H1301" s="65" t="s">
        <v>472</v>
      </c>
      <c r="I1301" s="30" t="s">
        <v>68</v>
      </c>
      <c r="J1301" s="32" t="s">
        <v>36</v>
      </c>
      <c r="K1301" s="33" t="s">
        <v>6</v>
      </c>
      <c r="L1301" s="46"/>
      <c r="M1301" s="120"/>
      <c r="N1301" s="120"/>
      <c r="O1301" s="120"/>
      <c r="P1301" s="122"/>
      <c r="Q1301" s="122"/>
      <c r="R1301" s="204"/>
      <c r="S1301" s="204"/>
    </row>
    <row r="1302" spans="1:19" s="61" customFormat="1">
      <c r="A1302" s="264"/>
      <c r="B1302" s="266"/>
      <c r="C1302" s="43" t="s">
        <v>473</v>
      </c>
      <c r="D1302" s="62">
        <v>10</v>
      </c>
      <c r="E1302" s="33" t="str">
        <f t="shared" ref="E1302:E1304" si="1023">(MID(E1301,SEARCH(":",E1301)+1,2)-1) &amp; ":" &amp; (MID(E1301,SEARCH(":",E1301)+1,2)-D1302)</f>
        <v>15:6</v>
      </c>
      <c r="F1302" s="30" t="s">
        <v>474</v>
      </c>
      <c r="G1302" s="30" t="s">
        <v>474</v>
      </c>
      <c r="H1302" s="64" t="s">
        <v>475</v>
      </c>
      <c r="I1302" s="30" t="s">
        <v>68</v>
      </c>
      <c r="J1302" s="32" t="s">
        <v>36</v>
      </c>
      <c r="K1302" s="33" t="s">
        <v>6</v>
      </c>
      <c r="L1302" s="46"/>
      <c r="M1302" s="120"/>
      <c r="N1302" s="120"/>
      <c r="O1302" s="120"/>
      <c r="P1302" s="122"/>
      <c r="Q1302" s="122"/>
      <c r="R1302" s="204"/>
      <c r="S1302" s="204"/>
    </row>
    <row r="1303" spans="1:19" s="61" customFormat="1">
      <c r="A1303" s="264"/>
      <c r="B1303" s="266"/>
      <c r="C1303" s="43" t="s">
        <v>476</v>
      </c>
      <c r="D1303" s="62">
        <v>1</v>
      </c>
      <c r="E1303" s="33" t="str">
        <f t="shared" si="1023"/>
        <v>5:5</v>
      </c>
      <c r="F1303" s="30" t="s">
        <v>269</v>
      </c>
      <c r="G1303" s="30" t="s">
        <v>7</v>
      </c>
      <c r="H1303" s="65" t="s">
        <v>477</v>
      </c>
      <c r="I1303" s="30" t="s">
        <v>68</v>
      </c>
      <c r="J1303" s="32" t="s">
        <v>36</v>
      </c>
      <c r="K1303" s="33" t="s">
        <v>6</v>
      </c>
      <c r="L1303" s="46"/>
      <c r="M1303" s="120"/>
      <c r="N1303" s="120"/>
      <c r="O1303" s="120"/>
      <c r="P1303" s="122"/>
      <c r="Q1303" s="122"/>
      <c r="R1303" s="204"/>
      <c r="S1303" s="204"/>
    </row>
    <row r="1304" spans="1:19" s="61" customFormat="1" ht="15" thickBot="1">
      <c r="A1304" s="264"/>
      <c r="B1304" s="266"/>
      <c r="C1304" s="43" t="s">
        <v>478</v>
      </c>
      <c r="D1304" s="62">
        <v>5</v>
      </c>
      <c r="E1304" s="33" t="str">
        <f t="shared" si="1023"/>
        <v>4:0</v>
      </c>
      <c r="F1304" s="30" t="s">
        <v>434</v>
      </c>
      <c r="G1304" s="30" t="s">
        <v>434</v>
      </c>
      <c r="H1304" s="65" t="s">
        <v>479</v>
      </c>
      <c r="I1304" s="30" t="s">
        <v>68</v>
      </c>
      <c r="J1304" s="32" t="s">
        <v>36</v>
      </c>
      <c r="K1304" s="33" t="s">
        <v>6</v>
      </c>
      <c r="L1304" s="46"/>
      <c r="M1304" s="120"/>
      <c r="N1304" s="120"/>
      <c r="O1304" s="120"/>
      <c r="P1304" s="122"/>
      <c r="Q1304" s="122"/>
      <c r="R1304" s="210"/>
      <c r="S1304" s="210"/>
    </row>
    <row r="1305" spans="1:19" s="61" customFormat="1">
      <c r="A1305" s="263" t="s">
        <v>709</v>
      </c>
      <c r="B1305" s="265" t="str">
        <f t="shared" ref="B1305" si="1024">DEC2HEX(P1305*4)</f>
        <v>4C</v>
      </c>
      <c r="C1305" s="56" t="s">
        <v>383</v>
      </c>
      <c r="D1305" s="129" t="str">
        <f>bitConcat(F1306:F1309)</f>
        <v>32'b00000000000000000000000000000000</v>
      </c>
      <c r="E1305" s="130"/>
      <c r="F1305" s="130"/>
      <c r="G1305" s="205"/>
      <c r="H1305" s="73" t="s">
        <v>384</v>
      </c>
      <c r="I1305" s="74"/>
      <c r="J1305" s="202" t="str">
        <f>bitConcat(G1306:G1309)</f>
        <v>32'b00000000000000000000000000000000</v>
      </c>
      <c r="K1305" s="131"/>
      <c r="L1305" s="132"/>
      <c r="M1305" s="119" t="str">
        <f t="shared" ref="M1305" si="1025">DEC2HEX(_xlfn.BITLSHIFT(O1305,7)+4*P1305)</f>
        <v>3CC</v>
      </c>
      <c r="N1305" s="119" t="s">
        <v>385</v>
      </c>
      <c r="O1305" s="119">
        <v>7</v>
      </c>
      <c r="P1305" s="121">
        <v>19</v>
      </c>
      <c r="Q1305" s="121" t="str">
        <f>DEC2HEX(_xlfn.BITLSHIFT(O1305,5)+P1305)</f>
        <v>F3</v>
      </c>
      <c r="R1305" s="203" t="str">
        <f>BIN2HEX(LEFT(RIGHT(D1305,32),4))&amp;BIN2HEX(LEFT(RIGHT(D1305,28),4))&amp;BIN2HEX(LEFT(RIGHT(D1305,24),4))&amp;BIN2HEX(LEFT(RIGHT(D1305,20),4))&amp;BIN2HEX(LEFT(RIGHT(D1305,16),4))&amp;BIN2HEX(LEFT(RIGHT(D1305,12),4))&amp;BIN2HEX(LEFT(RIGHT(D1305,8),4))&amp;BIN2HEX(LEFT(RIGHT(D1305,4),4))</f>
        <v>00000000</v>
      </c>
      <c r="S1305" s="203" t="str">
        <f t="shared" ref="S1305" si="1026">BIN2HEX(LEFT(RIGHT(J1305,32),4))&amp;BIN2HEX(LEFT(RIGHT(J1305,28),4))&amp;BIN2HEX(LEFT(RIGHT(J1305,24),4))&amp;BIN2HEX(LEFT(RIGHT(J1305,20),4))&amp;BIN2HEX(LEFT(RIGHT(J1305,16),4))&amp;BIN2HEX(LEFT(RIGHT(J1305,12),4))&amp;BIN2HEX(LEFT(RIGHT(J1305,8),4))&amp;BIN2HEX(LEFT(RIGHT(J1305,4),4))</f>
        <v>00000000</v>
      </c>
    </row>
    <row r="1306" spans="1:19" s="61" customFormat="1">
      <c r="A1306" s="264"/>
      <c r="B1306" s="266"/>
      <c r="C1306" s="43" t="s">
        <v>481</v>
      </c>
      <c r="D1306" s="62">
        <v>8</v>
      </c>
      <c r="E1306" s="70" t="str">
        <f>IF(D1306&gt;1,(31)&amp;":"&amp;(31-D1306+1),(31-D1306+1)&amp;":"&amp;(31-D1306+1))</f>
        <v>31:24</v>
      </c>
      <c r="F1306" s="30" t="s">
        <v>133</v>
      </c>
      <c r="G1306" s="30" t="s">
        <v>133</v>
      </c>
      <c r="H1306" s="64" t="s">
        <v>448</v>
      </c>
      <c r="I1306" s="30" t="s">
        <v>68</v>
      </c>
      <c r="J1306" s="32" t="s">
        <v>36</v>
      </c>
      <c r="K1306" s="33" t="s">
        <v>6</v>
      </c>
      <c r="L1306" s="46"/>
      <c r="M1306" s="120"/>
      <c r="N1306" s="120"/>
      <c r="O1306" s="120"/>
      <c r="P1306" s="122"/>
      <c r="Q1306" s="122"/>
      <c r="R1306" s="204"/>
      <c r="S1306" s="204"/>
    </row>
    <row r="1307" spans="1:19" s="61" customFormat="1">
      <c r="A1307" s="264"/>
      <c r="B1307" s="266"/>
      <c r="C1307" s="43" t="s">
        <v>482</v>
      </c>
      <c r="D1307" s="62">
        <v>8</v>
      </c>
      <c r="E1307" s="33" t="str">
        <f t="shared" ref="E1307" si="1027">(MID(E1306,SEARCH(":",E1306)+1,2)-1) &amp; ":" &amp; (MID(E1306,SEARCH(":",E1306)+1,2)-D1307)</f>
        <v>23:16</v>
      </c>
      <c r="F1307" s="30" t="s">
        <v>133</v>
      </c>
      <c r="G1307" s="30" t="s">
        <v>133</v>
      </c>
      <c r="H1307" s="64" t="s">
        <v>450</v>
      </c>
      <c r="I1307" s="30" t="s">
        <v>68</v>
      </c>
      <c r="J1307" s="32" t="s">
        <v>36</v>
      </c>
      <c r="K1307" s="33" t="s">
        <v>6</v>
      </c>
      <c r="L1307" s="46"/>
      <c r="M1307" s="120"/>
      <c r="N1307" s="120"/>
      <c r="O1307" s="120"/>
      <c r="P1307" s="122"/>
      <c r="Q1307" s="122"/>
      <c r="R1307" s="204"/>
      <c r="S1307" s="204"/>
    </row>
    <row r="1308" spans="1:19" s="61" customFormat="1" ht="15.75" customHeight="1">
      <c r="A1308" s="264"/>
      <c r="B1308" s="266"/>
      <c r="C1308" s="43" t="s">
        <v>483</v>
      </c>
      <c r="D1308" s="62">
        <v>8</v>
      </c>
      <c r="E1308" s="33" t="str">
        <f>(MID(E1307,SEARCH(":",E1307)+1,2)-1) &amp; ":" &amp; (MID(E1307,SEARCH(":",E1307)+1,2)-D1308)</f>
        <v>15:8</v>
      </c>
      <c r="F1308" s="30" t="s">
        <v>133</v>
      </c>
      <c r="G1308" s="30" t="s">
        <v>133</v>
      </c>
      <c r="H1308" s="64" t="s">
        <v>452</v>
      </c>
      <c r="I1308" s="30" t="s">
        <v>68</v>
      </c>
      <c r="J1308" s="32" t="s">
        <v>36</v>
      </c>
      <c r="K1308" s="33" t="s">
        <v>6</v>
      </c>
      <c r="L1308" s="46"/>
      <c r="M1308" s="120"/>
      <c r="N1308" s="120"/>
      <c r="O1308" s="120"/>
      <c r="P1308" s="122"/>
      <c r="Q1308" s="122"/>
      <c r="R1308" s="204"/>
      <c r="S1308" s="204"/>
    </row>
    <row r="1309" spans="1:19" s="61" customFormat="1" ht="15" thickBot="1">
      <c r="A1309" s="264"/>
      <c r="B1309" s="266"/>
      <c r="C1309" s="43" t="s">
        <v>484</v>
      </c>
      <c r="D1309" s="62">
        <v>8</v>
      </c>
      <c r="E1309" s="33" t="str">
        <f>(MID(E1308,SEARCH(":",E1308)+1,2)-1) &amp; ":" &amp; (MID(E1308,SEARCH(":",E1308)+1,2)-D1309)</f>
        <v>7:0</v>
      </c>
      <c r="F1309" s="30" t="s">
        <v>133</v>
      </c>
      <c r="G1309" s="30" t="s">
        <v>133</v>
      </c>
      <c r="H1309" s="64" t="s">
        <v>454</v>
      </c>
      <c r="I1309" s="30" t="s">
        <v>68</v>
      </c>
      <c r="J1309" s="32" t="s">
        <v>36</v>
      </c>
      <c r="K1309" s="33" t="s">
        <v>6</v>
      </c>
      <c r="L1309" s="46"/>
      <c r="M1309" s="120"/>
      <c r="N1309" s="120"/>
      <c r="O1309" s="120"/>
      <c r="P1309" s="122"/>
      <c r="Q1309" s="122"/>
      <c r="R1309" s="210"/>
      <c r="S1309" s="210"/>
    </row>
    <row r="1310" spans="1:19" s="61" customFormat="1">
      <c r="A1310" s="264" t="s">
        <v>710</v>
      </c>
      <c r="B1310" s="265" t="str">
        <f t="shared" ref="B1310" si="1028">DEC2HEX(P1310*4)</f>
        <v>50</v>
      </c>
      <c r="C1310" s="56" t="s">
        <v>383</v>
      </c>
      <c r="D1310" s="129" t="str">
        <f>bitConcat(F1311:F1312)</f>
        <v>32'b00000000000000000000000000000000</v>
      </c>
      <c r="E1310" s="130"/>
      <c r="F1310" s="130"/>
      <c r="G1310" s="205"/>
      <c r="H1310" s="73" t="s">
        <v>384</v>
      </c>
      <c r="I1310" s="74"/>
      <c r="J1310" s="202" t="str">
        <f>bitConcat(G1311:G1312)</f>
        <v>32'b00000000000000000000000000000000</v>
      </c>
      <c r="K1310" s="131"/>
      <c r="L1310" s="132"/>
      <c r="M1310" s="119" t="str">
        <f t="shared" ref="M1310" si="1029">DEC2HEX(_xlfn.BITLSHIFT(O1310,7)+4*P1310)</f>
        <v>3D0</v>
      </c>
      <c r="N1310" s="120" t="s">
        <v>385</v>
      </c>
      <c r="O1310" s="120">
        <v>7</v>
      </c>
      <c r="P1310" s="122">
        <v>20</v>
      </c>
      <c r="Q1310" s="121" t="str">
        <f>DEC2HEX(_xlfn.BITLSHIFT(O1310,5)+P1310)</f>
        <v>F4</v>
      </c>
      <c r="R1310" s="203" t="str">
        <f>BIN2HEX(LEFT(RIGHT(D1310,32),4))&amp;BIN2HEX(LEFT(RIGHT(D1310,28),4))&amp;BIN2HEX(LEFT(RIGHT(D1310,24),4))&amp;BIN2HEX(LEFT(RIGHT(D1310,20),4))&amp;BIN2HEX(LEFT(RIGHT(D1310,16),4))&amp;BIN2HEX(LEFT(RIGHT(D1310,12),4))&amp;BIN2HEX(LEFT(RIGHT(D1310,8),4))&amp;BIN2HEX(LEFT(RIGHT(D1310,4),4))</f>
        <v>00000000</v>
      </c>
      <c r="S1310" s="203" t="str">
        <f t="shared" ref="S1310" si="1030">BIN2HEX(LEFT(RIGHT(J1310,32),4))&amp;BIN2HEX(LEFT(RIGHT(J1310,28),4))&amp;BIN2HEX(LEFT(RIGHT(J1310,24),4))&amp;BIN2HEX(LEFT(RIGHT(J1310,20),4))&amp;BIN2HEX(LEFT(RIGHT(J1310,16),4))&amp;BIN2HEX(LEFT(RIGHT(J1310,12),4))&amp;BIN2HEX(LEFT(RIGHT(J1310,8),4))&amp;BIN2HEX(LEFT(RIGHT(J1310,4),4))</f>
        <v>00000000</v>
      </c>
    </row>
    <row r="1311" spans="1:19" s="61" customFormat="1">
      <c r="A1311" s="264"/>
      <c r="B1311" s="266"/>
      <c r="C1311" s="43" t="s">
        <v>486</v>
      </c>
      <c r="D1311" s="62">
        <v>16</v>
      </c>
      <c r="E1311" s="70" t="str">
        <f>IF(D1311&gt;1,(31)&amp;":"&amp;(31-D1311+1),(31-D1311+1)&amp;":"&amp;(31-D1311+1))</f>
        <v>31:16</v>
      </c>
      <c r="F1311" s="30" t="s">
        <v>457</v>
      </c>
      <c r="G1311" s="30" t="s">
        <v>457</v>
      </c>
      <c r="H1311" s="64" t="s">
        <v>458</v>
      </c>
      <c r="I1311" s="30" t="s">
        <v>68</v>
      </c>
      <c r="J1311" s="32" t="s">
        <v>36</v>
      </c>
      <c r="K1311" s="33" t="s">
        <v>6</v>
      </c>
      <c r="L1311" s="46"/>
      <c r="M1311" s="120"/>
      <c r="N1311" s="120"/>
      <c r="O1311" s="120"/>
      <c r="P1311" s="122"/>
      <c r="Q1311" s="122"/>
      <c r="R1311" s="204"/>
      <c r="S1311" s="204"/>
    </row>
    <row r="1312" spans="1:19" s="61" customFormat="1" ht="15" thickBot="1">
      <c r="A1312" s="264"/>
      <c r="B1312" s="266"/>
      <c r="C1312" s="43" t="s">
        <v>557</v>
      </c>
      <c r="D1312" s="62">
        <v>16</v>
      </c>
      <c r="E1312" s="33" t="str">
        <f>(MID(E1311,SEARCH(":",E1311)+1,2)-1) &amp; ":" &amp; (MID(E1311,SEARCH(":",E1311)+1,2)-D1312)</f>
        <v>15:0</v>
      </c>
      <c r="F1312" s="30" t="s">
        <v>457</v>
      </c>
      <c r="G1312" s="30" t="s">
        <v>457</v>
      </c>
      <c r="H1312" s="65" t="s">
        <v>406</v>
      </c>
      <c r="I1312" s="30" t="s">
        <v>68</v>
      </c>
      <c r="J1312" s="32" t="s">
        <v>36</v>
      </c>
      <c r="K1312" s="33" t="s">
        <v>6</v>
      </c>
      <c r="L1312" s="46"/>
      <c r="M1312" s="120"/>
      <c r="N1312" s="120"/>
      <c r="O1312" s="120"/>
      <c r="P1312" s="122"/>
      <c r="Q1312" s="122"/>
      <c r="R1312" s="210"/>
      <c r="S1312" s="210"/>
    </row>
    <row r="1313" spans="1:19" s="61" customFormat="1">
      <c r="A1313" s="264" t="s">
        <v>711</v>
      </c>
      <c r="B1313" s="265" t="str">
        <f t="shared" ref="B1313" si="1031">DEC2HEX(P1313*4)</f>
        <v>54</v>
      </c>
      <c r="C1313" s="56" t="s">
        <v>383</v>
      </c>
      <c r="D1313" s="129" t="str">
        <f>bitConcat(F1314:F1319)</f>
        <v>32'b00000000101100110001100000100000</v>
      </c>
      <c r="E1313" s="130"/>
      <c r="F1313" s="130"/>
      <c r="G1313" s="205"/>
      <c r="H1313" s="73" t="s">
        <v>384</v>
      </c>
      <c r="I1313" s="74"/>
      <c r="J1313" s="202" t="str">
        <f>bitConcat(G1314:G1319)</f>
        <v>32'b00000000000000000001100000000000</v>
      </c>
      <c r="K1313" s="131"/>
      <c r="L1313" s="132"/>
      <c r="M1313" s="119" t="str">
        <f t="shared" ref="M1313" si="1032">DEC2HEX(_xlfn.BITLSHIFT(O1313,7)+4*P1313)</f>
        <v>3D4</v>
      </c>
      <c r="N1313" s="120" t="s">
        <v>385</v>
      </c>
      <c r="O1313" s="120">
        <v>7</v>
      </c>
      <c r="P1313" s="122">
        <v>21</v>
      </c>
      <c r="Q1313" s="121" t="str">
        <f>DEC2HEX(_xlfn.BITLSHIFT(O1313,5)+P1313)</f>
        <v>F5</v>
      </c>
      <c r="R1313" s="203" t="str">
        <f>BIN2HEX(LEFT(RIGHT(D1313,32),4))&amp;BIN2HEX(LEFT(RIGHT(D1313,28),4))&amp;BIN2HEX(LEFT(RIGHT(D1313,24),4))&amp;BIN2HEX(LEFT(RIGHT(D1313,20),4))&amp;BIN2HEX(LEFT(RIGHT(D1313,16),4))&amp;BIN2HEX(LEFT(RIGHT(D1313,12),4))&amp;BIN2HEX(LEFT(RIGHT(D1313,8),4))&amp;BIN2HEX(LEFT(RIGHT(D1313,4),4))</f>
        <v>00B31820</v>
      </c>
      <c r="S1313" s="203" t="str">
        <f t="shared" ref="S1313" si="1033">BIN2HEX(LEFT(RIGHT(J1313,32),4))&amp;BIN2HEX(LEFT(RIGHT(J1313,28),4))&amp;BIN2HEX(LEFT(RIGHT(J1313,24),4))&amp;BIN2HEX(LEFT(RIGHT(J1313,20),4))&amp;BIN2HEX(LEFT(RIGHT(J1313,16),4))&amp;BIN2HEX(LEFT(RIGHT(J1313,12),4))&amp;BIN2HEX(LEFT(RIGHT(J1313,8),4))&amp;BIN2HEX(LEFT(RIGHT(J1313,4),4))</f>
        <v>00001800</v>
      </c>
    </row>
    <row r="1314" spans="1:19" s="61" customFormat="1">
      <c r="A1314" s="264"/>
      <c r="B1314" s="266"/>
      <c r="C1314" s="43" t="s">
        <v>495</v>
      </c>
      <c r="D1314" s="62">
        <v>8</v>
      </c>
      <c r="E1314" s="70" t="str">
        <f>IF(D1314&gt;1,(31)&amp;":"&amp;(31-D1314+1),(31-D1314+1)&amp;":"&amp;(31-D1314+1))</f>
        <v>31:24</v>
      </c>
      <c r="F1314" s="30" t="s">
        <v>133</v>
      </c>
      <c r="G1314" s="30" t="s">
        <v>133</v>
      </c>
      <c r="H1314" s="64" t="s">
        <v>469</v>
      </c>
      <c r="I1314" s="30" t="s">
        <v>68</v>
      </c>
      <c r="J1314" s="32" t="s">
        <v>36</v>
      </c>
      <c r="K1314" s="33" t="s">
        <v>6</v>
      </c>
      <c r="L1314" s="46"/>
      <c r="M1314" s="120"/>
      <c r="N1314" s="120"/>
      <c r="O1314" s="120"/>
      <c r="P1314" s="122"/>
      <c r="Q1314" s="122"/>
      <c r="R1314" s="204"/>
      <c r="S1314" s="204"/>
    </row>
    <row r="1315" spans="1:19" s="61" customFormat="1">
      <c r="A1315" s="264"/>
      <c r="B1315" s="266"/>
      <c r="C1315" s="43" t="s">
        <v>496</v>
      </c>
      <c r="D1315" s="62">
        <v>8</v>
      </c>
      <c r="E1315" s="33" t="str">
        <f>(MID(E1314,SEARCH(":",E1314)+1,2)-1) &amp; ":" &amp; (MID(E1314,SEARCH(":",E1314)+1,2)-D1315)</f>
        <v>23:16</v>
      </c>
      <c r="F1315" s="30" t="s">
        <v>471</v>
      </c>
      <c r="G1315" s="30" t="s">
        <v>133</v>
      </c>
      <c r="H1315" s="65" t="s">
        <v>472</v>
      </c>
      <c r="I1315" s="30" t="s">
        <v>68</v>
      </c>
      <c r="J1315" s="32" t="s">
        <v>36</v>
      </c>
      <c r="K1315" s="33" t="s">
        <v>6</v>
      </c>
      <c r="L1315" s="46"/>
      <c r="M1315" s="120"/>
      <c r="N1315" s="120"/>
      <c r="O1315" s="120"/>
      <c r="P1315" s="122"/>
      <c r="Q1315" s="122"/>
      <c r="R1315" s="204"/>
      <c r="S1315" s="204"/>
    </row>
    <row r="1316" spans="1:19" s="61" customFormat="1" ht="15.75" customHeight="1">
      <c r="A1316" s="264"/>
      <c r="B1316" s="266"/>
      <c r="C1316" s="43" t="s">
        <v>497</v>
      </c>
      <c r="D1316" s="62">
        <v>10</v>
      </c>
      <c r="E1316" s="33" t="str">
        <f t="shared" ref="E1316:E1318" si="1034">(MID(E1315,SEARCH(":",E1315)+1,2)-1) &amp; ":" &amp; (MID(E1315,SEARCH(":",E1315)+1,2)-D1316)</f>
        <v>15:6</v>
      </c>
      <c r="F1316" s="30" t="s">
        <v>474</v>
      </c>
      <c r="G1316" s="30" t="s">
        <v>474</v>
      </c>
      <c r="H1316" s="64" t="s">
        <v>475</v>
      </c>
      <c r="I1316" s="30" t="s">
        <v>68</v>
      </c>
      <c r="J1316" s="32" t="s">
        <v>36</v>
      </c>
      <c r="K1316" s="33" t="s">
        <v>6</v>
      </c>
      <c r="L1316" s="46"/>
      <c r="M1316" s="120"/>
      <c r="N1316" s="120"/>
      <c r="O1316" s="120"/>
      <c r="P1316" s="122"/>
      <c r="Q1316" s="122"/>
      <c r="R1316" s="204"/>
      <c r="S1316" s="204"/>
    </row>
    <row r="1317" spans="1:19" s="61" customFormat="1">
      <c r="A1317" s="264"/>
      <c r="B1317" s="266"/>
      <c r="C1317" s="43" t="s">
        <v>498</v>
      </c>
      <c r="D1317" s="62">
        <v>1</v>
      </c>
      <c r="E1317" s="33" t="str">
        <f t="shared" si="1034"/>
        <v>5:5</v>
      </c>
      <c r="F1317" s="30" t="s">
        <v>269</v>
      </c>
      <c r="G1317" s="30" t="s">
        <v>7</v>
      </c>
      <c r="H1317" s="65" t="s">
        <v>477</v>
      </c>
      <c r="I1317" s="30" t="s">
        <v>68</v>
      </c>
      <c r="J1317" s="32" t="s">
        <v>36</v>
      </c>
      <c r="K1317" s="33" t="s">
        <v>6</v>
      </c>
      <c r="L1317" s="46"/>
      <c r="M1317" s="120"/>
      <c r="N1317" s="120"/>
      <c r="O1317" s="120"/>
      <c r="P1317" s="122"/>
      <c r="Q1317" s="122"/>
      <c r="R1317" s="204"/>
      <c r="S1317" s="204"/>
    </row>
    <row r="1318" spans="1:19" s="61" customFormat="1" ht="15" thickBot="1">
      <c r="A1318" s="264"/>
      <c r="B1318" s="266"/>
      <c r="C1318" s="43" t="s">
        <v>499</v>
      </c>
      <c r="D1318" s="62">
        <v>5</v>
      </c>
      <c r="E1318" s="33" t="str">
        <f t="shared" si="1034"/>
        <v>4:0</v>
      </c>
      <c r="F1318" s="30" t="s">
        <v>434</v>
      </c>
      <c r="G1318" s="30" t="s">
        <v>434</v>
      </c>
      <c r="H1318" s="65" t="s">
        <v>479</v>
      </c>
      <c r="I1318" s="30" t="s">
        <v>68</v>
      </c>
      <c r="J1318" s="32" t="s">
        <v>36</v>
      </c>
      <c r="K1318" s="33" t="s">
        <v>6</v>
      </c>
      <c r="L1318" s="46"/>
      <c r="M1318" s="120"/>
      <c r="N1318" s="120"/>
      <c r="O1318" s="120"/>
      <c r="P1318" s="122"/>
      <c r="Q1318" s="122"/>
      <c r="R1318" s="210"/>
      <c r="S1318" s="210"/>
    </row>
    <row r="1319" spans="1:19" s="61" customFormat="1">
      <c r="A1319" s="263" t="s">
        <v>712</v>
      </c>
      <c r="B1319" s="265" t="str">
        <f t="shared" ref="B1319" si="1035">DEC2HEX(P1319*4)</f>
        <v>58</v>
      </c>
      <c r="C1319" s="56" t="s">
        <v>383</v>
      </c>
      <c r="D1319" s="129" t="str">
        <f>bitConcat(F1320:F1323)</f>
        <v>32'b00000000000000000000000000000000</v>
      </c>
      <c r="E1319" s="130"/>
      <c r="F1319" s="130"/>
      <c r="G1319" s="205"/>
      <c r="H1319" s="73" t="s">
        <v>384</v>
      </c>
      <c r="I1319" s="74"/>
      <c r="J1319" s="202" t="str">
        <f>bitConcat(G1320:G1323)</f>
        <v>32'b00000000000000000000000000000000</v>
      </c>
      <c r="K1319" s="131"/>
      <c r="L1319" s="132"/>
      <c r="M1319" s="119" t="str">
        <f t="shared" ref="M1319" si="1036">DEC2HEX(_xlfn.BITLSHIFT(O1319,7)+4*P1319)</f>
        <v>3D8</v>
      </c>
      <c r="N1319" s="119" t="s">
        <v>385</v>
      </c>
      <c r="O1319" s="119">
        <v>7</v>
      </c>
      <c r="P1319" s="121">
        <v>22</v>
      </c>
      <c r="Q1319" s="121" t="str">
        <f>DEC2HEX(_xlfn.BITLSHIFT(O1319,5)+P1319)</f>
        <v>F6</v>
      </c>
      <c r="R1319" s="203" t="str">
        <f>BIN2HEX(LEFT(RIGHT(D1319,32),4))&amp;BIN2HEX(LEFT(RIGHT(D1319,28),4))&amp;BIN2HEX(LEFT(RIGHT(D1319,24),4))&amp;BIN2HEX(LEFT(RIGHT(D1319,20),4))&amp;BIN2HEX(LEFT(RIGHT(D1319,16),4))&amp;BIN2HEX(LEFT(RIGHT(D1319,12),4))&amp;BIN2HEX(LEFT(RIGHT(D1319,8),4))&amp;BIN2HEX(LEFT(RIGHT(D1319,4),4))</f>
        <v>00000000</v>
      </c>
      <c r="S1319" s="203" t="str">
        <f t="shared" ref="S1319" si="1037">BIN2HEX(LEFT(RIGHT(J1319,32),4))&amp;BIN2HEX(LEFT(RIGHT(J1319,28),4))&amp;BIN2HEX(LEFT(RIGHT(J1319,24),4))&amp;BIN2HEX(LEFT(RIGHT(J1319,20),4))&amp;BIN2HEX(LEFT(RIGHT(J1319,16),4))&amp;BIN2HEX(LEFT(RIGHT(J1319,12),4))&amp;BIN2HEX(LEFT(RIGHT(J1319,8),4))&amp;BIN2HEX(LEFT(RIGHT(J1319,4),4))</f>
        <v>00000000</v>
      </c>
    </row>
    <row r="1320" spans="1:19" s="61" customFormat="1">
      <c r="A1320" s="264"/>
      <c r="B1320" s="266"/>
      <c r="C1320" s="43" t="s">
        <v>501</v>
      </c>
      <c r="D1320" s="62">
        <v>8</v>
      </c>
      <c r="E1320" s="70" t="str">
        <f>IF(D1320&gt;1,(31)&amp;":"&amp;(31-D1320+1),(31-D1320+1)&amp;":"&amp;(31-D1320+1))</f>
        <v>31:24</v>
      </c>
      <c r="F1320" s="30" t="s">
        <v>133</v>
      </c>
      <c r="G1320" s="30" t="s">
        <v>133</v>
      </c>
      <c r="H1320" s="64" t="s">
        <v>448</v>
      </c>
      <c r="I1320" s="30" t="s">
        <v>68</v>
      </c>
      <c r="J1320" s="32" t="s">
        <v>36</v>
      </c>
      <c r="K1320" s="33" t="s">
        <v>6</v>
      </c>
      <c r="L1320" s="46"/>
      <c r="M1320" s="120"/>
      <c r="N1320" s="120"/>
      <c r="O1320" s="120"/>
      <c r="P1320" s="122"/>
      <c r="Q1320" s="122"/>
      <c r="R1320" s="204"/>
      <c r="S1320" s="204"/>
    </row>
    <row r="1321" spans="1:19" s="61" customFormat="1">
      <c r="A1321" s="264"/>
      <c r="B1321" s="266"/>
      <c r="C1321" s="43" t="s">
        <v>502</v>
      </c>
      <c r="D1321" s="62">
        <v>8</v>
      </c>
      <c r="E1321" s="33" t="str">
        <f t="shared" ref="E1321" si="1038">(MID(E1320,SEARCH(":",E1320)+1,2)-1) &amp; ":" &amp; (MID(E1320,SEARCH(":",E1320)+1,2)-D1321)</f>
        <v>23:16</v>
      </c>
      <c r="F1321" s="30" t="s">
        <v>133</v>
      </c>
      <c r="G1321" s="30" t="s">
        <v>133</v>
      </c>
      <c r="H1321" s="64" t="s">
        <v>450</v>
      </c>
      <c r="I1321" s="30" t="s">
        <v>68</v>
      </c>
      <c r="J1321" s="32" t="s">
        <v>36</v>
      </c>
      <c r="K1321" s="33" t="s">
        <v>6</v>
      </c>
      <c r="L1321" s="46"/>
      <c r="M1321" s="120"/>
      <c r="N1321" s="120"/>
      <c r="O1321" s="120"/>
      <c r="P1321" s="122"/>
      <c r="Q1321" s="122"/>
      <c r="R1321" s="204"/>
      <c r="S1321" s="204"/>
    </row>
    <row r="1322" spans="1:19" s="61" customFormat="1">
      <c r="A1322" s="264"/>
      <c r="B1322" s="266"/>
      <c r="C1322" s="43" t="s">
        <v>503</v>
      </c>
      <c r="D1322" s="62">
        <v>8</v>
      </c>
      <c r="E1322" s="33" t="str">
        <f>(MID(E1321,SEARCH(":",E1321)+1,2)-1) &amp; ":" &amp; (MID(E1321,SEARCH(":",E1321)+1,2)-D1322)</f>
        <v>15:8</v>
      </c>
      <c r="F1322" s="30" t="s">
        <v>133</v>
      </c>
      <c r="G1322" s="30" t="s">
        <v>133</v>
      </c>
      <c r="H1322" s="64" t="s">
        <v>452</v>
      </c>
      <c r="I1322" s="30" t="s">
        <v>68</v>
      </c>
      <c r="J1322" s="32" t="s">
        <v>36</v>
      </c>
      <c r="K1322" s="33" t="s">
        <v>6</v>
      </c>
      <c r="L1322" s="46"/>
      <c r="M1322" s="120"/>
      <c r="N1322" s="120"/>
      <c r="O1322" s="120"/>
      <c r="P1322" s="122"/>
      <c r="Q1322" s="122"/>
      <c r="R1322" s="204"/>
      <c r="S1322" s="204"/>
    </row>
    <row r="1323" spans="1:19" s="61" customFormat="1" ht="15" thickBot="1">
      <c r="A1323" s="264"/>
      <c r="B1323" s="266"/>
      <c r="C1323" s="43" t="s">
        <v>504</v>
      </c>
      <c r="D1323" s="62">
        <v>8</v>
      </c>
      <c r="E1323" s="33" t="str">
        <f>(MID(E1322,SEARCH(":",E1322)+1,2)-1) &amp; ":" &amp; (MID(E1322,SEARCH(":",E1322)+1,2)-D1323)</f>
        <v>7:0</v>
      </c>
      <c r="F1323" s="30" t="s">
        <v>133</v>
      </c>
      <c r="G1323" s="30" t="s">
        <v>133</v>
      </c>
      <c r="H1323" s="64" t="s">
        <v>454</v>
      </c>
      <c r="I1323" s="30" t="s">
        <v>68</v>
      </c>
      <c r="J1323" s="32" t="s">
        <v>36</v>
      </c>
      <c r="K1323" s="33" t="s">
        <v>6</v>
      </c>
      <c r="L1323" s="46"/>
      <c r="M1323" s="120"/>
      <c r="N1323" s="120"/>
      <c r="O1323" s="120"/>
      <c r="P1323" s="122"/>
      <c r="Q1323" s="122"/>
      <c r="R1323" s="210"/>
      <c r="S1323" s="210"/>
    </row>
    <row r="1324" spans="1:19" s="61" customFormat="1">
      <c r="A1324" s="264" t="s">
        <v>713</v>
      </c>
      <c r="B1324" s="265" t="str">
        <f t="shared" ref="B1324" si="1039">DEC2HEX(P1324*4)</f>
        <v>5C</v>
      </c>
      <c r="C1324" s="56" t="s">
        <v>383</v>
      </c>
      <c r="D1324" s="129" t="str">
        <f>bitConcat(F1325:F1326)</f>
        <v>32'b00000000000000000000000000000000</v>
      </c>
      <c r="E1324" s="130"/>
      <c r="F1324" s="130"/>
      <c r="G1324" s="205"/>
      <c r="H1324" s="73" t="s">
        <v>384</v>
      </c>
      <c r="I1324" s="74"/>
      <c r="J1324" s="202" t="str">
        <f>bitConcat(G1325:G1326)</f>
        <v>32'b00000000000000000000000000000000</v>
      </c>
      <c r="K1324" s="131"/>
      <c r="L1324" s="132"/>
      <c r="M1324" s="119" t="str">
        <f t="shared" ref="M1324" si="1040">DEC2HEX(_xlfn.BITLSHIFT(O1324,7)+4*P1324)</f>
        <v>3DC</v>
      </c>
      <c r="N1324" s="120" t="s">
        <v>385</v>
      </c>
      <c r="O1324" s="120">
        <v>7</v>
      </c>
      <c r="P1324" s="122">
        <v>23</v>
      </c>
      <c r="Q1324" s="121" t="str">
        <f>DEC2HEX(_xlfn.BITLSHIFT(O1324,5)+P1324)</f>
        <v>F7</v>
      </c>
      <c r="R1324" s="203" t="str">
        <f>BIN2HEX(LEFT(RIGHT(D1324,32),4))&amp;BIN2HEX(LEFT(RIGHT(D1324,28),4))&amp;BIN2HEX(LEFT(RIGHT(D1324,24),4))&amp;BIN2HEX(LEFT(RIGHT(D1324,20),4))&amp;BIN2HEX(LEFT(RIGHT(D1324,16),4))&amp;BIN2HEX(LEFT(RIGHT(D1324,12),4))&amp;BIN2HEX(LEFT(RIGHT(D1324,8),4))&amp;BIN2HEX(LEFT(RIGHT(D1324,4),4))</f>
        <v>00000000</v>
      </c>
      <c r="S1324" s="203" t="str">
        <f t="shared" ref="S1324" si="1041">BIN2HEX(LEFT(RIGHT(J1324,32),4))&amp;BIN2HEX(LEFT(RIGHT(J1324,28),4))&amp;BIN2HEX(LEFT(RIGHT(J1324,24),4))&amp;BIN2HEX(LEFT(RIGHT(J1324,20),4))&amp;BIN2HEX(LEFT(RIGHT(J1324,16),4))&amp;BIN2HEX(LEFT(RIGHT(J1324,12),4))&amp;BIN2HEX(LEFT(RIGHT(J1324,8),4))&amp;BIN2HEX(LEFT(RIGHT(J1324,4),4))</f>
        <v>00000000</v>
      </c>
    </row>
    <row r="1325" spans="1:19" s="61" customFormat="1" ht="15.75" customHeight="1">
      <c r="A1325" s="264"/>
      <c r="B1325" s="266"/>
      <c r="C1325" s="43" t="s">
        <v>506</v>
      </c>
      <c r="D1325" s="62">
        <v>16</v>
      </c>
      <c r="E1325" s="70" t="str">
        <f>IF(D1325&gt;1,(31)&amp;":"&amp;(31-D1325+1),(31-D1325+1)&amp;":"&amp;(31-D1325+1))</f>
        <v>31:16</v>
      </c>
      <c r="F1325" s="30" t="s">
        <v>457</v>
      </c>
      <c r="G1325" s="30" t="s">
        <v>457</v>
      </c>
      <c r="H1325" s="64" t="s">
        <v>507</v>
      </c>
      <c r="I1325" s="30" t="s">
        <v>68</v>
      </c>
      <c r="J1325" s="32" t="s">
        <v>36</v>
      </c>
      <c r="K1325" s="33" t="s">
        <v>6</v>
      </c>
      <c r="L1325" s="46"/>
      <c r="M1325" s="120"/>
      <c r="N1325" s="120"/>
      <c r="O1325" s="120"/>
      <c r="P1325" s="122"/>
      <c r="Q1325" s="122"/>
      <c r="R1325" s="204"/>
      <c r="S1325" s="204"/>
    </row>
    <row r="1326" spans="1:19" s="61" customFormat="1" ht="15" thickBot="1">
      <c r="A1326" s="264"/>
      <c r="B1326" s="266"/>
      <c r="C1326" s="43" t="s">
        <v>557</v>
      </c>
      <c r="D1326" s="62">
        <v>16</v>
      </c>
      <c r="E1326" s="33" t="str">
        <f>(MID(E1325,SEARCH(":",E1325)+1,2)-1) &amp; ":" &amp; (MID(E1325,SEARCH(":",E1325)+1,2)-D1326)</f>
        <v>15:0</v>
      </c>
      <c r="F1326" s="30" t="s">
        <v>457</v>
      </c>
      <c r="G1326" s="30" t="s">
        <v>457</v>
      </c>
      <c r="H1326" s="65" t="s">
        <v>406</v>
      </c>
      <c r="I1326" s="30" t="s">
        <v>68</v>
      </c>
      <c r="J1326" s="32" t="s">
        <v>36</v>
      </c>
      <c r="K1326" s="33" t="s">
        <v>6</v>
      </c>
      <c r="L1326" s="46"/>
      <c r="M1326" s="120"/>
      <c r="N1326" s="120"/>
      <c r="O1326" s="120"/>
      <c r="P1326" s="122"/>
      <c r="Q1326" s="122"/>
      <c r="R1326" s="210"/>
      <c r="S1326" s="210"/>
    </row>
    <row r="1327" spans="1:19" s="61" customFormat="1">
      <c r="A1327" s="264" t="s">
        <v>714</v>
      </c>
      <c r="B1327" s="265" t="str">
        <f t="shared" ref="B1327" si="1042">DEC2HEX(P1327*4)</f>
        <v>60</v>
      </c>
      <c r="C1327" s="56" t="s">
        <v>383</v>
      </c>
      <c r="D1327" s="129" t="str">
        <f>bitConcat(F1328:F1333)</f>
        <v>32'b00000000101100110001100000100000</v>
      </c>
      <c r="E1327" s="130"/>
      <c r="F1327" s="130"/>
      <c r="G1327" s="205"/>
      <c r="H1327" s="73" t="s">
        <v>384</v>
      </c>
      <c r="I1327" s="74"/>
      <c r="J1327" s="202" t="str">
        <f>bitConcat(G1328:G1333)</f>
        <v>32'b00000000000000000001100000000000</v>
      </c>
      <c r="K1327" s="131"/>
      <c r="L1327" s="132"/>
      <c r="M1327" s="119" t="str">
        <f t="shared" ref="M1327" si="1043">DEC2HEX(_xlfn.BITLSHIFT(O1327,7)+4*P1327)</f>
        <v>3E0</v>
      </c>
      <c r="N1327" s="120" t="s">
        <v>385</v>
      </c>
      <c r="O1327" s="120">
        <v>7</v>
      </c>
      <c r="P1327" s="122">
        <v>24</v>
      </c>
      <c r="Q1327" s="121" t="str">
        <f t="shared" ref="Q1327" si="1044">DEC2HEX(_xlfn.BITLSHIFT(O1327,5)+P1327*4)</f>
        <v>140</v>
      </c>
      <c r="R1327" s="203" t="str">
        <f>BIN2HEX(LEFT(RIGHT(D1327,32),4))&amp;BIN2HEX(LEFT(RIGHT(D1327,28),4))&amp;BIN2HEX(LEFT(RIGHT(D1327,24),4))&amp;BIN2HEX(LEFT(RIGHT(D1327,20),4))&amp;BIN2HEX(LEFT(RIGHT(D1327,16),4))&amp;BIN2HEX(LEFT(RIGHT(D1327,12),4))&amp;BIN2HEX(LEFT(RIGHT(D1327,8),4))&amp;BIN2HEX(LEFT(RIGHT(D1327,4),4))</f>
        <v>00B31820</v>
      </c>
      <c r="S1327" s="203" t="str">
        <f t="shared" ref="S1327" si="1045">BIN2HEX(LEFT(RIGHT(J1327,32),4))&amp;BIN2HEX(LEFT(RIGHT(J1327,28),4))&amp;BIN2HEX(LEFT(RIGHT(J1327,24),4))&amp;BIN2HEX(LEFT(RIGHT(J1327,20),4))&amp;BIN2HEX(LEFT(RIGHT(J1327,16),4))&amp;BIN2HEX(LEFT(RIGHT(J1327,12),4))&amp;BIN2HEX(LEFT(RIGHT(J1327,8),4))&amp;BIN2HEX(LEFT(RIGHT(J1327,4),4))</f>
        <v>00001800</v>
      </c>
    </row>
    <row r="1328" spans="1:19" s="61" customFormat="1">
      <c r="A1328" s="264"/>
      <c r="B1328" s="266"/>
      <c r="C1328" s="43" t="s">
        <v>514</v>
      </c>
      <c r="D1328" s="62">
        <v>8</v>
      </c>
      <c r="E1328" s="70" t="str">
        <f>IF(D1328&gt;1,(31)&amp;":"&amp;(31-D1328+1),(31-D1328+1)&amp;":"&amp;(31-D1328+1))</f>
        <v>31:24</v>
      </c>
      <c r="F1328" s="30" t="s">
        <v>133</v>
      </c>
      <c r="G1328" s="30" t="s">
        <v>133</v>
      </c>
      <c r="H1328" s="64" t="s">
        <v>469</v>
      </c>
      <c r="I1328" s="30" t="s">
        <v>68</v>
      </c>
      <c r="J1328" s="32" t="s">
        <v>36</v>
      </c>
      <c r="K1328" s="33" t="s">
        <v>6</v>
      </c>
      <c r="L1328" s="46"/>
      <c r="M1328" s="120"/>
      <c r="N1328" s="120"/>
      <c r="O1328" s="120"/>
      <c r="P1328" s="122"/>
      <c r="Q1328" s="122"/>
      <c r="R1328" s="204"/>
      <c r="S1328" s="204"/>
    </row>
    <row r="1329" spans="1:19" s="61" customFormat="1">
      <c r="A1329" s="264"/>
      <c r="B1329" s="266"/>
      <c r="C1329" s="43" t="s">
        <v>515</v>
      </c>
      <c r="D1329" s="62">
        <v>8</v>
      </c>
      <c r="E1329" s="33" t="str">
        <f>(MID(E1328,SEARCH(":",E1328)+1,2)-1) &amp; ":" &amp; (MID(E1328,SEARCH(":",E1328)+1,2)-D1329)</f>
        <v>23:16</v>
      </c>
      <c r="F1329" s="30" t="s">
        <v>471</v>
      </c>
      <c r="G1329" s="30" t="s">
        <v>133</v>
      </c>
      <c r="H1329" s="65" t="s">
        <v>472</v>
      </c>
      <c r="I1329" s="30" t="s">
        <v>68</v>
      </c>
      <c r="J1329" s="32" t="s">
        <v>36</v>
      </c>
      <c r="K1329" s="33" t="s">
        <v>6</v>
      </c>
      <c r="L1329" s="46"/>
      <c r="M1329" s="120"/>
      <c r="N1329" s="120"/>
      <c r="O1329" s="120"/>
      <c r="P1329" s="122"/>
      <c r="Q1329" s="122"/>
      <c r="R1329" s="204"/>
      <c r="S1329" s="204"/>
    </row>
    <row r="1330" spans="1:19" s="61" customFormat="1">
      <c r="A1330" s="264"/>
      <c r="B1330" s="266"/>
      <c r="C1330" s="43" t="s">
        <v>516</v>
      </c>
      <c r="D1330" s="62">
        <v>10</v>
      </c>
      <c r="E1330" s="33" t="str">
        <f t="shared" ref="E1330:E1332" si="1046">(MID(E1329,SEARCH(":",E1329)+1,2)-1) &amp; ":" &amp; (MID(E1329,SEARCH(":",E1329)+1,2)-D1330)</f>
        <v>15:6</v>
      </c>
      <c r="F1330" s="30" t="s">
        <v>474</v>
      </c>
      <c r="G1330" s="30" t="s">
        <v>474</v>
      </c>
      <c r="H1330" s="64" t="s">
        <v>475</v>
      </c>
      <c r="I1330" s="30" t="s">
        <v>68</v>
      </c>
      <c r="J1330" s="32" t="s">
        <v>36</v>
      </c>
      <c r="K1330" s="33" t="s">
        <v>6</v>
      </c>
      <c r="L1330" s="46"/>
      <c r="M1330" s="120"/>
      <c r="N1330" s="120"/>
      <c r="O1330" s="120"/>
      <c r="P1330" s="122"/>
      <c r="Q1330" s="122"/>
      <c r="R1330" s="204"/>
      <c r="S1330" s="204"/>
    </row>
    <row r="1331" spans="1:19" s="61" customFormat="1">
      <c r="A1331" s="264"/>
      <c r="B1331" s="266"/>
      <c r="C1331" s="43" t="s">
        <v>517</v>
      </c>
      <c r="D1331" s="62">
        <v>1</v>
      </c>
      <c r="E1331" s="33" t="str">
        <f t="shared" si="1046"/>
        <v>5:5</v>
      </c>
      <c r="F1331" s="30" t="s">
        <v>269</v>
      </c>
      <c r="G1331" s="30" t="s">
        <v>7</v>
      </c>
      <c r="H1331" s="65" t="s">
        <v>477</v>
      </c>
      <c r="I1331" s="30" t="s">
        <v>68</v>
      </c>
      <c r="J1331" s="32" t="s">
        <v>36</v>
      </c>
      <c r="K1331" s="33" t="s">
        <v>6</v>
      </c>
      <c r="L1331" s="46"/>
      <c r="M1331" s="120"/>
      <c r="N1331" s="120"/>
      <c r="O1331" s="120"/>
      <c r="P1331" s="122"/>
      <c r="Q1331" s="122"/>
      <c r="R1331" s="204"/>
      <c r="S1331" s="204"/>
    </row>
    <row r="1332" spans="1:19" s="61" customFormat="1" ht="15" thickBot="1">
      <c r="A1332" s="264"/>
      <c r="B1332" s="266"/>
      <c r="C1332" s="43" t="s">
        <v>518</v>
      </c>
      <c r="D1332" s="62">
        <v>5</v>
      </c>
      <c r="E1332" s="33" t="str">
        <f t="shared" si="1046"/>
        <v>4:0</v>
      </c>
      <c r="F1332" s="30" t="s">
        <v>434</v>
      </c>
      <c r="G1332" s="30" t="s">
        <v>434</v>
      </c>
      <c r="H1332" s="65" t="s">
        <v>479</v>
      </c>
      <c r="I1332" s="30" t="s">
        <v>68</v>
      </c>
      <c r="J1332" s="32" t="s">
        <v>36</v>
      </c>
      <c r="K1332" s="33" t="s">
        <v>6</v>
      </c>
      <c r="L1332" s="46"/>
      <c r="M1332" s="120"/>
      <c r="N1332" s="120"/>
      <c r="O1332" s="120"/>
      <c r="P1332" s="122"/>
      <c r="Q1332" s="122"/>
      <c r="R1332" s="210"/>
      <c r="S1332" s="210"/>
    </row>
    <row r="1333" spans="1:19" s="61" customFormat="1">
      <c r="A1333" s="263" t="s">
        <v>715</v>
      </c>
      <c r="B1333" s="265" t="str">
        <f t="shared" ref="B1333" si="1047">DEC2HEX(P1333*4)</f>
        <v>64</v>
      </c>
      <c r="C1333" s="56" t="s">
        <v>383</v>
      </c>
      <c r="D1333" s="129" t="str">
        <f>bitConcat(F1334:F1337)</f>
        <v>32'b00000000000000000000000000000000</v>
      </c>
      <c r="E1333" s="130"/>
      <c r="F1333" s="130"/>
      <c r="G1333" s="205"/>
      <c r="H1333" s="73" t="s">
        <v>384</v>
      </c>
      <c r="I1333" s="74"/>
      <c r="J1333" s="202" t="str">
        <f>bitConcat(G1334:G1337)</f>
        <v>32'b00000000000000000000000000000000</v>
      </c>
      <c r="K1333" s="131"/>
      <c r="L1333" s="132"/>
      <c r="M1333" s="119" t="str">
        <f t="shared" ref="M1333" si="1048">DEC2HEX(_xlfn.BITLSHIFT(O1333,7)+4*P1333)</f>
        <v>3E4</v>
      </c>
      <c r="N1333" s="119" t="s">
        <v>385</v>
      </c>
      <c r="O1333" s="119">
        <v>7</v>
      </c>
      <c r="P1333" s="121">
        <v>25</v>
      </c>
      <c r="Q1333" s="121" t="str">
        <f>DEC2HEX(_xlfn.BITLSHIFT(O1333,5)+P1333)</f>
        <v>F9</v>
      </c>
      <c r="R1333" s="203" t="str">
        <f>BIN2HEX(LEFT(RIGHT(D1333,32),4))&amp;BIN2HEX(LEFT(RIGHT(D1333,28),4))&amp;BIN2HEX(LEFT(RIGHT(D1333,24),4))&amp;BIN2HEX(LEFT(RIGHT(D1333,20),4))&amp;BIN2HEX(LEFT(RIGHT(D1333,16),4))&amp;BIN2HEX(LEFT(RIGHT(D1333,12),4))&amp;BIN2HEX(LEFT(RIGHT(D1333,8),4))&amp;BIN2HEX(LEFT(RIGHT(D1333,4),4))</f>
        <v>00000000</v>
      </c>
      <c r="S1333" s="203" t="str">
        <f t="shared" ref="S1333" si="1049">BIN2HEX(LEFT(RIGHT(J1333,32),4))&amp;BIN2HEX(LEFT(RIGHT(J1333,28),4))&amp;BIN2HEX(LEFT(RIGHT(J1333,24),4))&amp;BIN2HEX(LEFT(RIGHT(J1333,20),4))&amp;BIN2HEX(LEFT(RIGHT(J1333,16),4))&amp;BIN2HEX(LEFT(RIGHT(J1333,12),4))&amp;BIN2HEX(LEFT(RIGHT(J1333,8),4))&amp;BIN2HEX(LEFT(RIGHT(J1333,4),4))</f>
        <v>00000000</v>
      </c>
    </row>
    <row r="1334" spans="1:19" s="61" customFormat="1">
      <c r="A1334" s="264"/>
      <c r="B1334" s="266"/>
      <c r="C1334" s="43" t="s">
        <v>520</v>
      </c>
      <c r="D1334" s="62">
        <v>8</v>
      </c>
      <c r="E1334" s="70" t="str">
        <f>IF(D1334&gt;1,(31)&amp;":"&amp;(31-D1334+1),(31-D1334+1)&amp;":"&amp;(31-D1334+1))</f>
        <v>31:24</v>
      </c>
      <c r="F1334" s="30" t="s">
        <v>133</v>
      </c>
      <c r="G1334" s="30" t="s">
        <v>133</v>
      </c>
      <c r="H1334" s="64" t="s">
        <v>448</v>
      </c>
      <c r="I1334" s="30" t="s">
        <v>68</v>
      </c>
      <c r="J1334" s="32" t="s">
        <v>36</v>
      </c>
      <c r="K1334" s="33" t="s">
        <v>6</v>
      </c>
      <c r="L1334" s="46"/>
      <c r="M1334" s="120"/>
      <c r="N1334" s="120"/>
      <c r="O1334" s="120"/>
      <c r="P1334" s="122"/>
      <c r="Q1334" s="122"/>
      <c r="R1334" s="204"/>
      <c r="S1334" s="204"/>
    </row>
    <row r="1335" spans="1:19" s="61" customFormat="1">
      <c r="A1335" s="264"/>
      <c r="B1335" s="266"/>
      <c r="C1335" s="43" t="s">
        <v>521</v>
      </c>
      <c r="D1335" s="62">
        <v>8</v>
      </c>
      <c r="E1335" s="33" t="str">
        <f t="shared" ref="E1335" si="1050">(MID(E1334,SEARCH(":",E1334)+1,2)-1) &amp; ":" &amp; (MID(E1334,SEARCH(":",E1334)+1,2)-D1335)</f>
        <v>23:16</v>
      </c>
      <c r="F1335" s="30" t="s">
        <v>133</v>
      </c>
      <c r="G1335" s="30" t="s">
        <v>133</v>
      </c>
      <c r="H1335" s="64" t="s">
        <v>450</v>
      </c>
      <c r="I1335" s="30" t="s">
        <v>68</v>
      </c>
      <c r="J1335" s="32" t="s">
        <v>36</v>
      </c>
      <c r="K1335" s="33" t="s">
        <v>6</v>
      </c>
      <c r="L1335" s="46"/>
      <c r="M1335" s="120"/>
      <c r="N1335" s="120"/>
      <c r="O1335" s="120"/>
      <c r="P1335" s="122"/>
      <c r="Q1335" s="122"/>
      <c r="R1335" s="204"/>
      <c r="S1335" s="204"/>
    </row>
    <row r="1336" spans="1:19" s="61" customFormat="1" ht="15.75" customHeight="1">
      <c r="A1336" s="264"/>
      <c r="B1336" s="266"/>
      <c r="C1336" s="43" t="s">
        <v>522</v>
      </c>
      <c r="D1336" s="62">
        <v>8</v>
      </c>
      <c r="E1336" s="33" t="str">
        <f>(MID(E1335,SEARCH(":",E1335)+1,2)-1) &amp; ":" &amp; (MID(E1335,SEARCH(":",E1335)+1,2)-D1336)</f>
        <v>15:8</v>
      </c>
      <c r="F1336" s="30" t="s">
        <v>133</v>
      </c>
      <c r="G1336" s="30" t="s">
        <v>133</v>
      </c>
      <c r="H1336" s="64" t="s">
        <v>452</v>
      </c>
      <c r="I1336" s="30" t="s">
        <v>68</v>
      </c>
      <c r="J1336" s="32" t="s">
        <v>36</v>
      </c>
      <c r="K1336" s="33" t="s">
        <v>6</v>
      </c>
      <c r="L1336" s="46"/>
      <c r="M1336" s="120"/>
      <c r="N1336" s="120"/>
      <c r="O1336" s="120"/>
      <c r="P1336" s="122"/>
      <c r="Q1336" s="122"/>
      <c r="R1336" s="204"/>
      <c r="S1336" s="204"/>
    </row>
    <row r="1337" spans="1:19" s="61" customFormat="1" ht="15" thickBot="1">
      <c r="A1337" s="264"/>
      <c r="B1337" s="266"/>
      <c r="C1337" s="43" t="s">
        <v>523</v>
      </c>
      <c r="D1337" s="62">
        <v>8</v>
      </c>
      <c r="E1337" s="33" t="str">
        <f>(MID(E1336,SEARCH(":",E1336)+1,2)-1) &amp; ":" &amp; (MID(E1336,SEARCH(":",E1336)+1,2)-D1337)</f>
        <v>7:0</v>
      </c>
      <c r="F1337" s="30" t="s">
        <v>133</v>
      </c>
      <c r="G1337" s="30" t="s">
        <v>133</v>
      </c>
      <c r="H1337" s="64" t="s">
        <v>454</v>
      </c>
      <c r="I1337" s="30" t="s">
        <v>68</v>
      </c>
      <c r="J1337" s="32" t="s">
        <v>36</v>
      </c>
      <c r="K1337" s="33" t="s">
        <v>6</v>
      </c>
      <c r="L1337" s="46"/>
      <c r="M1337" s="120"/>
      <c r="N1337" s="120"/>
      <c r="O1337" s="120"/>
      <c r="P1337" s="122"/>
      <c r="Q1337" s="122"/>
      <c r="R1337" s="210"/>
      <c r="S1337" s="210"/>
    </row>
    <row r="1338" spans="1:19" s="61" customFormat="1" ht="15.75" customHeight="1">
      <c r="A1338" s="264" t="s">
        <v>716</v>
      </c>
      <c r="B1338" s="265" t="str">
        <f t="shared" ref="B1338" si="1051">DEC2HEX(P1338*4)</f>
        <v>68</v>
      </c>
      <c r="C1338" s="56" t="s">
        <v>383</v>
      </c>
      <c r="D1338" s="129" t="str">
        <f>bitConcat(F1339:F1340)</f>
        <v>32'b00000000000000000000000000000000</v>
      </c>
      <c r="E1338" s="130"/>
      <c r="F1338" s="130"/>
      <c r="G1338" s="205"/>
      <c r="H1338" s="73" t="s">
        <v>384</v>
      </c>
      <c r="I1338" s="74"/>
      <c r="J1338" s="202" t="str">
        <f>bitConcat(G1339:G1340)</f>
        <v>32'b00000000000000000000000000000000</v>
      </c>
      <c r="K1338" s="131"/>
      <c r="L1338" s="132"/>
      <c r="M1338" s="119" t="str">
        <f t="shared" ref="M1338" si="1052">DEC2HEX(_xlfn.BITLSHIFT(O1338,7)+4*P1338)</f>
        <v>3E8</v>
      </c>
      <c r="N1338" s="120" t="s">
        <v>385</v>
      </c>
      <c r="O1338" s="120">
        <v>7</v>
      </c>
      <c r="P1338" s="122">
        <v>26</v>
      </c>
      <c r="Q1338" s="121" t="str">
        <f>DEC2HEX(_xlfn.BITLSHIFT(O1338,5)+P1338)</f>
        <v>FA</v>
      </c>
      <c r="R1338" s="203" t="str">
        <f>BIN2HEX(LEFT(RIGHT(D1338,32),4))&amp;BIN2HEX(LEFT(RIGHT(D1338,28),4))&amp;BIN2HEX(LEFT(RIGHT(D1338,24),4))&amp;BIN2HEX(LEFT(RIGHT(D1338,20),4))&amp;BIN2HEX(LEFT(RIGHT(D1338,16),4))&amp;BIN2HEX(LEFT(RIGHT(D1338,12),4))&amp;BIN2HEX(LEFT(RIGHT(D1338,8),4))&amp;BIN2HEX(LEFT(RIGHT(D1338,4),4))</f>
        <v>00000000</v>
      </c>
      <c r="S1338" s="203" t="str">
        <f t="shared" ref="S1338" si="1053">BIN2HEX(LEFT(RIGHT(J1338,32),4))&amp;BIN2HEX(LEFT(RIGHT(J1338,28),4))&amp;BIN2HEX(LEFT(RIGHT(J1338,24),4))&amp;BIN2HEX(LEFT(RIGHT(J1338,20),4))&amp;BIN2HEX(LEFT(RIGHT(J1338,16),4))&amp;BIN2HEX(LEFT(RIGHT(J1338,12),4))&amp;BIN2HEX(LEFT(RIGHT(J1338,8),4))&amp;BIN2HEX(LEFT(RIGHT(J1338,4),4))</f>
        <v>00000000</v>
      </c>
    </row>
    <row r="1339" spans="1:19" s="61" customFormat="1">
      <c r="A1339" s="264"/>
      <c r="B1339" s="266"/>
      <c r="C1339" s="43" t="s">
        <v>525</v>
      </c>
      <c r="D1339" s="62">
        <v>16</v>
      </c>
      <c r="E1339" s="70" t="str">
        <f>IF(D1339&gt;1,(31)&amp;":"&amp;(31-D1339+1),(31-D1339+1)&amp;":"&amp;(31-D1339+1))</f>
        <v>31:16</v>
      </c>
      <c r="F1339" s="30" t="s">
        <v>457</v>
      </c>
      <c r="G1339" s="30" t="s">
        <v>457</v>
      </c>
      <c r="H1339" s="64" t="s">
        <v>526</v>
      </c>
      <c r="I1339" s="30" t="s">
        <v>68</v>
      </c>
      <c r="J1339" s="32" t="s">
        <v>36</v>
      </c>
      <c r="K1339" s="33" t="s">
        <v>6</v>
      </c>
      <c r="L1339" s="46"/>
      <c r="M1339" s="120"/>
      <c r="N1339" s="120"/>
      <c r="O1339" s="120"/>
      <c r="P1339" s="122"/>
      <c r="Q1339" s="122"/>
      <c r="R1339" s="204"/>
      <c r="S1339" s="204"/>
    </row>
    <row r="1340" spans="1:19" s="61" customFormat="1" ht="15" thickBot="1">
      <c r="A1340" s="264"/>
      <c r="B1340" s="266"/>
      <c r="C1340" s="43" t="s">
        <v>557</v>
      </c>
      <c r="D1340" s="62">
        <v>16</v>
      </c>
      <c r="E1340" s="33" t="str">
        <f>(MID(E1339,SEARCH(":",E1339)+1,2)-1) &amp; ":" &amp; (MID(E1339,SEARCH(":",E1339)+1,2)-D1340)</f>
        <v>15:0</v>
      </c>
      <c r="F1340" s="30" t="s">
        <v>457</v>
      </c>
      <c r="G1340" s="30" t="s">
        <v>457</v>
      </c>
      <c r="H1340" s="65" t="s">
        <v>406</v>
      </c>
      <c r="I1340" s="30" t="s">
        <v>68</v>
      </c>
      <c r="J1340" s="32" t="s">
        <v>36</v>
      </c>
      <c r="K1340" s="33" t="s">
        <v>6</v>
      </c>
      <c r="L1340" s="46"/>
      <c r="M1340" s="120"/>
      <c r="N1340" s="120"/>
      <c r="O1340" s="120"/>
      <c r="P1340" s="122"/>
      <c r="Q1340" s="122"/>
      <c r="R1340" s="210"/>
      <c r="S1340" s="210"/>
    </row>
    <row r="1341" spans="1:19" s="61" customFormat="1">
      <c r="A1341" s="264" t="s">
        <v>717</v>
      </c>
      <c r="B1341" s="265" t="str">
        <f t="shared" ref="B1341" si="1054">DEC2HEX(P1341*4)</f>
        <v>6C</v>
      </c>
      <c r="C1341" s="56" t="s">
        <v>383</v>
      </c>
      <c r="D1341" s="129" t="str">
        <f>bitConcat(F1342:F1347)</f>
        <v>32'b00000000101100110001100000100000</v>
      </c>
      <c r="E1341" s="130"/>
      <c r="F1341" s="130"/>
      <c r="G1341" s="205"/>
      <c r="H1341" s="73" t="s">
        <v>384</v>
      </c>
      <c r="I1341" s="74"/>
      <c r="J1341" s="202" t="str">
        <f>bitConcat(G1342:G1347)</f>
        <v>32'b00000000000000000001100000000000</v>
      </c>
      <c r="K1341" s="131"/>
      <c r="L1341" s="132"/>
      <c r="M1341" s="119" t="str">
        <f t="shared" ref="M1341" si="1055">DEC2HEX(_xlfn.BITLSHIFT(O1341,7)+4*P1341)</f>
        <v>3EC</v>
      </c>
      <c r="N1341" s="120" t="s">
        <v>385</v>
      </c>
      <c r="O1341" s="120">
        <v>7</v>
      </c>
      <c r="P1341" s="122">
        <v>27</v>
      </c>
      <c r="Q1341" s="121" t="str">
        <f>DEC2HEX(_xlfn.BITLSHIFT(O1341,5)+P1341)</f>
        <v>FB</v>
      </c>
      <c r="R1341" s="203" t="str">
        <f>BIN2HEX(LEFT(RIGHT(D1341,32),4))&amp;BIN2HEX(LEFT(RIGHT(D1341,28),4))&amp;BIN2HEX(LEFT(RIGHT(D1341,24),4))&amp;BIN2HEX(LEFT(RIGHT(D1341,20),4))&amp;BIN2HEX(LEFT(RIGHT(D1341,16),4))&amp;BIN2HEX(LEFT(RIGHT(D1341,12),4))&amp;BIN2HEX(LEFT(RIGHT(D1341,8),4))&amp;BIN2HEX(LEFT(RIGHT(D1341,4),4))</f>
        <v>00B31820</v>
      </c>
      <c r="S1341" s="203" t="str">
        <f t="shared" ref="S1341" si="1056">BIN2HEX(LEFT(RIGHT(J1341,32),4))&amp;BIN2HEX(LEFT(RIGHT(J1341,28),4))&amp;BIN2HEX(LEFT(RIGHT(J1341,24),4))&amp;BIN2HEX(LEFT(RIGHT(J1341,20),4))&amp;BIN2HEX(LEFT(RIGHT(J1341,16),4))&amp;BIN2HEX(LEFT(RIGHT(J1341,12),4))&amp;BIN2HEX(LEFT(RIGHT(J1341,8),4))&amp;BIN2HEX(LEFT(RIGHT(J1341,4),4))</f>
        <v>00001800</v>
      </c>
    </row>
    <row r="1342" spans="1:19" s="61" customFormat="1">
      <c r="A1342" s="264"/>
      <c r="B1342" s="266"/>
      <c r="C1342" s="43" t="s">
        <v>533</v>
      </c>
      <c r="D1342" s="62">
        <v>8</v>
      </c>
      <c r="E1342" s="70" t="str">
        <f>IF(D1342&gt;1,(31)&amp;":"&amp;(31-D1342+1),(31-D1342+1)&amp;":"&amp;(31-D1342+1))</f>
        <v>31:24</v>
      </c>
      <c r="F1342" s="30" t="s">
        <v>133</v>
      </c>
      <c r="G1342" s="30" t="s">
        <v>133</v>
      </c>
      <c r="H1342" s="64" t="s">
        <v>469</v>
      </c>
      <c r="I1342" s="30" t="s">
        <v>68</v>
      </c>
      <c r="J1342" s="32" t="s">
        <v>36</v>
      </c>
      <c r="K1342" s="33" t="s">
        <v>6</v>
      </c>
      <c r="L1342" s="46"/>
      <c r="M1342" s="120"/>
      <c r="N1342" s="120"/>
      <c r="O1342" s="120"/>
      <c r="P1342" s="122"/>
      <c r="Q1342" s="122"/>
      <c r="R1342" s="204"/>
      <c r="S1342" s="204"/>
    </row>
    <row r="1343" spans="1:19" s="61" customFormat="1">
      <c r="A1343" s="264"/>
      <c r="B1343" s="266"/>
      <c r="C1343" s="43" t="s">
        <v>534</v>
      </c>
      <c r="D1343" s="62">
        <v>8</v>
      </c>
      <c r="E1343" s="33" t="str">
        <f>(MID(E1342,SEARCH(":",E1342)+1,2)-1) &amp; ":" &amp; (MID(E1342,SEARCH(":",E1342)+1,2)-D1343)</f>
        <v>23:16</v>
      </c>
      <c r="F1343" s="30" t="s">
        <v>471</v>
      </c>
      <c r="G1343" s="30" t="s">
        <v>133</v>
      </c>
      <c r="H1343" s="65" t="s">
        <v>472</v>
      </c>
      <c r="I1343" s="30" t="s">
        <v>68</v>
      </c>
      <c r="J1343" s="32" t="s">
        <v>36</v>
      </c>
      <c r="K1343" s="33" t="s">
        <v>6</v>
      </c>
      <c r="L1343" s="46"/>
      <c r="M1343" s="120"/>
      <c r="N1343" s="120"/>
      <c r="O1343" s="120"/>
      <c r="P1343" s="122"/>
      <c r="Q1343" s="122"/>
      <c r="R1343" s="204"/>
      <c r="S1343" s="204"/>
    </row>
    <row r="1344" spans="1:19" s="61" customFormat="1">
      <c r="A1344" s="264"/>
      <c r="B1344" s="266"/>
      <c r="C1344" s="43" t="s">
        <v>535</v>
      </c>
      <c r="D1344" s="62">
        <v>10</v>
      </c>
      <c r="E1344" s="33" t="str">
        <f t="shared" ref="E1344:E1346" si="1057">(MID(E1343,SEARCH(":",E1343)+1,2)-1) &amp; ":" &amp; (MID(E1343,SEARCH(":",E1343)+1,2)-D1344)</f>
        <v>15:6</v>
      </c>
      <c r="F1344" s="30" t="s">
        <v>474</v>
      </c>
      <c r="G1344" s="30" t="s">
        <v>474</v>
      </c>
      <c r="H1344" s="64" t="s">
        <v>475</v>
      </c>
      <c r="I1344" s="30" t="s">
        <v>68</v>
      </c>
      <c r="J1344" s="32" t="s">
        <v>36</v>
      </c>
      <c r="K1344" s="33" t="s">
        <v>6</v>
      </c>
      <c r="L1344" s="46"/>
      <c r="M1344" s="120"/>
      <c r="N1344" s="120"/>
      <c r="O1344" s="120"/>
      <c r="P1344" s="122"/>
      <c r="Q1344" s="122"/>
      <c r="R1344" s="204"/>
      <c r="S1344" s="204"/>
    </row>
    <row r="1345" spans="1:19" s="61" customFormat="1">
      <c r="A1345" s="264"/>
      <c r="B1345" s="266"/>
      <c r="C1345" s="43" t="s">
        <v>536</v>
      </c>
      <c r="D1345" s="62">
        <v>1</v>
      </c>
      <c r="E1345" s="33" t="str">
        <f t="shared" si="1057"/>
        <v>5:5</v>
      </c>
      <c r="F1345" s="30" t="s">
        <v>269</v>
      </c>
      <c r="G1345" s="30" t="s">
        <v>7</v>
      </c>
      <c r="H1345" s="65" t="s">
        <v>477</v>
      </c>
      <c r="I1345" s="30" t="s">
        <v>68</v>
      </c>
      <c r="J1345" s="32" t="s">
        <v>36</v>
      </c>
      <c r="K1345" s="33" t="s">
        <v>6</v>
      </c>
      <c r="L1345" s="46"/>
      <c r="M1345" s="120"/>
      <c r="N1345" s="120"/>
      <c r="O1345" s="120"/>
      <c r="P1345" s="122"/>
      <c r="Q1345" s="122"/>
      <c r="R1345" s="204"/>
      <c r="S1345" s="204"/>
    </row>
    <row r="1346" spans="1:19" s="61" customFormat="1" ht="15" thickBot="1">
      <c r="A1346" s="264"/>
      <c r="B1346" s="266"/>
      <c r="C1346" s="43" t="s">
        <v>537</v>
      </c>
      <c r="D1346" s="62">
        <v>5</v>
      </c>
      <c r="E1346" s="33" t="str">
        <f t="shared" si="1057"/>
        <v>4:0</v>
      </c>
      <c r="F1346" s="30" t="s">
        <v>434</v>
      </c>
      <c r="G1346" s="30" t="s">
        <v>434</v>
      </c>
      <c r="H1346" s="65" t="s">
        <v>479</v>
      </c>
      <c r="I1346" s="30" t="s">
        <v>68</v>
      </c>
      <c r="J1346" s="32" t="s">
        <v>36</v>
      </c>
      <c r="K1346" s="33" t="s">
        <v>6</v>
      </c>
      <c r="L1346" s="46"/>
      <c r="M1346" s="120"/>
      <c r="N1346" s="120"/>
      <c r="O1346" s="120"/>
      <c r="P1346" s="122"/>
      <c r="Q1346" s="122"/>
      <c r="R1346" s="210"/>
      <c r="S1346" s="210"/>
    </row>
    <row r="1347" spans="1:19" s="61" customFormat="1" ht="15.75" customHeight="1">
      <c r="A1347" s="267" t="s">
        <v>718</v>
      </c>
      <c r="B1347" s="269" t="str">
        <f t="shared" ref="B1347" si="1058">DEC2HEX(P1347*4)</f>
        <v>70</v>
      </c>
      <c r="C1347" s="56" t="s">
        <v>383</v>
      </c>
      <c r="D1347" s="129" t="str">
        <f>bitConcat(F1348:F1355)</f>
        <v>32'b11110111110101001011000101001111</v>
      </c>
      <c r="E1347" s="130"/>
      <c r="F1347" s="130"/>
      <c r="G1347" s="205"/>
      <c r="H1347" s="73" t="s">
        <v>384</v>
      </c>
      <c r="I1347" s="74"/>
      <c r="J1347" s="202" t="str">
        <f>bitConcat(G1348:G1355)</f>
        <v>32'b11110111111110001000000010001111</v>
      </c>
      <c r="K1347" s="131"/>
      <c r="L1347" s="132"/>
      <c r="M1347" s="217" t="str">
        <f t="shared" ref="M1347" si="1059">DEC2HEX(_xlfn.BITLSHIFT(O1347,7)+4*P1347)</f>
        <v>3F0</v>
      </c>
      <c r="N1347" s="170" t="s">
        <v>385</v>
      </c>
      <c r="O1347" s="170">
        <v>7</v>
      </c>
      <c r="P1347" s="171">
        <v>28</v>
      </c>
      <c r="Q1347" s="203" t="str">
        <f>DEC2HEX(_xlfn.BITLSHIFT(O1347,5)+P1347)</f>
        <v>FC</v>
      </c>
      <c r="R1347" s="203" t="str">
        <f>BIN2HEX(LEFT(RIGHT(D1347,32),4))&amp;BIN2HEX(LEFT(RIGHT(D1347,28),4))&amp;BIN2HEX(LEFT(RIGHT(D1347,24),4))&amp;BIN2HEX(LEFT(RIGHT(D1347,20),4))&amp;BIN2HEX(LEFT(RIGHT(D1347,16),4))&amp;BIN2HEX(LEFT(RIGHT(D1347,12),4))&amp;BIN2HEX(LEFT(RIGHT(D1347,8),4))&amp;BIN2HEX(LEFT(RIGHT(D1347,4),4))</f>
        <v>F7D4B14F</v>
      </c>
      <c r="S1347" s="203" t="str">
        <f t="shared" ref="S1347" si="1060">BIN2HEX(LEFT(RIGHT(J1347,32),4))&amp;BIN2HEX(LEFT(RIGHT(J1347,28),4))&amp;BIN2HEX(LEFT(RIGHT(J1347,24),4))&amp;BIN2HEX(LEFT(RIGHT(J1347,20),4))&amp;BIN2HEX(LEFT(RIGHT(J1347,16),4))&amp;BIN2HEX(LEFT(RIGHT(J1347,12),4))&amp;BIN2HEX(LEFT(RIGHT(J1347,8),4))&amp;BIN2HEX(LEFT(RIGHT(J1347,4),4))</f>
        <v>F7F8808F</v>
      </c>
    </row>
    <row r="1348" spans="1:19" s="61" customFormat="1">
      <c r="A1348" s="268"/>
      <c r="B1348" s="270"/>
      <c r="C1348" s="43" t="s">
        <v>719</v>
      </c>
      <c r="D1348" s="62">
        <v>4</v>
      </c>
      <c r="E1348" s="70" t="str">
        <f>IF(D1348&gt;1,(31)&amp;":"&amp;(31-D1348+1),(31-D1348+1)&amp;":"&amp;(31-D1348+1))</f>
        <v>31:28</v>
      </c>
      <c r="F1348" s="30" t="s">
        <v>540</v>
      </c>
      <c r="G1348" s="30" t="s">
        <v>540</v>
      </c>
      <c r="H1348" s="64" t="s">
        <v>541</v>
      </c>
      <c r="I1348" s="30" t="s">
        <v>68</v>
      </c>
      <c r="J1348" s="32" t="s">
        <v>36</v>
      </c>
      <c r="K1348" s="33" t="s">
        <v>6</v>
      </c>
      <c r="L1348" s="46"/>
      <c r="M1348" s="218"/>
      <c r="N1348" s="218"/>
      <c r="O1348" s="218"/>
      <c r="P1348" s="225"/>
      <c r="Q1348" s="204"/>
      <c r="R1348" s="204"/>
      <c r="S1348" s="204"/>
    </row>
    <row r="1349" spans="1:19" s="61" customFormat="1">
      <c r="A1349" s="268"/>
      <c r="B1349" s="270"/>
      <c r="C1349" s="43" t="s">
        <v>720</v>
      </c>
      <c r="D1349" s="62">
        <v>4</v>
      </c>
      <c r="E1349" s="33" t="str">
        <f>(MID(E1348,SEARCH(":",E1348)+1,2)-1) &amp; ":" &amp; (MID(E1348,SEARCH(":",E1348)+1,2)-D1349)</f>
        <v>27:24</v>
      </c>
      <c r="F1349" s="30" t="s">
        <v>543</v>
      </c>
      <c r="G1349" s="30" t="s">
        <v>543</v>
      </c>
      <c r="H1349" s="65" t="s">
        <v>544</v>
      </c>
      <c r="I1349" s="30" t="s">
        <v>68</v>
      </c>
      <c r="J1349" s="32" t="s">
        <v>36</v>
      </c>
      <c r="K1349" s="33" t="s">
        <v>6</v>
      </c>
      <c r="L1349" s="46"/>
      <c r="M1349" s="218"/>
      <c r="N1349" s="218"/>
      <c r="O1349" s="218"/>
      <c r="P1349" s="225"/>
      <c r="Q1349" s="204"/>
      <c r="R1349" s="204"/>
      <c r="S1349" s="204"/>
    </row>
    <row r="1350" spans="1:19" s="61" customFormat="1">
      <c r="A1350" s="268"/>
      <c r="B1350" s="270"/>
      <c r="C1350" s="43" t="s">
        <v>721</v>
      </c>
      <c r="D1350" s="62">
        <v>4</v>
      </c>
      <c r="E1350" s="33" t="str">
        <f t="shared" ref="E1350:E1353" si="1061">(MID(E1349,SEARCH(":",E1349)+1,2)-1) &amp; ":" &amp; (MID(E1349,SEARCH(":",E1349)+1,2)-D1350)</f>
        <v>23:20</v>
      </c>
      <c r="F1350" s="30" t="s">
        <v>546</v>
      </c>
      <c r="G1350" s="30" t="s">
        <v>540</v>
      </c>
      <c r="H1350" s="65" t="s">
        <v>547</v>
      </c>
      <c r="I1350" s="30" t="s">
        <v>68</v>
      </c>
      <c r="J1350" s="32" t="s">
        <v>36</v>
      </c>
      <c r="K1350" s="33" t="s">
        <v>6</v>
      </c>
      <c r="L1350" s="46"/>
      <c r="M1350" s="218"/>
      <c r="N1350" s="218"/>
      <c r="O1350" s="218"/>
      <c r="P1350" s="225"/>
      <c r="Q1350" s="204"/>
      <c r="R1350" s="204"/>
      <c r="S1350" s="204"/>
    </row>
    <row r="1351" spans="1:19" s="61" customFormat="1">
      <c r="A1351" s="268"/>
      <c r="B1351" s="270"/>
      <c r="C1351" s="43" t="s">
        <v>722</v>
      </c>
      <c r="D1351" s="62">
        <v>4</v>
      </c>
      <c r="E1351" s="33" t="str">
        <f t="shared" si="1061"/>
        <v>19:16</v>
      </c>
      <c r="F1351" s="30" t="s">
        <v>182</v>
      </c>
      <c r="G1351" s="30" t="s">
        <v>146</v>
      </c>
      <c r="H1351" s="65" t="s">
        <v>549</v>
      </c>
      <c r="I1351" s="30" t="s">
        <v>68</v>
      </c>
      <c r="J1351" s="32" t="s">
        <v>36</v>
      </c>
      <c r="K1351" s="33" t="s">
        <v>6</v>
      </c>
      <c r="L1351" s="46"/>
      <c r="M1351" s="218"/>
      <c r="N1351" s="218"/>
      <c r="O1351" s="218"/>
      <c r="P1351" s="225"/>
      <c r="Q1351" s="204"/>
      <c r="R1351" s="204"/>
      <c r="S1351" s="204"/>
    </row>
    <row r="1352" spans="1:19" s="61" customFormat="1">
      <c r="A1352" s="268"/>
      <c r="B1352" s="270"/>
      <c r="C1352" s="43" t="s">
        <v>723</v>
      </c>
      <c r="D1352" s="62">
        <v>4</v>
      </c>
      <c r="E1352" s="33" t="str">
        <f t="shared" si="1061"/>
        <v>15:12</v>
      </c>
      <c r="F1352" s="30" t="s">
        <v>551</v>
      </c>
      <c r="G1352" s="30" t="s">
        <v>146</v>
      </c>
      <c r="H1352" s="64" t="s">
        <v>552</v>
      </c>
      <c r="I1352" s="30" t="s">
        <v>68</v>
      </c>
      <c r="J1352" s="32" t="s">
        <v>36</v>
      </c>
      <c r="K1352" s="33" t="s">
        <v>6</v>
      </c>
      <c r="L1352" s="46"/>
      <c r="M1352" s="218"/>
      <c r="N1352" s="218"/>
      <c r="O1352" s="218"/>
      <c r="P1352" s="225"/>
      <c r="Q1352" s="204"/>
      <c r="R1352" s="204"/>
      <c r="S1352" s="204"/>
    </row>
    <row r="1353" spans="1:19" s="61" customFormat="1">
      <c r="A1353" s="268"/>
      <c r="B1353" s="270"/>
      <c r="C1353" s="43" t="s">
        <v>724</v>
      </c>
      <c r="D1353" s="62">
        <v>4</v>
      </c>
      <c r="E1353" s="33" t="str">
        <f t="shared" si="1061"/>
        <v>11:8</v>
      </c>
      <c r="F1353" s="30" t="s">
        <v>220</v>
      </c>
      <c r="G1353" s="30" t="s">
        <v>330</v>
      </c>
      <c r="H1353" s="64" t="s">
        <v>554</v>
      </c>
      <c r="I1353" s="30" t="s">
        <v>68</v>
      </c>
      <c r="J1353" s="32" t="s">
        <v>36</v>
      </c>
      <c r="K1353" s="33" t="s">
        <v>6</v>
      </c>
      <c r="L1353" s="46"/>
      <c r="M1353" s="218"/>
      <c r="N1353" s="218"/>
      <c r="O1353" s="218"/>
      <c r="P1353" s="225"/>
      <c r="Q1353" s="204"/>
      <c r="R1353" s="204"/>
      <c r="S1353" s="204"/>
    </row>
    <row r="1354" spans="1:19" s="61" customFormat="1">
      <c r="A1354" s="268"/>
      <c r="B1354" s="270"/>
      <c r="C1354" s="63" t="s">
        <v>725</v>
      </c>
      <c r="D1354" s="62">
        <v>4</v>
      </c>
      <c r="E1354" s="33" t="str">
        <f>(MID(E1353,SEARCH(":",E1353)+1,2)-1) &amp; ":" &amp; (MID(E1353,SEARCH(":",E1353)+1,2)-D1354)</f>
        <v>7:4</v>
      </c>
      <c r="F1354" s="30" t="s">
        <v>182</v>
      </c>
      <c r="G1354" s="30" t="s">
        <v>146</v>
      </c>
      <c r="H1354" s="63" t="s">
        <v>556</v>
      </c>
      <c r="I1354" s="30" t="s">
        <v>68</v>
      </c>
      <c r="J1354" s="32" t="s">
        <v>36</v>
      </c>
      <c r="K1354" s="33" t="s">
        <v>6</v>
      </c>
      <c r="L1354" s="46"/>
      <c r="M1354" s="218"/>
      <c r="N1354" s="218"/>
      <c r="O1354" s="218"/>
      <c r="P1354" s="225"/>
      <c r="Q1354" s="204"/>
      <c r="R1354" s="204"/>
      <c r="S1354" s="204"/>
    </row>
    <row r="1355" spans="1:19" s="61" customFormat="1" ht="15" thickBot="1">
      <c r="A1355" s="268"/>
      <c r="B1355" s="270"/>
      <c r="C1355" s="43" t="s">
        <v>557</v>
      </c>
      <c r="D1355" s="62">
        <v>4</v>
      </c>
      <c r="E1355" s="33" t="str">
        <f>(MID(E1354,SEARCH(":",E1354)+1,2)-1) &amp; ":" &amp; (MID(E1354,SEARCH(":",E1354)+1,2)-D1355)</f>
        <v>3:0</v>
      </c>
      <c r="F1355" s="83" t="s">
        <v>540</v>
      </c>
      <c r="G1355" s="83" t="s">
        <v>540</v>
      </c>
      <c r="H1355" s="64" t="s">
        <v>155</v>
      </c>
      <c r="I1355" s="30" t="s">
        <v>68</v>
      </c>
      <c r="J1355" s="32" t="s">
        <v>36</v>
      </c>
      <c r="K1355" s="33" t="s">
        <v>6</v>
      </c>
      <c r="L1355" s="46"/>
      <c r="M1355" s="218"/>
      <c r="N1355" s="218"/>
      <c r="O1355" s="218"/>
      <c r="P1355" s="225"/>
      <c r="Q1355" s="204"/>
      <c r="R1355" s="210"/>
      <c r="S1355" s="210"/>
    </row>
    <row r="1356" spans="1:19" s="61" customFormat="1">
      <c r="A1356" s="267" t="s">
        <v>726</v>
      </c>
      <c r="B1356" s="269" t="str">
        <f t="shared" ref="B1356" si="1062">DEC2HEX(P1356*4)</f>
        <v>74</v>
      </c>
      <c r="C1356" s="56" t="s">
        <v>383</v>
      </c>
      <c r="D1356" s="129" t="str">
        <f>bitConcat(F1357:F1364)</f>
        <v>32'b11110111110101001011000101000000</v>
      </c>
      <c r="E1356" s="130"/>
      <c r="F1356" s="130"/>
      <c r="G1356" s="205"/>
      <c r="H1356" s="73" t="s">
        <v>384</v>
      </c>
      <c r="I1356" s="74"/>
      <c r="J1356" s="202" t="str">
        <f>bitConcat(G1357:G1364)</f>
        <v>32'b11110111111110001000000010000000</v>
      </c>
      <c r="K1356" s="131"/>
      <c r="L1356" s="132"/>
      <c r="M1356" s="217" t="str">
        <f t="shared" ref="M1356" si="1063">DEC2HEX(_xlfn.BITLSHIFT(O1356,7)+4*P1356)</f>
        <v>3F4</v>
      </c>
      <c r="N1356" s="170" t="s">
        <v>385</v>
      </c>
      <c r="O1356" s="170">
        <v>7</v>
      </c>
      <c r="P1356" s="171">
        <v>29</v>
      </c>
      <c r="Q1356" s="203" t="str">
        <f>DEC2HEX(_xlfn.BITLSHIFT(O1356,5)+P1356)</f>
        <v>FD</v>
      </c>
      <c r="R1356" s="203" t="str">
        <f>BIN2HEX(LEFT(RIGHT(D1356,32),4))&amp;BIN2HEX(LEFT(RIGHT(D1356,28),4))&amp;BIN2HEX(LEFT(RIGHT(D1356,24),4))&amp;BIN2HEX(LEFT(RIGHT(D1356,20),4))&amp;BIN2HEX(LEFT(RIGHT(D1356,16),4))&amp;BIN2HEX(LEFT(RIGHT(D1356,12),4))&amp;BIN2HEX(LEFT(RIGHT(D1356,8),4))&amp;BIN2HEX(LEFT(RIGHT(D1356,4),4))</f>
        <v>F7D4B140</v>
      </c>
      <c r="S1356" s="203" t="str">
        <f t="shared" ref="S1356" si="1064">BIN2HEX(LEFT(RIGHT(J1356,32),4))&amp;BIN2HEX(LEFT(RIGHT(J1356,28),4))&amp;BIN2HEX(LEFT(RIGHT(J1356,24),4))&amp;BIN2HEX(LEFT(RIGHT(J1356,20),4))&amp;BIN2HEX(LEFT(RIGHT(J1356,16),4))&amp;BIN2HEX(LEFT(RIGHT(J1356,12),4))&amp;BIN2HEX(LEFT(RIGHT(J1356,8),4))&amp;BIN2HEX(LEFT(RIGHT(J1356,4),4))</f>
        <v>F7F88080</v>
      </c>
    </row>
    <row r="1357" spans="1:19" s="61" customFormat="1">
      <c r="A1357" s="268"/>
      <c r="B1357" s="270"/>
      <c r="C1357" s="43" t="s">
        <v>727</v>
      </c>
      <c r="D1357" s="62">
        <v>4</v>
      </c>
      <c r="E1357" s="70" t="str">
        <f>IF(D1357&gt;1,(31)&amp;":"&amp;(31-D1357+1),(31-D1357+1)&amp;":"&amp;(31-D1357+1))</f>
        <v>31:28</v>
      </c>
      <c r="F1357" s="30" t="s">
        <v>540</v>
      </c>
      <c r="G1357" s="30" t="s">
        <v>540</v>
      </c>
      <c r="H1357" s="64" t="s">
        <v>541</v>
      </c>
      <c r="I1357" s="30" t="s">
        <v>68</v>
      </c>
      <c r="J1357" s="32" t="s">
        <v>36</v>
      </c>
      <c r="K1357" s="33" t="s">
        <v>6</v>
      </c>
      <c r="L1357" s="46"/>
      <c r="M1357" s="218"/>
      <c r="N1357" s="218"/>
      <c r="O1357" s="218"/>
      <c r="P1357" s="225"/>
      <c r="Q1357" s="204"/>
      <c r="R1357" s="204"/>
      <c r="S1357" s="204"/>
    </row>
    <row r="1358" spans="1:19" s="61" customFormat="1">
      <c r="A1358" s="268"/>
      <c r="B1358" s="270"/>
      <c r="C1358" s="43" t="s">
        <v>728</v>
      </c>
      <c r="D1358" s="62">
        <v>4</v>
      </c>
      <c r="E1358" s="33" t="str">
        <f>(MID(E1357,SEARCH(":",E1357)+1,2)-1) &amp; ":" &amp; (MID(E1357,SEARCH(":",E1357)+1,2)-D1358)</f>
        <v>27:24</v>
      </c>
      <c r="F1358" s="30" t="s">
        <v>543</v>
      </c>
      <c r="G1358" s="30" t="s">
        <v>543</v>
      </c>
      <c r="H1358" s="65" t="s">
        <v>544</v>
      </c>
      <c r="I1358" s="30" t="s">
        <v>68</v>
      </c>
      <c r="J1358" s="32" t="s">
        <v>36</v>
      </c>
      <c r="K1358" s="33" t="s">
        <v>6</v>
      </c>
      <c r="L1358" s="46"/>
      <c r="M1358" s="218"/>
      <c r="N1358" s="218"/>
      <c r="O1358" s="218"/>
      <c r="P1358" s="225"/>
      <c r="Q1358" s="204"/>
      <c r="R1358" s="204"/>
      <c r="S1358" s="204"/>
    </row>
    <row r="1359" spans="1:19" s="61" customFormat="1" ht="15.75" customHeight="1">
      <c r="A1359" s="268"/>
      <c r="B1359" s="270"/>
      <c r="C1359" s="43" t="s">
        <v>729</v>
      </c>
      <c r="D1359" s="62">
        <v>4</v>
      </c>
      <c r="E1359" s="33" t="str">
        <f t="shared" ref="E1359:E1362" si="1065">(MID(E1358,SEARCH(":",E1358)+1,2)-1) &amp; ":" &amp; (MID(E1358,SEARCH(":",E1358)+1,2)-D1359)</f>
        <v>23:20</v>
      </c>
      <c r="F1359" s="30" t="s">
        <v>546</v>
      </c>
      <c r="G1359" s="30" t="s">
        <v>540</v>
      </c>
      <c r="H1359" s="65" t="s">
        <v>547</v>
      </c>
      <c r="I1359" s="30" t="s">
        <v>68</v>
      </c>
      <c r="J1359" s="32" t="s">
        <v>36</v>
      </c>
      <c r="K1359" s="33" t="s">
        <v>6</v>
      </c>
      <c r="L1359" s="46"/>
      <c r="M1359" s="218"/>
      <c r="N1359" s="218"/>
      <c r="O1359" s="218"/>
      <c r="P1359" s="225"/>
      <c r="Q1359" s="204"/>
      <c r="R1359" s="204"/>
      <c r="S1359" s="204"/>
    </row>
    <row r="1360" spans="1:19" s="61" customFormat="1">
      <c r="A1360" s="268"/>
      <c r="B1360" s="270"/>
      <c r="C1360" s="43" t="s">
        <v>730</v>
      </c>
      <c r="D1360" s="62">
        <v>4</v>
      </c>
      <c r="E1360" s="33" t="str">
        <f t="shared" si="1065"/>
        <v>19:16</v>
      </c>
      <c r="F1360" s="30" t="s">
        <v>182</v>
      </c>
      <c r="G1360" s="30" t="s">
        <v>146</v>
      </c>
      <c r="H1360" s="65" t="s">
        <v>549</v>
      </c>
      <c r="I1360" s="30" t="s">
        <v>68</v>
      </c>
      <c r="J1360" s="32" t="s">
        <v>36</v>
      </c>
      <c r="K1360" s="33" t="s">
        <v>6</v>
      </c>
      <c r="L1360" s="46"/>
      <c r="M1360" s="218"/>
      <c r="N1360" s="218"/>
      <c r="O1360" s="218"/>
      <c r="P1360" s="225"/>
      <c r="Q1360" s="204"/>
      <c r="R1360" s="204"/>
      <c r="S1360" s="204"/>
    </row>
    <row r="1361" spans="1:19" s="61" customFormat="1" ht="15.75" customHeight="1">
      <c r="A1361" s="268"/>
      <c r="B1361" s="270"/>
      <c r="C1361" s="43" t="s">
        <v>731</v>
      </c>
      <c r="D1361" s="62">
        <v>4</v>
      </c>
      <c r="E1361" s="33" t="str">
        <f t="shared" si="1065"/>
        <v>15:12</v>
      </c>
      <c r="F1361" s="30" t="s">
        <v>551</v>
      </c>
      <c r="G1361" s="30" t="s">
        <v>146</v>
      </c>
      <c r="H1361" s="64" t="s">
        <v>552</v>
      </c>
      <c r="I1361" s="30" t="s">
        <v>68</v>
      </c>
      <c r="J1361" s="32" t="s">
        <v>36</v>
      </c>
      <c r="K1361" s="33" t="s">
        <v>6</v>
      </c>
      <c r="L1361" s="46"/>
      <c r="M1361" s="218"/>
      <c r="N1361" s="218"/>
      <c r="O1361" s="218"/>
      <c r="P1361" s="225"/>
      <c r="Q1361" s="204"/>
      <c r="R1361" s="204"/>
      <c r="S1361" s="204"/>
    </row>
    <row r="1362" spans="1:19" s="61" customFormat="1" ht="15.75" customHeight="1">
      <c r="A1362" s="268"/>
      <c r="B1362" s="270"/>
      <c r="C1362" s="43" t="s">
        <v>732</v>
      </c>
      <c r="D1362" s="62">
        <v>4</v>
      </c>
      <c r="E1362" s="33" t="str">
        <f t="shared" si="1065"/>
        <v>11:8</v>
      </c>
      <c r="F1362" s="30" t="s">
        <v>220</v>
      </c>
      <c r="G1362" s="30" t="s">
        <v>330</v>
      </c>
      <c r="H1362" s="64" t="s">
        <v>554</v>
      </c>
      <c r="I1362" s="30" t="s">
        <v>68</v>
      </c>
      <c r="J1362" s="32" t="s">
        <v>36</v>
      </c>
      <c r="K1362" s="33" t="s">
        <v>6</v>
      </c>
      <c r="L1362" s="46"/>
      <c r="M1362" s="218"/>
      <c r="N1362" s="218"/>
      <c r="O1362" s="218"/>
      <c r="P1362" s="225"/>
      <c r="Q1362" s="204"/>
      <c r="R1362" s="204"/>
      <c r="S1362" s="204"/>
    </row>
    <row r="1363" spans="1:19" s="61" customFormat="1">
      <c r="A1363" s="268"/>
      <c r="B1363" s="270"/>
      <c r="C1363" s="63" t="s">
        <v>733</v>
      </c>
      <c r="D1363" s="62">
        <v>4</v>
      </c>
      <c r="E1363" s="33" t="str">
        <f>(MID(E1362,SEARCH(":",E1362)+1,2)-1) &amp; ":" &amp; (MID(E1362,SEARCH(":",E1362)+1,2)-D1363)</f>
        <v>7:4</v>
      </c>
      <c r="F1363" s="30" t="s">
        <v>182</v>
      </c>
      <c r="G1363" s="30" t="s">
        <v>146</v>
      </c>
      <c r="H1363" s="63" t="s">
        <v>556</v>
      </c>
      <c r="I1363" s="30" t="s">
        <v>68</v>
      </c>
      <c r="J1363" s="32" t="s">
        <v>36</v>
      </c>
      <c r="K1363" s="33" t="s">
        <v>6</v>
      </c>
      <c r="L1363" s="46"/>
      <c r="M1363" s="218"/>
      <c r="N1363" s="218"/>
      <c r="O1363" s="218"/>
      <c r="P1363" s="225"/>
      <c r="Q1363" s="204"/>
      <c r="R1363" s="204"/>
      <c r="S1363" s="204"/>
    </row>
    <row r="1364" spans="1:19" s="61" customFormat="1" ht="15" thickBot="1">
      <c r="A1364" s="268"/>
      <c r="B1364" s="270"/>
      <c r="C1364" s="43" t="s">
        <v>557</v>
      </c>
      <c r="D1364" s="62">
        <v>4</v>
      </c>
      <c r="E1364" s="33" t="str">
        <f>(MID(E1363,SEARCH(":",E1363)+1,2)-1) &amp; ":" &amp; (MID(E1363,SEARCH(":",E1363)+1,2)-D1364)</f>
        <v>3:0</v>
      </c>
      <c r="F1364" s="83" t="s">
        <v>330</v>
      </c>
      <c r="G1364" s="83" t="s">
        <v>330</v>
      </c>
      <c r="H1364" s="64" t="s">
        <v>155</v>
      </c>
      <c r="I1364" s="30" t="s">
        <v>68</v>
      </c>
      <c r="J1364" s="32" t="s">
        <v>36</v>
      </c>
      <c r="K1364" s="33" t="s">
        <v>6</v>
      </c>
      <c r="L1364" s="46"/>
      <c r="M1364" s="218"/>
      <c r="N1364" s="218"/>
      <c r="O1364" s="218"/>
      <c r="P1364" s="225"/>
      <c r="Q1364" s="204"/>
      <c r="R1364" s="210"/>
      <c r="S1364" s="210"/>
    </row>
    <row r="1365" spans="1:19" s="61" customFormat="1">
      <c r="A1365" s="267" t="s">
        <v>734</v>
      </c>
      <c r="B1365" s="269" t="str">
        <f t="shared" ref="B1365" si="1066">DEC2HEX(P1365*4)</f>
        <v>78</v>
      </c>
      <c r="C1365" s="56" t="s">
        <v>383</v>
      </c>
      <c r="D1365" s="129" t="str">
        <f>bitConcat(F1366:F1373)</f>
        <v>32'b11110111110101001011000101001111</v>
      </c>
      <c r="E1365" s="130"/>
      <c r="F1365" s="130"/>
      <c r="G1365" s="205"/>
      <c r="H1365" s="73" t="s">
        <v>384</v>
      </c>
      <c r="I1365" s="74"/>
      <c r="J1365" s="202" t="str">
        <f>bitConcat(G1366:G1373)</f>
        <v>32'b11110111111110001000000010001111</v>
      </c>
      <c r="K1365" s="131"/>
      <c r="L1365" s="132"/>
      <c r="M1365" s="217" t="str">
        <f t="shared" ref="M1365" si="1067">DEC2HEX(_xlfn.BITLSHIFT(O1365,7)+4*P1365)</f>
        <v>3F8</v>
      </c>
      <c r="N1365" s="170" t="s">
        <v>385</v>
      </c>
      <c r="O1365" s="170">
        <v>7</v>
      </c>
      <c r="P1365" s="171">
        <v>30</v>
      </c>
      <c r="Q1365" s="203" t="str">
        <f>DEC2HEX(_xlfn.BITLSHIFT(O1365,5)+P1365)</f>
        <v>FE</v>
      </c>
      <c r="R1365" s="203" t="str">
        <f>BIN2HEX(LEFT(RIGHT(D1365,32),4))&amp;BIN2HEX(LEFT(RIGHT(D1365,28),4))&amp;BIN2HEX(LEFT(RIGHT(D1365,24),4))&amp;BIN2HEX(LEFT(RIGHT(D1365,20),4))&amp;BIN2HEX(LEFT(RIGHT(D1365,16),4))&amp;BIN2HEX(LEFT(RIGHT(D1365,12),4))&amp;BIN2HEX(LEFT(RIGHT(D1365,8),4))&amp;BIN2HEX(LEFT(RIGHT(D1365,4),4))</f>
        <v>F7D4B14F</v>
      </c>
      <c r="S1365" s="203" t="str">
        <f t="shared" ref="S1365" si="1068">BIN2HEX(LEFT(RIGHT(J1365,32),4))&amp;BIN2HEX(LEFT(RIGHT(J1365,28),4))&amp;BIN2HEX(LEFT(RIGHT(J1365,24),4))&amp;BIN2HEX(LEFT(RIGHT(J1365,20),4))&amp;BIN2HEX(LEFT(RIGHT(J1365,16),4))&amp;BIN2HEX(LEFT(RIGHT(J1365,12),4))&amp;BIN2HEX(LEFT(RIGHT(J1365,8),4))&amp;BIN2HEX(LEFT(RIGHT(J1365,4),4))</f>
        <v>F7F8808F</v>
      </c>
    </row>
    <row r="1366" spans="1:19" s="61" customFormat="1">
      <c r="A1366" s="268"/>
      <c r="B1366" s="270"/>
      <c r="C1366" s="43" t="s">
        <v>735</v>
      </c>
      <c r="D1366" s="62">
        <v>4</v>
      </c>
      <c r="E1366" s="70" t="str">
        <f>IF(D1366&gt;1,(31)&amp;":"&amp;(31-D1366+1),(31-D1366+1)&amp;":"&amp;(31-D1366+1))</f>
        <v>31:28</v>
      </c>
      <c r="F1366" s="30" t="s">
        <v>540</v>
      </c>
      <c r="G1366" s="30" t="s">
        <v>540</v>
      </c>
      <c r="H1366" s="64" t="s">
        <v>541</v>
      </c>
      <c r="I1366" s="30" t="s">
        <v>68</v>
      </c>
      <c r="J1366" s="32" t="s">
        <v>36</v>
      </c>
      <c r="K1366" s="33" t="s">
        <v>6</v>
      </c>
      <c r="L1366" s="46"/>
      <c r="M1366" s="218"/>
      <c r="N1366" s="218"/>
      <c r="O1366" s="218"/>
      <c r="P1366" s="225"/>
      <c r="Q1366" s="204"/>
      <c r="R1366" s="204"/>
      <c r="S1366" s="204"/>
    </row>
    <row r="1367" spans="1:19" s="61" customFormat="1">
      <c r="A1367" s="268"/>
      <c r="B1367" s="270"/>
      <c r="C1367" s="43" t="s">
        <v>736</v>
      </c>
      <c r="D1367" s="62">
        <v>4</v>
      </c>
      <c r="E1367" s="33" t="str">
        <f>(MID(E1366,SEARCH(":",E1366)+1,2)-1) &amp; ":" &amp; (MID(E1366,SEARCH(":",E1366)+1,2)-D1367)</f>
        <v>27:24</v>
      </c>
      <c r="F1367" s="30" t="s">
        <v>543</v>
      </c>
      <c r="G1367" s="30" t="s">
        <v>543</v>
      </c>
      <c r="H1367" s="65" t="s">
        <v>544</v>
      </c>
      <c r="I1367" s="30" t="s">
        <v>68</v>
      </c>
      <c r="J1367" s="32" t="s">
        <v>36</v>
      </c>
      <c r="K1367" s="33" t="s">
        <v>6</v>
      </c>
      <c r="L1367" s="46"/>
      <c r="M1367" s="218"/>
      <c r="N1367" s="218"/>
      <c r="O1367" s="218"/>
      <c r="P1367" s="225"/>
      <c r="Q1367" s="204"/>
      <c r="R1367" s="204"/>
      <c r="S1367" s="204"/>
    </row>
    <row r="1368" spans="1:19" s="61" customFormat="1">
      <c r="A1368" s="268"/>
      <c r="B1368" s="270"/>
      <c r="C1368" s="43" t="s">
        <v>737</v>
      </c>
      <c r="D1368" s="62">
        <v>4</v>
      </c>
      <c r="E1368" s="33" t="str">
        <f t="shared" ref="E1368:E1371" si="1069">(MID(E1367,SEARCH(":",E1367)+1,2)-1) &amp; ":" &amp; (MID(E1367,SEARCH(":",E1367)+1,2)-D1368)</f>
        <v>23:20</v>
      </c>
      <c r="F1368" s="30" t="s">
        <v>546</v>
      </c>
      <c r="G1368" s="30" t="s">
        <v>540</v>
      </c>
      <c r="H1368" s="65" t="s">
        <v>547</v>
      </c>
      <c r="I1368" s="30" t="s">
        <v>68</v>
      </c>
      <c r="J1368" s="32" t="s">
        <v>36</v>
      </c>
      <c r="K1368" s="33" t="s">
        <v>6</v>
      </c>
      <c r="L1368" s="46"/>
      <c r="M1368" s="218"/>
      <c r="N1368" s="218"/>
      <c r="O1368" s="218"/>
      <c r="P1368" s="225"/>
      <c r="Q1368" s="204"/>
      <c r="R1368" s="204"/>
      <c r="S1368" s="204"/>
    </row>
    <row r="1369" spans="1:19" s="61" customFormat="1">
      <c r="A1369" s="268"/>
      <c r="B1369" s="270"/>
      <c r="C1369" s="43" t="s">
        <v>738</v>
      </c>
      <c r="D1369" s="62">
        <v>4</v>
      </c>
      <c r="E1369" s="33" t="str">
        <f t="shared" si="1069"/>
        <v>19:16</v>
      </c>
      <c r="F1369" s="30" t="s">
        <v>182</v>
      </c>
      <c r="G1369" s="30" t="s">
        <v>146</v>
      </c>
      <c r="H1369" s="65" t="s">
        <v>549</v>
      </c>
      <c r="I1369" s="30" t="s">
        <v>68</v>
      </c>
      <c r="J1369" s="32" t="s">
        <v>36</v>
      </c>
      <c r="K1369" s="33" t="s">
        <v>6</v>
      </c>
      <c r="L1369" s="46"/>
      <c r="M1369" s="218"/>
      <c r="N1369" s="218"/>
      <c r="O1369" s="218"/>
      <c r="P1369" s="225"/>
      <c r="Q1369" s="204"/>
      <c r="R1369" s="204"/>
      <c r="S1369" s="204"/>
    </row>
    <row r="1370" spans="1:19" s="61" customFormat="1">
      <c r="A1370" s="268"/>
      <c r="B1370" s="270"/>
      <c r="C1370" s="43" t="s">
        <v>739</v>
      </c>
      <c r="D1370" s="62">
        <v>4</v>
      </c>
      <c r="E1370" s="33" t="str">
        <f t="shared" si="1069"/>
        <v>15:12</v>
      </c>
      <c r="F1370" s="30" t="s">
        <v>551</v>
      </c>
      <c r="G1370" s="30" t="s">
        <v>146</v>
      </c>
      <c r="H1370" s="64" t="s">
        <v>552</v>
      </c>
      <c r="I1370" s="30" t="s">
        <v>68</v>
      </c>
      <c r="J1370" s="32" t="s">
        <v>36</v>
      </c>
      <c r="K1370" s="33" t="s">
        <v>6</v>
      </c>
      <c r="L1370" s="46"/>
      <c r="M1370" s="218"/>
      <c r="N1370" s="218"/>
      <c r="O1370" s="218"/>
      <c r="P1370" s="225"/>
      <c r="Q1370" s="204"/>
      <c r="R1370" s="204"/>
      <c r="S1370" s="204"/>
    </row>
    <row r="1371" spans="1:19" s="61" customFormat="1">
      <c r="A1371" s="268"/>
      <c r="B1371" s="270"/>
      <c r="C1371" s="43" t="s">
        <v>740</v>
      </c>
      <c r="D1371" s="62">
        <v>4</v>
      </c>
      <c r="E1371" s="33" t="str">
        <f t="shared" si="1069"/>
        <v>11:8</v>
      </c>
      <c r="F1371" s="30" t="s">
        <v>220</v>
      </c>
      <c r="G1371" s="30" t="s">
        <v>330</v>
      </c>
      <c r="H1371" s="64" t="s">
        <v>554</v>
      </c>
      <c r="I1371" s="30" t="s">
        <v>68</v>
      </c>
      <c r="J1371" s="32" t="s">
        <v>36</v>
      </c>
      <c r="K1371" s="33" t="s">
        <v>6</v>
      </c>
      <c r="L1371" s="46"/>
      <c r="M1371" s="218"/>
      <c r="N1371" s="218"/>
      <c r="O1371" s="218"/>
      <c r="P1371" s="225"/>
      <c r="Q1371" s="204"/>
      <c r="R1371" s="204"/>
      <c r="S1371" s="204"/>
    </row>
    <row r="1372" spans="1:19" s="61" customFormat="1">
      <c r="A1372" s="268"/>
      <c r="B1372" s="270"/>
      <c r="C1372" s="63" t="s">
        <v>741</v>
      </c>
      <c r="D1372" s="62">
        <v>4</v>
      </c>
      <c r="E1372" s="33" t="str">
        <f>(MID(E1371,SEARCH(":",E1371)+1,2)-1) &amp; ":" &amp; (MID(E1371,SEARCH(":",E1371)+1,2)-D1372)</f>
        <v>7:4</v>
      </c>
      <c r="F1372" s="30" t="s">
        <v>182</v>
      </c>
      <c r="G1372" s="30" t="s">
        <v>146</v>
      </c>
      <c r="H1372" s="63" t="s">
        <v>556</v>
      </c>
      <c r="I1372" s="30" t="s">
        <v>68</v>
      </c>
      <c r="J1372" s="32" t="s">
        <v>36</v>
      </c>
      <c r="K1372" s="33" t="s">
        <v>6</v>
      </c>
      <c r="L1372" s="46"/>
      <c r="M1372" s="218"/>
      <c r="N1372" s="218"/>
      <c r="O1372" s="218"/>
      <c r="P1372" s="225"/>
      <c r="Q1372" s="204"/>
      <c r="R1372" s="204"/>
      <c r="S1372" s="204"/>
    </row>
    <row r="1373" spans="1:19" s="61" customFormat="1" ht="15.75" customHeight="1" thickBot="1">
      <c r="A1373" s="268"/>
      <c r="B1373" s="270"/>
      <c r="C1373" s="43" t="s">
        <v>557</v>
      </c>
      <c r="D1373" s="62">
        <v>4</v>
      </c>
      <c r="E1373" s="33" t="str">
        <f>(MID(E1372,SEARCH(":",E1372)+1,2)-1) &amp; ":" &amp; (MID(E1372,SEARCH(":",E1372)+1,2)-D1373)</f>
        <v>3:0</v>
      </c>
      <c r="F1373" s="83" t="s">
        <v>540</v>
      </c>
      <c r="G1373" s="83" t="s">
        <v>540</v>
      </c>
      <c r="H1373" s="64" t="s">
        <v>155</v>
      </c>
      <c r="I1373" s="30" t="s">
        <v>68</v>
      </c>
      <c r="J1373" s="32" t="s">
        <v>36</v>
      </c>
      <c r="K1373" s="33" t="s">
        <v>6</v>
      </c>
      <c r="L1373" s="46"/>
      <c r="M1373" s="218"/>
      <c r="N1373" s="218"/>
      <c r="O1373" s="218"/>
      <c r="P1373" s="225"/>
      <c r="Q1373" s="204"/>
      <c r="R1373" s="210"/>
      <c r="S1373" s="210"/>
    </row>
    <row r="1374" spans="1:19" s="61" customFormat="1">
      <c r="A1374" s="267" t="s">
        <v>742</v>
      </c>
      <c r="B1374" s="269" t="str">
        <f t="shared" ref="B1374" si="1070">DEC2HEX(P1374*4)</f>
        <v>7C</v>
      </c>
      <c r="C1374" s="56" t="s">
        <v>383</v>
      </c>
      <c r="D1374" s="129" t="str">
        <f>bitConcat(F1375:F1382)</f>
        <v>32'b11110111110101001011000101000111</v>
      </c>
      <c r="E1374" s="130"/>
      <c r="F1374" s="130"/>
      <c r="G1374" s="205"/>
      <c r="H1374" s="73" t="s">
        <v>384</v>
      </c>
      <c r="I1374" s="74"/>
      <c r="J1374" s="202" t="str">
        <f>bitConcat(G1375:G1382)</f>
        <v>32'b11110111111110001000000010000111</v>
      </c>
      <c r="K1374" s="131"/>
      <c r="L1374" s="132"/>
      <c r="M1374" s="217" t="str">
        <f t="shared" ref="M1374" si="1071">DEC2HEX(_xlfn.BITLSHIFT(O1374,7)+4*P1374)</f>
        <v>3FC</v>
      </c>
      <c r="N1374" s="170" t="s">
        <v>385</v>
      </c>
      <c r="O1374" s="170">
        <v>7</v>
      </c>
      <c r="P1374" s="171">
        <v>31</v>
      </c>
      <c r="Q1374" s="203" t="str">
        <f>DEC2HEX(_xlfn.BITLSHIFT(O1374,5)+P1374)</f>
        <v>FF</v>
      </c>
      <c r="R1374" s="203" t="str">
        <f>BIN2HEX(LEFT(RIGHT(D1374,32),4))&amp;BIN2HEX(LEFT(RIGHT(D1374,28),4))&amp;BIN2HEX(LEFT(RIGHT(D1374,24),4))&amp;BIN2HEX(LEFT(RIGHT(D1374,20),4))&amp;BIN2HEX(LEFT(RIGHT(D1374,16),4))&amp;BIN2HEX(LEFT(RIGHT(D1374,12),4))&amp;BIN2HEX(LEFT(RIGHT(D1374,8),4))&amp;BIN2HEX(LEFT(RIGHT(D1374,4),4))</f>
        <v>F7D4B147</v>
      </c>
      <c r="S1374" s="203" t="str">
        <f t="shared" ref="S1374" si="1072">BIN2HEX(LEFT(RIGHT(J1374,32),4))&amp;BIN2HEX(LEFT(RIGHT(J1374,28),4))&amp;BIN2HEX(LEFT(RIGHT(J1374,24),4))&amp;BIN2HEX(LEFT(RIGHT(J1374,20),4))&amp;BIN2HEX(LEFT(RIGHT(J1374,16),4))&amp;BIN2HEX(LEFT(RIGHT(J1374,12),4))&amp;BIN2HEX(LEFT(RIGHT(J1374,8),4))&amp;BIN2HEX(LEFT(RIGHT(J1374,4),4))</f>
        <v>F7F88087</v>
      </c>
    </row>
    <row r="1375" spans="1:19" s="61" customFormat="1">
      <c r="A1375" s="268"/>
      <c r="B1375" s="270"/>
      <c r="C1375" s="43" t="s">
        <v>743</v>
      </c>
      <c r="D1375" s="62">
        <v>4</v>
      </c>
      <c r="E1375" s="70" t="str">
        <f>IF(D1375&gt;1,(31)&amp;":"&amp;(31-D1375+1),(31-D1375+1)&amp;":"&amp;(31-D1375+1))</f>
        <v>31:28</v>
      </c>
      <c r="F1375" s="30" t="s">
        <v>540</v>
      </c>
      <c r="G1375" s="30" t="s">
        <v>540</v>
      </c>
      <c r="H1375" s="64" t="s">
        <v>541</v>
      </c>
      <c r="I1375" s="30" t="s">
        <v>68</v>
      </c>
      <c r="J1375" s="32" t="s">
        <v>36</v>
      </c>
      <c r="K1375" s="33" t="s">
        <v>6</v>
      </c>
      <c r="L1375" s="46"/>
      <c r="M1375" s="218"/>
      <c r="N1375" s="218"/>
      <c r="O1375" s="218"/>
      <c r="P1375" s="225"/>
      <c r="Q1375" s="204"/>
      <c r="R1375" s="204"/>
      <c r="S1375" s="204"/>
    </row>
    <row r="1376" spans="1:19" s="61" customFormat="1">
      <c r="A1376" s="268"/>
      <c r="B1376" s="270"/>
      <c r="C1376" s="43" t="s">
        <v>744</v>
      </c>
      <c r="D1376" s="62">
        <v>4</v>
      </c>
      <c r="E1376" s="33" t="str">
        <f>(MID(E1375,SEARCH(":",E1375)+1,2)-1) &amp; ":" &amp; (MID(E1375,SEARCH(":",E1375)+1,2)-D1376)</f>
        <v>27:24</v>
      </c>
      <c r="F1376" s="30" t="s">
        <v>543</v>
      </c>
      <c r="G1376" s="30" t="s">
        <v>543</v>
      </c>
      <c r="H1376" s="65" t="s">
        <v>544</v>
      </c>
      <c r="I1376" s="30" t="s">
        <v>68</v>
      </c>
      <c r="J1376" s="32" t="s">
        <v>36</v>
      </c>
      <c r="K1376" s="33" t="s">
        <v>6</v>
      </c>
      <c r="L1376" s="46"/>
      <c r="M1376" s="218"/>
      <c r="N1376" s="218"/>
      <c r="O1376" s="218"/>
      <c r="P1376" s="225"/>
      <c r="Q1376" s="204"/>
      <c r="R1376" s="204"/>
      <c r="S1376" s="204"/>
    </row>
    <row r="1377" spans="1:19" s="61" customFormat="1">
      <c r="A1377" s="268"/>
      <c r="B1377" s="270"/>
      <c r="C1377" s="43" t="s">
        <v>745</v>
      </c>
      <c r="D1377" s="62">
        <v>4</v>
      </c>
      <c r="E1377" s="33" t="str">
        <f t="shared" ref="E1377:E1380" si="1073">(MID(E1376,SEARCH(":",E1376)+1,2)-1) &amp; ":" &amp; (MID(E1376,SEARCH(":",E1376)+1,2)-D1377)</f>
        <v>23:20</v>
      </c>
      <c r="F1377" s="30" t="s">
        <v>546</v>
      </c>
      <c r="G1377" s="30" t="s">
        <v>540</v>
      </c>
      <c r="H1377" s="65" t="s">
        <v>547</v>
      </c>
      <c r="I1377" s="30" t="s">
        <v>68</v>
      </c>
      <c r="J1377" s="32" t="s">
        <v>36</v>
      </c>
      <c r="K1377" s="33" t="s">
        <v>6</v>
      </c>
      <c r="L1377" s="46"/>
      <c r="M1377" s="218"/>
      <c r="N1377" s="218"/>
      <c r="O1377" s="218"/>
      <c r="P1377" s="225"/>
      <c r="Q1377" s="204"/>
      <c r="R1377" s="204"/>
      <c r="S1377" s="204"/>
    </row>
    <row r="1378" spans="1:19" s="61" customFormat="1">
      <c r="A1378" s="268"/>
      <c r="B1378" s="270"/>
      <c r="C1378" s="43" t="s">
        <v>746</v>
      </c>
      <c r="D1378" s="62">
        <v>4</v>
      </c>
      <c r="E1378" s="33" t="str">
        <f t="shared" si="1073"/>
        <v>19:16</v>
      </c>
      <c r="F1378" s="30" t="s">
        <v>182</v>
      </c>
      <c r="G1378" s="30" t="s">
        <v>146</v>
      </c>
      <c r="H1378" s="65" t="s">
        <v>549</v>
      </c>
      <c r="I1378" s="30" t="s">
        <v>68</v>
      </c>
      <c r="J1378" s="32" t="s">
        <v>36</v>
      </c>
      <c r="K1378" s="33" t="s">
        <v>6</v>
      </c>
      <c r="L1378" s="46"/>
      <c r="M1378" s="218"/>
      <c r="N1378" s="218"/>
      <c r="O1378" s="218"/>
      <c r="P1378" s="225"/>
      <c r="Q1378" s="204"/>
      <c r="R1378" s="204"/>
      <c r="S1378" s="204"/>
    </row>
    <row r="1379" spans="1:19" s="61" customFormat="1">
      <c r="A1379" s="268"/>
      <c r="B1379" s="270"/>
      <c r="C1379" s="43" t="s">
        <v>747</v>
      </c>
      <c r="D1379" s="62">
        <v>4</v>
      </c>
      <c r="E1379" s="33" t="str">
        <f t="shared" si="1073"/>
        <v>15:12</v>
      </c>
      <c r="F1379" s="30" t="s">
        <v>551</v>
      </c>
      <c r="G1379" s="30" t="s">
        <v>146</v>
      </c>
      <c r="H1379" s="64" t="s">
        <v>552</v>
      </c>
      <c r="I1379" s="30" t="s">
        <v>68</v>
      </c>
      <c r="J1379" s="32" t="s">
        <v>36</v>
      </c>
      <c r="K1379" s="33" t="s">
        <v>6</v>
      </c>
      <c r="L1379" s="46"/>
      <c r="M1379" s="218"/>
      <c r="N1379" s="218"/>
      <c r="O1379" s="218"/>
      <c r="P1379" s="225"/>
      <c r="Q1379" s="204"/>
      <c r="R1379" s="204"/>
      <c r="S1379" s="204"/>
    </row>
    <row r="1380" spans="1:19" s="61" customFormat="1">
      <c r="A1380" s="268"/>
      <c r="B1380" s="270"/>
      <c r="C1380" s="43" t="s">
        <v>748</v>
      </c>
      <c r="D1380" s="62">
        <v>4</v>
      </c>
      <c r="E1380" s="33" t="str">
        <f t="shared" si="1073"/>
        <v>11:8</v>
      </c>
      <c r="F1380" s="30" t="s">
        <v>220</v>
      </c>
      <c r="G1380" s="30" t="s">
        <v>330</v>
      </c>
      <c r="H1380" s="64" t="s">
        <v>554</v>
      </c>
      <c r="I1380" s="30" t="s">
        <v>68</v>
      </c>
      <c r="J1380" s="32" t="s">
        <v>36</v>
      </c>
      <c r="K1380" s="33" t="s">
        <v>6</v>
      </c>
      <c r="L1380" s="46"/>
      <c r="M1380" s="218"/>
      <c r="N1380" s="218"/>
      <c r="O1380" s="218"/>
      <c r="P1380" s="225"/>
      <c r="Q1380" s="204"/>
      <c r="R1380" s="204"/>
      <c r="S1380" s="204"/>
    </row>
    <row r="1381" spans="1:19" s="61" customFormat="1">
      <c r="A1381" s="268"/>
      <c r="B1381" s="270"/>
      <c r="C1381" s="63" t="s">
        <v>749</v>
      </c>
      <c r="D1381" s="62">
        <v>4</v>
      </c>
      <c r="E1381" s="33" t="str">
        <f>(MID(E1380,SEARCH(":",E1380)+1,2)-1) &amp; ":" &amp; (MID(E1380,SEARCH(":",E1380)+1,2)-D1381)</f>
        <v>7:4</v>
      </c>
      <c r="F1381" s="30" t="s">
        <v>182</v>
      </c>
      <c r="G1381" s="30" t="s">
        <v>146</v>
      </c>
      <c r="H1381" s="63" t="s">
        <v>556</v>
      </c>
      <c r="I1381" s="30" t="s">
        <v>68</v>
      </c>
      <c r="J1381" s="32" t="s">
        <v>36</v>
      </c>
      <c r="K1381" s="33" t="s">
        <v>6</v>
      </c>
      <c r="L1381" s="46"/>
      <c r="M1381" s="218"/>
      <c r="N1381" s="218"/>
      <c r="O1381" s="218"/>
      <c r="P1381" s="225"/>
      <c r="Q1381" s="204"/>
      <c r="R1381" s="204"/>
      <c r="S1381" s="204"/>
    </row>
    <row r="1382" spans="1:19" s="61" customFormat="1" ht="15" thickBot="1">
      <c r="A1382" s="268"/>
      <c r="B1382" s="270"/>
      <c r="C1382" s="43" t="s">
        <v>557</v>
      </c>
      <c r="D1382" s="62">
        <v>4</v>
      </c>
      <c r="E1382" s="33" t="str">
        <f>(MID(E1381,SEARCH(":",E1381)+1,2)-1) &amp; ":" &amp; (MID(E1381,SEARCH(":",E1381)+1,2)-D1382)</f>
        <v>3:0</v>
      </c>
      <c r="F1382" s="83" t="s">
        <v>543</v>
      </c>
      <c r="G1382" s="83" t="s">
        <v>543</v>
      </c>
      <c r="H1382" s="64" t="s">
        <v>155</v>
      </c>
      <c r="I1382" s="30" t="s">
        <v>68</v>
      </c>
      <c r="J1382" s="32" t="s">
        <v>36</v>
      </c>
      <c r="K1382" s="33" t="s">
        <v>6</v>
      </c>
      <c r="L1382" s="46"/>
      <c r="M1382" s="178"/>
      <c r="N1382" s="178"/>
      <c r="O1382" s="178"/>
      <c r="P1382" s="179"/>
      <c r="Q1382" s="283"/>
      <c r="R1382" s="210"/>
      <c r="S1382" s="210"/>
    </row>
    <row r="1383" spans="1:19" s="61" customFormat="1" ht="14.4" customHeight="1">
      <c r="A1383" s="284" t="s">
        <v>750</v>
      </c>
      <c r="B1383" s="286" t="str">
        <f>DEC2HEX(P1383*4)</f>
        <v>0</v>
      </c>
      <c r="C1383" s="90" t="s">
        <v>134</v>
      </c>
      <c r="D1383" s="277" t="str">
        <f>bitConcat(F1384:F1412)</f>
        <v>32'b00000000000000000000111111110000</v>
      </c>
      <c r="E1383" s="278"/>
      <c r="F1383" s="278"/>
      <c r="G1383" s="279"/>
      <c r="H1383" s="91" t="s">
        <v>384</v>
      </c>
      <c r="I1383" s="92"/>
      <c r="J1383" s="280" t="str">
        <f>bitConcat(G1384:G1412)</f>
        <v>32'b00000000000000000000000000000000</v>
      </c>
      <c r="K1383" s="281"/>
      <c r="L1383" s="282"/>
      <c r="M1383" s="119" t="str">
        <f>DEC2HEX(_xlfn.BITLSHIFT(O1383,7)+4*P1383)</f>
        <v>480</v>
      </c>
      <c r="N1383" s="119"/>
      <c r="O1383" s="119">
        <v>9</v>
      </c>
      <c r="P1383" s="119">
        <v>0</v>
      </c>
      <c r="Q1383" s="119" t="str">
        <f>DEC2HEX(_xlfn.BITLSHIFT(O1383,5)+P1383)</f>
        <v>120</v>
      </c>
      <c r="R1383" s="271" t="str">
        <f>BIN2HEX(LEFT(RIGHT(D1383,32),4))&amp;BIN2HEX(LEFT(RIGHT(D1383,28),4))&amp;BIN2HEX(LEFT(RIGHT(D1383,24),4))&amp;BIN2HEX(LEFT(RIGHT(D1383,20),4))&amp;BIN2HEX(LEFT(RIGHT(D1383,16),4))&amp;BIN2HEX(LEFT(RIGHT(D1383,12),4))&amp;BIN2HEX(LEFT(RIGHT(D1383,8),4))&amp;BIN2HEX(LEFT(RIGHT(D1383,4),4))</f>
        <v>00000FF0</v>
      </c>
      <c r="S1383" s="271" t="str">
        <f>BIN2HEX(LEFT(RIGHT(J1383,32),4))&amp;BIN2HEX(LEFT(RIGHT(J1383,28),4))&amp;BIN2HEX(LEFT(RIGHT(J1383,24),4))&amp;BIN2HEX(LEFT(RIGHT(J1383,20),4))&amp;BIN2HEX(LEFT(RIGHT(J1383,16),4))&amp;BIN2HEX(LEFT(RIGHT(J1383,12),4))&amp;BIN2HEX(LEFT(RIGHT(J1383,8),4))&amp;BIN2HEX(LEFT(RIGHT(J1383,4),4))</f>
        <v>00000000</v>
      </c>
    </row>
    <row r="1384" spans="1:19" s="61" customFormat="1">
      <c r="A1384" s="285"/>
      <c r="B1384" s="287"/>
      <c r="C1384" s="89" t="s">
        <v>396</v>
      </c>
      <c r="D1384" s="93">
        <v>2</v>
      </c>
      <c r="E1384" s="70" t="str">
        <f>IF(D1384&gt;1,(31)&amp;":"&amp;(31-D1384+1),(31-D1384+1)&amp;":"&amp;(31-D1384+1))</f>
        <v>31:30</v>
      </c>
      <c r="F1384" s="94" t="s">
        <v>154</v>
      </c>
      <c r="G1384" s="94" t="s">
        <v>154</v>
      </c>
      <c r="H1384" s="64" t="s">
        <v>396</v>
      </c>
      <c r="I1384" s="30" t="s">
        <v>68</v>
      </c>
      <c r="J1384" s="32" t="s">
        <v>36</v>
      </c>
      <c r="K1384" s="33" t="s">
        <v>6</v>
      </c>
      <c r="L1384" s="95"/>
      <c r="M1384" s="120"/>
      <c r="N1384" s="120"/>
      <c r="O1384" s="120"/>
      <c r="P1384" s="120"/>
      <c r="Q1384" s="120"/>
      <c r="R1384" s="272"/>
      <c r="S1384" s="272"/>
    </row>
    <row r="1385" spans="1:19" s="61" customFormat="1">
      <c r="A1385" s="285"/>
      <c r="B1385" s="287"/>
      <c r="C1385" s="89" t="s">
        <v>751</v>
      </c>
      <c r="D1385" s="93">
        <v>1</v>
      </c>
      <c r="E1385" s="70" t="str">
        <f>(MID(E1384,SEARCH(":",E1384)+1,2)-1) &amp; ":" &amp; (MID(E1384,SEARCH(":",E1384)+1,2)-D1385)</f>
        <v>29:29</v>
      </c>
      <c r="F1385" s="94" t="s">
        <v>7</v>
      </c>
      <c r="G1385" s="94" t="s">
        <v>7</v>
      </c>
      <c r="H1385" s="64" t="s">
        <v>752</v>
      </c>
      <c r="I1385" s="30" t="s">
        <v>68</v>
      </c>
      <c r="J1385" s="32" t="s">
        <v>36</v>
      </c>
      <c r="K1385" s="33" t="s">
        <v>6</v>
      </c>
      <c r="L1385" s="95"/>
      <c r="M1385" s="120"/>
      <c r="N1385" s="120"/>
      <c r="O1385" s="120"/>
      <c r="P1385" s="120"/>
      <c r="Q1385" s="120"/>
      <c r="R1385" s="272"/>
      <c r="S1385" s="272"/>
    </row>
    <row r="1386" spans="1:19" s="61" customFormat="1">
      <c r="A1386" s="285"/>
      <c r="B1386" s="287"/>
      <c r="C1386" s="89" t="s">
        <v>753</v>
      </c>
      <c r="D1386" s="93">
        <v>1</v>
      </c>
      <c r="E1386" s="70" t="str">
        <f>(MID(E1385,SEARCH(":",E1385)+1,2)-1) &amp; ":" &amp; (MID(E1385,SEARCH(":",E1385)+1,2)-D1386)</f>
        <v>28:28</v>
      </c>
      <c r="F1386" s="94" t="s">
        <v>7</v>
      </c>
      <c r="G1386" s="94" t="s">
        <v>7</v>
      </c>
      <c r="H1386" s="64" t="s">
        <v>754</v>
      </c>
      <c r="I1386" s="30" t="s">
        <v>68</v>
      </c>
      <c r="J1386" s="32" t="s">
        <v>36</v>
      </c>
      <c r="K1386" s="33" t="s">
        <v>6</v>
      </c>
      <c r="L1386" s="95"/>
      <c r="M1386" s="120"/>
      <c r="N1386" s="120"/>
      <c r="O1386" s="120"/>
      <c r="P1386" s="120"/>
      <c r="Q1386" s="120"/>
      <c r="R1386" s="272"/>
      <c r="S1386" s="272"/>
    </row>
    <row r="1387" spans="1:19" s="61" customFormat="1">
      <c r="A1387" s="285"/>
      <c r="B1387" s="287"/>
      <c r="C1387" s="89" t="s">
        <v>755</v>
      </c>
      <c r="D1387" s="93">
        <v>1</v>
      </c>
      <c r="E1387" s="70" t="str">
        <f t="shared" ref="E1387:E1412" si="1074">(MID(E1386,SEARCH(":",E1386)+1,2)-1) &amp; ":" &amp; (MID(E1386,SEARCH(":",E1386)+1,2)-D1387)</f>
        <v>27:27</v>
      </c>
      <c r="F1387" s="94" t="s">
        <v>7</v>
      </c>
      <c r="G1387" s="94" t="s">
        <v>7</v>
      </c>
      <c r="H1387" s="89" t="s">
        <v>755</v>
      </c>
      <c r="I1387" s="30" t="s">
        <v>68</v>
      </c>
      <c r="J1387" s="32" t="s">
        <v>36</v>
      </c>
      <c r="K1387" s="33" t="s">
        <v>6</v>
      </c>
      <c r="L1387" s="95"/>
      <c r="M1387" s="120"/>
      <c r="N1387" s="120"/>
      <c r="O1387" s="120"/>
      <c r="P1387" s="120"/>
      <c r="Q1387" s="120"/>
      <c r="R1387" s="272"/>
      <c r="S1387" s="272"/>
    </row>
    <row r="1388" spans="1:19" s="61" customFormat="1">
      <c r="A1388" s="285"/>
      <c r="B1388" s="287"/>
      <c r="C1388" s="89" t="s">
        <v>756</v>
      </c>
      <c r="D1388" s="93">
        <v>1</v>
      </c>
      <c r="E1388" s="70" t="str">
        <f t="shared" si="1074"/>
        <v>26:26</v>
      </c>
      <c r="F1388" s="94" t="s">
        <v>7</v>
      </c>
      <c r="G1388" s="94" t="s">
        <v>7</v>
      </c>
      <c r="H1388" s="89" t="s">
        <v>756</v>
      </c>
      <c r="I1388" s="30" t="s">
        <v>68</v>
      </c>
      <c r="J1388" s="32" t="s">
        <v>36</v>
      </c>
      <c r="K1388" s="33" t="s">
        <v>6</v>
      </c>
      <c r="L1388" s="95"/>
      <c r="M1388" s="120"/>
      <c r="N1388" s="120"/>
      <c r="O1388" s="120"/>
      <c r="P1388" s="120"/>
      <c r="Q1388" s="120"/>
      <c r="R1388" s="272"/>
      <c r="S1388" s="272"/>
    </row>
    <row r="1389" spans="1:19" s="61" customFormat="1">
      <c r="A1389" s="285"/>
      <c r="B1389" s="287"/>
      <c r="C1389" s="89" t="s">
        <v>757</v>
      </c>
      <c r="D1389" s="93">
        <v>1</v>
      </c>
      <c r="E1389" s="70" t="str">
        <f t="shared" si="1074"/>
        <v>25:25</v>
      </c>
      <c r="F1389" s="94" t="s">
        <v>7</v>
      </c>
      <c r="G1389" s="94" t="s">
        <v>7</v>
      </c>
      <c r="H1389" s="89" t="s">
        <v>757</v>
      </c>
      <c r="I1389" s="30" t="s">
        <v>68</v>
      </c>
      <c r="J1389" s="32" t="s">
        <v>36</v>
      </c>
      <c r="K1389" s="33" t="s">
        <v>6</v>
      </c>
      <c r="L1389" s="95"/>
      <c r="M1389" s="120"/>
      <c r="N1389" s="120"/>
      <c r="O1389" s="120"/>
      <c r="P1389" s="120"/>
      <c r="Q1389" s="120"/>
      <c r="R1389" s="272"/>
      <c r="S1389" s="272"/>
    </row>
    <row r="1390" spans="1:19" s="61" customFormat="1">
      <c r="A1390" s="285"/>
      <c r="B1390" s="287"/>
      <c r="C1390" s="89" t="s">
        <v>758</v>
      </c>
      <c r="D1390" s="93">
        <v>1</v>
      </c>
      <c r="E1390" s="70" t="str">
        <f t="shared" si="1074"/>
        <v>24:24</v>
      </c>
      <c r="F1390" s="94" t="s">
        <v>7</v>
      </c>
      <c r="G1390" s="94" t="s">
        <v>7</v>
      </c>
      <c r="H1390" s="89" t="s">
        <v>758</v>
      </c>
      <c r="I1390" s="30" t="s">
        <v>68</v>
      </c>
      <c r="J1390" s="32" t="s">
        <v>36</v>
      </c>
      <c r="K1390" s="33" t="s">
        <v>6</v>
      </c>
      <c r="L1390" s="95"/>
      <c r="M1390" s="120"/>
      <c r="N1390" s="120"/>
      <c r="O1390" s="120"/>
      <c r="P1390" s="120"/>
      <c r="Q1390" s="120"/>
      <c r="R1390" s="272"/>
      <c r="S1390" s="272"/>
    </row>
    <row r="1391" spans="1:19" s="61" customFormat="1">
      <c r="A1391" s="285"/>
      <c r="B1391" s="287"/>
      <c r="C1391" s="89" t="s">
        <v>759</v>
      </c>
      <c r="D1391" s="93">
        <v>1</v>
      </c>
      <c r="E1391" s="70" t="str">
        <f t="shared" si="1074"/>
        <v>23:23</v>
      </c>
      <c r="F1391" s="94" t="s">
        <v>7</v>
      </c>
      <c r="G1391" s="94" t="s">
        <v>7</v>
      </c>
      <c r="H1391" s="89" t="s">
        <v>759</v>
      </c>
      <c r="I1391" s="30" t="s">
        <v>68</v>
      </c>
      <c r="J1391" s="32" t="s">
        <v>36</v>
      </c>
      <c r="K1391" s="33" t="s">
        <v>6</v>
      </c>
      <c r="L1391" s="95"/>
      <c r="M1391" s="120"/>
      <c r="N1391" s="120"/>
      <c r="O1391" s="120"/>
      <c r="P1391" s="120"/>
      <c r="Q1391" s="120"/>
      <c r="R1391" s="272"/>
      <c r="S1391" s="272"/>
    </row>
    <row r="1392" spans="1:19" s="61" customFormat="1">
      <c r="A1392" s="285"/>
      <c r="B1392" s="287"/>
      <c r="C1392" s="89" t="s">
        <v>760</v>
      </c>
      <c r="D1392" s="93">
        <v>1</v>
      </c>
      <c r="E1392" s="70" t="str">
        <f t="shared" si="1074"/>
        <v>22:22</v>
      </c>
      <c r="F1392" s="94" t="s">
        <v>7</v>
      </c>
      <c r="G1392" s="94" t="s">
        <v>7</v>
      </c>
      <c r="H1392" s="89" t="s">
        <v>760</v>
      </c>
      <c r="I1392" s="30" t="s">
        <v>68</v>
      </c>
      <c r="J1392" s="32" t="s">
        <v>36</v>
      </c>
      <c r="K1392" s="33" t="s">
        <v>6</v>
      </c>
      <c r="L1392" s="95"/>
      <c r="M1392" s="120"/>
      <c r="N1392" s="120"/>
      <c r="O1392" s="120"/>
      <c r="P1392" s="120"/>
      <c r="Q1392" s="120"/>
      <c r="R1392" s="272"/>
      <c r="S1392" s="272"/>
    </row>
    <row r="1393" spans="1:19" s="61" customFormat="1">
      <c r="A1393" s="285"/>
      <c r="B1393" s="287"/>
      <c r="C1393" s="89" t="s">
        <v>761</v>
      </c>
      <c r="D1393" s="93">
        <v>1</v>
      </c>
      <c r="E1393" s="70" t="str">
        <f t="shared" si="1074"/>
        <v>21:21</v>
      </c>
      <c r="F1393" s="94" t="s">
        <v>7</v>
      </c>
      <c r="G1393" s="94" t="s">
        <v>7</v>
      </c>
      <c r="H1393" s="89" t="s">
        <v>761</v>
      </c>
      <c r="I1393" s="30" t="s">
        <v>68</v>
      </c>
      <c r="J1393" s="32" t="s">
        <v>36</v>
      </c>
      <c r="K1393" s="33" t="s">
        <v>6</v>
      </c>
      <c r="L1393" s="95"/>
      <c r="M1393" s="120"/>
      <c r="N1393" s="120"/>
      <c r="O1393" s="120"/>
      <c r="P1393" s="120"/>
      <c r="Q1393" s="120"/>
      <c r="R1393" s="272"/>
      <c r="S1393" s="272"/>
    </row>
    <row r="1394" spans="1:19" s="61" customFormat="1">
      <c r="A1394" s="285"/>
      <c r="B1394" s="287"/>
      <c r="C1394" s="89" t="s">
        <v>762</v>
      </c>
      <c r="D1394" s="93">
        <v>1</v>
      </c>
      <c r="E1394" s="70" t="str">
        <f t="shared" si="1074"/>
        <v>20:20</v>
      </c>
      <c r="F1394" s="94" t="s">
        <v>7</v>
      </c>
      <c r="G1394" s="94" t="s">
        <v>7</v>
      </c>
      <c r="H1394" s="89" t="s">
        <v>762</v>
      </c>
      <c r="I1394" s="30" t="s">
        <v>68</v>
      </c>
      <c r="J1394" s="32" t="s">
        <v>36</v>
      </c>
      <c r="K1394" s="33" t="s">
        <v>6</v>
      </c>
      <c r="L1394" s="95"/>
      <c r="M1394" s="120"/>
      <c r="N1394" s="120"/>
      <c r="O1394" s="120"/>
      <c r="P1394" s="120"/>
      <c r="Q1394" s="120"/>
      <c r="R1394" s="272"/>
      <c r="S1394" s="272"/>
    </row>
    <row r="1395" spans="1:19" s="61" customFormat="1">
      <c r="A1395" s="285"/>
      <c r="B1395" s="287"/>
      <c r="C1395" s="89" t="s">
        <v>763</v>
      </c>
      <c r="D1395" s="93">
        <v>1</v>
      </c>
      <c r="E1395" s="70" t="str">
        <f t="shared" si="1074"/>
        <v>19:19</v>
      </c>
      <c r="F1395" s="94" t="s">
        <v>7</v>
      </c>
      <c r="G1395" s="94" t="s">
        <v>7</v>
      </c>
      <c r="H1395" s="89" t="s">
        <v>763</v>
      </c>
      <c r="I1395" s="30" t="s">
        <v>68</v>
      </c>
      <c r="J1395" s="32" t="s">
        <v>36</v>
      </c>
      <c r="K1395" s="33" t="s">
        <v>6</v>
      </c>
      <c r="L1395" s="95"/>
      <c r="M1395" s="120"/>
      <c r="N1395" s="120"/>
      <c r="O1395" s="120"/>
      <c r="P1395" s="120"/>
      <c r="Q1395" s="120"/>
      <c r="R1395" s="272"/>
      <c r="S1395" s="272"/>
    </row>
    <row r="1396" spans="1:19" s="61" customFormat="1">
      <c r="A1396" s="285"/>
      <c r="B1396" s="287"/>
      <c r="C1396" s="89" t="s">
        <v>764</v>
      </c>
      <c r="D1396" s="93">
        <v>1</v>
      </c>
      <c r="E1396" s="70" t="str">
        <f t="shared" si="1074"/>
        <v>18:18</v>
      </c>
      <c r="F1396" s="94" t="s">
        <v>7</v>
      </c>
      <c r="G1396" s="94" t="s">
        <v>7</v>
      </c>
      <c r="H1396" s="89" t="s">
        <v>764</v>
      </c>
      <c r="I1396" s="30" t="s">
        <v>68</v>
      </c>
      <c r="J1396" s="32" t="s">
        <v>36</v>
      </c>
      <c r="K1396" s="33" t="s">
        <v>6</v>
      </c>
      <c r="L1396" s="95"/>
      <c r="M1396" s="120"/>
      <c r="N1396" s="120"/>
      <c r="O1396" s="120"/>
      <c r="P1396" s="120"/>
      <c r="Q1396" s="120"/>
      <c r="R1396" s="272"/>
      <c r="S1396" s="272"/>
    </row>
    <row r="1397" spans="1:19" s="61" customFormat="1">
      <c r="A1397" s="285"/>
      <c r="B1397" s="287"/>
      <c r="C1397" s="89" t="s">
        <v>765</v>
      </c>
      <c r="D1397" s="93">
        <v>1</v>
      </c>
      <c r="E1397" s="70" t="str">
        <f t="shared" si="1074"/>
        <v>17:17</v>
      </c>
      <c r="F1397" s="94" t="s">
        <v>7</v>
      </c>
      <c r="G1397" s="94" t="s">
        <v>7</v>
      </c>
      <c r="H1397" s="89" t="s">
        <v>765</v>
      </c>
      <c r="I1397" s="30" t="s">
        <v>68</v>
      </c>
      <c r="J1397" s="32" t="s">
        <v>36</v>
      </c>
      <c r="K1397" s="33" t="s">
        <v>6</v>
      </c>
      <c r="L1397" s="95"/>
      <c r="M1397" s="120"/>
      <c r="N1397" s="120"/>
      <c r="O1397" s="120"/>
      <c r="P1397" s="120"/>
      <c r="Q1397" s="120"/>
      <c r="R1397" s="272"/>
      <c r="S1397" s="272"/>
    </row>
    <row r="1398" spans="1:19" s="61" customFormat="1">
      <c r="A1398" s="285"/>
      <c r="B1398" s="287"/>
      <c r="C1398" s="89" t="s">
        <v>766</v>
      </c>
      <c r="D1398" s="93">
        <v>1</v>
      </c>
      <c r="E1398" s="70" t="str">
        <f t="shared" si="1074"/>
        <v>16:16</v>
      </c>
      <c r="F1398" s="94" t="s">
        <v>7</v>
      </c>
      <c r="G1398" s="94" t="s">
        <v>7</v>
      </c>
      <c r="H1398" s="89" t="s">
        <v>766</v>
      </c>
      <c r="I1398" s="30" t="s">
        <v>68</v>
      </c>
      <c r="J1398" s="32" t="s">
        <v>36</v>
      </c>
      <c r="K1398" s="33" t="s">
        <v>6</v>
      </c>
      <c r="L1398" s="95"/>
      <c r="M1398" s="120"/>
      <c r="N1398" s="120"/>
      <c r="O1398" s="120"/>
      <c r="P1398" s="120"/>
      <c r="Q1398" s="120"/>
      <c r="R1398" s="272"/>
      <c r="S1398" s="272"/>
    </row>
    <row r="1399" spans="1:19" s="61" customFormat="1">
      <c r="A1399" s="285"/>
      <c r="B1399" s="287"/>
      <c r="C1399" s="89" t="s">
        <v>767</v>
      </c>
      <c r="D1399" s="93">
        <v>1</v>
      </c>
      <c r="E1399" s="70" t="str">
        <f t="shared" si="1074"/>
        <v>15:15</v>
      </c>
      <c r="F1399" s="94" t="s">
        <v>7</v>
      </c>
      <c r="G1399" s="94" t="s">
        <v>7</v>
      </c>
      <c r="H1399" s="89" t="s">
        <v>767</v>
      </c>
      <c r="I1399" s="30" t="s">
        <v>68</v>
      </c>
      <c r="J1399" s="32" t="s">
        <v>36</v>
      </c>
      <c r="K1399" s="33" t="s">
        <v>6</v>
      </c>
      <c r="L1399" s="95"/>
      <c r="M1399" s="120"/>
      <c r="N1399" s="120"/>
      <c r="O1399" s="120"/>
      <c r="P1399" s="120"/>
      <c r="Q1399" s="120"/>
      <c r="R1399" s="272"/>
      <c r="S1399" s="272"/>
    </row>
    <row r="1400" spans="1:19" s="61" customFormat="1">
      <c r="A1400" s="285"/>
      <c r="B1400" s="287"/>
      <c r="C1400" s="89" t="s">
        <v>768</v>
      </c>
      <c r="D1400" s="93">
        <v>1</v>
      </c>
      <c r="E1400" s="70" t="str">
        <f t="shared" si="1074"/>
        <v>14:14</v>
      </c>
      <c r="F1400" s="94" t="s">
        <v>7</v>
      </c>
      <c r="G1400" s="94" t="s">
        <v>7</v>
      </c>
      <c r="H1400" s="89" t="s">
        <v>768</v>
      </c>
      <c r="I1400" s="30" t="s">
        <v>68</v>
      </c>
      <c r="J1400" s="32" t="s">
        <v>36</v>
      </c>
      <c r="K1400" s="33" t="s">
        <v>6</v>
      </c>
      <c r="L1400" s="95"/>
      <c r="M1400" s="120"/>
      <c r="N1400" s="120"/>
      <c r="O1400" s="120"/>
      <c r="P1400" s="120"/>
      <c r="Q1400" s="120"/>
      <c r="R1400" s="272"/>
      <c r="S1400" s="272"/>
    </row>
    <row r="1401" spans="1:19" s="61" customFormat="1">
      <c r="A1401" s="285"/>
      <c r="B1401" s="287"/>
      <c r="C1401" s="89" t="s">
        <v>769</v>
      </c>
      <c r="D1401" s="93">
        <v>1</v>
      </c>
      <c r="E1401" s="70" t="str">
        <f t="shared" si="1074"/>
        <v>13:13</v>
      </c>
      <c r="F1401" s="94" t="s">
        <v>7</v>
      </c>
      <c r="G1401" s="94" t="s">
        <v>7</v>
      </c>
      <c r="H1401" s="89" t="s">
        <v>769</v>
      </c>
      <c r="I1401" s="30" t="s">
        <v>68</v>
      </c>
      <c r="J1401" s="32" t="s">
        <v>36</v>
      </c>
      <c r="K1401" s="33" t="s">
        <v>6</v>
      </c>
      <c r="L1401" s="95"/>
      <c r="M1401" s="120"/>
      <c r="N1401" s="120"/>
      <c r="O1401" s="120"/>
      <c r="P1401" s="120"/>
      <c r="Q1401" s="120"/>
      <c r="R1401" s="272"/>
      <c r="S1401" s="272"/>
    </row>
    <row r="1402" spans="1:19" s="61" customFormat="1">
      <c r="A1402" s="285"/>
      <c r="B1402" s="287"/>
      <c r="C1402" s="89" t="s">
        <v>770</v>
      </c>
      <c r="D1402" s="93">
        <v>1</v>
      </c>
      <c r="E1402" s="70" t="str">
        <f t="shared" si="1074"/>
        <v>12:12</v>
      </c>
      <c r="F1402" s="94" t="s">
        <v>7</v>
      </c>
      <c r="G1402" s="94" t="s">
        <v>7</v>
      </c>
      <c r="H1402" s="89" t="s">
        <v>770</v>
      </c>
      <c r="I1402" s="30" t="s">
        <v>68</v>
      </c>
      <c r="J1402" s="32" t="s">
        <v>36</v>
      </c>
      <c r="K1402" s="33" t="s">
        <v>6</v>
      </c>
      <c r="L1402" s="95"/>
      <c r="M1402" s="120"/>
      <c r="N1402" s="120"/>
      <c r="O1402" s="120"/>
      <c r="P1402" s="120"/>
      <c r="Q1402" s="120"/>
      <c r="R1402" s="272"/>
      <c r="S1402" s="272"/>
    </row>
    <row r="1403" spans="1:19" s="61" customFormat="1">
      <c r="A1403" s="285"/>
      <c r="B1403" s="287"/>
      <c r="C1403" s="89" t="s">
        <v>771</v>
      </c>
      <c r="D1403" s="93">
        <v>1</v>
      </c>
      <c r="E1403" s="70" t="str">
        <f t="shared" si="1074"/>
        <v>11:11</v>
      </c>
      <c r="F1403" s="94" t="s">
        <v>269</v>
      </c>
      <c r="G1403" s="94" t="s">
        <v>7</v>
      </c>
      <c r="H1403" s="89" t="s">
        <v>771</v>
      </c>
      <c r="I1403" s="30" t="s">
        <v>68</v>
      </c>
      <c r="J1403" s="32" t="s">
        <v>36</v>
      </c>
      <c r="K1403" s="33" t="s">
        <v>6</v>
      </c>
      <c r="L1403" s="95"/>
      <c r="M1403" s="120"/>
      <c r="N1403" s="120"/>
      <c r="O1403" s="120"/>
      <c r="P1403" s="120"/>
      <c r="Q1403" s="120"/>
      <c r="R1403" s="272"/>
      <c r="S1403" s="272"/>
    </row>
    <row r="1404" spans="1:19" s="61" customFormat="1">
      <c r="A1404" s="285"/>
      <c r="B1404" s="287"/>
      <c r="C1404" s="89" t="s">
        <v>772</v>
      </c>
      <c r="D1404" s="93">
        <v>1</v>
      </c>
      <c r="E1404" s="70" t="str">
        <f t="shared" si="1074"/>
        <v>10:10</v>
      </c>
      <c r="F1404" s="94" t="s">
        <v>269</v>
      </c>
      <c r="G1404" s="94" t="s">
        <v>7</v>
      </c>
      <c r="H1404" s="89" t="s">
        <v>772</v>
      </c>
      <c r="I1404" s="30" t="s">
        <v>68</v>
      </c>
      <c r="J1404" s="32" t="s">
        <v>36</v>
      </c>
      <c r="K1404" s="33" t="s">
        <v>6</v>
      </c>
      <c r="L1404" s="95"/>
      <c r="M1404" s="120"/>
      <c r="N1404" s="120"/>
      <c r="O1404" s="120"/>
      <c r="P1404" s="120"/>
      <c r="Q1404" s="120"/>
      <c r="R1404" s="272"/>
      <c r="S1404" s="272"/>
    </row>
    <row r="1405" spans="1:19" s="61" customFormat="1">
      <c r="A1405" s="285"/>
      <c r="B1405" s="287"/>
      <c r="C1405" s="89" t="s">
        <v>773</v>
      </c>
      <c r="D1405" s="93">
        <v>1</v>
      </c>
      <c r="E1405" s="70" t="str">
        <f t="shared" si="1074"/>
        <v>9:9</v>
      </c>
      <c r="F1405" s="94" t="s">
        <v>269</v>
      </c>
      <c r="G1405" s="94" t="s">
        <v>7</v>
      </c>
      <c r="H1405" s="89" t="s">
        <v>773</v>
      </c>
      <c r="I1405" s="30" t="s">
        <v>68</v>
      </c>
      <c r="J1405" s="32" t="s">
        <v>36</v>
      </c>
      <c r="K1405" s="33" t="s">
        <v>6</v>
      </c>
      <c r="L1405" s="95"/>
      <c r="M1405" s="120"/>
      <c r="N1405" s="120"/>
      <c r="O1405" s="120"/>
      <c r="P1405" s="120"/>
      <c r="Q1405" s="120"/>
      <c r="R1405" s="272"/>
      <c r="S1405" s="272"/>
    </row>
    <row r="1406" spans="1:19" s="61" customFormat="1">
      <c r="A1406" s="285"/>
      <c r="B1406" s="287"/>
      <c r="C1406" s="89" t="s">
        <v>774</v>
      </c>
      <c r="D1406" s="93">
        <v>1</v>
      </c>
      <c r="E1406" s="70" t="str">
        <f t="shared" si="1074"/>
        <v>8:8</v>
      </c>
      <c r="F1406" s="94" t="s">
        <v>269</v>
      </c>
      <c r="G1406" s="94" t="s">
        <v>7</v>
      </c>
      <c r="H1406" s="89" t="s">
        <v>774</v>
      </c>
      <c r="I1406" s="30" t="s">
        <v>68</v>
      </c>
      <c r="J1406" s="32" t="s">
        <v>36</v>
      </c>
      <c r="K1406" s="33" t="s">
        <v>6</v>
      </c>
      <c r="L1406" s="95"/>
      <c r="M1406" s="120"/>
      <c r="N1406" s="120"/>
      <c r="O1406" s="120"/>
      <c r="P1406" s="120"/>
      <c r="Q1406" s="120"/>
      <c r="R1406" s="272"/>
      <c r="S1406" s="272"/>
    </row>
    <row r="1407" spans="1:19" s="61" customFormat="1">
      <c r="A1407" s="285"/>
      <c r="B1407" s="287"/>
      <c r="C1407" s="89" t="s">
        <v>775</v>
      </c>
      <c r="D1407" s="93">
        <v>1</v>
      </c>
      <c r="E1407" s="70" t="str">
        <f t="shared" si="1074"/>
        <v>7:7</v>
      </c>
      <c r="F1407" s="94" t="s">
        <v>269</v>
      </c>
      <c r="G1407" s="94" t="s">
        <v>7</v>
      </c>
      <c r="H1407" s="89" t="s">
        <v>775</v>
      </c>
      <c r="I1407" s="30" t="s">
        <v>68</v>
      </c>
      <c r="J1407" s="32" t="s">
        <v>36</v>
      </c>
      <c r="K1407" s="33" t="s">
        <v>6</v>
      </c>
      <c r="L1407" s="95"/>
      <c r="M1407" s="120"/>
      <c r="N1407" s="120"/>
      <c r="O1407" s="120"/>
      <c r="P1407" s="120"/>
      <c r="Q1407" s="120"/>
      <c r="R1407" s="272"/>
      <c r="S1407" s="272"/>
    </row>
    <row r="1408" spans="1:19" s="61" customFormat="1">
      <c r="A1408" s="285"/>
      <c r="B1408" s="287"/>
      <c r="C1408" s="89" t="s">
        <v>776</v>
      </c>
      <c r="D1408" s="93">
        <v>1</v>
      </c>
      <c r="E1408" s="70" t="str">
        <f t="shared" si="1074"/>
        <v>6:6</v>
      </c>
      <c r="F1408" s="94" t="s">
        <v>269</v>
      </c>
      <c r="G1408" s="94" t="s">
        <v>7</v>
      </c>
      <c r="H1408" s="89" t="s">
        <v>776</v>
      </c>
      <c r="I1408" s="30" t="s">
        <v>68</v>
      </c>
      <c r="J1408" s="32" t="s">
        <v>36</v>
      </c>
      <c r="K1408" s="33" t="s">
        <v>6</v>
      </c>
      <c r="L1408" s="95"/>
      <c r="M1408" s="120"/>
      <c r="N1408" s="120"/>
      <c r="O1408" s="120"/>
      <c r="P1408" s="120"/>
      <c r="Q1408" s="120"/>
      <c r="R1408" s="272"/>
      <c r="S1408" s="272"/>
    </row>
    <row r="1409" spans="1:19" s="61" customFormat="1">
      <c r="A1409" s="285"/>
      <c r="B1409" s="287"/>
      <c r="C1409" s="89" t="s">
        <v>777</v>
      </c>
      <c r="D1409" s="93">
        <v>1</v>
      </c>
      <c r="E1409" s="70" t="str">
        <f t="shared" si="1074"/>
        <v>5:5</v>
      </c>
      <c r="F1409" s="94" t="s">
        <v>269</v>
      </c>
      <c r="G1409" s="94" t="s">
        <v>7</v>
      </c>
      <c r="H1409" s="89" t="s">
        <v>777</v>
      </c>
      <c r="I1409" s="30" t="s">
        <v>68</v>
      </c>
      <c r="J1409" s="32" t="s">
        <v>36</v>
      </c>
      <c r="K1409" s="33" t="s">
        <v>6</v>
      </c>
      <c r="L1409" s="95"/>
      <c r="M1409" s="120"/>
      <c r="N1409" s="120"/>
      <c r="O1409" s="120"/>
      <c r="P1409" s="120"/>
      <c r="Q1409" s="120"/>
      <c r="R1409" s="272"/>
      <c r="S1409" s="272"/>
    </row>
    <row r="1410" spans="1:19" s="61" customFormat="1">
      <c r="A1410" s="285"/>
      <c r="B1410" s="287"/>
      <c r="C1410" s="89" t="s">
        <v>778</v>
      </c>
      <c r="D1410" s="93">
        <v>1</v>
      </c>
      <c r="E1410" s="70" t="str">
        <f t="shared" si="1074"/>
        <v>4:4</v>
      </c>
      <c r="F1410" s="94" t="s">
        <v>269</v>
      </c>
      <c r="G1410" s="94" t="s">
        <v>7</v>
      </c>
      <c r="H1410" s="89" t="s">
        <v>778</v>
      </c>
      <c r="I1410" s="30" t="s">
        <v>68</v>
      </c>
      <c r="J1410" s="32" t="s">
        <v>36</v>
      </c>
      <c r="K1410" s="33" t="s">
        <v>6</v>
      </c>
      <c r="L1410" s="95"/>
      <c r="M1410" s="120"/>
      <c r="N1410" s="120"/>
      <c r="O1410" s="120"/>
      <c r="P1410" s="120"/>
      <c r="Q1410" s="120"/>
      <c r="R1410" s="272"/>
      <c r="S1410" s="272"/>
    </row>
    <row r="1411" spans="1:19" s="61" customFormat="1">
      <c r="A1411" s="285"/>
      <c r="B1411" s="287"/>
      <c r="C1411" s="89" t="s">
        <v>779</v>
      </c>
      <c r="D1411" s="93">
        <v>2</v>
      </c>
      <c r="E1411" s="70" t="str">
        <f t="shared" si="1074"/>
        <v>3:2</v>
      </c>
      <c r="F1411" s="94" t="s">
        <v>154</v>
      </c>
      <c r="G1411" s="94" t="s">
        <v>154</v>
      </c>
      <c r="H1411" s="64" t="s">
        <v>396</v>
      </c>
      <c r="I1411" s="30" t="s">
        <v>68</v>
      </c>
      <c r="J1411" s="32" t="s">
        <v>36</v>
      </c>
      <c r="K1411" s="33" t="s">
        <v>6</v>
      </c>
      <c r="L1411" s="95"/>
      <c r="M1411" s="120"/>
      <c r="N1411" s="120"/>
      <c r="O1411" s="120"/>
      <c r="P1411" s="120"/>
      <c r="Q1411" s="120"/>
      <c r="R1411" s="272"/>
      <c r="S1411" s="272"/>
    </row>
    <row r="1412" spans="1:19" s="61" customFormat="1" ht="15" thickBot="1">
      <c r="A1412" s="285"/>
      <c r="B1412" s="287"/>
      <c r="C1412" s="64" t="s">
        <v>780</v>
      </c>
      <c r="D1412" s="93">
        <v>2</v>
      </c>
      <c r="E1412" s="70" t="str">
        <f t="shared" si="1074"/>
        <v>1:0</v>
      </c>
      <c r="F1412" s="94" t="s">
        <v>154</v>
      </c>
      <c r="G1412" s="94" t="s">
        <v>154</v>
      </c>
      <c r="H1412" s="64" t="s">
        <v>781</v>
      </c>
      <c r="I1412" s="30" t="s">
        <v>68</v>
      </c>
      <c r="J1412" s="32" t="s">
        <v>36</v>
      </c>
      <c r="K1412" s="33" t="s">
        <v>6</v>
      </c>
      <c r="L1412" s="95"/>
      <c r="M1412" s="120"/>
      <c r="N1412" s="120"/>
      <c r="O1412" s="120"/>
      <c r="P1412" s="120"/>
      <c r="Q1412" s="120"/>
      <c r="R1412" s="272"/>
      <c r="S1412" s="272"/>
    </row>
    <row r="1413" spans="1:19" s="61" customFormat="1" ht="14.4" customHeight="1">
      <c r="A1413" s="273" t="s">
        <v>782</v>
      </c>
      <c r="B1413" s="275" t="str">
        <f>DEC2HEX(P1413*4)</f>
        <v>8</v>
      </c>
      <c r="C1413" s="90" t="s">
        <v>134</v>
      </c>
      <c r="D1413" s="277" t="str">
        <f>bitConcat(F1414:F1423)</f>
        <v>32'b00000000000000110100000010001000</v>
      </c>
      <c r="E1413" s="278"/>
      <c r="F1413" s="278"/>
      <c r="G1413" s="279"/>
      <c r="H1413" s="91" t="s">
        <v>384</v>
      </c>
      <c r="I1413" s="92"/>
      <c r="J1413" s="280" t="str">
        <f>bitConcat(G1414:G1423)</f>
        <v>32'b00000000000000110100000010000000</v>
      </c>
      <c r="K1413" s="281"/>
      <c r="L1413" s="282"/>
      <c r="M1413" s="119" t="str">
        <f>DEC2HEX(_xlfn.BITLSHIFT(O1413,7)+4*P1413)</f>
        <v>488</v>
      </c>
      <c r="N1413" s="119"/>
      <c r="O1413" s="119">
        <v>9</v>
      </c>
      <c r="P1413" s="119">
        <v>2</v>
      </c>
      <c r="Q1413" s="119" t="str">
        <f>DEC2HEX(_xlfn.BITLSHIFT(O1413,5)+P1413)</f>
        <v>122</v>
      </c>
      <c r="R1413" s="271" t="str">
        <f t="shared" ref="R1413" si="1075">BIN2HEX(LEFT(RIGHT(D1413,32),4))&amp;BIN2HEX(LEFT(RIGHT(D1413,28),4))&amp;BIN2HEX(LEFT(RIGHT(D1413,24),4))&amp;BIN2HEX(LEFT(RIGHT(D1413,20),4))&amp;BIN2HEX(LEFT(RIGHT(D1413,16),4))&amp;BIN2HEX(LEFT(RIGHT(D1413,12),4))&amp;BIN2HEX(LEFT(RIGHT(D1413,8),4))&amp;BIN2HEX(LEFT(RIGHT(D1413,4),4))</f>
        <v>00034088</v>
      </c>
      <c r="S1413" s="271" t="str">
        <f t="shared" ref="S1413" si="1076">BIN2HEX(LEFT(RIGHT(J1413,32),4))&amp;BIN2HEX(LEFT(RIGHT(J1413,28),4))&amp;BIN2HEX(LEFT(RIGHT(J1413,24),4))&amp;BIN2HEX(LEFT(RIGHT(J1413,20),4))&amp;BIN2HEX(LEFT(RIGHT(J1413,16),4))&amp;BIN2HEX(LEFT(RIGHT(J1413,12),4))&amp;BIN2HEX(LEFT(RIGHT(J1413,8),4))&amp;BIN2HEX(LEFT(RIGHT(J1413,4),4))</f>
        <v>00034080</v>
      </c>
    </row>
    <row r="1414" spans="1:19" s="61" customFormat="1" ht="144">
      <c r="A1414" s="274"/>
      <c r="B1414" s="276"/>
      <c r="C1414" s="96" t="s">
        <v>783</v>
      </c>
      <c r="D1414" s="93">
        <v>5</v>
      </c>
      <c r="E1414" s="70" t="str">
        <f>IF(D1414&gt;1,(31)&amp;":"&amp;(31-D1414+1),(31-D1414+1)&amp;":"&amp;(31-D1414+1))</f>
        <v>31:27</v>
      </c>
      <c r="F1414" s="97" t="s">
        <v>434</v>
      </c>
      <c r="G1414" s="97" t="s">
        <v>434</v>
      </c>
      <c r="H1414" s="65" t="s">
        <v>784</v>
      </c>
      <c r="I1414" s="30" t="s">
        <v>68</v>
      </c>
      <c r="J1414" s="32" t="s">
        <v>36</v>
      </c>
      <c r="K1414" s="33" t="s">
        <v>6</v>
      </c>
      <c r="L1414" s="95"/>
      <c r="M1414" s="120"/>
      <c r="N1414" s="120"/>
      <c r="O1414" s="120"/>
      <c r="P1414" s="120"/>
      <c r="Q1414" s="120"/>
      <c r="R1414" s="272"/>
      <c r="S1414" s="272"/>
    </row>
    <row r="1415" spans="1:19" s="61" customFormat="1">
      <c r="A1415" s="274"/>
      <c r="B1415" s="276"/>
      <c r="C1415" s="96" t="s">
        <v>785</v>
      </c>
      <c r="D1415" s="93">
        <v>1</v>
      </c>
      <c r="E1415" s="30" t="str">
        <f t="shared" ref="E1415:E1417" si="1077">(MID(str_cnvt(E1414),SEARCH(":",str_cnvt(E1414))+1,2)-1) &amp; ":" &amp; (MID(str_cnvt(E1414),SEARCH(":",str_cnvt(E1414))+1,2)-D1415)</f>
        <v>26:26</v>
      </c>
      <c r="F1415" s="97" t="s">
        <v>7</v>
      </c>
      <c r="G1415" s="97" t="s">
        <v>7</v>
      </c>
      <c r="H1415" s="65" t="s">
        <v>786</v>
      </c>
      <c r="I1415" s="30" t="s">
        <v>68</v>
      </c>
      <c r="J1415" s="32" t="s">
        <v>36</v>
      </c>
      <c r="K1415" s="33" t="s">
        <v>6</v>
      </c>
      <c r="L1415" s="95"/>
      <c r="M1415" s="120"/>
      <c r="N1415" s="120"/>
      <c r="O1415" s="120"/>
      <c r="P1415" s="120"/>
      <c r="Q1415" s="120"/>
      <c r="R1415" s="272"/>
      <c r="S1415" s="272"/>
    </row>
    <row r="1416" spans="1:19" s="61" customFormat="1">
      <c r="A1416" s="274"/>
      <c r="B1416" s="276"/>
      <c r="C1416" s="96" t="s">
        <v>557</v>
      </c>
      <c r="D1416" s="93">
        <v>3</v>
      </c>
      <c r="E1416" s="30" t="str">
        <f t="shared" si="1077"/>
        <v>25:23</v>
      </c>
      <c r="F1416" s="97" t="s">
        <v>178</v>
      </c>
      <c r="G1416" s="97" t="s">
        <v>178</v>
      </c>
      <c r="H1416" s="65" t="s">
        <v>396</v>
      </c>
      <c r="I1416" s="30" t="s">
        <v>68</v>
      </c>
      <c r="J1416" s="32" t="s">
        <v>36</v>
      </c>
      <c r="K1416" s="33" t="s">
        <v>6</v>
      </c>
      <c r="L1416" s="95"/>
      <c r="M1416" s="120"/>
      <c r="N1416" s="120"/>
      <c r="O1416" s="120"/>
      <c r="P1416" s="120"/>
      <c r="Q1416" s="120"/>
      <c r="R1416" s="272"/>
      <c r="S1416" s="272"/>
    </row>
    <row r="1417" spans="1:19" s="61" customFormat="1">
      <c r="A1417" s="274"/>
      <c r="B1417" s="276"/>
      <c r="C1417" s="96" t="s">
        <v>566</v>
      </c>
      <c r="D1417" s="93">
        <v>4</v>
      </c>
      <c r="E1417" s="30" t="str">
        <f t="shared" si="1077"/>
        <v>22:19</v>
      </c>
      <c r="F1417" s="97" t="s">
        <v>149</v>
      </c>
      <c r="G1417" s="97" t="s">
        <v>149</v>
      </c>
      <c r="H1417" s="65" t="s">
        <v>396</v>
      </c>
      <c r="I1417" s="30" t="s">
        <v>68</v>
      </c>
      <c r="J1417" s="32" t="s">
        <v>36</v>
      </c>
      <c r="K1417" s="33" t="s">
        <v>6</v>
      </c>
      <c r="L1417" s="95"/>
      <c r="M1417" s="120"/>
      <c r="N1417" s="120"/>
      <c r="O1417" s="120"/>
      <c r="P1417" s="120"/>
      <c r="Q1417" s="120"/>
      <c r="R1417" s="272"/>
      <c r="S1417" s="272"/>
    </row>
    <row r="1418" spans="1:19" s="61" customFormat="1">
      <c r="A1418" s="274"/>
      <c r="B1418" s="276"/>
      <c r="C1418" s="96" t="s">
        <v>787</v>
      </c>
      <c r="D1418" s="93">
        <v>1</v>
      </c>
      <c r="E1418" s="30" t="str">
        <f t="shared" ref="E1418:E1423" si="1078">(MID(str_cnvt(E1417),SEARCH(":",str_cnvt(E1417))+1,2)-1) &amp; ":" &amp; (MID(str_cnvt(E1417),SEARCH(":",str_cnvt(E1417))+1,2)-D1418)</f>
        <v>18:18</v>
      </c>
      <c r="F1418" s="97" t="s">
        <v>7</v>
      </c>
      <c r="G1418" s="97" t="s">
        <v>7</v>
      </c>
      <c r="H1418" s="65" t="s">
        <v>788</v>
      </c>
      <c r="I1418" s="30" t="s">
        <v>68</v>
      </c>
      <c r="J1418" s="32" t="s">
        <v>36</v>
      </c>
      <c r="K1418" s="33" t="s">
        <v>6</v>
      </c>
      <c r="L1418" s="95"/>
      <c r="M1418" s="120"/>
      <c r="N1418" s="120"/>
      <c r="O1418" s="120"/>
      <c r="P1418" s="120"/>
      <c r="Q1418" s="120"/>
      <c r="R1418" s="272"/>
      <c r="S1418" s="272"/>
    </row>
    <row r="1419" spans="1:19" s="61" customFormat="1">
      <c r="A1419" s="274"/>
      <c r="B1419" s="276"/>
      <c r="C1419" s="96" t="s">
        <v>789</v>
      </c>
      <c r="D1419" s="93">
        <v>14</v>
      </c>
      <c r="E1419" s="30" t="str">
        <f t="shared" si="1078"/>
        <v>17:4</v>
      </c>
      <c r="F1419" s="97" t="s">
        <v>790</v>
      </c>
      <c r="G1419" s="97" t="s">
        <v>790</v>
      </c>
      <c r="H1419" s="65" t="s">
        <v>791</v>
      </c>
      <c r="I1419" s="30" t="s">
        <v>68</v>
      </c>
      <c r="J1419" s="32" t="s">
        <v>36</v>
      </c>
      <c r="K1419" s="33" t="s">
        <v>6</v>
      </c>
      <c r="L1419" s="95"/>
      <c r="M1419" s="120"/>
      <c r="N1419" s="120"/>
      <c r="O1419" s="120"/>
      <c r="P1419" s="120"/>
      <c r="Q1419" s="120"/>
      <c r="R1419" s="272"/>
      <c r="S1419" s="272"/>
    </row>
    <row r="1420" spans="1:19" s="61" customFormat="1">
      <c r="A1420" s="274"/>
      <c r="B1420" s="276"/>
      <c r="C1420" s="96" t="s">
        <v>792</v>
      </c>
      <c r="D1420" s="93">
        <v>1</v>
      </c>
      <c r="E1420" s="30" t="str">
        <f t="shared" si="1078"/>
        <v>3:3</v>
      </c>
      <c r="F1420" s="97" t="s">
        <v>269</v>
      </c>
      <c r="G1420" s="97" t="s">
        <v>7</v>
      </c>
      <c r="H1420" s="65" t="s">
        <v>793</v>
      </c>
      <c r="I1420" s="30" t="s">
        <v>68</v>
      </c>
      <c r="J1420" s="32" t="s">
        <v>36</v>
      </c>
      <c r="K1420" s="33" t="s">
        <v>6</v>
      </c>
      <c r="L1420" s="95"/>
      <c r="M1420" s="120"/>
      <c r="N1420" s="120"/>
      <c r="O1420" s="120"/>
      <c r="P1420" s="120"/>
      <c r="Q1420" s="120"/>
      <c r="R1420" s="272"/>
      <c r="S1420" s="272"/>
    </row>
    <row r="1421" spans="1:19" s="61" customFormat="1">
      <c r="A1421" s="274"/>
      <c r="B1421" s="276"/>
      <c r="C1421" s="96" t="s">
        <v>794</v>
      </c>
      <c r="D1421" s="93">
        <v>1</v>
      </c>
      <c r="E1421" s="30" t="str">
        <f t="shared" si="1078"/>
        <v>2:2</v>
      </c>
      <c r="F1421" s="97" t="s">
        <v>7</v>
      </c>
      <c r="G1421" s="97" t="s">
        <v>7</v>
      </c>
      <c r="H1421" s="65" t="s">
        <v>795</v>
      </c>
      <c r="I1421" s="30" t="s">
        <v>68</v>
      </c>
      <c r="J1421" s="32" t="s">
        <v>36</v>
      </c>
      <c r="K1421" s="33" t="s">
        <v>6</v>
      </c>
      <c r="L1421" s="95"/>
      <c r="M1421" s="120"/>
      <c r="N1421" s="120"/>
      <c r="O1421" s="120"/>
      <c r="P1421" s="120"/>
      <c r="Q1421" s="120"/>
      <c r="R1421" s="272"/>
      <c r="S1421" s="272"/>
    </row>
    <row r="1422" spans="1:19" s="61" customFormat="1">
      <c r="A1422" s="274"/>
      <c r="B1422" s="276"/>
      <c r="C1422" s="96" t="s">
        <v>796</v>
      </c>
      <c r="D1422" s="93">
        <v>1</v>
      </c>
      <c r="E1422" s="30" t="str">
        <f t="shared" si="1078"/>
        <v>1:1</v>
      </c>
      <c r="F1422" s="97" t="s">
        <v>7</v>
      </c>
      <c r="G1422" s="97" t="s">
        <v>7</v>
      </c>
      <c r="H1422" s="75" t="s">
        <v>797</v>
      </c>
      <c r="I1422" s="30" t="s">
        <v>68</v>
      </c>
      <c r="J1422" s="32" t="s">
        <v>36</v>
      </c>
      <c r="K1422" s="33" t="s">
        <v>6</v>
      </c>
      <c r="L1422" s="95"/>
      <c r="M1422" s="120"/>
      <c r="N1422" s="120"/>
      <c r="O1422" s="120"/>
      <c r="P1422" s="120"/>
      <c r="Q1422" s="120"/>
      <c r="R1422" s="272"/>
      <c r="S1422" s="272"/>
    </row>
    <row r="1423" spans="1:19" s="61" customFormat="1" ht="15" thickBot="1">
      <c r="A1423" s="274"/>
      <c r="B1423" s="276"/>
      <c r="C1423" s="96" t="s">
        <v>798</v>
      </c>
      <c r="D1423" s="93">
        <v>1</v>
      </c>
      <c r="E1423" s="30" t="str">
        <f t="shared" si="1078"/>
        <v>0:0</v>
      </c>
      <c r="F1423" s="97" t="s">
        <v>7</v>
      </c>
      <c r="G1423" s="97" t="s">
        <v>7</v>
      </c>
      <c r="H1423" s="75" t="s">
        <v>799</v>
      </c>
      <c r="I1423" s="30" t="s">
        <v>68</v>
      </c>
      <c r="J1423" s="32" t="s">
        <v>36</v>
      </c>
      <c r="K1423" s="33" t="s">
        <v>6</v>
      </c>
      <c r="L1423" s="95"/>
      <c r="M1423" s="120"/>
      <c r="N1423" s="120"/>
      <c r="O1423" s="120"/>
      <c r="P1423" s="120"/>
      <c r="Q1423" s="120"/>
      <c r="R1423" s="272"/>
      <c r="S1423" s="272"/>
    </row>
    <row r="1424" spans="1:19" s="61" customFormat="1">
      <c r="A1424" s="273" t="s">
        <v>800</v>
      </c>
      <c r="B1424" s="275" t="str">
        <f>DEC2HEX(P1424*4)</f>
        <v>C</v>
      </c>
      <c r="C1424" s="90" t="s">
        <v>134</v>
      </c>
      <c r="D1424" s="277" t="str">
        <f>bitConcat(F1425:F1431)</f>
        <v>32'b00000000001111000000000000000000</v>
      </c>
      <c r="E1424" s="278"/>
      <c r="F1424" s="278"/>
      <c r="G1424" s="279"/>
      <c r="H1424" s="91" t="s">
        <v>384</v>
      </c>
      <c r="I1424" s="92"/>
      <c r="J1424" s="280" t="str">
        <f>bitConcat(G1425:G1431)</f>
        <v>32'b00000000001111000000000000000000</v>
      </c>
      <c r="K1424" s="281"/>
      <c r="L1424" s="282"/>
      <c r="M1424" s="119" t="str">
        <f>DEC2HEX(_xlfn.BITLSHIFT(O1424,7)+4*P1424)</f>
        <v>48C</v>
      </c>
      <c r="N1424" s="119"/>
      <c r="O1424" s="119">
        <v>9</v>
      </c>
      <c r="P1424" s="119">
        <v>3</v>
      </c>
      <c r="Q1424" s="119" t="str">
        <f>DEC2HEX(_xlfn.BITLSHIFT(O1424,5)+P1424)</f>
        <v>123</v>
      </c>
      <c r="R1424" s="271" t="str">
        <f t="shared" ref="R1424" si="1079">BIN2HEX(LEFT(RIGHT(D1424,32),4))&amp;BIN2HEX(LEFT(RIGHT(D1424,28),4))&amp;BIN2HEX(LEFT(RIGHT(D1424,24),4))&amp;BIN2HEX(LEFT(RIGHT(D1424,20),4))&amp;BIN2HEX(LEFT(RIGHT(D1424,16),4))&amp;BIN2HEX(LEFT(RIGHT(D1424,12),4))&amp;BIN2HEX(LEFT(RIGHT(D1424,8),4))&amp;BIN2HEX(LEFT(RIGHT(D1424,4),4))</f>
        <v>003C0000</v>
      </c>
      <c r="S1424" s="271" t="str">
        <f t="shared" ref="S1424" si="1080">BIN2HEX(LEFT(RIGHT(J1424,32),4))&amp;BIN2HEX(LEFT(RIGHT(J1424,28),4))&amp;BIN2HEX(LEFT(RIGHT(J1424,24),4))&amp;BIN2HEX(LEFT(RIGHT(J1424,20),4))&amp;BIN2HEX(LEFT(RIGHT(J1424,16),4))&amp;BIN2HEX(LEFT(RIGHT(J1424,12),4))&amp;BIN2HEX(LEFT(RIGHT(J1424,8),4))&amp;BIN2HEX(LEFT(RIGHT(J1424,4),4))</f>
        <v>003C0000</v>
      </c>
    </row>
    <row r="1425" spans="1:19" s="61" customFormat="1" ht="244.8">
      <c r="A1425" s="274"/>
      <c r="B1425" s="276"/>
      <c r="C1425" s="96" t="s">
        <v>801</v>
      </c>
      <c r="D1425" s="93">
        <v>6</v>
      </c>
      <c r="E1425" s="70" t="str">
        <f>IF(D1425&gt;1,(31)&amp;":"&amp;(31-D1425+1),(31-D1425+1)&amp;":"&amp;(31-D1425+1))</f>
        <v>31:26</v>
      </c>
      <c r="F1425" s="97" t="s">
        <v>249</v>
      </c>
      <c r="G1425" s="97" t="s">
        <v>249</v>
      </c>
      <c r="H1425" s="65" t="s">
        <v>802</v>
      </c>
      <c r="I1425" s="30" t="s">
        <v>68</v>
      </c>
      <c r="J1425" s="32" t="s">
        <v>36</v>
      </c>
      <c r="K1425" s="33" t="s">
        <v>6</v>
      </c>
      <c r="L1425" s="95"/>
      <c r="M1425" s="120"/>
      <c r="N1425" s="120"/>
      <c r="O1425" s="120"/>
      <c r="P1425" s="120"/>
      <c r="Q1425" s="120"/>
      <c r="R1425" s="272"/>
      <c r="S1425" s="272"/>
    </row>
    <row r="1426" spans="1:19" s="61" customFormat="1">
      <c r="A1426" s="274"/>
      <c r="B1426" s="276"/>
      <c r="C1426" s="96" t="s">
        <v>803</v>
      </c>
      <c r="D1426" s="93">
        <v>1</v>
      </c>
      <c r="E1426" s="30" t="str">
        <f t="shared" ref="E1426:E1431" si="1081">(MID(str_cnvt(E1425),SEARCH(":",str_cnvt(E1425))+1,2)-1) &amp; ":" &amp; (MID(str_cnvt(E1425),SEARCH(":",str_cnvt(E1425))+1,2)-D1426)</f>
        <v>25:25</v>
      </c>
      <c r="F1426" s="97" t="s">
        <v>7</v>
      </c>
      <c r="G1426" s="97" t="s">
        <v>7</v>
      </c>
      <c r="H1426" s="64" t="s">
        <v>804</v>
      </c>
      <c r="I1426" s="30" t="s">
        <v>68</v>
      </c>
      <c r="J1426" s="32" t="s">
        <v>36</v>
      </c>
      <c r="K1426" s="33" t="s">
        <v>6</v>
      </c>
      <c r="L1426" s="95"/>
      <c r="M1426" s="120"/>
      <c r="N1426" s="120"/>
      <c r="O1426" s="120"/>
      <c r="P1426" s="120"/>
      <c r="Q1426" s="120"/>
      <c r="R1426" s="272"/>
      <c r="S1426" s="272"/>
    </row>
    <row r="1427" spans="1:19" s="61" customFormat="1">
      <c r="A1427" s="274"/>
      <c r="B1427" s="276"/>
      <c r="C1427" s="96" t="s">
        <v>805</v>
      </c>
      <c r="D1427" s="93">
        <v>4</v>
      </c>
      <c r="E1427" s="30" t="str">
        <f t="shared" si="1081"/>
        <v>24:21</v>
      </c>
      <c r="F1427" s="97" t="s">
        <v>220</v>
      </c>
      <c r="G1427" s="97" t="s">
        <v>220</v>
      </c>
      <c r="H1427" s="64" t="s">
        <v>786</v>
      </c>
      <c r="I1427" s="30" t="s">
        <v>68</v>
      </c>
      <c r="J1427" s="32" t="s">
        <v>36</v>
      </c>
      <c r="K1427" s="33" t="s">
        <v>6</v>
      </c>
      <c r="L1427" s="95"/>
      <c r="M1427" s="120"/>
      <c r="N1427" s="120"/>
      <c r="O1427" s="120"/>
      <c r="P1427" s="120"/>
      <c r="Q1427" s="120"/>
      <c r="R1427" s="272"/>
      <c r="S1427" s="272"/>
    </row>
    <row r="1428" spans="1:19" s="61" customFormat="1">
      <c r="A1428" s="274"/>
      <c r="B1428" s="276"/>
      <c r="C1428" s="96" t="s">
        <v>806</v>
      </c>
      <c r="D1428" s="93">
        <v>4</v>
      </c>
      <c r="E1428" s="30" t="str">
        <f t="shared" si="1081"/>
        <v>20:17</v>
      </c>
      <c r="F1428" s="97" t="s">
        <v>807</v>
      </c>
      <c r="G1428" s="97" t="s">
        <v>807</v>
      </c>
      <c r="H1428" s="64" t="s">
        <v>786</v>
      </c>
      <c r="I1428" s="30" t="s">
        <v>68</v>
      </c>
      <c r="J1428" s="32" t="s">
        <v>36</v>
      </c>
      <c r="K1428" s="33" t="s">
        <v>6</v>
      </c>
      <c r="L1428" s="95"/>
      <c r="M1428" s="120"/>
      <c r="N1428" s="120"/>
      <c r="O1428" s="120"/>
      <c r="P1428" s="120"/>
      <c r="Q1428" s="120"/>
      <c r="R1428" s="272"/>
      <c r="S1428" s="272"/>
    </row>
    <row r="1429" spans="1:19" s="61" customFormat="1" ht="187.2">
      <c r="A1429" s="274"/>
      <c r="B1429" s="276"/>
      <c r="C1429" s="96" t="s">
        <v>808</v>
      </c>
      <c r="D1429" s="93">
        <v>4</v>
      </c>
      <c r="E1429" s="30" t="str">
        <f t="shared" si="1081"/>
        <v>16:13</v>
      </c>
      <c r="F1429" s="97" t="s">
        <v>149</v>
      </c>
      <c r="G1429" s="97" t="s">
        <v>149</v>
      </c>
      <c r="H1429" s="64" t="s">
        <v>970</v>
      </c>
      <c r="I1429" s="30" t="s">
        <v>68</v>
      </c>
      <c r="J1429" s="32" t="s">
        <v>36</v>
      </c>
      <c r="K1429" s="33" t="s">
        <v>6</v>
      </c>
      <c r="L1429" s="95"/>
      <c r="M1429" s="120"/>
      <c r="N1429" s="120"/>
      <c r="O1429" s="120"/>
      <c r="P1429" s="120"/>
      <c r="Q1429" s="120"/>
      <c r="R1429" s="272"/>
      <c r="S1429" s="272"/>
    </row>
    <row r="1430" spans="1:19" s="61" customFormat="1">
      <c r="A1430" s="274"/>
      <c r="B1430" s="276"/>
      <c r="C1430" s="96" t="s">
        <v>809</v>
      </c>
      <c r="D1430" s="93">
        <v>1</v>
      </c>
      <c r="E1430" s="30" t="str">
        <f t="shared" si="1081"/>
        <v>12:12</v>
      </c>
      <c r="F1430" s="97" t="s">
        <v>7</v>
      </c>
      <c r="G1430" s="97" t="s">
        <v>7</v>
      </c>
      <c r="H1430" s="64" t="s">
        <v>971</v>
      </c>
      <c r="I1430" s="30" t="s">
        <v>68</v>
      </c>
      <c r="J1430" s="32" t="s">
        <v>36</v>
      </c>
      <c r="K1430" s="33" t="s">
        <v>6</v>
      </c>
      <c r="L1430" s="95"/>
      <c r="M1430" s="120"/>
      <c r="N1430" s="120"/>
      <c r="O1430" s="120"/>
      <c r="P1430" s="120"/>
      <c r="Q1430" s="120"/>
      <c r="R1430" s="272"/>
      <c r="S1430" s="272"/>
    </row>
    <row r="1431" spans="1:19" s="61" customFormat="1" ht="15" thickBot="1">
      <c r="A1431" s="274"/>
      <c r="B1431" s="276"/>
      <c r="C1431" s="96" t="s">
        <v>575</v>
      </c>
      <c r="D1431" s="93">
        <v>12</v>
      </c>
      <c r="E1431" s="30" t="str">
        <f t="shared" si="1081"/>
        <v>11:0</v>
      </c>
      <c r="F1431" s="97" t="s">
        <v>810</v>
      </c>
      <c r="G1431" s="97" t="s">
        <v>810</v>
      </c>
      <c r="H1431" s="64" t="s">
        <v>396</v>
      </c>
      <c r="I1431" s="30" t="s">
        <v>68</v>
      </c>
      <c r="J1431" s="32" t="s">
        <v>36</v>
      </c>
      <c r="K1431" s="33" t="s">
        <v>6</v>
      </c>
      <c r="L1431" s="95"/>
      <c r="M1431" s="120"/>
      <c r="N1431" s="120"/>
      <c r="O1431" s="120"/>
      <c r="P1431" s="120"/>
      <c r="Q1431" s="120"/>
      <c r="R1431" s="272"/>
      <c r="S1431" s="272"/>
    </row>
    <row r="1432" spans="1:19" s="61" customFormat="1">
      <c r="A1432" s="273" t="s">
        <v>811</v>
      </c>
      <c r="B1432" s="275" t="str">
        <f>DEC2HEX(P1432*4)</f>
        <v>10</v>
      </c>
      <c r="C1432" s="90" t="s">
        <v>134</v>
      </c>
      <c r="D1432" s="277" t="str">
        <f>bitConcat(F1433:F1440)</f>
        <v>32'b00001111000011110000111100001111</v>
      </c>
      <c r="E1432" s="278"/>
      <c r="F1432" s="278"/>
      <c r="G1432" s="279"/>
      <c r="H1432" s="91" t="s">
        <v>384</v>
      </c>
      <c r="I1432" s="92"/>
      <c r="J1432" s="280" t="str">
        <f>bitConcat(G1433:G1440)</f>
        <v>32'b01111000011110000111100001111000</v>
      </c>
      <c r="K1432" s="281"/>
      <c r="L1432" s="282"/>
      <c r="M1432" s="119" t="str">
        <f>DEC2HEX(_xlfn.BITLSHIFT(O1432,7)+4*P1432)</f>
        <v>490</v>
      </c>
      <c r="N1432" s="119"/>
      <c r="O1432" s="119">
        <v>9</v>
      </c>
      <c r="P1432" s="119">
        <v>4</v>
      </c>
      <c r="Q1432" s="119" t="str">
        <f>DEC2HEX(_xlfn.BITLSHIFT(O1432,5)+P1432)</f>
        <v>124</v>
      </c>
      <c r="R1432" s="271" t="str">
        <f t="shared" ref="R1432" si="1082">BIN2HEX(LEFT(RIGHT(D1432,32),4))&amp;BIN2HEX(LEFT(RIGHT(D1432,28),4))&amp;BIN2HEX(LEFT(RIGHT(D1432,24),4))&amp;BIN2HEX(LEFT(RIGHT(D1432,20),4))&amp;BIN2HEX(LEFT(RIGHT(D1432,16),4))&amp;BIN2HEX(LEFT(RIGHT(D1432,12),4))&amp;BIN2HEX(LEFT(RIGHT(D1432,8),4))&amp;BIN2HEX(LEFT(RIGHT(D1432,4),4))</f>
        <v>0F0F0F0F</v>
      </c>
      <c r="S1432" s="271" t="str">
        <f t="shared" ref="S1432" si="1083">BIN2HEX(LEFT(RIGHT(J1432,32),4))&amp;BIN2HEX(LEFT(RIGHT(J1432,28),4))&amp;BIN2HEX(LEFT(RIGHT(J1432,24),4))&amp;BIN2HEX(LEFT(RIGHT(J1432,20),4))&amp;BIN2HEX(LEFT(RIGHT(J1432,16),4))&amp;BIN2HEX(LEFT(RIGHT(J1432,12),4))&amp;BIN2HEX(LEFT(RIGHT(J1432,8),4))&amp;BIN2HEX(LEFT(RIGHT(J1432,4),4))</f>
        <v>78787878</v>
      </c>
    </row>
    <row r="1433" spans="1:19" s="61" customFormat="1">
      <c r="A1433" s="274"/>
      <c r="B1433" s="276"/>
      <c r="C1433" s="96" t="s">
        <v>812</v>
      </c>
      <c r="D1433" s="93">
        <v>4</v>
      </c>
      <c r="E1433" s="70" t="str">
        <f>IF(D1433&gt;1,(31)&amp;":"&amp;(31-D1433+1),(31-D1433+1)&amp;":"&amp;(31-D1433+1))</f>
        <v>31:28</v>
      </c>
      <c r="F1433" s="97" t="s">
        <v>149</v>
      </c>
      <c r="G1433" s="97" t="s">
        <v>543</v>
      </c>
      <c r="H1433" s="65" t="s">
        <v>813</v>
      </c>
      <c r="I1433" s="30" t="s">
        <v>68</v>
      </c>
      <c r="J1433" s="32" t="s">
        <v>36</v>
      </c>
      <c r="K1433" s="33" t="s">
        <v>6</v>
      </c>
      <c r="L1433" s="95"/>
      <c r="M1433" s="120"/>
      <c r="N1433" s="120"/>
      <c r="O1433" s="120"/>
      <c r="P1433" s="120"/>
      <c r="Q1433" s="120"/>
      <c r="R1433" s="272"/>
      <c r="S1433" s="272"/>
    </row>
    <row r="1434" spans="1:19" s="61" customFormat="1">
      <c r="A1434" s="274"/>
      <c r="B1434" s="276"/>
      <c r="C1434" s="96" t="s">
        <v>814</v>
      </c>
      <c r="D1434" s="93">
        <v>4</v>
      </c>
      <c r="E1434" s="30" t="str">
        <f t="shared" ref="E1434:E1440" si="1084">(MID(str_cnvt(E1433),SEARCH(":",str_cnvt(E1433))+1,2)-1) &amp; ":" &amp; (MID(str_cnvt(E1433),SEARCH(":",str_cnvt(E1433))+1,2)-D1434)</f>
        <v>27:24</v>
      </c>
      <c r="F1434" s="97" t="s">
        <v>540</v>
      </c>
      <c r="G1434" s="97" t="s">
        <v>146</v>
      </c>
      <c r="H1434" s="64" t="s">
        <v>815</v>
      </c>
      <c r="I1434" s="30" t="s">
        <v>68</v>
      </c>
      <c r="J1434" s="32" t="s">
        <v>36</v>
      </c>
      <c r="K1434" s="33" t="s">
        <v>6</v>
      </c>
      <c r="L1434" s="95"/>
      <c r="M1434" s="120"/>
      <c r="N1434" s="120"/>
      <c r="O1434" s="120"/>
      <c r="P1434" s="120"/>
      <c r="Q1434" s="120"/>
      <c r="R1434" s="272"/>
      <c r="S1434" s="272"/>
    </row>
    <row r="1435" spans="1:19" s="61" customFormat="1">
      <c r="A1435" s="274"/>
      <c r="B1435" s="276"/>
      <c r="C1435" s="96" t="s">
        <v>816</v>
      </c>
      <c r="D1435" s="93">
        <v>4</v>
      </c>
      <c r="E1435" s="30" t="str">
        <f t="shared" si="1084"/>
        <v>23:20</v>
      </c>
      <c r="F1435" s="97" t="s">
        <v>149</v>
      </c>
      <c r="G1435" s="97" t="s">
        <v>543</v>
      </c>
      <c r="H1435" s="65" t="s">
        <v>817</v>
      </c>
      <c r="I1435" s="30" t="s">
        <v>68</v>
      </c>
      <c r="J1435" s="32" t="s">
        <v>36</v>
      </c>
      <c r="K1435" s="33" t="s">
        <v>6</v>
      </c>
      <c r="L1435" s="95"/>
      <c r="M1435" s="120"/>
      <c r="N1435" s="120"/>
      <c r="O1435" s="120"/>
      <c r="P1435" s="120"/>
      <c r="Q1435" s="120"/>
      <c r="R1435" s="272"/>
      <c r="S1435" s="272"/>
    </row>
    <row r="1436" spans="1:19" s="61" customFormat="1">
      <c r="A1436" s="274"/>
      <c r="B1436" s="276"/>
      <c r="C1436" s="96" t="s">
        <v>818</v>
      </c>
      <c r="D1436" s="93">
        <v>4</v>
      </c>
      <c r="E1436" s="30" t="str">
        <f t="shared" si="1084"/>
        <v>19:16</v>
      </c>
      <c r="F1436" s="97" t="s">
        <v>540</v>
      </c>
      <c r="G1436" s="97" t="s">
        <v>146</v>
      </c>
      <c r="H1436" s="64" t="s">
        <v>819</v>
      </c>
      <c r="I1436" s="30" t="s">
        <v>68</v>
      </c>
      <c r="J1436" s="32" t="s">
        <v>36</v>
      </c>
      <c r="K1436" s="33" t="s">
        <v>6</v>
      </c>
      <c r="L1436" s="95"/>
      <c r="M1436" s="120"/>
      <c r="N1436" s="120"/>
      <c r="O1436" s="120"/>
      <c r="P1436" s="120"/>
      <c r="Q1436" s="120"/>
      <c r="R1436" s="272"/>
      <c r="S1436" s="272"/>
    </row>
    <row r="1437" spans="1:19" s="61" customFormat="1">
      <c r="A1437" s="274"/>
      <c r="B1437" s="276"/>
      <c r="C1437" s="96" t="s">
        <v>820</v>
      </c>
      <c r="D1437" s="93">
        <v>4</v>
      </c>
      <c r="E1437" s="30" t="str">
        <f t="shared" si="1084"/>
        <v>15:12</v>
      </c>
      <c r="F1437" s="97" t="s">
        <v>149</v>
      </c>
      <c r="G1437" s="97" t="s">
        <v>543</v>
      </c>
      <c r="H1437" s="65" t="s">
        <v>821</v>
      </c>
      <c r="I1437" s="30" t="s">
        <v>68</v>
      </c>
      <c r="J1437" s="32" t="s">
        <v>36</v>
      </c>
      <c r="K1437" s="33" t="s">
        <v>6</v>
      </c>
      <c r="L1437" s="95"/>
      <c r="M1437" s="120"/>
      <c r="N1437" s="120"/>
      <c r="O1437" s="120"/>
      <c r="P1437" s="120"/>
      <c r="Q1437" s="120"/>
      <c r="R1437" s="272"/>
      <c r="S1437" s="272"/>
    </row>
    <row r="1438" spans="1:19" s="61" customFormat="1">
      <c r="A1438" s="274"/>
      <c r="B1438" s="276"/>
      <c r="C1438" s="96" t="s">
        <v>822</v>
      </c>
      <c r="D1438" s="93">
        <v>4</v>
      </c>
      <c r="E1438" s="30" t="str">
        <f t="shared" si="1084"/>
        <v>11:8</v>
      </c>
      <c r="F1438" s="97" t="s">
        <v>540</v>
      </c>
      <c r="G1438" s="97" t="s">
        <v>146</v>
      </c>
      <c r="H1438" s="64" t="s">
        <v>823</v>
      </c>
      <c r="I1438" s="30" t="s">
        <v>68</v>
      </c>
      <c r="J1438" s="32" t="s">
        <v>36</v>
      </c>
      <c r="K1438" s="33" t="s">
        <v>6</v>
      </c>
      <c r="L1438" s="95"/>
      <c r="M1438" s="120"/>
      <c r="N1438" s="120"/>
      <c r="O1438" s="120"/>
      <c r="P1438" s="120"/>
      <c r="Q1438" s="120"/>
      <c r="R1438" s="272"/>
      <c r="S1438" s="272"/>
    </row>
    <row r="1439" spans="1:19" s="61" customFormat="1">
      <c r="A1439" s="274"/>
      <c r="B1439" s="276"/>
      <c r="C1439" s="96" t="s">
        <v>824</v>
      </c>
      <c r="D1439" s="93">
        <v>4</v>
      </c>
      <c r="E1439" s="30" t="str">
        <f t="shared" si="1084"/>
        <v>7:4</v>
      </c>
      <c r="F1439" s="97" t="s">
        <v>149</v>
      </c>
      <c r="G1439" s="97" t="s">
        <v>543</v>
      </c>
      <c r="H1439" s="65" t="s">
        <v>825</v>
      </c>
      <c r="I1439" s="30" t="s">
        <v>68</v>
      </c>
      <c r="J1439" s="32" t="s">
        <v>36</v>
      </c>
      <c r="K1439" s="33" t="s">
        <v>6</v>
      </c>
      <c r="L1439" s="95"/>
      <c r="M1439" s="120"/>
      <c r="N1439" s="120"/>
      <c r="O1439" s="120"/>
      <c r="P1439" s="120"/>
      <c r="Q1439" s="120"/>
      <c r="R1439" s="272"/>
      <c r="S1439" s="272"/>
    </row>
    <row r="1440" spans="1:19" s="61" customFormat="1" ht="15" thickBot="1">
      <c r="A1440" s="274"/>
      <c r="B1440" s="276"/>
      <c r="C1440" s="96" t="s">
        <v>826</v>
      </c>
      <c r="D1440" s="93">
        <v>4</v>
      </c>
      <c r="E1440" s="30" t="str">
        <f t="shared" si="1084"/>
        <v>3:0</v>
      </c>
      <c r="F1440" s="97" t="s">
        <v>540</v>
      </c>
      <c r="G1440" s="97" t="s">
        <v>146</v>
      </c>
      <c r="H1440" s="64" t="s">
        <v>827</v>
      </c>
      <c r="I1440" s="30" t="s">
        <v>68</v>
      </c>
      <c r="J1440" s="32" t="s">
        <v>36</v>
      </c>
      <c r="K1440" s="33" t="s">
        <v>6</v>
      </c>
      <c r="L1440" s="95"/>
      <c r="M1440" s="120"/>
      <c r="N1440" s="120"/>
      <c r="O1440" s="120"/>
      <c r="P1440" s="120"/>
      <c r="Q1440" s="120"/>
      <c r="R1440" s="272"/>
      <c r="S1440" s="272"/>
    </row>
    <row r="1441" spans="1:19" s="61" customFormat="1">
      <c r="A1441" s="263" t="s">
        <v>828</v>
      </c>
      <c r="B1441" s="265" t="str">
        <f>DEC2HEX(P1441*4)</f>
        <v>14</v>
      </c>
      <c r="C1441" s="90" t="s">
        <v>134</v>
      </c>
      <c r="D1441" s="277" t="str">
        <f>bitConcat(F1442:F1467)</f>
        <v>32'b00000000000000000000000000000000</v>
      </c>
      <c r="E1441" s="278"/>
      <c r="F1441" s="278"/>
      <c r="G1441" s="279"/>
      <c r="H1441" s="91" t="s">
        <v>384</v>
      </c>
      <c r="I1441" s="92"/>
      <c r="J1441" s="280" t="str">
        <f>bitConcat(G1442:G1467)</f>
        <v>32'b00000000000000000000000000000000</v>
      </c>
      <c r="K1441" s="281"/>
      <c r="L1441" s="282"/>
      <c r="M1441" s="119" t="str">
        <f>DEC2HEX(_xlfn.BITLSHIFT(O1441,7)+4*P1441)</f>
        <v>494</v>
      </c>
      <c r="N1441" s="119"/>
      <c r="O1441" s="119">
        <v>9</v>
      </c>
      <c r="P1441" s="119">
        <v>5</v>
      </c>
      <c r="Q1441" s="119" t="str">
        <f>DEC2HEX(_xlfn.BITLSHIFT(O1441,5)+P1441)</f>
        <v>125</v>
      </c>
      <c r="R1441" s="271" t="str">
        <f>BIN2HEX(LEFT(RIGHT(D1441,32),4))&amp;BIN2HEX(LEFT(RIGHT(D1441,28),4))&amp;BIN2HEX(LEFT(RIGHT(D1441,24),4))&amp;BIN2HEX(LEFT(RIGHT(D1441,20),4))&amp;BIN2HEX(LEFT(RIGHT(D1441,16),4))&amp;BIN2HEX(LEFT(RIGHT(D1441,12),4))&amp;BIN2HEX(LEFT(RIGHT(D1441,8),4))&amp;BIN2HEX(LEFT(RIGHT(D1441,4),4))</f>
        <v>00000000</v>
      </c>
      <c r="S1441" s="271" t="str">
        <f>BIN2HEX(LEFT(RIGHT(J1441,32),4))&amp;BIN2HEX(LEFT(RIGHT(J1441,28),4))&amp;BIN2HEX(LEFT(RIGHT(J1441,24),4))&amp;BIN2HEX(LEFT(RIGHT(J1441,20),4))&amp;BIN2HEX(LEFT(RIGHT(J1441,16),4))&amp;BIN2HEX(LEFT(RIGHT(J1441,12),4))&amp;BIN2HEX(LEFT(RIGHT(J1441,8),4))&amp;BIN2HEX(LEFT(RIGHT(J1441,4),4))</f>
        <v>00000000</v>
      </c>
    </row>
    <row r="1442" spans="1:19" s="61" customFormat="1">
      <c r="A1442" s="264"/>
      <c r="B1442" s="266"/>
      <c r="C1442" s="89" t="s">
        <v>829</v>
      </c>
      <c r="D1442" s="93">
        <v>1</v>
      </c>
      <c r="E1442" s="70" t="str">
        <f>IF(D1442&gt;1,(31)&amp;":"&amp;(31-D1442+1),(31-D1442+1)&amp;":"&amp;(31-D1442+1))</f>
        <v>31:31</v>
      </c>
      <c r="F1442" s="94" t="s">
        <v>7</v>
      </c>
      <c r="G1442" s="94" t="s">
        <v>7</v>
      </c>
      <c r="H1442" s="89" t="s">
        <v>829</v>
      </c>
      <c r="I1442" s="30" t="s">
        <v>68</v>
      </c>
      <c r="J1442" s="32" t="s">
        <v>36</v>
      </c>
      <c r="K1442" s="33" t="s">
        <v>6</v>
      </c>
      <c r="L1442" s="95"/>
      <c r="M1442" s="120"/>
      <c r="N1442" s="120"/>
      <c r="O1442" s="120"/>
      <c r="P1442" s="120"/>
      <c r="Q1442" s="120"/>
      <c r="R1442" s="272"/>
      <c r="S1442" s="272"/>
    </row>
    <row r="1443" spans="1:19" s="61" customFormat="1">
      <c r="A1443" s="264"/>
      <c r="B1443" s="266"/>
      <c r="C1443" s="63" t="s">
        <v>830</v>
      </c>
      <c r="D1443" s="93">
        <v>1</v>
      </c>
      <c r="E1443" s="33" t="str">
        <f>(MID(E1442,SEARCH(":",E1442)+1,2)-1) &amp; ":" &amp; (MID(E1442,SEARCH(":",E1442)+1,2)-D1443)</f>
        <v>30:30</v>
      </c>
      <c r="F1443" s="94" t="s">
        <v>7</v>
      </c>
      <c r="G1443" s="94" t="s">
        <v>7</v>
      </c>
      <c r="H1443" s="63" t="s">
        <v>830</v>
      </c>
      <c r="I1443" s="30" t="s">
        <v>68</v>
      </c>
      <c r="J1443" s="32" t="s">
        <v>36</v>
      </c>
      <c r="K1443" s="33" t="s">
        <v>6</v>
      </c>
      <c r="L1443" s="95"/>
      <c r="M1443" s="120"/>
      <c r="N1443" s="120"/>
      <c r="O1443" s="120"/>
      <c r="P1443" s="120"/>
      <c r="Q1443" s="120"/>
      <c r="R1443" s="272"/>
      <c r="S1443" s="272"/>
    </row>
    <row r="1444" spans="1:19" s="61" customFormat="1">
      <c r="A1444" s="264"/>
      <c r="B1444" s="266"/>
      <c r="C1444" s="64" t="s">
        <v>831</v>
      </c>
      <c r="D1444" s="93">
        <v>1</v>
      </c>
      <c r="E1444" s="33" t="str">
        <f t="shared" ref="E1444:E1467" si="1085">(MID(E1443,SEARCH(":",E1443)+1,2)-1) &amp; ":" &amp; (MID(E1443,SEARCH(":",E1443)+1,2)-D1444)</f>
        <v>29:29</v>
      </c>
      <c r="F1444" s="94" t="s">
        <v>7</v>
      </c>
      <c r="G1444" s="94" t="s">
        <v>7</v>
      </c>
      <c r="H1444" s="64" t="s">
        <v>831</v>
      </c>
      <c r="I1444" s="30" t="s">
        <v>68</v>
      </c>
      <c r="J1444" s="32" t="s">
        <v>36</v>
      </c>
      <c r="K1444" s="33" t="s">
        <v>6</v>
      </c>
      <c r="L1444" s="95"/>
      <c r="M1444" s="120"/>
      <c r="N1444" s="120"/>
      <c r="O1444" s="120"/>
      <c r="P1444" s="120"/>
      <c r="Q1444" s="120"/>
      <c r="R1444" s="272"/>
      <c r="S1444" s="272"/>
    </row>
    <row r="1445" spans="1:19" s="61" customFormat="1">
      <c r="A1445" s="264"/>
      <c r="B1445" s="266"/>
      <c r="C1445" s="64" t="s">
        <v>832</v>
      </c>
      <c r="D1445" s="93">
        <v>1</v>
      </c>
      <c r="E1445" s="33" t="str">
        <f t="shared" si="1085"/>
        <v>28:28</v>
      </c>
      <c r="F1445" s="94" t="s">
        <v>7</v>
      </c>
      <c r="G1445" s="94" t="s">
        <v>7</v>
      </c>
      <c r="H1445" s="64" t="s">
        <v>832</v>
      </c>
      <c r="I1445" s="30" t="s">
        <v>68</v>
      </c>
      <c r="J1445" s="32" t="s">
        <v>36</v>
      </c>
      <c r="K1445" s="33" t="s">
        <v>6</v>
      </c>
      <c r="L1445" s="95"/>
      <c r="M1445" s="120"/>
      <c r="N1445" s="120"/>
      <c r="O1445" s="120"/>
      <c r="P1445" s="120"/>
      <c r="Q1445" s="120"/>
      <c r="R1445" s="272"/>
      <c r="S1445" s="272"/>
    </row>
    <row r="1446" spans="1:19" s="61" customFormat="1">
      <c r="A1446" s="264"/>
      <c r="B1446" s="266"/>
      <c r="C1446" s="64" t="s">
        <v>833</v>
      </c>
      <c r="D1446" s="93">
        <v>1</v>
      </c>
      <c r="E1446" s="33" t="str">
        <f t="shared" si="1085"/>
        <v>27:27</v>
      </c>
      <c r="F1446" s="94" t="s">
        <v>7</v>
      </c>
      <c r="G1446" s="94" t="s">
        <v>7</v>
      </c>
      <c r="H1446" s="64" t="s">
        <v>833</v>
      </c>
      <c r="I1446" s="30" t="s">
        <v>68</v>
      </c>
      <c r="J1446" s="32" t="s">
        <v>36</v>
      </c>
      <c r="K1446" s="33" t="s">
        <v>6</v>
      </c>
      <c r="L1446" s="95"/>
      <c r="M1446" s="120"/>
      <c r="N1446" s="120"/>
      <c r="O1446" s="120"/>
      <c r="P1446" s="120"/>
      <c r="Q1446" s="120"/>
      <c r="R1446" s="272"/>
      <c r="S1446" s="272"/>
    </row>
    <row r="1447" spans="1:19" s="61" customFormat="1">
      <c r="A1447" s="264"/>
      <c r="B1447" s="266"/>
      <c r="C1447" s="64" t="s">
        <v>834</v>
      </c>
      <c r="D1447" s="93">
        <v>1</v>
      </c>
      <c r="E1447" s="33" t="str">
        <f t="shared" si="1085"/>
        <v>26:26</v>
      </c>
      <c r="F1447" s="94" t="s">
        <v>7</v>
      </c>
      <c r="G1447" s="94" t="s">
        <v>7</v>
      </c>
      <c r="H1447" s="64" t="s">
        <v>834</v>
      </c>
      <c r="I1447" s="30" t="s">
        <v>68</v>
      </c>
      <c r="J1447" s="32" t="s">
        <v>36</v>
      </c>
      <c r="K1447" s="33" t="s">
        <v>6</v>
      </c>
      <c r="L1447" s="95"/>
      <c r="M1447" s="120"/>
      <c r="N1447" s="120"/>
      <c r="O1447" s="120"/>
      <c r="P1447" s="120"/>
      <c r="Q1447" s="120"/>
      <c r="R1447" s="272"/>
      <c r="S1447" s="272"/>
    </row>
    <row r="1448" spans="1:19" s="61" customFormat="1">
      <c r="A1448" s="264"/>
      <c r="B1448" s="266"/>
      <c r="C1448" s="64" t="s">
        <v>835</v>
      </c>
      <c r="D1448" s="93">
        <v>1</v>
      </c>
      <c r="E1448" s="33" t="str">
        <f t="shared" si="1085"/>
        <v>25:25</v>
      </c>
      <c r="F1448" s="94" t="s">
        <v>7</v>
      </c>
      <c r="G1448" s="94" t="s">
        <v>7</v>
      </c>
      <c r="H1448" s="64" t="s">
        <v>835</v>
      </c>
      <c r="I1448" s="30" t="s">
        <v>68</v>
      </c>
      <c r="J1448" s="32" t="s">
        <v>36</v>
      </c>
      <c r="K1448" s="33" t="s">
        <v>6</v>
      </c>
      <c r="L1448" s="95"/>
      <c r="M1448" s="120"/>
      <c r="N1448" s="120"/>
      <c r="O1448" s="120"/>
      <c r="P1448" s="120"/>
      <c r="Q1448" s="120"/>
      <c r="R1448" s="272"/>
      <c r="S1448" s="272"/>
    </row>
    <row r="1449" spans="1:19" s="61" customFormat="1">
      <c r="A1449" s="264"/>
      <c r="B1449" s="266"/>
      <c r="C1449" s="64" t="s">
        <v>836</v>
      </c>
      <c r="D1449" s="93">
        <v>1</v>
      </c>
      <c r="E1449" s="33" t="str">
        <f t="shared" si="1085"/>
        <v>24:24</v>
      </c>
      <c r="F1449" s="94" t="s">
        <v>7</v>
      </c>
      <c r="G1449" s="94" t="s">
        <v>7</v>
      </c>
      <c r="H1449" s="64" t="s">
        <v>836</v>
      </c>
      <c r="I1449" s="30" t="s">
        <v>68</v>
      </c>
      <c r="J1449" s="32" t="s">
        <v>36</v>
      </c>
      <c r="K1449" s="33" t="s">
        <v>6</v>
      </c>
      <c r="L1449" s="95"/>
      <c r="M1449" s="120"/>
      <c r="N1449" s="120"/>
      <c r="O1449" s="120"/>
      <c r="P1449" s="120"/>
      <c r="Q1449" s="120"/>
      <c r="R1449" s="272"/>
      <c r="S1449" s="272"/>
    </row>
    <row r="1450" spans="1:19" s="61" customFormat="1">
      <c r="A1450" s="264"/>
      <c r="B1450" s="266"/>
      <c r="C1450" s="64" t="s">
        <v>837</v>
      </c>
      <c r="D1450" s="93">
        <v>1</v>
      </c>
      <c r="E1450" s="33" t="str">
        <f t="shared" si="1085"/>
        <v>23:23</v>
      </c>
      <c r="F1450" s="94" t="s">
        <v>7</v>
      </c>
      <c r="G1450" s="94" t="s">
        <v>7</v>
      </c>
      <c r="H1450" s="64" t="s">
        <v>837</v>
      </c>
      <c r="I1450" s="30" t="s">
        <v>68</v>
      </c>
      <c r="J1450" s="32" t="s">
        <v>36</v>
      </c>
      <c r="K1450" s="33" t="s">
        <v>6</v>
      </c>
      <c r="L1450" s="95"/>
      <c r="M1450" s="120"/>
      <c r="N1450" s="120"/>
      <c r="O1450" s="120"/>
      <c r="P1450" s="120"/>
      <c r="Q1450" s="120"/>
      <c r="R1450" s="272"/>
      <c r="S1450" s="272"/>
    </row>
    <row r="1451" spans="1:19" s="61" customFormat="1">
      <c r="A1451" s="264"/>
      <c r="B1451" s="266"/>
      <c r="C1451" s="96" t="s">
        <v>838</v>
      </c>
      <c r="D1451" s="93">
        <v>1</v>
      </c>
      <c r="E1451" s="33" t="str">
        <f t="shared" si="1085"/>
        <v>22:22</v>
      </c>
      <c r="F1451" s="94" t="s">
        <v>7</v>
      </c>
      <c r="G1451" s="94" t="s">
        <v>7</v>
      </c>
      <c r="H1451" s="96" t="s">
        <v>838</v>
      </c>
      <c r="I1451" s="30" t="s">
        <v>68</v>
      </c>
      <c r="J1451" s="32" t="s">
        <v>36</v>
      </c>
      <c r="K1451" s="33" t="s">
        <v>6</v>
      </c>
      <c r="L1451" s="95"/>
      <c r="M1451" s="120"/>
      <c r="N1451" s="120"/>
      <c r="O1451" s="120"/>
      <c r="P1451" s="120"/>
      <c r="Q1451" s="120"/>
      <c r="R1451" s="272"/>
      <c r="S1451" s="272"/>
    </row>
    <row r="1452" spans="1:19" s="61" customFormat="1">
      <c r="A1452" s="264"/>
      <c r="B1452" s="266"/>
      <c r="C1452" s="96" t="s">
        <v>839</v>
      </c>
      <c r="D1452" s="93">
        <v>1</v>
      </c>
      <c r="E1452" s="33" t="str">
        <f t="shared" si="1085"/>
        <v>21:21</v>
      </c>
      <c r="F1452" s="94" t="s">
        <v>7</v>
      </c>
      <c r="G1452" s="94" t="s">
        <v>7</v>
      </c>
      <c r="H1452" s="96" t="s">
        <v>839</v>
      </c>
      <c r="I1452" s="30" t="s">
        <v>68</v>
      </c>
      <c r="J1452" s="32" t="s">
        <v>36</v>
      </c>
      <c r="K1452" s="33" t="s">
        <v>6</v>
      </c>
      <c r="L1452" s="95"/>
      <c r="M1452" s="120"/>
      <c r="N1452" s="120"/>
      <c r="O1452" s="120"/>
      <c r="P1452" s="120"/>
      <c r="Q1452" s="120"/>
      <c r="R1452" s="272"/>
      <c r="S1452" s="272"/>
    </row>
    <row r="1453" spans="1:19" s="61" customFormat="1">
      <c r="A1453" s="264"/>
      <c r="B1453" s="266"/>
      <c r="C1453" s="96" t="s">
        <v>840</v>
      </c>
      <c r="D1453" s="93">
        <v>1</v>
      </c>
      <c r="E1453" s="33" t="str">
        <f t="shared" si="1085"/>
        <v>20:20</v>
      </c>
      <c r="F1453" s="94" t="s">
        <v>7</v>
      </c>
      <c r="G1453" s="94" t="s">
        <v>7</v>
      </c>
      <c r="H1453" s="96" t="s">
        <v>840</v>
      </c>
      <c r="I1453" s="30" t="s">
        <v>68</v>
      </c>
      <c r="J1453" s="32" t="s">
        <v>36</v>
      </c>
      <c r="K1453" s="33" t="s">
        <v>6</v>
      </c>
      <c r="L1453" s="95"/>
      <c r="M1453" s="120"/>
      <c r="N1453" s="120"/>
      <c r="O1453" s="120"/>
      <c r="P1453" s="120"/>
      <c r="Q1453" s="120"/>
      <c r="R1453" s="272"/>
      <c r="S1453" s="272"/>
    </row>
    <row r="1454" spans="1:19" s="61" customFormat="1">
      <c r="A1454" s="264"/>
      <c r="B1454" s="266"/>
      <c r="C1454" s="96" t="s">
        <v>841</v>
      </c>
      <c r="D1454" s="93">
        <v>1</v>
      </c>
      <c r="E1454" s="33" t="str">
        <f t="shared" si="1085"/>
        <v>19:19</v>
      </c>
      <c r="F1454" s="94" t="s">
        <v>7</v>
      </c>
      <c r="G1454" s="94" t="s">
        <v>7</v>
      </c>
      <c r="H1454" s="96" t="s">
        <v>841</v>
      </c>
      <c r="I1454" s="30" t="s">
        <v>68</v>
      </c>
      <c r="J1454" s="32" t="s">
        <v>36</v>
      </c>
      <c r="K1454" s="33" t="s">
        <v>6</v>
      </c>
      <c r="L1454" s="95"/>
      <c r="M1454" s="120"/>
      <c r="N1454" s="120"/>
      <c r="O1454" s="120"/>
      <c r="P1454" s="120"/>
      <c r="Q1454" s="120"/>
      <c r="R1454" s="272"/>
      <c r="S1454" s="272"/>
    </row>
    <row r="1455" spans="1:19" s="61" customFormat="1">
      <c r="A1455" s="264"/>
      <c r="B1455" s="266"/>
      <c r="C1455" s="96" t="s">
        <v>842</v>
      </c>
      <c r="D1455" s="93">
        <v>1</v>
      </c>
      <c r="E1455" s="33" t="str">
        <f t="shared" si="1085"/>
        <v>18:18</v>
      </c>
      <c r="F1455" s="94" t="s">
        <v>7</v>
      </c>
      <c r="G1455" s="94" t="s">
        <v>7</v>
      </c>
      <c r="H1455" s="96" t="s">
        <v>842</v>
      </c>
      <c r="I1455" s="30" t="s">
        <v>68</v>
      </c>
      <c r="J1455" s="32" t="s">
        <v>36</v>
      </c>
      <c r="K1455" s="33" t="s">
        <v>6</v>
      </c>
      <c r="L1455" s="95"/>
      <c r="M1455" s="120"/>
      <c r="N1455" s="120"/>
      <c r="O1455" s="120"/>
      <c r="P1455" s="120"/>
      <c r="Q1455" s="120"/>
      <c r="R1455" s="272"/>
      <c r="S1455" s="272"/>
    </row>
    <row r="1456" spans="1:19" s="61" customFormat="1">
      <c r="A1456" s="264"/>
      <c r="B1456" s="266"/>
      <c r="C1456" s="96" t="s">
        <v>843</v>
      </c>
      <c r="D1456" s="93">
        <v>1</v>
      </c>
      <c r="E1456" s="33" t="str">
        <f t="shared" si="1085"/>
        <v>17:17</v>
      </c>
      <c r="F1456" s="94" t="s">
        <v>7</v>
      </c>
      <c r="G1456" s="94" t="s">
        <v>7</v>
      </c>
      <c r="H1456" s="96" t="s">
        <v>843</v>
      </c>
      <c r="I1456" s="30" t="s">
        <v>68</v>
      </c>
      <c r="J1456" s="32" t="s">
        <v>36</v>
      </c>
      <c r="K1456" s="33" t="s">
        <v>6</v>
      </c>
      <c r="L1456" s="95"/>
      <c r="M1456" s="120"/>
      <c r="N1456" s="120"/>
      <c r="O1456" s="120"/>
      <c r="P1456" s="120"/>
      <c r="Q1456" s="120"/>
      <c r="R1456" s="272"/>
      <c r="S1456" s="272"/>
    </row>
    <row r="1457" spans="1:36" s="61" customFormat="1">
      <c r="A1457" s="264"/>
      <c r="B1457" s="266"/>
      <c r="C1457" s="96" t="s">
        <v>844</v>
      </c>
      <c r="D1457" s="93">
        <v>1</v>
      </c>
      <c r="E1457" s="33" t="str">
        <f t="shared" si="1085"/>
        <v>16:16</v>
      </c>
      <c r="F1457" s="94" t="s">
        <v>7</v>
      </c>
      <c r="G1457" s="94" t="s">
        <v>7</v>
      </c>
      <c r="H1457" s="96" t="s">
        <v>844</v>
      </c>
      <c r="I1457" s="30" t="s">
        <v>68</v>
      </c>
      <c r="J1457" s="32" t="s">
        <v>36</v>
      </c>
      <c r="K1457" s="33" t="s">
        <v>6</v>
      </c>
      <c r="L1457" s="95"/>
      <c r="M1457" s="120"/>
      <c r="N1457" s="120"/>
      <c r="O1457" s="120"/>
      <c r="P1457" s="120"/>
      <c r="Q1457" s="120"/>
      <c r="R1457" s="272"/>
      <c r="S1457" s="272"/>
    </row>
    <row r="1458" spans="1:36" s="61" customFormat="1">
      <c r="A1458" s="264"/>
      <c r="B1458" s="266"/>
      <c r="C1458" s="96" t="s">
        <v>845</v>
      </c>
      <c r="D1458" s="93">
        <v>1</v>
      </c>
      <c r="E1458" s="33" t="str">
        <f t="shared" si="1085"/>
        <v>15:15</v>
      </c>
      <c r="F1458" s="94" t="s">
        <v>7</v>
      </c>
      <c r="G1458" s="94" t="s">
        <v>7</v>
      </c>
      <c r="H1458" s="96" t="s">
        <v>845</v>
      </c>
      <c r="I1458" s="30" t="s">
        <v>68</v>
      </c>
      <c r="J1458" s="32" t="s">
        <v>36</v>
      </c>
      <c r="K1458" s="33" t="s">
        <v>6</v>
      </c>
      <c r="L1458" s="95"/>
      <c r="M1458" s="120"/>
      <c r="N1458" s="120"/>
      <c r="O1458" s="120"/>
      <c r="P1458" s="120"/>
      <c r="Q1458" s="120"/>
      <c r="R1458" s="272"/>
      <c r="S1458" s="272"/>
    </row>
    <row r="1459" spans="1:36" s="61" customFormat="1">
      <c r="A1459" s="264"/>
      <c r="B1459" s="266"/>
      <c r="C1459" s="96" t="s">
        <v>846</v>
      </c>
      <c r="D1459" s="93">
        <v>1</v>
      </c>
      <c r="E1459" s="33" t="str">
        <f t="shared" si="1085"/>
        <v>14:14</v>
      </c>
      <c r="F1459" s="94" t="s">
        <v>7</v>
      </c>
      <c r="G1459" s="94" t="s">
        <v>7</v>
      </c>
      <c r="H1459" s="96" t="s">
        <v>846</v>
      </c>
      <c r="I1459" s="30" t="s">
        <v>68</v>
      </c>
      <c r="J1459" s="32" t="s">
        <v>36</v>
      </c>
      <c r="K1459" s="33" t="s">
        <v>6</v>
      </c>
      <c r="L1459" s="95"/>
      <c r="M1459" s="120"/>
      <c r="N1459" s="120"/>
      <c r="O1459" s="120"/>
      <c r="P1459" s="120"/>
      <c r="Q1459" s="120"/>
      <c r="R1459" s="272"/>
      <c r="S1459" s="272"/>
    </row>
    <row r="1460" spans="1:36" s="61" customFormat="1">
      <c r="A1460" s="264"/>
      <c r="B1460" s="266"/>
      <c r="C1460" s="96" t="s">
        <v>847</v>
      </c>
      <c r="D1460" s="93">
        <v>1</v>
      </c>
      <c r="E1460" s="33" t="str">
        <f t="shared" si="1085"/>
        <v>13:13</v>
      </c>
      <c r="F1460" s="94" t="s">
        <v>7</v>
      </c>
      <c r="G1460" s="94" t="s">
        <v>7</v>
      </c>
      <c r="H1460" s="96" t="s">
        <v>847</v>
      </c>
      <c r="I1460" s="30" t="s">
        <v>68</v>
      </c>
      <c r="J1460" s="32" t="s">
        <v>36</v>
      </c>
      <c r="K1460" s="33" t="s">
        <v>6</v>
      </c>
      <c r="L1460" s="95"/>
      <c r="M1460" s="120"/>
      <c r="N1460" s="120"/>
      <c r="O1460" s="120"/>
      <c r="P1460" s="120"/>
      <c r="Q1460" s="120"/>
      <c r="R1460" s="272"/>
      <c r="S1460" s="272"/>
    </row>
    <row r="1461" spans="1:36" s="61" customFormat="1">
      <c r="A1461" s="264"/>
      <c r="B1461" s="266"/>
      <c r="C1461" s="96" t="s">
        <v>848</v>
      </c>
      <c r="D1461" s="93">
        <v>1</v>
      </c>
      <c r="E1461" s="33" t="str">
        <f t="shared" si="1085"/>
        <v>12:12</v>
      </c>
      <c r="F1461" s="94" t="s">
        <v>7</v>
      </c>
      <c r="G1461" s="94" t="s">
        <v>7</v>
      </c>
      <c r="H1461" s="96" t="s">
        <v>848</v>
      </c>
      <c r="I1461" s="30" t="s">
        <v>68</v>
      </c>
      <c r="J1461" s="32" t="s">
        <v>36</v>
      </c>
      <c r="K1461" s="33" t="s">
        <v>6</v>
      </c>
      <c r="L1461" s="95"/>
      <c r="M1461" s="120"/>
      <c r="N1461" s="120"/>
      <c r="O1461" s="120"/>
      <c r="P1461" s="120"/>
      <c r="Q1461" s="120"/>
      <c r="R1461" s="272"/>
      <c r="S1461" s="272"/>
    </row>
    <row r="1462" spans="1:36" s="61" customFormat="1">
      <c r="A1462" s="264"/>
      <c r="B1462" s="266"/>
      <c r="C1462" s="96" t="s">
        <v>849</v>
      </c>
      <c r="D1462" s="93">
        <v>1</v>
      </c>
      <c r="E1462" s="33" t="str">
        <f t="shared" si="1085"/>
        <v>11:11</v>
      </c>
      <c r="F1462" s="94" t="s">
        <v>7</v>
      </c>
      <c r="G1462" s="94" t="s">
        <v>7</v>
      </c>
      <c r="H1462" s="96" t="s">
        <v>849</v>
      </c>
      <c r="I1462" s="30" t="s">
        <v>68</v>
      </c>
      <c r="J1462" s="32" t="s">
        <v>36</v>
      </c>
      <c r="K1462" s="33" t="s">
        <v>6</v>
      </c>
      <c r="L1462" s="95"/>
      <c r="M1462" s="120"/>
      <c r="N1462" s="120"/>
      <c r="O1462" s="120"/>
      <c r="P1462" s="120"/>
      <c r="Q1462" s="120"/>
      <c r="R1462" s="272"/>
      <c r="S1462" s="272"/>
    </row>
    <row r="1463" spans="1:36" s="61" customFormat="1">
      <c r="A1463" s="264"/>
      <c r="B1463" s="266"/>
      <c r="C1463" s="96" t="s">
        <v>850</v>
      </c>
      <c r="D1463" s="93">
        <v>1</v>
      </c>
      <c r="E1463" s="33" t="str">
        <f t="shared" si="1085"/>
        <v>10:10</v>
      </c>
      <c r="F1463" s="94" t="s">
        <v>7</v>
      </c>
      <c r="G1463" s="94" t="s">
        <v>7</v>
      </c>
      <c r="H1463" s="96" t="s">
        <v>851</v>
      </c>
      <c r="I1463" s="30" t="s">
        <v>68</v>
      </c>
      <c r="J1463" s="32" t="s">
        <v>36</v>
      </c>
      <c r="K1463" s="33" t="s">
        <v>6</v>
      </c>
      <c r="L1463" s="95"/>
      <c r="M1463" s="120"/>
      <c r="N1463" s="120"/>
      <c r="O1463" s="120"/>
      <c r="P1463" s="120"/>
      <c r="Q1463" s="120"/>
      <c r="R1463" s="272"/>
      <c r="S1463" s="272"/>
    </row>
    <row r="1464" spans="1:36" s="61" customFormat="1">
      <c r="A1464" s="264"/>
      <c r="B1464" s="266"/>
      <c r="C1464" s="96" t="s">
        <v>852</v>
      </c>
      <c r="D1464" s="93">
        <v>1</v>
      </c>
      <c r="E1464" s="33" t="str">
        <f t="shared" si="1085"/>
        <v>9:9</v>
      </c>
      <c r="F1464" s="94" t="s">
        <v>7</v>
      </c>
      <c r="G1464" s="94" t="s">
        <v>7</v>
      </c>
      <c r="H1464" s="96" t="s">
        <v>853</v>
      </c>
      <c r="I1464" s="30" t="s">
        <v>68</v>
      </c>
      <c r="J1464" s="32" t="s">
        <v>36</v>
      </c>
      <c r="K1464" s="33" t="s">
        <v>6</v>
      </c>
      <c r="L1464" s="95"/>
      <c r="M1464" s="120"/>
      <c r="N1464" s="120"/>
      <c r="O1464" s="120"/>
      <c r="P1464" s="120"/>
      <c r="Q1464" s="120"/>
      <c r="R1464" s="272"/>
      <c r="S1464" s="272"/>
    </row>
    <row r="1465" spans="1:36" s="61" customFormat="1">
      <c r="A1465" s="264"/>
      <c r="B1465" s="266"/>
      <c r="C1465" s="96" t="s">
        <v>854</v>
      </c>
      <c r="D1465" s="93">
        <v>1</v>
      </c>
      <c r="E1465" s="33" t="str">
        <f t="shared" si="1085"/>
        <v>8:8</v>
      </c>
      <c r="F1465" s="94" t="s">
        <v>7</v>
      </c>
      <c r="G1465" s="94" t="s">
        <v>7</v>
      </c>
      <c r="H1465" s="96" t="s">
        <v>855</v>
      </c>
      <c r="I1465" s="30" t="s">
        <v>68</v>
      </c>
      <c r="J1465" s="32" t="s">
        <v>36</v>
      </c>
      <c r="K1465" s="33" t="s">
        <v>6</v>
      </c>
      <c r="L1465" s="95"/>
      <c r="M1465" s="120"/>
      <c r="N1465" s="120"/>
      <c r="O1465" s="120"/>
      <c r="P1465" s="120"/>
      <c r="Q1465" s="120"/>
      <c r="R1465" s="272"/>
      <c r="S1465" s="272"/>
    </row>
    <row r="1466" spans="1:36" s="61" customFormat="1">
      <c r="A1466" s="264"/>
      <c r="B1466" s="266"/>
      <c r="C1466" s="96" t="s">
        <v>856</v>
      </c>
      <c r="D1466" s="93">
        <v>1</v>
      </c>
      <c r="E1466" s="33" t="str">
        <f t="shared" si="1085"/>
        <v>7:7</v>
      </c>
      <c r="F1466" s="94" t="s">
        <v>7</v>
      </c>
      <c r="G1466" s="94" t="s">
        <v>7</v>
      </c>
      <c r="H1466" s="96" t="s">
        <v>857</v>
      </c>
      <c r="I1466" s="30" t="s">
        <v>68</v>
      </c>
      <c r="J1466" s="32" t="s">
        <v>36</v>
      </c>
      <c r="K1466" s="33" t="s">
        <v>6</v>
      </c>
      <c r="L1466" s="95"/>
      <c r="M1466" s="120"/>
      <c r="N1466" s="120"/>
      <c r="O1466" s="120"/>
      <c r="P1466" s="120"/>
      <c r="Q1466" s="120"/>
      <c r="R1466" s="272"/>
      <c r="S1466" s="272"/>
    </row>
    <row r="1467" spans="1:36" s="61" customFormat="1" ht="15" thickBot="1">
      <c r="A1467" s="264"/>
      <c r="B1467" s="266"/>
      <c r="C1467" s="96" t="s">
        <v>396</v>
      </c>
      <c r="D1467" s="93">
        <v>7</v>
      </c>
      <c r="E1467" s="33" t="str">
        <f t="shared" si="1085"/>
        <v>6:0</v>
      </c>
      <c r="F1467" s="97" t="s">
        <v>858</v>
      </c>
      <c r="G1467" s="97" t="s">
        <v>858</v>
      </c>
      <c r="H1467" s="64" t="s">
        <v>396</v>
      </c>
      <c r="I1467" s="30" t="s">
        <v>68</v>
      </c>
      <c r="J1467" s="32" t="s">
        <v>36</v>
      </c>
      <c r="K1467" s="33" t="s">
        <v>6</v>
      </c>
      <c r="L1467" s="95"/>
      <c r="M1467" s="120"/>
      <c r="N1467" s="120"/>
      <c r="O1467" s="120"/>
      <c r="P1467" s="120"/>
      <c r="Q1467" s="120"/>
      <c r="R1467" s="290"/>
      <c r="S1467" s="290"/>
    </row>
    <row r="1468" spans="1:36" s="61" customFormat="1" ht="15" thickBot="1">
      <c r="A1468" s="301" t="s">
        <v>859</v>
      </c>
      <c r="B1468" s="304" t="str">
        <f>DEC2HEX(P1468*4)</f>
        <v>1C</v>
      </c>
      <c r="C1468" s="98" t="s">
        <v>383</v>
      </c>
      <c r="D1468" s="294" t="str">
        <f>bitConcat(F1469:F1472)</f>
        <v>32'b00000011111111011111111011111111</v>
      </c>
      <c r="E1468" s="295"/>
      <c r="F1468" s="296"/>
      <c r="G1468" s="296"/>
      <c r="H1468" s="297" t="s">
        <v>860</v>
      </c>
      <c r="I1468" s="298" t="str">
        <f>bitConcat(G1469:G1477)</f>
        <v>More Than 32 bit Were defined (40)</v>
      </c>
      <c r="J1468" s="299" t="str">
        <f>bitConcat(G1469:G1472)</f>
        <v>32'b00000011111111011111111011111111</v>
      </c>
      <c r="K1468" s="297"/>
      <c r="L1468" s="298"/>
      <c r="M1468" s="288" t="str">
        <f>DEC2HEX(_xlfn.BITLSHIFT(O1468,7)+4*P1468)</f>
        <v>49C</v>
      </c>
      <c r="N1468" s="288"/>
      <c r="O1468" s="288">
        <v>9</v>
      </c>
      <c r="P1468" s="288">
        <v>7</v>
      </c>
      <c r="Q1468" s="288" t="str">
        <f>DEC2HEX(_xlfn.BITLSHIFT(O1468,5)+P1468)</f>
        <v>127</v>
      </c>
      <c r="R1468" s="288" t="str">
        <f>BIN2HEX(LEFT(RIGHT(D1468,32),4))&amp;BIN2HEX(LEFT(RIGHT(D1468,28),4))&amp;BIN2HEX(LEFT(RIGHT(D1468,24),4))&amp;BIN2HEX(LEFT(RIGHT(D1468,20),4))&amp;BIN2HEX(LEFT(RIGHT(D1468,16),4))&amp;BIN2HEX(LEFT(RIGHT(D1468,12),4))&amp;BIN2HEX(LEFT(RIGHT(D1468,8),4))&amp;BIN2HEX(LEFT(RIGHT(D1468,4),4))</f>
        <v>03FDFEFF</v>
      </c>
      <c r="S1468" s="288" t="str">
        <f>BIN2HEX(LEFT(RIGHT(J1468,32),4))&amp;BIN2HEX(LEFT(RIGHT(J1468,28),4))&amp;BIN2HEX(LEFT(RIGHT(J1468,24),4))&amp;BIN2HEX(LEFT(RIGHT(J1468,20),4))&amp;BIN2HEX(LEFT(RIGHT(J1468,16),4))&amp;BIN2HEX(LEFT(RIGHT(J1468,12),4))&amp;BIN2HEX(LEFT(RIGHT(J1468,8),4))&amp;BIN2HEX(LEFT(RIGHT(J1468,4),4))</f>
        <v>03FDFEFF</v>
      </c>
      <c r="T1468" s="63"/>
      <c r="U1468" s="63"/>
      <c r="V1468" s="63"/>
      <c r="W1468" s="63"/>
      <c r="X1468" s="63"/>
      <c r="Y1468" s="63"/>
      <c r="Z1468" s="63"/>
      <c r="AA1468" s="63"/>
      <c r="AB1468" s="63"/>
      <c r="AC1468" s="63"/>
      <c r="AD1468" s="63"/>
      <c r="AE1468" s="63"/>
      <c r="AF1468" s="63"/>
      <c r="AG1468" s="63"/>
      <c r="AH1468" s="63"/>
      <c r="AI1468" s="63"/>
      <c r="AJ1468" s="63"/>
    </row>
    <row r="1469" spans="1:36" s="61" customFormat="1">
      <c r="A1469" s="302"/>
      <c r="B1469" s="305"/>
      <c r="C1469" s="99" t="s">
        <v>861</v>
      </c>
      <c r="D1469" s="100">
        <v>5</v>
      </c>
      <c r="E1469" s="101" t="str">
        <f>IF(D1469&gt;1,(31)&amp;":"&amp;(31-D1469+1),(31-D1469+1)&amp;":"&amp;(31-D1469+1))</f>
        <v>31:27</v>
      </c>
      <c r="F1469" s="102" t="s">
        <v>434</v>
      </c>
      <c r="G1469" s="102" t="s">
        <v>434</v>
      </c>
      <c r="H1469" s="99" t="s">
        <v>862</v>
      </c>
      <c r="I1469" s="103" t="s">
        <v>68</v>
      </c>
      <c r="J1469" s="104" t="s">
        <v>36</v>
      </c>
      <c r="K1469" s="101" t="s">
        <v>6</v>
      </c>
      <c r="L1469" s="105"/>
      <c r="M1469" s="289"/>
      <c r="N1469" s="289"/>
      <c r="O1469" s="289"/>
      <c r="P1469" s="289"/>
      <c r="Q1469" s="289"/>
      <c r="R1469" s="289"/>
      <c r="S1469" s="289"/>
      <c r="T1469" s="63"/>
      <c r="U1469" s="63"/>
      <c r="V1469" s="63"/>
      <c r="W1469" s="63"/>
      <c r="X1469" s="63"/>
      <c r="Y1469" s="63"/>
      <c r="Z1469" s="63"/>
      <c r="AA1469" s="63"/>
      <c r="AB1469" s="63"/>
      <c r="AC1469" s="63"/>
      <c r="AD1469" s="63"/>
      <c r="AE1469" s="63"/>
      <c r="AF1469" s="63"/>
      <c r="AG1469" s="63"/>
      <c r="AH1469" s="63"/>
      <c r="AI1469" s="106"/>
      <c r="AJ1469" s="63"/>
    </row>
    <row r="1470" spans="1:36" s="61" customFormat="1">
      <c r="A1470" s="302"/>
      <c r="B1470" s="305"/>
      <c r="C1470" s="99" t="s">
        <v>863</v>
      </c>
      <c r="D1470" s="100">
        <v>9</v>
      </c>
      <c r="E1470" s="101" t="str">
        <f t="shared" ref="E1470:E1472" si="1086">(MID(str_cnvt(E1469),SEARCH(":",str_cnvt(E1469))+1,2)-1) &amp; ":" &amp; (MID(str_cnvt(E1469),SEARCH(":",str_cnvt(E1469))+1,2)-D1470)</f>
        <v>26:18</v>
      </c>
      <c r="F1470" s="102" t="s">
        <v>864</v>
      </c>
      <c r="G1470" s="102" t="s">
        <v>864</v>
      </c>
      <c r="H1470" s="99" t="s">
        <v>865</v>
      </c>
      <c r="I1470" s="103" t="s">
        <v>68</v>
      </c>
      <c r="J1470" s="104" t="s">
        <v>36</v>
      </c>
      <c r="K1470" s="101" t="s">
        <v>6</v>
      </c>
      <c r="L1470" s="105"/>
      <c r="M1470" s="289"/>
      <c r="N1470" s="289"/>
      <c r="O1470" s="289"/>
      <c r="P1470" s="289"/>
      <c r="Q1470" s="289"/>
      <c r="R1470" s="289"/>
      <c r="S1470" s="289"/>
      <c r="T1470" s="63"/>
      <c r="U1470" s="63"/>
      <c r="V1470" s="63"/>
      <c r="W1470" s="63"/>
      <c r="X1470" s="63"/>
      <c r="Y1470" s="63"/>
      <c r="Z1470" s="63"/>
      <c r="AA1470" s="63"/>
      <c r="AB1470" s="63"/>
      <c r="AC1470" s="63"/>
      <c r="AD1470" s="63"/>
      <c r="AE1470" s="63"/>
      <c r="AF1470" s="63"/>
      <c r="AG1470" s="63"/>
      <c r="AH1470" s="63"/>
      <c r="AI1470" s="106"/>
      <c r="AJ1470" s="63"/>
    </row>
    <row r="1471" spans="1:36" s="61" customFormat="1">
      <c r="A1471" s="302"/>
      <c r="B1471" s="305"/>
      <c r="C1471" s="99" t="s">
        <v>866</v>
      </c>
      <c r="D1471" s="100">
        <v>9</v>
      </c>
      <c r="E1471" s="101" t="str">
        <f t="shared" si="1086"/>
        <v>17:9</v>
      </c>
      <c r="F1471" s="102" t="s">
        <v>864</v>
      </c>
      <c r="G1471" s="102" t="s">
        <v>864</v>
      </c>
      <c r="H1471" s="99" t="s">
        <v>867</v>
      </c>
      <c r="I1471" s="103" t="s">
        <v>68</v>
      </c>
      <c r="J1471" s="104" t="s">
        <v>36</v>
      </c>
      <c r="K1471" s="101" t="s">
        <v>6</v>
      </c>
      <c r="L1471" s="105"/>
      <c r="M1471" s="289"/>
      <c r="N1471" s="289"/>
      <c r="O1471" s="289"/>
      <c r="P1471" s="289"/>
      <c r="Q1471" s="289"/>
      <c r="R1471" s="289"/>
      <c r="S1471" s="289"/>
      <c r="T1471" s="63"/>
      <c r="U1471" s="63"/>
      <c r="V1471" s="63"/>
      <c r="W1471" s="63"/>
      <c r="X1471" s="63"/>
      <c r="Y1471" s="63"/>
      <c r="Z1471" s="63"/>
      <c r="AA1471" s="63"/>
      <c r="AB1471" s="63"/>
      <c r="AC1471" s="63"/>
      <c r="AD1471" s="63"/>
      <c r="AE1471" s="63"/>
      <c r="AF1471" s="63"/>
      <c r="AG1471" s="63"/>
      <c r="AH1471" s="63"/>
      <c r="AI1471" s="106"/>
      <c r="AJ1471" s="63"/>
    </row>
    <row r="1472" spans="1:36" s="61" customFormat="1" ht="15" thickBot="1">
      <c r="A1472" s="303"/>
      <c r="B1472" s="306"/>
      <c r="C1472" s="99" t="s">
        <v>868</v>
      </c>
      <c r="D1472" s="100">
        <v>9</v>
      </c>
      <c r="E1472" s="101" t="str">
        <f t="shared" si="1086"/>
        <v>8:0</v>
      </c>
      <c r="F1472" s="102" t="s">
        <v>864</v>
      </c>
      <c r="G1472" s="102" t="s">
        <v>864</v>
      </c>
      <c r="H1472" s="99" t="s">
        <v>869</v>
      </c>
      <c r="I1472" s="103" t="s">
        <v>68</v>
      </c>
      <c r="J1472" s="104" t="s">
        <v>36</v>
      </c>
      <c r="K1472" s="101" t="s">
        <v>6</v>
      </c>
      <c r="L1472" s="105"/>
      <c r="M1472" s="300"/>
      <c r="N1472" s="300"/>
      <c r="O1472" s="300"/>
      <c r="P1472" s="300"/>
      <c r="Q1472" s="300"/>
      <c r="R1472" s="300"/>
      <c r="S1472" s="300"/>
      <c r="T1472" s="63"/>
      <c r="U1472" s="63"/>
      <c r="V1472" s="63"/>
      <c r="W1472" s="63"/>
      <c r="X1472" s="63"/>
      <c r="Y1472" s="63"/>
      <c r="Z1472" s="63"/>
      <c r="AA1472" s="63"/>
      <c r="AB1472" s="63"/>
      <c r="AC1472" s="63"/>
      <c r="AD1472" s="63"/>
      <c r="AE1472" s="63"/>
      <c r="AF1472" s="63"/>
      <c r="AG1472" s="63"/>
      <c r="AH1472" s="63"/>
      <c r="AI1472" s="106"/>
      <c r="AJ1472" s="63"/>
    </row>
    <row r="1473" spans="1:36" s="61" customFormat="1" ht="15" thickBot="1">
      <c r="A1473" s="301" t="s">
        <v>870</v>
      </c>
      <c r="B1473" s="304" t="str">
        <f>DEC2HEX(P1473*4)</f>
        <v>20</v>
      </c>
      <c r="C1473" s="98" t="s">
        <v>383</v>
      </c>
      <c r="D1473" s="294" t="str">
        <f>bitConcat(F1474:F1485)</f>
        <v>32'b01101101111111111111111111111111</v>
      </c>
      <c r="E1473" s="295"/>
      <c r="F1473" s="296"/>
      <c r="G1473" s="296"/>
      <c r="H1473" s="297" t="s">
        <v>860</v>
      </c>
      <c r="I1473" s="298" t="str">
        <f>bitConcat(G1474:G1482)</f>
        <v>Less Than 32 bit Were defined (23)</v>
      </c>
      <c r="J1473" s="299" t="str">
        <f>bitConcat(G1474:G1485)</f>
        <v>32'b01101101111111111111111111111111</v>
      </c>
      <c r="K1473" s="297"/>
      <c r="L1473" s="298"/>
      <c r="M1473" s="288" t="str">
        <f>DEC2HEX(_xlfn.BITLSHIFT(O1473,7)+4*P1473)</f>
        <v>4A0</v>
      </c>
      <c r="N1473" s="288"/>
      <c r="O1473" s="288">
        <v>9</v>
      </c>
      <c r="P1473" s="288">
        <v>8</v>
      </c>
      <c r="Q1473" s="288" t="str">
        <f>DEC2HEX(_xlfn.BITLSHIFT(O1473,5)+P1473)</f>
        <v>128</v>
      </c>
      <c r="R1473" s="288" t="str">
        <f>BIN2HEX(LEFT(RIGHT(D1473,32),4))&amp;BIN2HEX(LEFT(RIGHT(D1473,28),4))&amp;BIN2HEX(LEFT(RIGHT(D1473,24),4))&amp;BIN2HEX(LEFT(RIGHT(D1473,20),4))&amp;BIN2HEX(LEFT(RIGHT(D1473,16),4))&amp;BIN2HEX(LEFT(RIGHT(D1473,12),4))&amp;BIN2HEX(LEFT(RIGHT(D1473,8),4))&amp;BIN2HEX(LEFT(RIGHT(D1473,4),4))</f>
        <v>6DFFFFFF</v>
      </c>
      <c r="S1473" s="288" t="str">
        <f>BIN2HEX(LEFT(RIGHT(J1473,32),4))&amp;BIN2HEX(LEFT(RIGHT(J1473,28),4))&amp;BIN2HEX(LEFT(RIGHT(J1473,24),4))&amp;BIN2HEX(LEFT(RIGHT(J1473,20),4))&amp;BIN2HEX(LEFT(RIGHT(J1473,16),4))&amp;BIN2HEX(LEFT(RIGHT(J1473,12),4))&amp;BIN2HEX(LEFT(RIGHT(J1473,8),4))&amp;BIN2HEX(LEFT(RIGHT(J1473,4),4))</f>
        <v>6DFFFFFF</v>
      </c>
      <c r="T1473" s="63"/>
      <c r="U1473" s="63"/>
      <c r="V1473" s="63"/>
      <c r="W1473" s="63"/>
      <c r="X1473" s="63"/>
      <c r="Y1473" s="63"/>
      <c r="Z1473" s="63"/>
      <c r="AA1473" s="63"/>
      <c r="AB1473" s="63"/>
      <c r="AC1473" s="63"/>
      <c r="AD1473" s="63"/>
      <c r="AE1473" s="63"/>
      <c r="AF1473" s="63"/>
      <c r="AG1473" s="63"/>
      <c r="AH1473" s="63"/>
      <c r="AI1473" s="63"/>
      <c r="AJ1473" s="63"/>
    </row>
    <row r="1474" spans="1:36" s="61" customFormat="1">
      <c r="A1474" s="302"/>
      <c r="B1474" s="305"/>
      <c r="C1474" s="99" t="s">
        <v>871</v>
      </c>
      <c r="D1474" s="100">
        <v>1</v>
      </c>
      <c r="E1474" s="101" t="str">
        <f>IF(D1474&gt;1,(31)&amp;":"&amp;(31-D1474+1),(31-D1474+1)&amp;":"&amp;(31-D1474+1))</f>
        <v>31:31</v>
      </c>
      <c r="F1474" s="102" t="s">
        <v>7</v>
      </c>
      <c r="G1474" s="102" t="s">
        <v>7</v>
      </c>
      <c r="H1474" s="99" t="s">
        <v>872</v>
      </c>
      <c r="I1474" s="103" t="s">
        <v>68</v>
      </c>
      <c r="J1474" s="104" t="s">
        <v>36</v>
      </c>
      <c r="K1474" s="101" t="s">
        <v>6</v>
      </c>
      <c r="L1474" s="105"/>
      <c r="M1474" s="289"/>
      <c r="N1474" s="289"/>
      <c r="O1474" s="289"/>
      <c r="P1474" s="289"/>
      <c r="Q1474" s="289"/>
      <c r="R1474" s="289"/>
      <c r="S1474" s="289"/>
      <c r="T1474" s="63"/>
      <c r="U1474" s="63"/>
      <c r="V1474" s="63"/>
      <c r="W1474" s="63"/>
      <c r="X1474" s="63"/>
      <c r="Y1474" s="63"/>
      <c r="Z1474" s="63"/>
      <c r="AA1474" s="63"/>
      <c r="AB1474" s="63"/>
      <c r="AC1474" s="63"/>
      <c r="AD1474" s="63"/>
      <c r="AE1474" s="63"/>
      <c r="AF1474" s="63"/>
      <c r="AG1474" s="63"/>
      <c r="AH1474" s="63"/>
      <c r="AI1474" s="106"/>
      <c r="AJ1474" s="63"/>
    </row>
    <row r="1475" spans="1:36" s="61" customFormat="1">
      <c r="A1475" s="302"/>
      <c r="B1475" s="305"/>
      <c r="C1475" s="99" t="s">
        <v>873</v>
      </c>
      <c r="D1475" s="100">
        <v>1</v>
      </c>
      <c r="E1475" s="101" t="str">
        <f t="shared" ref="E1475:E1485" si="1087">(MID(str_cnvt(E1474),SEARCH(":",str_cnvt(E1474))+1,2)-1) &amp; ":" &amp; (MID(str_cnvt(E1474),SEARCH(":",str_cnvt(E1474))+1,2)-D1475)</f>
        <v>30:30</v>
      </c>
      <c r="F1475" s="102" t="s">
        <v>269</v>
      </c>
      <c r="G1475" s="102" t="s">
        <v>269</v>
      </c>
      <c r="H1475" s="99" t="s">
        <v>873</v>
      </c>
      <c r="I1475" s="103" t="s">
        <v>68</v>
      </c>
      <c r="J1475" s="104" t="s">
        <v>36</v>
      </c>
      <c r="K1475" s="101" t="s">
        <v>6</v>
      </c>
      <c r="L1475" s="105"/>
      <c r="M1475" s="289"/>
      <c r="N1475" s="289"/>
      <c r="O1475" s="289"/>
      <c r="P1475" s="289"/>
      <c r="Q1475" s="289"/>
      <c r="R1475" s="289"/>
      <c r="S1475" s="289"/>
      <c r="T1475" s="63"/>
      <c r="U1475" s="63"/>
      <c r="V1475" s="63"/>
      <c r="W1475" s="63"/>
      <c r="X1475" s="63"/>
      <c r="Y1475" s="63"/>
      <c r="Z1475" s="63"/>
      <c r="AA1475" s="63"/>
      <c r="AB1475" s="63"/>
      <c r="AC1475" s="63"/>
      <c r="AD1475" s="63"/>
      <c r="AE1475" s="63"/>
      <c r="AF1475" s="63"/>
      <c r="AG1475" s="63"/>
      <c r="AH1475" s="63"/>
      <c r="AI1475" s="106"/>
      <c r="AJ1475" s="63"/>
    </row>
    <row r="1476" spans="1:36" s="61" customFormat="1">
      <c r="A1476" s="302"/>
      <c r="B1476" s="305"/>
      <c r="C1476" s="99" t="s">
        <v>874</v>
      </c>
      <c r="D1476" s="100">
        <v>3</v>
      </c>
      <c r="E1476" s="101" t="str">
        <f t="shared" si="1087"/>
        <v>29:27</v>
      </c>
      <c r="F1476" s="102" t="s">
        <v>875</v>
      </c>
      <c r="G1476" s="102" t="s">
        <v>875</v>
      </c>
      <c r="H1476" s="99" t="s">
        <v>874</v>
      </c>
      <c r="I1476" s="103" t="s">
        <v>68</v>
      </c>
      <c r="J1476" s="104" t="s">
        <v>36</v>
      </c>
      <c r="K1476" s="101" t="s">
        <v>6</v>
      </c>
      <c r="L1476" s="105"/>
      <c r="M1476" s="289"/>
      <c r="N1476" s="289"/>
      <c r="O1476" s="289"/>
      <c r="P1476" s="289"/>
      <c r="Q1476" s="289"/>
      <c r="R1476" s="289"/>
      <c r="S1476" s="289"/>
      <c r="T1476" s="63"/>
      <c r="U1476" s="63"/>
      <c r="V1476" s="63"/>
      <c r="W1476" s="63"/>
      <c r="X1476" s="63"/>
      <c r="Y1476" s="63"/>
      <c r="Z1476" s="63"/>
      <c r="AA1476" s="63"/>
      <c r="AB1476" s="63"/>
      <c r="AC1476" s="63"/>
      <c r="AD1476" s="63"/>
      <c r="AE1476" s="63"/>
      <c r="AF1476" s="63"/>
      <c r="AG1476" s="63"/>
      <c r="AH1476" s="63"/>
      <c r="AI1476" s="106"/>
      <c r="AJ1476" s="63"/>
    </row>
    <row r="1477" spans="1:36" s="61" customFormat="1">
      <c r="A1477" s="302"/>
      <c r="B1477" s="305"/>
      <c r="C1477" s="99" t="s">
        <v>876</v>
      </c>
      <c r="D1477" s="100">
        <v>3</v>
      </c>
      <c r="E1477" s="101" t="str">
        <f t="shared" si="1087"/>
        <v>26:24</v>
      </c>
      <c r="F1477" s="102" t="s">
        <v>875</v>
      </c>
      <c r="G1477" s="102" t="s">
        <v>875</v>
      </c>
      <c r="H1477" s="99" t="s">
        <v>876</v>
      </c>
      <c r="I1477" s="103" t="s">
        <v>68</v>
      </c>
      <c r="J1477" s="104" t="s">
        <v>36</v>
      </c>
      <c r="K1477" s="101" t="s">
        <v>6</v>
      </c>
      <c r="L1477" s="105"/>
      <c r="M1477" s="289"/>
      <c r="N1477" s="289"/>
      <c r="O1477" s="289"/>
      <c r="P1477" s="289"/>
      <c r="Q1477" s="289"/>
      <c r="R1477" s="289"/>
      <c r="S1477" s="289"/>
      <c r="T1477" s="63"/>
      <c r="U1477" s="63"/>
      <c r="V1477" s="63"/>
      <c r="W1477" s="63"/>
      <c r="X1477" s="63"/>
      <c r="Y1477" s="63"/>
      <c r="Z1477" s="63"/>
      <c r="AA1477" s="63"/>
      <c r="AB1477" s="63"/>
      <c r="AC1477" s="63"/>
      <c r="AD1477" s="63"/>
      <c r="AE1477" s="63"/>
      <c r="AF1477" s="63"/>
      <c r="AG1477" s="63"/>
      <c r="AH1477" s="63"/>
      <c r="AI1477" s="106"/>
      <c r="AJ1477" s="63"/>
    </row>
    <row r="1478" spans="1:36" s="61" customFormat="1">
      <c r="A1478" s="302"/>
      <c r="B1478" s="305"/>
      <c r="C1478" s="99" t="s">
        <v>877</v>
      </c>
      <c r="D1478" s="100">
        <v>3</v>
      </c>
      <c r="E1478" s="101" t="str">
        <f t="shared" si="1087"/>
        <v>23:21</v>
      </c>
      <c r="F1478" s="102" t="s">
        <v>878</v>
      </c>
      <c r="G1478" s="102" t="s">
        <v>878</v>
      </c>
      <c r="H1478" s="99" t="s">
        <v>877</v>
      </c>
      <c r="I1478" s="103" t="s">
        <v>68</v>
      </c>
      <c r="J1478" s="104" t="s">
        <v>36</v>
      </c>
      <c r="K1478" s="101" t="s">
        <v>6</v>
      </c>
      <c r="L1478" s="105"/>
      <c r="M1478" s="289"/>
      <c r="N1478" s="289"/>
      <c r="O1478" s="289"/>
      <c r="P1478" s="289"/>
      <c r="Q1478" s="289"/>
      <c r="R1478" s="289"/>
      <c r="S1478" s="289"/>
      <c r="T1478" s="63"/>
      <c r="U1478" s="63"/>
      <c r="V1478" s="63"/>
      <c r="W1478" s="63"/>
      <c r="X1478" s="63"/>
      <c r="Y1478" s="63"/>
      <c r="Z1478" s="63"/>
      <c r="AA1478" s="63"/>
      <c r="AB1478" s="63"/>
      <c r="AC1478" s="63"/>
      <c r="AD1478" s="63"/>
      <c r="AE1478" s="63"/>
      <c r="AF1478" s="63"/>
      <c r="AG1478" s="63"/>
      <c r="AH1478" s="63"/>
      <c r="AI1478" s="106"/>
      <c r="AJ1478" s="63"/>
    </row>
    <row r="1479" spans="1:36" s="61" customFormat="1">
      <c r="A1479" s="302"/>
      <c r="B1479" s="305"/>
      <c r="C1479" s="99" t="s">
        <v>879</v>
      </c>
      <c r="D1479" s="100">
        <v>3</v>
      </c>
      <c r="E1479" s="101" t="str">
        <f t="shared" si="1087"/>
        <v>20:18</v>
      </c>
      <c r="F1479" s="102" t="s">
        <v>878</v>
      </c>
      <c r="G1479" s="102" t="s">
        <v>878</v>
      </c>
      <c r="H1479" s="99" t="s">
        <v>879</v>
      </c>
      <c r="I1479" s="103" t="s">
        <v>68</v>
      </c>
      <c r="J1479" s="104" t="s">
        <v>36</v>
      </c>
      <c r="K1479" s="101" t="s">
        <v>6</v>
      </c>
      <c r="L1479" s="105"/>
      <c r="M1479" s="289"/>
      <c r="N1479" s="289"/>
      <c r="O1479" s="289"/>
      <c r="P1479" s="289"/>
      <c r="Q1479" s="289"/>
      <c r="R1479" s="289"/>
      <c r="S1479" s="289"/>
      <c r="T1479" s="63"/>
      <c r="U1479" s="63"/>
      <c r="V1479" s="63"/>
      <c r="W1479" s="63"/>
      <c r="X1479" s="63"/>
      <c r="Y1479" s="63"/>
      <c r="Z1479" s="63"/>
      <c r="AA1479" s="63"/>
      <c r="AB1479" s="63"/>
      <c r="AC1479" s="63"/>
      <c r="AD1479" s="63"/>
      <c r="AE1479" s="63"/>
      <c r="AF1479" s="63"/>
      <c r="AG1479" s="63"/>
      <c r="AH1479" s="63"/>
      <c r="AI1479" s="106"/>
      <c r="AJ1479" s="63"/>
    </row>
    <row r="1480" spans="1:36" s="61" customFormat="1">
      <c r="A1480" s="302"/>
      <c r="B1480" s="305"/>
      <c r="C1480" s="99" t="s">
        <v>880</v>
      </c>
      <c r="D1480" s="100">
        <v>3</v>
      </c>
      <c r="E1480" s="101" t="str">
        <f t="shared" si="1087"/>
        <v>17:15</v>
      </c>
      <c r="F1480" s="102" t="s">
        <v>878</v>
      </c>
      <c r="G1480" s="102" t="s">
        <v>878</v>
      </c>
      <c r="H1480" s="99" t="s">
        <v>880</v>
      </c>
      <c r="I1480" s="103" t="s">
        <v>68</v>
      </c>
      <c r="J1480" s="104" t="s">
        <v>36</v>
      </c>
      <c r="K1480" s="101" t="s">
        <v>6</v>
      </c>
      <c r="L1480" s="105"/>
      <c r="M1480" s="289"/>
      <c r="N1480" s="289"/>
      <c r="O1480" s="289"/>
      <c r="P1480" s="289"/>
      <c r="Q1480" s="289"/>
      <c r="R1480" s="289"/>
      <c r="S1480" s="289"/>
      <c r="T1480" s="63"/>
      <c r="U1480" s="63"/>
      <c r="V1480" s="63"/>
      <c r="W1480" s="63"/>
      <c r="X1480" s="63"/>
      <c r="Y1480" s="63"/>
      <c r="Z1480" s="63"/>
      <c r="AA1480" s="63"/>
      <c r="AB1480" s="63"/>
      <c r="AC1480" s="63"/>
      <c r="AD1480" s="63"/>
      <c r="AE1480" s="63"/>
      <c r="AF1480" s="63"/>
      <c r="AG1480" s="63"/>
      <c r="AH1480" s="63"/>
      <c r="AI1480" s="106"/>
      <c r="AJ1480" s="63"/>
    </row>
    <row r="1481" spans="1:36" s="61" customFormat="1">
      <c r="A1481" s="302"/>
      <c r="B1481" s="305"/>
      <c r="C1481" s="99" t="s">
        <v>881</v>
      </c>
      <c r="D1481" s="100">
        <v>3</v>
      </c>
      <c r="E1481" s="101" t="str">
        <f t="shared" si="1087"/>
        <v>14:12</v>
      </c>
      <c r="F1481" s="102" t="s">
        <v>878</v>
      </c>
      <c r="G1481" s="102" t="s">
        <v>878</v>
      </c>
      <c r="H1481" s="99" t="s">
        <v>881</v>
      </c>
      <c r="I1481" s="103" t="s">
        <v>68</v>
      </c>
      <c r="J1481" s="104" t="s">
        <v>36</v>
      </c>
      <c r="K1481" s="101" t="s">
        <v>6</v>
      </c>
      <c r="L1481" s="105"/>
      <c r="M1481" s="289"/>
      <c r="N1481" s="289"/>
      <c r="O1481" s="289"/>
      <c r="P1481" s="289"/>
      <c r="Q1481" s="289"/>
      <c r="R1481" s="289"/>
      <c r="S1481" s="289"/>
      <c r="T1481" s="63"/>
      <c r="U1481" s="63"/>
      <c r="V1481" s="63"/>
      <c r="W1481" s="63"/>
      <c r="X1481" s="63"/>
      <c r="Y1481" s="63"/>
      <c r="Z1481" s="63"/>
      <c r="AA1481" s="63"/>
      <c r="AB1481" s="63"/>
      <c r="AC1481" s="63"/>
      <c r="AD1481" s="63"/>
      <c r="AE1481" s="63"/>
      <c r="AF1481" s="63"/>
      <c r="AG1481" s="63"/>
      <c r="AH1481" s="63"/>
      <c r="AI1481" s="106"/>
      <c r="AJ1481" s="63"/>
    </row>
    <row r="1482" spans="1:36" s="61" customFormat="1">
      <c r="A1482" s="302"/>
      <c r="B1482" s="305"/>
      <c r="C1482" s="99" t="s">
        <v>882</v>
      </c>
      <c r="D1482" s="100">
        <v>3</v>
      </c>
      <c r="E1482" s="101" t="str">
        <f t="shared" si="1087"/>
        <v>11:9</v>
      </c>
      <c r="F1482" s="102" t="s">
        <v>878</v>
      </c>
      <c r="G1482" s="102" t="s">
        <v>878</v>
      </c>
      <c r="H1482" s="99" t="s">
        <v>882</v>
      </c>
      <c r="I1482" s="103" t="s">
        <v>68</v>
      </c>
      <c r="J1482" s="104" t="s">
        <v>36</v>
      </c>
      <c r="K1482" s="101" t="s">
        <v>6</v>
      </c>
      <c r="L1482" s="105"/>
      <c r="M1482" s="289"/>
      <c r="N1482" s="289"/>
      <c r="O1482" s="289"/>
      <c r="P1482" s="289"/>
      <c r="Q1482" s="289"/>
      <c r="R1482" s="289"/>
      <c r="S1482" s="289"/>
      <c r="T1482" s="63"/>
      <c r="U1482" s="63"/>
      <c r="V1482" s="63"/>
      <c r="W1482" s="63"/>
      <c r="X1482" s="63"/>
      <c r="Y1482" s="63"/>
      <c r="Z1482" s="63"/>
      <c r="AA1482" s="63"/>
      <c r="AB1482" s="63"/>
      <c r="AC1482" s="63"/>
      <c r="AD1482" s="63"/>
      <c r="AE1482" s="63"/>
      <c r="AF1482" s="63"/>
      <c r="AG1482" s="63"/>
      <c r="AH1482" s="63"/>
      <c r="AI1482" s="106"/>
      <c r="AJ1482" s="63"/>
    </row>
    <row r="1483" spans="1:36" s="61" customFormat="1">
      <c r="A1483" s="302"/>
      <c r="B1483" s="305"/>
      <c r="C1483" s="99" t="s">
        <v>883</v>
      </c>
      <c r="D1483" s="100">
        <v>3</v>
      </c>
      <c r="E1483" s="101" t="str">
        <f t="shared" si="1087"/>
        <v>8:6</v>
      </c>
      <c r="F1483" s="102" t="s">
        <v>878</v>
      </c>
      <c r="G1483" s="102" t="s">
        <v>878</v>
      </c>
      <c r="H1483" s="99" t="s">
        <v>883</v>
      </c>
      <c r="I1483" s="103" t="s">
        <v>68</v>
      </c>
      <c r="J1483" s="104" t="s">
        <v>36</v>
      </c>
      <c r="K1483" s="101" t="s">
        <v>6</v>
      </c>
      <c r="L1483" s="105"/>
      <c r="M1483" s="289"/>
      <c r="N1483" s="289"/>
      <c r="O1483" s="289"/>
      <c r="P1483" s="289"/>
      <c r="Q1483" s="289"/>
      <c r="R1483" s="289"/>
      <c r="S1483" s="289"/>
      <c r="T1483" s="63"/>
      <c r="U1483" s="63"/>
      <c r="V1483" s="63"/>
      <c r="W1483" s="63"/>
      <c r="X1483" s="63"/>
      <c r="Y1483" s="63"/>
      <c r="Z1483" s="63"/>
      <c r="AA1483" s="63"/>
      <c r="AB1483" s="63"/>
      <c r="AC1483" s="63"/>
      <c r="AD1483" s="63"/>
      <c r="AE1483" s="63"/>
      <c r="AF1483" s="63"/>
      <c r="AG1483" s="63"/>
      <c r="AH1483" s="63"/>
      <c r="AI1483" s="106"/>
      <c r="AJ1483" s="63"/>
    </row>
    <row r="1484" spans="1:36" s="61" customFormat="1">
      <c r="A1484" s="302"/>
      <c r="B1484" s="305"/>
      <c r="C1484" s="99" t="s">
        <v>884</v>
      </c>
      <c r="D1484" s="100">
        <v>3</v>
      </c>
      <c r="E1484" s="101" t="str">
        <f t="shared" si="1087"/>
        <v>5:3</v>
      </c>
      <c r="F1484" s="102" t="s">
        <v>878</v>
      </c>
      <c r="G1484" s="102" t="s">
        <v>878</v>
      </c>
      <c r="H1484" s="99" t="s">
        <v>884</v>
      </c>
      <c r="I1484" s="103" t="s">
        <v>68</v>
      </c>
      <c r="J1484" s="104" t="s">
        <v>36</v>
      </c>
      <c r="K1484" s="101" t="s">
        <v>6</v>
      </c>
      <c r="L1484" s="105"/>
      <c r="M1484" s="289"/>
      <c r="N1484" s="289"/>
      <c r="O1484" s="289"/>
      <c r="P1484" s="289"/>
      <c r="Q1484" s="289"/>
      <c r="R1484" s="289"/>
      <c r="S1484" s="289"/>
      <c r="T1484" s="63"/>
      <c r="U1484" s="63"/>
      <c r="V1484" s="63"/>
      <c r="W1484" s="63"/>
      <c r="X1484" s="63"/>
      <c r="Y1484" s="63"/>
      <c r="Z1484" s="63"/>
      <c r="AA1484" s="63"/>
      <c r="AB1484" s="63"/>
      <c r="AC1484" s="63"/>
      <c r="AD1484" s="63"/>
      <c r="AE1484" s="63"/>
      <c r="AF1484" s="63"/>
      <c r="AG1484" s="63"/>
      <c r="AH1484" s="63"/>
      <c r="AI1484" s="106"/>
      <c r="AJ1484" s="63"/>
    </row>
    <row r="1485" spans="1:36" s="61" customFormat="1" ht="15" thickBot="1">
      <c r="A1485" s="303"/>
      <c r="B1485" s="306"/>
      <c r="C1485" s="99" t="s">
        <v>885</v>
      </c>
      <c r="D1485" s="100">
        <v>3</v>
      </c>
      <c r="E1485" s="101" t="str">
        <f t="shared" si="1087"/>
        <v>2:0</v>
      </c>
      <c r="F1485" s="102" t="s">
        <v>878</v>
      </c>
      <c r="G1485" s="102" t="s">
        <v>878</v>
      </c>
      <c r="H1485" s="99" t="s">
        <v>885</v>
      </c>
      <c r="I1485" s="103" t="s">
        <v>68</v>
      </c>
      <c r="J1485" s="104" t="s">
        <v>36</v>
      </c>
      <c r="K1485" s="101" t="s">
        <v>6</v>
      </c>
      <c r="L1485" s="105"/>
      <c r="M1485" s="289"/>
      <c r="N1485" s="289"/>
      <c r="O1485" s="289"/>
      <c r="P1485" s="289"/>
      <c r="Q1485" s="289"/>
      <c r="R1485" s="289"/>
      <c r="S1485" s="289"/>
      <c r="T1485" s="63"/>
      <c r="U1485" s="63"/>
      <c r="V1485" s="63"/>
      <c r="W1485" s="63"/>
      <c r="X1485" s="63"/>
      <c r="Y1485" s="63"/>
      <c r="Z1485" s="63"/>
      <c r="AA1485" s="63"/>
      <c r="AB1485" s="63"/>
      <c r="AC1485" s="63"/>
      <c r="AD1485" s="63"/>
      <c r="AE1485" s="63"/>
      <c r="AF1485" s="63"/>
      <c r="AG1485" s="63"/>
      <c r="AH1485" s="63"/>
      <c r="AI1485" s="106"/>
      <c r="AJ1485" s="63"/>
    </row>
    <row r="1486" spans="1:36" s="61" customFormat="1" ht="15" thickBot="1">
      <c r="A1486" s="301" t="s">
        <v>886</v>
      </c>
      <c r="B1486" s="304" t="str">
        <f>DEC2HEX(P1486*4)</f>
        <v>24</v>
      </c>
      <c r="C1486" s="98" t="s">
        <v>383</v>
      </c>
      <c r="D1486" s="294" t="str">
        <f>bitConcat(F1487:F1491)</f>
        <v>32'b00000000000000000000000000111111</v>
      </c>
      <c r="E1486" s="295"/>
      <c r="F1486" s="296"/>
      <c r="G1486" s="296"/>
      <c r="H1486" s="297" t="s">
        <v>860</v>
      </c>
      <c r="I1486" s="298" t="str">
        <f>bitConcat(G1487:G1491)</f>
        <v>32'b00000000000000000000000000111111</v>
      </c>
      <c r="J1486" s="299" t="str">
        <f>bitConcat(G1487:G1491)</f>
        <v>32'b00000000000000000000000000111111</v>
      </c>
      <c r="K1486" s="297"/>
      <c r="L1486" s="298"/>
      <c r="M1486" s="288" t="str">
        <f>DEC2HEX(_xlfn.BITLSHIFT(O1486,7)+4*P1486)</f>
        <v>4A4</v>
      </c>
      <c r="N1486" s="288"/>
      <c r="O1486" s="288">
        <v>9</v>
      </c>
      <c r="P1486" s="288">
        <v>9</v>
      </c>
      <c r="Q1486" s="288" t="str">
        <f>DEC2HEX(_xlfn.BITLSHIFT(O1486,5)+P1486)</f>
        <v>129</v>
      </c>
      <c r="R1486" s="288" t="str">
        <f>BIN2HEX(LEFT(RIGHT(D1486,32),4))&amp;BIN2HEX(LEFT(RIGHT(D1486,28),4))&amp;BIN2HEX(LEFT(RIGHT(D1486,24),4))&amp;BIN2HEX(LEFT(RIGHT(D1486,20),4))&amp;BIN2HEX(LEFT(RIGHT(D1486,16),4))&amp;BIN2HEX(LEFT(RIGHT(D1486,12),4))&amp;BIN2HEX(LEFT(RIGHT(D1486,8),4))&amp;BIN2HEX(LEFT(RIGHT(D1486,4),4))</f>
        <v>0000003F</v>
      </c>
      <c r="S1486" s="288" t="str">
        <f>BIN2HEX(LEFT(RIGHT(J1486,32),4))&amp;BIN2HEX(LEFT(RIGHT(J1486,28),4))&amp;BIN2HEX(LEFT(RIGHT(J1486,24),4))&amp;BIN2HEX(LEFT(RIGHT(J1486,20),4))&amp;BIN2HEX(LEFT(RIGHT(J1486,16),4))&amp;BIN2HEX(LEFT(RIGHT(J1486,12),4))&amp;BIN2HEX(LEFT(RIGHT(J1486,8),4))&amp;BIN2HEX(LEFT(RIGHT(J1486,4),4))</f>
        <v>0000003F</v>
      </c>
      <c r="T1486" s="63"/>
      <c r="U1486" s="63"/>
      <c r="V1486" s="63"/>
      <c r="W1486" s="63"/>
      <c r="X1486" s="63"/>
      <c r="Y1486" s="63"/>
      <c r="Z1486" s="63"/>
      <c r="AA1486" s="63"/>
      <c r="AB1486" s="63"/>
      <c r="AC1486" s="63"/>
      <c r="AD1486" s="63"/>
      <c r="AE1486" s="63"/>
      <c r="AF1486" s="63"/>
      <c r="AG1486" s="63"/>
      <c r="AH1486" s="63"/>
      <c r="AI1486" s="63"/>
      <c r="AJ1486" s="63"/>
    </row>
    <row r="1487" spans="1:36" s="61" customFormat="1">
      <c r="A1487" s="302"/>
      <c r="B1487" s="305"/>
      <c r="C1487" s="99" t="s">
        <v>887</v>
      </c>
      <c r="D1487" s="100">
        <v>24</v>
      </c>
      <c r="E1487" s="101" t="str">
        <f>IF(D1487&gt;1,(31)&amp;":"&amp;(31-D1487+1),(31-D1487+1)&amp;":"&amp;(31-D1487+1))</f>
        <v>31:8</v>
      </c>
      <c r="F1487" s="102" t="s">
        <v>888</v>
      </c>
      <c r="G1487" s="102" t="s">
        <v>888</v>
      </c>
      <c r="H1487" s="99" t="s">
        <v>887</v>
      </c>
      <c r="I1487" s="103" t="s">
        <v>68</v>
      </c>
      <c r="J1487" s="104" t="s">
        <v>36</v>
      </c>
      <c r="K1487" s="101" t="s">
        <v>6</v>
      </c>
      <c r="L1487" s="105"/>
      <c r="M1487" s="289"/>
      <c r="N1487" s="289"/>
      <c r="O1487" s="289"/>
      <c r="P1487" s="289"/>
      <c r="Q1487" s="289"/>
      <c r="R1487" s="289"/>
      <c r="S1487" s="289"/>
      <c r="T1487" s="63"/>
      <c r="U1487" s="63"/>
      <c r="V1487" s="63"/>
      <c r="W1487" s="63"/>
      <c r="X1487" s="63"/>
      <c r="Y1487" s="63"/>
      <c r="Z1487" s="63"/>
      <c r="AA1487" s="63"/>
      <c r="AB1487" s="63"/>
      <c r="AC1487" s="63"/>
      <c r="AD1487" s="63"/>
      <c r="AE1487" s="63"/>
      <c r="AF1487" s="63"/>
      <c r="AG1487" s="63"/>
      <c r="AH1487" s="63"/>
      <c r="AI1487" s="106"/>
      <c r="AJ1487" s="63"/>
    </row>
    <row r="1488" spans="1:36" s="61" customFormat="1">
      <c r="A1488" s="302"/>
      <c r="B1488" s="305"/>
      <c r="C1488" s="99" t="s">
        <v>889</v>
      </c>
      <c r="D1488" s="100">
        <v>1</v>
      </c>
      <c r="E1488" s="101" t="str">
        <f t="shared" ref="E1488:E1491" si="1088">(MID(str_cnvt(E1487),SEARCH(":",str_cnvt(E1487))+1,2)-1) &amp; ":" &amp; (MID(str_cnvt(E1487),SEARCH(":",str_cnvt(E1487))+1,2)-D1488)</f>
        <v>7:7</v>
      </c>
      <c r="F1488" s="102" t="s">
        <v>7</v>
      </c>
      <c r="G1488" s="102" t="s">
        <v>7</v>
      </c>
      <c r="H1488" s="99" t="s">
        <v>889</v>
      </c>
      <c r="I1488" s="103" t="s">
        <v>68</v>
      </c>
      <c r="J1488" s="104" t="s">
        <v>36</v>
      </c>
      <c r="K1488" s="101" t="s">
        <v>6</v>
      </c>
      <c r="L1488" s="105"/>
      <c r="M1488" s="289"/>
      <c r="N1488" s="289"/>
      <c r="O1488" s="289"/>
      <c r="P1488" s="289"/>
      <c r="Q1488" s="289"/>
      <c r="R1488" s="289"/>
      <c r="S1488" s="289"/>
      <c r="T1488" s="63"/>
      <c r="U1488" s="63"/>
      <c r="V1488" s="63"/>
      <c r="W1488" s="63"/>
      <c r="X1488" s="63"/>
      <c r="Y1488" s="63"/>
      <c r="Z1488" s="63"/>
      <c r="AA1488" s="63"/>
      <c r="AB1488" s="63"/>
      <c r="AC1488" s="63"/>
      <c r="AD1488" s="63"/>
      <c r="AE1488" s="63"/>
      <c r="AF1488" s="63"/>
      <c r="AG1488" s="63"/>
      <c r="AH1488" s="63"/>
      <c r="AI1488" s="106"/>
      <c r="AJ1488" s="63"/>
    </row>
    <row r="1489" spans="1:36" s="61" customFormat="1">
      <c r="A1489" s="302"/>
      <c r="B1489" s="305"/>
      <c r="C1489" s="99" t="s">
        <v>890</v>
      </c>
      <c r="D1489" s="100">
        <v>1</v>
      </c>
      <c r="E1489" s="101" t="str">
        <f t="shared" si="1088"/>
        <v>6:6</v>
      </c>
      <c r="F1489" s="102" t="s">
        <v>7</v>
      </c>
      <c r="G1489" s="102" t="s">
        <v>7</v>
      </c>
      <c r="H1489" s="99" t="s">
        <v>890</v>
      </c>
      <c r="I1489" s="103" t="s">
        <v>68</v>
      </c>
      <c r="J1489" s="104" t="s">
        <v>36</v>
      </c>
      <c r="K1489" s="101" t="s">
        <v>6</v>
      </c>
      <c r="L1489" s="105"/>
      <c r="M1489" s="289"/>
      <c r="N1489" s="289"/>
      <c r="O1489" s="289"/>
      <c r="P1489" s="289"/>
      <c r="Q1489" s="289"/>
      <c r="R1489" s="289"/>
      <c r="S1489" s="289"/>
      <c r="T1489" s="63"/>
      <c r="U1489" s="63"/>
      <c r="V1489" s="63"/>
      <c r="W1489" s="63"/>
      <c r="X1489" s="63"/>
      <c r="Y1489" s="63"/>
      <c r="Z1489" s="63"/>
      <c r="AA1489" s="63"/>
      <c r="AB1489" s="63"/>
      <c r="AC1489" s="63"/>
      <c r="AD1489" s="63"/>
      <c r="AE1489" s="63"/>
      <c r="AF1489" s="63"/>
      <c r="AG1489" s="63"/>
      <c r="AH1489" s="63"/>
      <c r="AI1489" s="106"/>
      <c r="AJ1489" s="63"/>
    </row>
    <row r="1490" spans="1:36" s="61" customFormat="1">
      <c r="A1490" s="302"/>
      <c r="B1490" s="305"/>
      <c r="C1490" s="99" t="s">
        <v>891</v>
      </c>
      <c r="D1490" s="100">
        <v>3</v>
      </c>
      <c r="E1490" s="101" t="str">
        <f t="shared" si="1088"/>
        <v>5:3</v>
      </c>
      <c r="F1490" s="102" t="s">
        <v>878</v>
      </c>
      <c r="G1490" s="102" t="s">
        <v>878</v>
      </c>
      <c r="H1490" s="99" t="s">
        <v>892</v>
      </c>
      <c r="I1490" s="103" t="s">
        <v>68</v>
      </c>
      <c r="J1490" s="104" t="s">
        <v>36</v>
      </c>
      <c r="K1490" s="101" t="s">
        <v>6</v>
      </c>
      <c r="L1490" s="105"/>
      <c r="M1490" s="289"/>
      <c r="N1490" s="289"/>
      <c r="O1490" s="289"/>
      <c r="P1490" s="289"/>
      <c r="Q1490" s="289"/>
      <c r="R1490" s="289"/>
      <c r="S1490" s="289"/>
      <c r="T1490" s="63"/>
      <c r="U1490" s="63"/>
      <c r="V1490" s="63"/>
      <c r="W1490" s="63"/>
      <c r="X1490" s="63"/>
      <c r="Y1490" s="63"/>
      <c r="Z1490" s="63"/>
      <c r="AA1490" s="63"/>
      <c r="AB1490" s="63"/>
      <c r="AC1490" s="63"/>
      <c r="AD1490" s="63"/>
      <c r="AE1490" s="63"/>
      <c r="AF1490" s="63"/>
      <c r="AG1490" s="63"/>
      <c r="AH1490" s="63"/>
      <c r="AI1490" s="106"/>
      <c r="AJ1490" s="63"/>
    </row>
    <row r="1491" spans="1:36" s="61" customFormat="1">
      <c r="A1491" s="303"/>
      <c r="B1491" s="306"/>
      <c r="C1491" s="99" t="s">
        <v>893</v>
      </c>
      <c r="D1491" s="100">
        <v>3</v>
      </c>
      <c r="E1491" s="101" t="str">
        <f t="shared" si="1088"/>
        <v>2:0</v>
      </c>
      <c r="F1491" s="102" t="s">
        <v>878</v>
      </c>
      <c r="G1491" s="102" t="s">
        <v>878</v>
      </c>
      <c r="H1491" s="99" t="s">
        <v>894</v>
      </c>
      <c r="I1491" s="103" t="s">
        <v>68</v>
      </c>
      <c r="J1491" s="104" t="s">
        <v>36</v>
      </c>
      <c r="K1491" s="101" t="s">
        <v>6</v>
      </c>
      <c r="L1491" s="105"/>
      <c r="M1491" s="300"/>
      <c r="N1491" s="300"/>
      <c r="O1491" s="300"/>
      <c r="P1491" s="300"/>
      <c r="Q1491" s="300"/>
      <c r="R1491" s="300"/>
      <c r="S1491" s="300"/>
      <c r="T1491" s="63"/>
      <c r="U1491" s="63"/>
      <c r="V1491" s="63"/>
      <c r="W1491" s="63"/>
      <c r="X1491" s="63"/>
      <c r="Y1491" s="63"/>
      <c r="Z1491" s="63"/>
      <c r="AA1491" s="63"/>
      <c r="AB1491" s="63"/>
      <c r="AC1491" s="63"/>
      <c r="AD1491" s="63"/>
      <c r="AE1491" s="63"/>
      <c r="AF1491" s="63"/>
      <c r="AG1491" s="63"/>
      <c r="AH1491" s="63"/>
      <c r="AI1491" s="106"/>
      <c r="AJ1491" s="63"/>
    </row>
  </sheetData>
  <autoFilter ref="A1:AH1491" xr:uid="{6F10CDC5-BF41-4B3D-93C4-5AD666D3090C}">
    <filterColumn colId="20" showButton="0"/>
    <filterColumn colId="23" showButton="0"/>
  </autoFilter>
  <customSheetViews>
    <customSheetView guid="{2BBBE5B5-B14C-4BF7-9B95-9EEB3666FF3B}">
      <pane ySplit="1" topLeftCell="A2" activePane="bottomLeft" state="frozen"/>
      <selection pane="bottomLeft" activeCell="J10" sqref="J10"/>
      <pageMargins left="0.7" right="0.7" top="0.75" bottom="0.75" header="0.51180555555555551" footer="0.51180555555555551"/>
      <pageSetup firstPageNumber="0" orientation="portrait" horizontalDpi="300" verticalDpi="300" r:id="rId1"/>
      <headerFooter alignWithMargins="0"/>
    </customSheetView>
  </customSheetViews>
  <mergeCells count="3337">
    <mergeCell ref="A803:A824"/>
    <mergeCell ref="B803:B824"/>
    <mergeCell ref="D803:G803"/>
    <mergeCell ref="H803:I803"/>
    <mergeCell ref="J803:L803"/>
    <mergeCell ref="M803:M824"/>
    <mergeCell ref="N803:N824"/>
    <mergeCell ref="O803:O824"/>
    <mergeCell ref="P803:P824"/>
    <mergeCell ref="Q803:Q824"/>
    <mergeCell ref="R803:R824"/>
    <mergeCell ref="S803:S824"/>
    <mergeCell ref="A1486:A1491"/>
    <mergeCell ref="B1486:B1491"/>
    <mergeCell ref="D1486:G1486"/>
    <mergeCell ref="H1486:I1486"/>
    <mergeCell ref="J1486:L1486"/>
    <mergeCell ref="M1486:M1491"/>
    <mergeCell ref="N1486:N1491"/>
    <mergeCell ref="O1486:O1491"/>
    <mergeCell ref="P1486:P1491"/>
    <mergeCell ref="Q1486:Q1491"/>
    <mergeCell ref="R1486:R1491"/>
    <mergeCell ref="S1486:S1491"/>
    <mergeCell ref="A1473:A1485"/>
    <mergeCell ref="B1473:B1485"/>
    <mergeCell ref="D1473:G1473"/>
    <mergeCell ref="H1473:I1473"/>
    <mergeCell ref="J1473:L1473"/>
    <mergeCell ref="M1473:M1485"/>
    <mergeCell ref="N1473:N1485"/>
    <mergeCell ref="O1473:O1485"/>
    <mergeCell ref="A789:A802"/>
    <mergeCell ref="B789:B802"/>
    <mergeCell ref="D789:G789"/>
    <mergeCell ref="H789:I789"/>
    <mergeCell ref="J789:L789"/>
    <mergeCell ref="M789:M802"/>
    <mergeCell ref="N789:N802"/>
    <mergeCell ref="O789:O802"/>
    <mergeCell ref="P789:P802"/>
    <mergeCell ref="Q789:Q802"/>
    <mergeCell ref="R789:R802"/>
    <mergeCell ref="S789:S802"/>
    <mergeCell ref="A1468:A1472"/>
    <mergeCell ref="B1468:B1472"/>
    <mergeCell ref="D1468:G1468"/>
    <mergeCell ref="H1468:I1468"/>
    <mergeCell ref="J1468:L1468"/>
    <mergeCell ref="M1468:M1472"/>
    <mergeCell ref="N1468:N1472"/>
    <mergeCell ref="O1468:O1472"/>
    <mergeCell ref="P1468:P1472"/>
    <mergeCell ref="Q1468:Q1472"/>
    <mergeCell ref="R1468:R1472"/>
    <mergeCell ref="S1468:S1472"/>
    <mergeCell ref="A1413:A1423"/>
    <mergeCell ref="B1413:B1423"/>
    <mergeCell ref="D1413:G1413"/>
    <mergeCell ref="J1413:L1413"/>
    <mergeCell ref="M1413:M1423"/>
    <mergeCell ref="N1413:N1423"/>
    <mergeCell ref="O1413:O1423"/>
    <mergeCell ref="P1413:P1423"/>
    <mergeCell ref="P1473:P1485"/>
    <mergeCell ref="Q1473:Q1485"/>
    <mergeCell ref="R1473:R1485"/>
    <mergeCell ref="S1473:S1485"/>
    <mergeCell ref="A1432:A1440"/>
    <mergeCell ref="B1432:B1440"/>
    <mergeCell ref="D1432:G1432"/>
    <mergeCell ref="J1432:L1432"/>
    <mergeCell ref="M1432:M1440"/>
    <mergeCell ref="N1432:N1440"/>
    <mergeCell ref="O1432:O1440"/>
    <mergeCell ref="P1432:P1440"/>
    <mergeCell ref="Q1432:Q1440"/>
    <mergeCell ref="R1432:R1440"/>
    <mergeCell ref="S1432:S1440"/>
    <mergeCell ref="A1441:A1467"/>
    <mergeCell ref="B1441:B1467"/>
    <mergeCell ref="D1441:G1441"/>
    <mergeCell ref="J1441:L1441"/>
    <mergeCell ref="M1441:M1467"/>
    <mergeCell ref="N1441:N1467"/>
    <mergeCell ref="O1441:O1467"/>
    <mergeCell ref="P1441:P1467"/>
    <mergeCell ref="Q1441:Q1467"/>
    <mergeCell ref="R1441:R1467"/>
    <mergeCell ref="S1441:S1467"/>
    <mergeCell ref="Q1413:Q1423"/>
    <mergeCell ref="R1413:R1423"/>
    <mergeCell ref="S1413:S1423"/>
    <mergeCell ref="A1424:A1431"/>
    <mergeCell ref="B1424:B1431"/>
    <mergeCell ref="D1424:G1424"/>
    <mergeCell ref="J1424:L1424"/>
    <mergeCell ref="M1424:M1431"/>
    <mergeCell ref="N1424:N1431"/>
    <mergeCell ref="O1424:O1431"/>
    <mergeCell ref="P1424:P1431"/>
    <mergeCell ref="Q1424:Q1431"/>
    <mergeCell ref="R1424:R1431"/>
    <mergeCell ref="S1424:S1431"/>
    <mergeCell ref="A1374:A1382"/>
    <mergeCell ref="B1374:B1382"/>
    <mergeCell ref="D1374:G1374"/>
    <mergeCell ref="J1374:L1374"/>
    <mergeCell ref="M1374:M1382"/>
    <mergeCell ref="N1374:N1382"/>
    <mergeCell ref="O1374:O1382"/>
    <mergeCell ref="P1374:P1382"/>
    <mergeCell ref="Q1374:Q1382"/>
    <mergeCell ref="R1374:R1382"/>
    <mergeCell ref="S1374:S1382"/>
    <mergeCell ref="A1383:A1412"/>
    <mergeCell ref="B1383:B1412"/>
    <mergeCell ref="D1383:G1383"/>
    <mergeCell ref="J1383:L1383"/>
    <mergeCell ref="M1383:M1412"/>
    <mergeCell ref="N1383:N1412"/>
    <mergeCell ref="O1383:O1412"/>
    <mergeCell ref="P1383:P1412"/>
    <mergeCell ref="Q1383:Q1412"/>
    <mergeCell ref="R1383:R1412"/>
    <mergeCell ref="S1383:S1412"/>
    <mergeCell ref="A1356:A1364"/>
    <mergeCell ref="B1356:B1364"/>
    <mergeCell ref="D1356:G1356"/>
    <mergeCell ref="J1356:L1356"/>
    <mergeCell ref="M1356:M1364"/>
    <mergeCell ref="N1356:N1364"/>
    <mergeCell ref="O1356:O1364"/>
    <mergeCell ref="P1356:P1364"/>
    <mergeCell ref="Q1356:Q1364"/>
    <mergeCell ref="R1356:R1364"/>
    <mergeCell ref="S1356:S1364"/>
    <mergeCell ref="A1365:A1373"/>
    <mergeCell ref="B1365:B1373"/>
    <mergeCell ref="D1365:G1365"/>
    <mergeCell ref="J1365:L1365"/>
    <mergeCell ref="M1365:M1373"/>
    <mergeCell ref="N1365:N1373"/>
    <mergeCell ref="O1365:O1373"/>
    <mergeCell ref="P1365:P1373"/>
    <mergeCell ref="Q1365:Q1373"/>
    <mergeCell ref="R1365:R1373"/>
    <mergeCell ref="S1365:S1373"/>
    <mergeCell ref="A1341:A1346"/>
    <mergeCell ref="B1341:B1346"/>
    <mergeCell ref="D1341:G1341"/>
    <mergeCell ref="J1341:L1341"/>
    <mergeCell ref="M1341:M1346"/>
    <mergeCell ref="N1341:N1346"/>
    <mergeCell ref="O1341:O1346"/>
    <mergeCell ref="P1341:P1346"/>
    <mergeCell ref="Q1341:Q1346"/>
    <mergeCell ref="R1341:R1346"/>
    <mergeCell ref="S1341:S1346"/>
    <mergeCell ref="A1347:A1355"/>
    <mergeCell ref="B1347:B1355"/>
    <mergeCell ref="D1347:G1347"/>
    <mergeCell ref="J1347:L1347"/>
    <mergeCell ref="M1347:M1355"/>
    <mergeCell ref="N1347:N1355"/>
    <mergeCell ref="O1347:O1355"/>
    <mergeCell ref="P1347:P1355"/>
    <mergeCell ref="Q1347:Q1355"/>
    <mergeCell ref="R1347:R1355"/>
    <mergeCell ref="S1347:S1355"/>
    <mergeCell ref="A1333:A1337"/>
    <mergeCell ref="B1333:B1337"/>
    <mergeCell ref="D1333:G1333"/>
    <mergeCell ref="J1333:L1333"/>
    <mergeCell ref="M1333:M1337"/>
    <mergeCell ref="N1333:N1337"/>
    <mergeCell ref="O1333:O1337"/>
    <mergeCell ref="P1333:P1337"/>
    <mergeCell ref="Q1333:Q1337"/>
    <mergeCell ref="R1333:R1337"/>
    <mergeCell ref="S1333:S1337"/>
    <mergeCell ref="A1338:A1340"/>
    <mergeCell ref="B1338:B1340"/>
    <mergeCell ref="D1338:G1338"/>
    <mergeCell ref="J1338:L1338"/>
    <mergeCell ref="M1338:M1340"/>
    <mergeCell ref="N1338:N1340"/>
    <mergeCell ref="O1338:O1340"/>
    <mergeCell ref="P1338:P1340"/>
    <mergeCell ref="Q1338:Q1340"/>
    <mergeCell ref="R1338:R1340"/>
    <mergeCell ref="S1338:S1340"/>
    <mergeCell ref="A1324:A1326"/>
    <mergeCell ref="B1324:B1326"/>
    <mergeCell ref="D1324:G1324"/>
    <mergeCell ref="J1324:L1324"/>
    <mergeCell ref="M1324:M1326"/>
    <mergeCell ref="N1324:N1326"/>
    <mergeCell ref="O1324:O1326"/>
    <mergeCell ref="P1324:P1326"/>
    <mergeCell ref="Q1324:Q1326"/>
    <mergeCell ref="R1324:R1326"/>
    <mergeCell ref="S1324:S1326"/>
    <mergeCell ref="A1327:A1332"/>
    <mergeCell ref="B1327:B1332"/>
    <mergeCell ref="D1327:G1327"/>
    <mergeCell ref="J1327:L1327"/>
    <mergeCell ref="M1327:M1332"/>
    <mergeCell ref="N1327:N1332"/>
    <mergeCell ref="O1327:O1332"/>
    <mergeCell ref="P1327:P1332"/>
    <mergeCell ref="Q1327:Q1332"/>
    <mergeCell ref="R1327:R1332"/>
    <mergeCell ref="S1327:S1332"/>
    <mergeCell ref="A1313:A1318"/>
    <mergeCell ref="B1313:B1318"/>
    <mergeCell ref="D1313:G1313"/>
    <mergeCell ref="J1313:L1313"/>
    <mergeCell ref="M1313:M1318"/>
    <mergeCell ref="N1313:N1318"/>
    <mergeCell ref="O1313:O1318"/>
    <mergeCell ref="P1313:P1318"/>
    <mergeCell ref="Q1313:Q1318"/>
    <mergeCell ref="R1313:R1318"/>
    <mergeCell ref="S1313:S1318"/>
    <mergeCell ref="A1319:A1323"/>
    <mergeCell ref="B1319:B1323"/>
    <mergeCell ref="D1319:G1319"/>
    <mergeCell ref="J1319:L1319"/>
    <mergeCell ref="M1319:M1323"/>
    <mergeCell ref="N1319:N1323"/>
    <mergeCell ref="O1319:O1323"/>
    <mergeCell ref="P1319:P1323"/>
    <mergeCell ref="Q1319:Q1323"/>
    <mergeCell ref="R1319:R1323"/>
    <mergeCell ref="S1319:S1323"/>
    <mergeCell ref="A1305:A1309"/>
    <mergeCell ref="B1305:B1309"/>
    <mergeCell ref="D1305:G1305"/>
    <mergeCell ref="J1305:L1305"/>
    <mergeCell ref="M1305:M1309"/>
    <mergeCell ref="N1305:N1309"/>
    <mergeCell ref="O1305:O1309"/>
    <mergeCell ref="P1305:P1309"/>
    <mergeCell ref="Q1305:Q1309"/>
    <mergeCell ref="R1305:R1309"/>
    <mergeCell ref="S1305:S1309"/>
    <mergeCell ref="A1310:A1312"/>
    <mergeCell ref="B1310:B1312"/>
    <mergeCell ref="D1310:G1310"/>
    <mergeCell ref="J1310:L1310"/>
    <mergeCell ref="M1310:M1312"/>
    <mergeCell ref="N1310:N1312"/>
    <mergeCell ref="O1310:O1312"/>
    <mergeCell ref="P1310:P1312"/>
    <mergeCell ref="Q1310:Q1312"/>
    <mergeCell ref="R1310:R1312"/>
    <mergeCell ref="S1310:S1312"/>
    <mergeCell ref="A1296:A1298"/>
    <mergeCell ref="B1296:B1298"/>
    <mergeCell ref="D1296:G1296"/>
    <mergeCell ref="J1296:L1296"/>
    <mergeCell ref="M1296:M1298"/>
    <mergeCell ref="N1296:N1298"/>
    <mergeCell ref="O1296:O1298"/>
    <mergeCell ref="P1296:P1298"/>
    <mergeCell ref="Q1296:Q1298"/>
    <mergeCell ref="R1296:R1298"/>
    <mergeCell ref="S1296:S1298"/>
    <mergeCell ref="A1299:A1304"/>
    <mergeCell ref="B1299:B1304"/>
    <mergeCell ref="D1299:G1299"/>
    <mergeCell ref="J1299:L1299"/>
    <mergeCell ref="M1299:M1304"/>
    <mergeCell ref="N1299:N1304"/>
    <mergeCell ref="O1299:O1304"/>
    <mergeCell ref="P1299:P1304"/>
    <mergeCell ref="Q1299:Q1304"/>
    <mergeCell ref="R1299:R1304"/>
    <mergeCell ref="S1299:S1304"/>
    <mergeCell ref="A1281:A1290"/>
    <mergeCell ref="B1281:B1290"/>
    <mergeCell ref="D1281:G1281"/>
    <mergeCell ref="J1281:L1281"/>
    <mergeCell ref="M1281:M1290"/>
    <mergeCell ref="N1281:N1290"/>
    <mergeCell ref="O1281:O1290"/>
    <mergeCell ref="P1281:P1290"/>
    <mergeCell ref="Q1281:Q1290"/>
    <mergeCell ref="R1281:R1290"/>
    <mergeCell ref="S1281:S1290"/>
    <mergeCell ref="A1291:A1295"/>
    <mergeCell ref="B1291:B1295"/>
    <mergeCell ref="D1291:G1291"/>
    <mergeCell ref="J1291:L1291"/>
    <mergeCell ref="M1291:M1295"/>
    <mergeCell ref="N1291:N1295"/>
    <mergeCell ref="O1291:O1295"/>
    <mergeCell ref="P1291:P1295"/>
    <mergeCell ref="Q1291:Q1295"/>
    <mergeCell ref="R1291:R1295"/>
    <mergeCell ref="S1291:S1295"/>
    <mergeCell ref="A1264:A1270"/>
    <mergeCell ref="B1264:B1270"/>
    <mergeCell ref="D1264:G1264"/>
    <mergeCell ref="J1264:L1264"/>
    <mergeCell ref="M1264:M1270"/>
    <mergeCell ref="N1264:N1270"/>
    <mergeCell ref="O1264:O1270"/>
    <mergeCell ref="P1264:P1270"/>
    <mergeCell ref="Q1264:Q1270"/>
    <mergeCell ref="R1264:R1270"/>
    <mergeCell ref="S1264:S1270"/>
    <mergeCell ref="A1271:A1280"/>
    <mergeCell ref="B1271:B1280"/>
    <mergeCell ref="D1271:G1271"/>
    <mergeCell ref="J1271:L1271"/>
    <mergeCell ref="M1271:M1280"/>
    <mergeCell ref="N1271:N1280"/>
    <mergeCell ref="O1271:O1280"/>
    <mergeCell ref="P1271:P1280"/>
    <mergeCell ref="Q1271:Q1280"/>
    <mergeCell ref="R1271:R1280"/>
    <mergeCell ref="S1271:S1280"/>
    <mergeCell ref="A1246:A1254"/>
    <mergeCell ref="B1246:B1254"/>
    <mergeCell ref="D1246:G1246"/>
    <mergeCell ref="J1246:L1246"/>
    <mergeCell ref="M1246:M1254"/>
    <mergeCell ref="N1246:N1254"/>
    <mergeCell ref="O1246:O1254"/>
    <mergeCell ref="P1246:P1254"/>
    <mergeCell ref="Q1246:Q1254"/>
    <mergeCell ref="R1246:R1254"/>
    <mergeCell ref="S1246:S1254"/>
    <mergeCell ref="A1255:A1263"/>
    <mergeCell ref="B1255:B1263"/>
    <mergeCell ref="D1255:G1255"/>
    <mergeCell ref="J1255:L1255"/>
    <mergeCell ref="M1255:M1263"/>
    <mergeCell ref="N1255:N1263"/>
    <mergeCell ref="O1255:O1263"/>
    <mergeCell ref="P1255:P1263"/>
    <mergeCell ref="Q1255:Q1263"/>
    <mergeCell ref="R1255:R1263"/>
    <mergeCell ref="S1255:S1263"/>
    <mergeCell ref="A1225:A1236"/>
    <mergeCell ref="B1225:B1236"/>
    <mergeCell ref="D1225:G1225"/>
    <mergeCell ref="J1225:L1225"/>
    <mergeCell ref="M1225:M1236"/>
    <mergeCell ref="N1225:N1236"/>
    <mergeCell ref="O1225:O1236"/>
    <mergeCell ref="P1225:P1236"/>
    <mergeCell ref="Q1225:Q1236"/>
    <mergeCell ref="R1225:R1236"/>
    <mergeCell ref="S1225:S1236"/>
    <mergeCell ref="A1237:A1245"/>
    <mergeCell ref="B1237:B1245"/>
    <mergeCell ref="D1237:G1237"/>
    <mergeCell ref="J1237:L1237"/>
    <mergeCell ref="M1237:M1245"/>
    <mergeCell ref="N1237:N1245"/>
    <mergeCell ref="O1237:O1245"/>
    <mergeCell ref="P1237:P1245"/>
    <mergeCell ref="Q1237:Q1245"/>
    <mergeCell ref="R1237:R1245"/>
    <mergeCell ref="S1237:S1245"/>
    <mergeCell ref="A1210:A1215"/>
    <mergeCell ref="B1210:B1215"/>
    <mergeCell ref="D1210:G1210"/>
    <mergeCell ref="J1210:L1210"/>
    <mergeCell ref="M1210:M1215"/>
    <mergeCell ref="N1210:N1215"/>
    <mergeCell ref="O1210:O1215"/>
    <mergeCell ref="P1210:P1215"/>
    <mergeCell ref="Q1210:Q1215"/>
    <mergeCell ref="R1210:R1215"/>
    <mergeCell ref="S1210:S1215"/>
    <mergeCell ref="A1216:A1224"/>
    <mergeCell ref="B1216:B1224"/>
    <mergeCell ref="D1216:G1216"/>
    <mergeCell ref="J1216:L1216"/>
    <mergeCell ref="M1216:M1224"/>
    <mergeCell ref="N1216:N1224"/>
    <mergeCell ref="O1216:O1224"/>
    <mergeCell ref="P1216:P1224"/>
    <mergeCell ref="Q1216:Q1224"/>
    <mergeCell ref="R1216:R1224"/>
    <mergeCell ref="S1216:S1224"/>
    <mergeCell ref="A1202:A1206"/>
    <mergeCell ref="B1202:B1206"/>
    <mergeCell ref="D1202:G1202"/>
    <mergeCell ref="J1202:L1202"/>
    <mergeCell ref="M1202:M1206"/>
    <mergeCell ref="N1202:N1206"/>
    <mergeCell ref="O1202:O1206"/>
    <mergeCell ref="P1202:P1206"/>
    <mergeCell ref="Q1202:Q1206"/>
    <mergeCell ref="R1202:R1206"/>
    <mergeCell ref="S1202:S1206"/>
    <mergeCell ref="A1207:A1209"/>
    <mergeCell ref="B1207:B1209"/>
    <mergeCell ref="D1207:G1207"/>
    <mergeCell ref="J1207:L1207"/>
    <mergeCell ref="M1207:M1209"/>
    <mergeCell ref="N1207:N1209"/>
    <mergeCell ref="O1207:O1209"/>
    <mergeCell ref="P1207:P1209"/>
    <mergeCell ref="Q1207:Q1209"/>
    <mergeCell ref="R1207:R1209"/>
    <mergeCell ref="S1207:S1209"/>
    <mergeCell ref="A1193:A1195"/>
    <mergeCell ref="B1193:B1195"/>
    <mergeCell ref="D1193:G1193"/>
    <mergeCell ref="J1193:L1193"/>
    <mergeCell ref="M1193:M1195"/>
    <mergeCell ref="N1193:N1195"/>
    <mergeCell ref="O1193:O1195"/>
    <mergeCell ref="P1193:P1195"/>
    <mergeCell ref="Q1193:Q1195"/>
    <mergeCell ref="R1193:R1195"/>
    <mergeCell ref="S1193:S1195"/>
    <mergeCell ref="A1196:A1201"/>
    <mergeCell ref="B1196:B1201"/>
    <mergeCell ref="D1196:G1196"/>
    <mergeCell ref="J1196:L1196"/>
    <mergeCell ref="M1196:M1201"/>
    <mergeCell ref="N1196:N1201"/>
    <mergeCell ref="O1196:O1201"/>
    <mergeCell ref="P1196:P1201"/>
    <mergeCell ref="Q1196:Q1201"/>
    <mergeCell ref="R1196:R1201"/>
    <mergeCell ref="S1196:S1201"/>
    <mergeCell ref="A1182:A1187"/>
    <mergeCell ref="B1182:B1187"/>
    <mergeCell ref="D1182:G1182"/>
    <mergeCell ref="J1182:L1182"/>
    <mergeCell ref="M1182:M1187"/>
    <mergeCell ref="N1182:N1187"/>
    <mergeCell ref="O1182:O1187"/>
    <mergeCell ref="P1182:P1187"/>
    <mergeCell ref="Q1182:Q1187"/>
    <mergeCell ref="R1182:R1187"/>
    <mergeCell ref="S1182:S1187"/>
    <mergeCell ref="A1188:A1192"/>
    <mergeCell ref="B1188:B1192"/>
    <mergeCell ref="D1188:G1188"/>
    <mergeCell ref="J1188:L1188"/>
    <mergeCell ref="M1188:M1192"/>
    <mergeCell ref="N1188:N1192"/>
    <mergeCell ref="O1188:O1192"/>
    <mergeCell ref="P1188:P1192"/>
    <mergeCell ref="Q1188:Q1192"/>
    <mergeCell ref="R1188:R1192"/>
    <mergeCell ref="S1188:S1192"/>
    <mergeCell ref="A1174:A1178"/>
    <mergeCell ref="B1174:B1178"/>
    <mergeCell ref="D1174:G1174"/>
    <mergeCell ref="J1174:L1174"/>
    <mergeCell ref="M1174:M1178"/>
    <mergeCell ref="N1174:N1178"/>
    <mergeCell ref="O1174:O1178"/>
    <mergeCell ref="P1174:P1178"/>
    <mergeCell ref="Q1174:Q1178"/>
    <mergeCell ref="R1174:R1178"/>
    <mergeCell ref="S1174:S1178"/>
    <mergeCell ref="A1179:A1181"/>
    <mergeCell ref="B1179:B1181"/>
    <mergeCell ref="D1179:G1179"/>
    <mergeCell ref="J1179:L1179"/>
    <mergeCell ref="M1179:M1181"/>
    <mergeCell ref="N1179:N1181"/>
    <mergeCell ref="O1179:O1181"/>
    <mergeCell ref="P1179:P1181"/>
    <mergeCell ref="Q1179:Q1181"/>
    <mergeCell ref="R1179:R1181"/>
    <mergeCell ref="S1179:S1181"/>
    <mergeCell ref="A1165:A1167"/>
    <mergeCell ref="B1165:B1167"/>
    <mergeCell ref="D1165:G1165"/>
    <mergeCell ref="J1165:L1165"/>
    <mergeCell ref="M1165:M1167"/>
    <mergeCell ref="N1165:N1167"/>
    <mergeCell ref="O1165:O1167"/>
    <mergeCell ref="P1165:P1167"/>
    <mergeCell ref="Q1165:Q1167"/>
    <mergeCell ref="R1165:R1167"/>
    <mergeCell ref="S1165:S1167"/>
    <mergeCell ref="A1168:A1173"/>
    <mergeCell ref="B1168:B1173"/>
    <mergeCell ref="D1168:G1168"/>
    <mergeCell ref="J1168:L1168"/>
    <mergeCell ref="M1168:M1173"/>
    <mergeCell ref="N1168:N1173"/>
    <mergeCell ref="O1168:O1173"/>
    <mergeCell ref="P1168:P1173"/>
    <mergeCell ref="Q1168:Q1173"/>
    <mergeCell ref="R1168:R1173"/>
    <mergeCell ref="S1168:S1173"/>
    <mergeCell ref="A1150:A1159"/>
    <mergeCell ref="B1150:B1159"/>
    <mergeCell ref="D1150:G1150"/>
    <mergeCell ref="J1150:L1150"/>
    <mergeCell ref="M1150:M1159"/>
    <mergeCell ref="N1150:N1159"/>
    <mergeCell ref="O1150:O1159"/>
    <mergeCell ref="P1150:P1159"/>
    <mergeCell ref="Q1150:Q1159"/>
    <mergeCell ref="R1150:R1159"/>
    <mergeCell ref="S1150:S1159"/>
    <mergeCell ref="A1160:A1164"/>
    <mergeCell ref="B1160:B1164"/>
    <mergeCell ref="D1160:G1160"/>
    <mergeCell ref="J1160:L1160"/>
    <mergeCell ref="M1160:M1164"/>
    <mergeCell ref="N1160:N1164"/>
    <mergeCell ref="O1160:O1164"/>
    <mergeCell ref="P1160:P1164"/>
    <mergeCell ref="Q1160:Q1164"/>
    <mergeCell ref="R1160:R1164"/>
    <mergeCell ref="S1160:S1164"/>
    <mergeCell ref="A1133:A1139"/>
    <mergeCell ref="B1133:B1139"/>
    <mergeCell ref="D1133:G1133"/>
    <mergeCell ref="J1133:L1133"/>
    <mergeCell ref="M1133:M1139"/>
    <mergeCell ref="N1133:N1139"/>
    <mergeCell ref="O1133:O1139"/>
    <mergeCell ref="P1133:P1139"/>
    <mergeCell ref="Q1133:Q1139"/>
    <mergeCell ref="R1133:R1139"/>
    <mergeCell ref="S1133:S1139"/>
    <mergeCell ref="A1140:A1149"/>
    <mergeCell ref="B1140:B1149"/>
    <mergeCell ref="D1140:G1140"/>
    <mergeCell ref="J1140:L1140"/>
    <mergeCell ref="M1140:M1149"/>
    <mergeCell ref="N1140:N1149"/>
    <mergeCell ref="O1140:O1149"/>
    <mergeCell ref="P1140:P1149"/>
    <mergeCell ref="Q1140:Q1149"/>
    <mergeCell ref="R1140:R1149"/>
    <mergeCell ref="S1140:S1149"/>
    <mergeCell ref="A1115:A1123"/>
    <mergeCell ref="B1115:B1123"/>
    <mergeCell ref="D1115:G1115"/>
    <mergeCell ref="J1115:L1115"/>
    <mergeCell ref="M1115:M1123"/>
    <mergeCell ref="N1115:N1123"/>
    <mergeCell ref="O1115:O1123"/>
    <mergeCell ref="P1115:P1123"/>
    <mergeCell ref="Q1115:Q1123"/>
    <mergeCell ref="R1115:R1123"/>
    <mergeCell ref="S1115:S1123"/>
    <mergeCell ref="A1124:A1132"/>
    <mergeCell ref="B1124:B1132"/>
    <mergeCell ref="D1124:G1124"/>
    <mergeCell ref="J1124:L1124"/>
    <mergeCell ref="M1124:M1132"/>
    <mergeCell ref="N1124:N1132"/>
    <mergeCell ref="O1124:O1132"/>
    <mergeCell ref="P1124:P1132"/>
    <mergeCell ref="Q1124:Q1132"/>
    <mergeCell ref="R1124:R1132"/>
    <mergeCell ref="S1124:S1132"/>
    <mergeCell ref="A1094:A1102"/>
    <mergeCell ref="B1094:B1102"/>
    <mergeCell ref="D1094:G1094"/>
    <mergeCell ref="J1094:L1094"/>
    <mergeCell ref="M1094:M1102"/>
    <mergeCell ref="N1094:N1102"/>
    <mergeCell ref="O1094:O1102"/>
    <mergeCell ref="P1094:P1102"/>
    <mergeCell ref="Q1094:Q1102"/>
    <mergeCell ref="R1094:R1102"/>
    <mergeCell ref="S1094:S1102"/>
    <mergeCell ref="A1103:A1114"/>
    <mergeCell ref="B1103:B1114"/>
    <mergeCell ref="D1103:G1103"/>
    <mergeCell ref="J1103:L1103"/>
    <mergeCell ref="M1103:M1114"/>
    <mergeCell ref="N1103:N1114"/>
    <mergeCell ref="O1103:O1114"/>
    <mergeCell ref="P1103:P1114"/>
    <mergeCell ref="Q1103:Q1114"/>
    <mergeCell ref="R1103:R1114"/>
    <mergeCell ref="S1103:S1114"/>
    <mergeCell ref="A1079:A1084"/>
    <mergeCell ref="B1079:B1084"/>
    <mergeCell ref="D1079:G1079"/>
    <mergeCell ref="J1079:L1079"/>
    <mergeCell ref="M1079:M1084"/>
    <mergeCell ref="N1079:N1084"/>
    <mergeCell ref="O1079:O1084"/>
    <mergeCell ref="P1079:P1084"/>
    <mergeCell ref="Q1079:Q1084"/>
    <mergeCell ref="R1079:R1084"/>
    <mergeCell ref="S1079:S1084"/>
    <mergeCell ref="A1085:A1093"/>
    <mergeCell ref="B1085:B1093"/>
    <mergeCell ref="D1085:G1085"/>
    <mergeCell ref="J1085:L1085"/>
    <mergeCell ref="M1085:M1093"/>
    <mergeCell ref="N1085:N1093"/>
    <mergeCell ref="O1085:O1093"/>
    <mergeCell ref="P1085:P1093"/>
    <mergeCell ref="Q1085:Q1093"/>
    <mergeCell ref="R1085:R1093"/>
    <mergeCell ref="S1085:S1093"/>
    <mergeCell ref="A1071:A1075"/>
    <mergeCell ref="B1071:B1075"/>
    <mergeCell ref="D1071:G1071"/>
    <mergeCell ref="J1071:L1071"/>
    <mergeCell ref="M1071:M1075"/>
    <mergeCell ref="N1071:N1075"/>
    <mergeCell ref="O1071:O1075"/>
    <mergeCell ref="P1071:P1075"/>
    <mergeCell ref="Q1071:Q1075"/>
    <mergeCell ref="R1071:R1075"/>
    <mergeCell ref="S1071:S1075"/>
    <mergeCell ref="A1076:A1078"/>
    <mergeCell ref="B1076:B1078"/>
    <mergeCell ref="D1076:G1076"/>
    <mergeCell ref="J1076:L1076"/>
    <mergeCell ref="M1076:M1078"/>
    <mergeCell ref="N1076:N1078"/>
    <mergeCell ref="O1076:O1078"/>
    <mergeCell ref="P1076:P1078"/>
    <mergeCell ref="Q1076:Q1078"/>
    <mergeCell ref="R1076:R1078"/>
    <mergeCell ref="S1076:S1078"/>
    <mergeCell ref="A1062:A1064"/>
    <mergeCell ref="B1062:B1064"/>
    <mergeCell ref="D1062:G1062"/>
    <mergeCell ref="J1062:L1062"/>
    <mergeCell ref="M1062:M1064"/>
    <mergeCell ref="N1062:N1064"/>
    <mergeCell ref="O1062:O1064"/>
    <mergeCell ref="P1062:P1064"/>
    <mergeCell ref="Q1062:Q1064"/>
    <mergeCell ref="R1062:R1064"/>
    <mergeCell ref="S1062:S1064"/>
    <mergeCell ref="A1065:A1070"/>
    <mergeCell ref="B1065:B1070"/>
    <mergeCell ref="D1065:G1065"/>
    <mergeCell ref="J1065:L1065"/>
    <mergeCell ref="M1065:M1070"/>
    <mergeCell ref="N1065:N1070"/>
    <mergeCell ref="O1065:O1070"/>
    <mergeCell ref="P1065:P1070"/>
    <mergeCell ref="Q1065:Q1070"/>
    <mergeCell ref="R1065:R1070"/>
    <mergeCell ref="S1065:S1070"/>
    <mergeCell ref="A1051:A1056"/>
    <mergeCell ref="B1051:B1056"/>
    <mergeCell ref="D1051:G1051"/>
    <mergeCell ref="J1051:L1051"/>
    <mergeCell ref="M1051:M1056"/>
    <mergeCell ref="N1051:N1056"/>
    <mergeCell ref="O1051:O1056"/>
    <mergeCell ref="P1051:P1056"/>
    <mergeCell ref="Q1051:Q1056"/>
    <mergeCell ref="R1051:R1056"/>
    <mergeCell ref="S1051:S1056"/>
    <mergeCell ref="A1057:A1061"/>
    <mergeCell ref="B1057:B1061"/>
    <mergeCell ref="D1057:G1057"/>
    <mergeCell ref="J1057:L1057"/>
    <mergeCell ref="M1057:M1061"/>
    <mergeCell ref="N1057:N1061"/>
    <mergeCell ref="O1057:O1061"/>
    <mergeCell ref="P1057:P1061"/>
    <mergeCell ref="Q1057:Q1061"/>
    <mergeCell ref="R1057:R1061"/>
    <mergeCell ref="S1057:S1061"/>
    <mergeCell ref="A1043:A1047"/>
    <mergeCell ref="B1043:B1047"/>
    <mergeCell ref="D1043:G1043"/>
    <mergeCell ref="J1043:L1043"/>
    <mergeCell ref="M1043:M1047"/>
    <mergeCell ref="N1043:N1047"/>
    <mergeCell ref="O1043:O1047"/>
    <mergeCell ref="P1043:P1047"/>
    <mergeCell ref="Q1043:Q1047"/>
    <mergeCell ref="R1043:R1047"/>
    <mergeCell ref="S1043:S1047"/>
    <mergeCell ref="A1048:A1050"/>
    <mergeCell ref="B1048:B1050"/>
    <mergeCell ref="D1048:G1048"/>
    <mergeCell ref="J1048:L1048"/>
    <mergeCell ref="M1048:M1050"/>
    <mergeCell ref="N1048:N1050"/>
    <mergeCell ref="O1048:O1050"/>
    <mergeCell ref="P1048:P1050"/>
    <mergeCell ref="Q1048:Q1050"/>
    <mergeCell ref="R1048:R1050"/>
    <mergeCell ref="S1048:S1050"/>
    <mergeCell ref="A1034:A1036"/>
    <mergeCell ref="B1034:B1036"/>
    <mergeCell ref="D1034:G1034"/>
    <mergeCell ref="J1034:L1034"/>
    <mergeCell ref="M1034:M1036"/>
    <mergeCell ref="N1034:N1036"/>
    <mergeCell ref="O1034:O1036"/>
    <mergeCell ref="P1034:P1036"/>
    <mergeCell ref="Q1034:Q1036"/>
    <mergeCell ref="R1034:R1036"/>
    <mergeCell ref="S1034:S1036"/>
    <mergeCell ref="A1037:A1042"/>
    <mergeCell ref="B1037:B1042"/>
    <mergeCell ref="D1037:G1037"/>
    <mergeCell ref="J1037:L1037"/>
    <mergeCell ref="M1037:M1042"/>
    <mergeCell ref="N1037:N1042"/>
    <mergeCell ref="O1037:O1042"/>
    <mergeCell ref="P1037:P1042"/>
    <mergeCell ref="Q1037:Q1042"/>
    <mergeCell ref="R1037:R1042"/>
    <mergeCell ref="S1037:S1042"/>
    <mergeCell ref="A1019:A1028"/>
    <mergeCell ref="B1019:B1028"/>
    <mergeCell ref="D1019:G1019"/>
    <mergeCell ref="J1019:L1019"/>
    <mergeCell ref="M1019:M1028"/>
    <mergeCell ref="N1019:N1028"/>
    <mergeCell ref="O1019:O1028"/>
    <mergeCell ref="P1019:P1028"/>
    <mergeCell ref="Q1019:Q1028"/>
    <mergeCell ref="R1019:R1028"/>
    <mergeCell ref="S1019:S1028"/>
    <mergeCell ref="A1029:A1033"/>
    <mergeCell ref="B1029:B1033"/>
    <mergeCell ref="D1029:G1029"/>
    <mergeCell ref="J1029:L1029"/>
    <mergeCell ref="M1029:M1033"/>
    <mergeCell ref="N1029:N1033"/>
    <mergeCell ref="O1029:O1033"/>
    <mergeCell ref="P1029:P1033"/>
    <mergeCell ref="Q1029:Q1033"/>
    <mergeCell ref="R1029:R1033"/>
    <mergeCell ref="S1029:S1033"/>
    <mergeCell ref="A1002:A1008"/>
    <mergeCell ref="B1002:B1008"/>
    <mergeCell ref="D1002:G1002"/>
    <mergeCell ref="J1002:L1002"/>
    <mergeCell ref="M1002:M1008"/>
    <mergeCell ref="N1002:N1008"/>
    <mergeCell ref="O1002:O1008"/>
    <mergeCell ref="P1002:P1008"/>
    <mergeCell ref="Q1002:Q1008"/>
    <mergeCell ref="R1002:R1008"/>
    <mergeCell ref="S1002:S1008"/>
    <mergeCell ref="A1009:A1018"/>
    <mergeCell ref="B1009:B1018"/>
    <mergeCell ref="D1009:G1009"/>
    <mergeCell ref="J1009:L1009"/>
    <mergeCell ref="M1009:M1018"/>
    <mergeCell ref="N1009:N1018"/>
    <mergeCell ref="O1009:O1018"/>
    <mergeCell ref="P1009:P1018"/>
    <mergeCell ref="Q1009:Q1018"/>
    <mergeCell ref="R1009:R1018"/>
    <mergeCell ref="S1009:S1018"/>
    <mergeCell ref="A984:A992"/>
    <mergeCell ref="B984:B992"/>
    <mergeCell ref="D984:G984"/>
    <mergeCell ref="J984:L984"/>
    <mergeCell ref="M984:M992"/>
    <mergeCell ref="N984:N992"/>
    <mergeCell ref="O984:O992"/>
    <mergeCell ref="P984:P992"/>
    <mergeCell ref="Q984:Q992"/>
    <mergeCell ref="R984:R992"/>
    <mergeCell ref="S984:S992"/>
    <mergeCell ref="A993:A1001"/>
    <mergeCell ref="B993:B1001"/>
    <mergeCell ref="D993:G993"/>
    <mergeCell ref="J993:L993"/>
    <mergeCell ref="M993:M1001"/>
    <mergeCell ref="N993:N1001"/>
    <mergeCell ref="O993:O1001"/>
    <mergeCell ref="P993:P1001"/>
    <mergeCell ref="Q993:Q1001"/>
    <mergeCell ref="R993:R1001"/>
    <mergeCell ref="S993:S1001"/>
    <mergeCell ref="A966:A974"/>
    <mergeCell ref="B966:B974"/>
    <mergeCell ref="D966:G966"/>
    <mergeCell ref="J966:L966"/>
    <mergeCell ref="M966:M974"/>
    <mergeCell ref="N966:N974"/>
    <mergeCell ref="O966:O974"/>
    <mergeCell ref="P966:P974"/>
    <mergeCell ref="Q966:Q974"/>
    <mergeCell ref="R966:R974"/>
    <mergeCell ref="S966:S974"/>
    <mergeCell ref="A975:A983"/>
    <mergeCell ref="B975:B983"/>
    <mergeCell ref="D975:G975"/>
    <mergeCell ref="J975:L975"/>
    <mergeCell ref="M975:M983"/>
    <mergeCell ref="N975:N983"/>
    <mergeCell ref="O975:O983"/>
    <mergeCell ref="P975:P983"/>
    <mergeCell ref="Q975:Q983"/>
    <mergeCell ref="R975:R983"/>
    <mergeCell ref="S975:S983"/>
    <mergeCell ref="A951:A956"/>
    <mergeCell ref="B951:B956"/>
    <mergeCell ref="D951:G951"/>
    <mergeCell ref="J951:L951"/>
    <mergeCell ref="M951:M956"/>
    <mergeCell ref="N951:N956"/>
    <mergeCell ref="O951:O956"/>
    <mergeCell ref="P951:P956"/>
    <mergeCell ref="Q951:Q956"/>
    <mergeCell ref="R951:R956"/>
    <mergeCell ref="S951:S956"/>
    <mergeCell ref="A957:A965"/>
    <mergeCell ref="B957:B964"/>
    <mergeCell ref="D957:G957"/>
    <mergeCell ref="J957:L957"/>
    <mergeCell ref="M957:M964"/>
    <mergeCell ref="N957:N964"/>
    <mergeCell ref="O957:O964"/>
    <mergeCell ref="P957:P964"/>
    <mergeCell ref="Q957:Q964"/>
    <mergeCell ref="R957:R964"/>
    <mergeCell ref="S957:S964"/>
    <mergeCell ref="A939:A943"/>
    <mergeCell ref="B939:B943"/>
    <mergeCell ref="D939:G939"/>
    <mergeCell ref="J939:L939"/>
    <mergeCell ref="M939:M943"/>
    <mergeCell ref="N939:N943"/>
    <mergeCell ref="O939:O943"/>
    <mergeCell ref="P939:P943"/>
    <mergeCell ref="Q939:Q943"/>
    <mergeCell ref="R939:R943"/>
    <mergeCell ref="S939:S943"/>
    <mergeCell ref="A944:A950"/>
    <mergeCell ref="B944:B950"/>
    <mergeCell ref="D944:G944"/>
    <mergeCell ref="J944:L944"/>
    <mergeCell ref="M944:M950"/>
    <mergeCell ref="N944:N950"/>
    <mergeCell ref="O944:O950"/>
    <mergeCell ref="P944:P950"/>
    <mergeCell ref="Q944:Q950"/>
    <mergeCell ref="R944:R950"/>
    <mergeCell ref="S944:S950"/>
    <mergeCell ref="A927:A932"/>
    <mergeCell ref="B927:B932"/>
    <mergeCell ref="D927:G927"/>
    <mergeCell ref="J927:L927"/>
    <mergeCell ref="M927:M932"/>
    <mergeCell ref="N927:N932"/>
    <mergeCell ref="O927:O932"/>
    <mergeCell ref="P927:P932"/>
    <mergeCell ref="Q927:Q932"/>
    <mergeCell ref="R927:R932"/>
    <mergeCell ref="S927:S932"/>
    <mergeCell ref="A933:A938"/>
    <mergeCell ref="B933:B938"/>
    <mergeCell ref="D933:G933"/>
    <mergeCell ref="J933:L933"/>
    <mergeCell ref="M933:M938"/>
    <mergeCell ref="N933:N938"/>
    <mergeCell ref="O933:O938"/>
    <mergeCell ref="P933:P938"/>
    <mergeCell ref="Q933:Q938"/>
    <mergeCell ref="R933:R938"/>
    <mergeCell ref="S933:S938"/>
    <mergeCell ref="A916:A921"/>
    <mergeCell ref="B916:B921"/>
    <mergeCell ref="D916:G916"/>
    <mergeCell ref="J916:L916"/>
    <mergeCell ref="M916:M921"/>
    <mergeCell ref="N916:N921"/>
    <mergeCell ref="O916:O921"/>
    <mergeCell ref="P916:P921"/>
    <mergeCell ref="Q916:Q921"/>
    <mergeCell ref="R916:R921"/>
    <mergeCell ref="S916:S921"/>
    <mergeCell ref="A922:A926"/>
    <mergeCell ref="B922:B926"/>
    <mergeCell ref="D922:G922"/>
    <mergeCell ref="J922:L922"/>
    <mergeCell ref="M922:M926"/>
    <mergeCell ref="N922:N926"/>
    <mergeCell ref="O922:O926"/>
    <mergeCell ref="P922:P926"/>
    <mergeCell ref="Q922:Q926"/>
    <mergeCell ref="R922:R926"/>
    <mergeCell ref="S922:S926"/>
    <mergeCell ref="A905:A909"/>
    <mergeCell ref="B905:B909"/>
    <mergeCell ref="D905:G905"/>
    <mergeCell ref="J905:L905"/>
    <mergeCell ref="M905:M909"/>
    <mergeCell ref="N905:N909"/>
    <mergeCell ref="O905:O909"/>
    <mergeCell ref="P905:P909"/>
    <mergeCell ref="Q905:Q909"/>
    <mergeCell ref="R905:R909"/>
    <mergeCell ref="S905:S909"/>
    <mergeCell ref="A910:A915"/>
    <mergeCell ref="B910:B915"/>
    <mergeCell ref="D910:G910"/>
    <mergeCell ref="J910:L910"/>
    <mergeCell ref="M910:M915"/>
    <mergeCell ref="N910:N915"/>
    <mergeCell ref="O910:O915"/>
    <mergeCell ref="P910:P915"/>
    <mergeCell ref="Q910:Q915"/>
    <mergeCell ref="R910:R915"/>
    <mergeCell ref="S910:S915"/>
    <mergeCell ref="A892:A898"/>
    <mergeCell ref="B892:B898"/>
    <mergeCell ref="D892:G892"/>
    <mergeCell ref="J892:L892"/>
    <mergeCell ref="M892:M898"/>
    <mergeCell ref="N892:N898"/>
    <mergeCell ref="O892:O898"/>
    <mergeCell ref="P892:P898"/>
    <mergeCell ref="Q892:Q898"/>
    <mergeCell ref="R892:R898"/>
    <mergeCell ref="S892:S898"/>
    <mergeCell ref="A899:A904"/>
    <mergeCell ref="B899:B904"/>
    <mergeCell ref="D899:G899"/>
    <mergeCell ref="J899:L899"/>
    <mergeCell ref="M899:M904"/>
    <mergeCell ref="N899:N904"/>
    <mergeCell ref="O899:O904"/>
    <mergeCell ref="P899:P904"/>
    <mergeCell ref="Q899:Q904"/>
    <mergeCell ref="R899:R904"/>
    <mergeCell ref="S899:S904"/>
    <mergeCell ref="A877:A886"/>
    <mergeCell ref="B877:B886"/>
    <mergeCell ref="D877:G877"/>
    <mergeCell ref="J877:L877"/>
    <mergeCell ref="M877:M886"/>
    <mergeCell ref="N877:N886"/>
    <mergeCell ref="O877:O886"/>
    <mergeCell ref="P877:P886"/>
    <mergeCell ref="Q877:Q886"/>
    <mergeCell ref="R877:R886"/>
    <mergeCell ref="S877:S886"/>
    <mergeCell ref="A887:A891"/>
    <mergeCell ref="B887:B891"/>
    <mergeCell ref="D887:G887"/>
    <mergeCell ref="J887:L887"/>
    <mergeCell ref="M887:M891"/>
    <mergeCell ref="N887:N891"/>
    <mergeCell ref="O887:O891"/>
    <mergeCell ref="P887:P891"/>
    <mergeCell ref="Q887:Q891"/>
    <mergeCell ref="R887:R891"/>
    <mergeCell ref="S887:S891"/>
    <mergeCell ref="A860:A866"/>
    <mergeCell ref="B860:B866"/>
    <mergeCell ref="D860:G860"/>
    <mergeCell ref="J860:L860"/>
    <mergeCell ref="M860:M866"/>
    <mergeCell ref="N860:N866"/>
    <mergeCell ref="O860:O866"/>
    <mergeCell ref="P860:P866"/>
    <mergeCell ref="Q860:Q866"/>
    <mergeCell ref="R860:R866"/>
    <mergeCell ref="S860:S866"/>
    <mergeCell ref="A867:A876"/>
    <mergeCell ref="B867:B876"/>
    <mergeCell ref="D867:G867"/>
    <mergeCell ref="J867:L867"/>
    <mergeCell ref="M867:M876"/>
    <mergeCell ref="N867:N876"/>
    <mergeCell ref="O867:O876"/>
    <mergeCell ref="P867:P876"/>
    <mergeCell ref="Q867:Q876"/>
    <mergeCell ref="R867:R876"/>
    <mergeCell ref="S867:S876"/>
    <mergeCell ref="A825:A850"/>
    <mergeCell ref="B825:B850"/>
    <mergeCell ref="D825:G825"/>
    <mergeCell ref="H825:I825"/>
    <mergeCell ref="J825:L825"/>
    <mergeCell ref="M825:M850"/>
    <mergeCell ref="N825:N850"/>
    <mergeCell ref="O825:O850"/>
    <mergeCell ref="P825:P850"/>
    <mergeCell ref="Q825:Q850"/>
    <mergeCell ref="R825:R850"/>
    <mergeCell ref="S825:S850"/>
    <mergeCell ref="A851:A859"/>
    <mergeCell ref="B851:B859"/>
    <mergeCell ref="D851:G851"/>
    <mergeCell ref="J851:L851"/>
    <mergeCell ref="M851:M859"/>
    <mergeCell ref="N851:N859"/>
    <mergeCell ref="O851:O859"/>
    <mergeCell ref="P851:P859"/>
    <mergeCell ref="Q851:Q859"/>
    <mergeCell ref="R851:R859"/>
    <mergeCell ref="S851:S859"/>
    <mergeCell ref="A746:A763"/>
    <mergeCell ref="B746:B763"/>
    <mergeCell ref="D746:G746"/>
    <mergeCell ref="H746:I746"/>
    <mergeCell ref="J746:L746"/>
    <mergeCell ref="M746:M763"/>
    <mergeCell ref="N746:N763"/>
    <mergeCell ref="O746:O763"/>
    <mergeCell ref="P746:P763"/>
    <mergeCell ref="Q746:Q763"/>
    <mergeCell ref="R746:R763"/>
    <mergeCell ref="S746:S763"/>
    <mergeCell ref="A764:A788"/>
    <mergeCell ref="B764:B788"/>
    <mergeCell ref="D764:G764"/>
    <mergeCell ref="H764:I764"/>
    <mergeCell ref="J764:L764"/>
    <mergeCell ref="M764:M788"/>
    <mergeCell ref="N764:N788"/>
    <mergeCell ref="O764:O788"/>
    <mergeCell ref="P764:P788"/>
    <mergeCell ref="Q764:Q788"/>
    <mergeCell ref="R764:R788"/>
    <mergeCell ref="S764:S788"/>
    <mergeCell ref="A716:A730"/>
    <mergeCell ref="B716:B730"/>
    <mergeCell ref="D716:G716"/>
    <mergeCell ref="H716:I716"/>
    <mergeCell ref="J716:L716"/>
    <mergeCell ref="M716:M730"/>
    <mergeCell ref="N716:N730"/>
    <mergeCell ref="O716:O730"/>
    <mergeCell ref="P716:P730"/>
    <mergeCell ref="Q716:Q730"/>
    <mergeCell ref="R716:R730"/>
    <mergeCell ref="S716:S730"/>
    <mergeCell ref="A731:A745"/>
    <mergeCell ref="B731:B745"/>
    <mergeCell ref="D731:G731"/>
    <mergeCell ref="H731:I731"/>
    <mergeCell ref="J731:L731"/>
    <mergeCell ref="M731:M745"/>
    <mergeCell ref="N731:N745"/>
    <mergeCell ref="O731:O745"/>
    <mergeCell ref="P731:P745"/>
    <mergeCell ref="Q731:Q745"/>
    <mergeCell ref="R731:R745"/>
    <mergeCell ref="S731:S745"/>
    <mergeCell ref="A680:A697"/>
    <mergeCell ref="B680:B697"/>
    <mergeCell ref="D680:G680"/>
    <mergeCell ref="H680:I680"/>
    <mergeCell ref="J680:L680"/>
    <mergeCell ref="M680:M697"/>
    <mergeCell ref="N680:N697"/>
    <mergeCell ref="O680:O697"/>
    <mergeCell ref="P680:P697"/>
    <mergeCell ref="Q680:Q697"/>
    <mergeCell ref="R680:R697"/>
    <mergeCell ref="S680:S697"/>
    <mergeCell ref="A698:A715"/>
    <mergeCell ref="B698:B715"/>
    <mergeCell ref="D698:G698"/>
    <mergeCell ref="H698:I698"/>
    <mergeCell ref="J698:L698"/>
    <mergeCell ref="M698:M715"/>
    <mergeCell ref="N698:N715"/>
    <mergeCell ref="O698:O715"/>
    <mergeCell ref="P698:P715"/>
    <mergeCell ref="Q698:Q715"/>
    <mergeCell ref="R698:R715"/>
    <mergeCell ref="S698:S715"/>
    <mergeCell ref="A650:A664"/>
    <mergeCell ref="B650:B664"/>
    <mergeCell ref="D650:G650"/>
    <mergeCell ref="H650:I650"/>
    <mergeCell ref="J650:L650"/>
    <mergeCell ref="M650:M664"/>
    <mergeCell ref="N650:N664"/>
    <mergeCell ref="O650:O664"/>
    <mergeCell ref="P650:P664"/>
    <mergeCell ref="Q650:Q664"/>
    <mergeCell ref="R650:R664"/>
    <mergeCell ref="S650:S664"/>
    <mergeCell ref="A665:A679"/>
    <mergeCell ref="B665:B679"/>
    <mergeCell ref="D665:G665"/>
    <mergeCell ref="H665:I665"/>
    <mergeCell ref="J665:L665"/>
    <mergeCell ref="M665:M679"/>
    <mergeCell ref="N665:N679"/>
    <mergeCell ref="O665:O679"/>
    <mergeCell ref="P665:P679"/>
    <mergeCell ref="Q665:Q679"/>
    <mergeCell ref="R665:R679"/>
    <mergeCell ref="S665:S679"/>
    <mergeCell ref="A614:A631"/>
    <mergeCell ref="B614:B631"/>
    <mergeCell ref="D614:G614"/>
    <mergeCell ref="H614:I614"/>
    <mergeCell ref="J614:L614"/>
    <mergeCell ref="M614:M631"/>
    <mergeCell ref="N614:N631"/>
    <mergeCell ref="O614:O631"/>
    <mergeCell ref="P614:P631"/>
    <mergeCell ref="Q614:Q631"/>
    <mergeCell ref="R614:R631"/>
    <mergeCell ref="S614:S631"/>
    <mergeCell ref="A632:A649"/>
    <mergeCell ref="B632:B649"/>
    <mergeCell ref="D632:G632"/>
    <mergeCell ref="H632:I632"/>
    <mergeCell ref="J632:L632"/>
    <mergeCell ref="M632:M649"/>
    <mergeCell ref="N632:N649"/>
    <mergeCell ref="O632:O649"/>
    <mergeCell ref="P632:P649"/>
    <mergeCell ref="Q632:Q649"/>
    <mergeCell ref="R632:R649"/>
    <mergeCell ref="S632:S649"/>
    <mergeCell ref="A584:A598"/>
    <mergeCell ref="B584:B598"/>
    <mergeCell ref="D584:G584"/>
    <mergeCell ref="H584:I584"/>
    <mergeCell ref="J584:L584"/>
    <mergeCell ref="M584:M598"/>
    <mergeCell ref="N584:N598"/>
    <mergeCell ref="O584:O598"/>
    <mergeCell ref="P584:P598"/>
    <mergeCell ref="Q584:Q598"/>
    <mergeCell ref="R584:R598"/>
    <mergeCell ref="S584:S598"/>
    <mergeCell ref="A599:A613"/>
    <mergeCell ref="B599:B613"/>
    <mergeCell ref="D599:G599"/>
    <mergeCell ref="H599:I599"/>
    <mergeCell ref="J599:L599"/>
    <mergeCell ref="M599:M613"/>
    <mergeCell ref="N599:N613"/>
    <mergeCell ref="O599:O613"/>
    <mergeCell ref="P599:P613"/>
    <mergeCell ref="Q599:Q613"/>
    <mergeCell ref="R599:R613"/>
    <mergeCell ref="S599:S613"/>
    <mergeCell ref="A548:A565"/>
    <mergeCell ref="B548:B565"/>
    <mergeCell ref="D548:G548"/>
    <mergeCell ref="H548:I548"/>
    <mergeCell ref="J548:L548"/>
    <mergeCell ref="M548:M565"/>
    <mergeCell ref="N548:N565"/>
    <mergeCell ref="O548:O565"/>
    <mergeCell ref="P548:P565"/>
    <mergeCell ref="Q548:Q565"/>
    <mergeCell ref="R548:R565"/>
    <mergeCell ref="S548:S565"/>
    <mergeCell ref="A566:A583"/>
    <mergeCell ref="B566:B583"/>
    <mergeCell ref="D566:G566"/>
    <mergeCell ref="H566:I566"/>
    <mergeCell ref="J566:L566"/>
    <mergeCell ref="M566:M583"/>
    <mergeCell ref="N566:N583"/>
    <mergeCell ref="O566:O583"/>
    <mergeCell ref="P566:P583"/>
    <mergeCell ref="Q566:Q583"/>
    <mergeCell ref="R566:R583"/>
    <mergeCell ref="S566:S583"/>
    <mergeCell ref="A518:A532"/>
    <mergeCell ref="B518:B532"/>
    <mergeCell ref="D518:G518"/>
    <mergeCell ref="H518:I518"/>
    <mergeCell ref="J518:L518"/>
    <mergeCell ref="M518:M532"/>
    <mergeCell ref="N518:N532"/>
    <mergeCell ref="O518:O532"/>
    <mergeCell ref="P518:P532"/>
    <mergeCell ref="Q518:Q532"/>
    <mergeCell ref="R518:R532"/>
    <mergeCell ref="S518:S532"/>
    <mergeCell ref="A533:A547"/>
    <mergeCell ref="B533:B547"/>
    <mergeCell ref="D533:G533"/>
    <mergeCell ref="H533:I533"/>
    <mergeCell ref="J533:L533"/>
    <mergeCell ref="M533:M547"/>
    <mergeCell ref="N533:N547"/>
    <mergeCell ref="O533:O547"/>
    <mergeCell ref="P533:P547"/>
    <mergeCell ref="Q533:Q547"/>
    <mergeCell ref="R533:R547"/>
    <mergeCell ref="S533:S547"/>
    <mergeCell ref="A482:A499"/>
    <mergeCell ref="B482:B499"/>
    <mergeCell ref="D482:G482"/>
    <mergeCell ref="H482:I482"/>
    <mergeCell ref="J482:L482"/>
    <mergeCell ref="M482:M499"/>
    <mergeCell ref="N482:N499"/>
    <mergeCell ref="O482:O499"/>
    <mergeCell ref="P482:P499"/>
    <mergeCell ref="Q482:Q499"/>
    <mergeCell ref="R482:R499"/>
    <mergeCell ref="S482:S499"/>
    <mergeCell ref="A500:A517"/>
    <mergeCell ref="B500:B517"/>
    <mergeCell ref="D500:G500"/>
    <mergeCell ref="H500:I500"/>
    <mergeCell ref="J500:L500"/>
    <mergeCell ref="M500:M517"/>
    <mergeCell ref="N500:N517"/>
    <mergeCell ref="O500:O517"/>
    <mergeCell ref="P500:P517"/>
    <mergeCell ref="Q500:Q517"/>
    <mergeCell ref="R500:R517"/>
    <mergeCell ref="S500:S517"/>
    <mergeCell ref="S412:S416"/>
    <mergeCell ref="S417:S421"/>
    <mergeCell ref="S422:S426"/>
    <mergeCell ref="S427:S431"/>
    <mergeCell ref="S432:S436"/>
    <mergeCell ref="S437:S441"/>
    <mergeCell ref="S442:S446"/>
    <mergeCell ref="S447:S451"/>
    <mergeCell ref="S452:S456"/>
    <mergeCell ref="S457:S461"/>
    <mergeCell ref="S462:S466"/>
    <mergeCell ref="S467:S471"/>
    <mergeCell ref="S472:S476"/>
    <mergeCell ref="S477:S481"/>
    <mergeCell ref="S327:S331"/>
    <mergeCell ref="S332:S336"/>
    <mergeCell ref="S337:S341"/>
    <mergeCell ref="S342:S346"/>
    <mergeCell ref="S347:S351"/>
    <mergeCell ref="S352:S356"/>
    <mergeCell ref="S357:S361"/>
    <mergeCell ref="S362:S366"/>
    <mergeCell ref="S367:S371"/>
    <mergeCell ref="S372:S376"/>
    <mergeCell ref="S377:S381"/>
    <mergeCell ref="S382:S386"/>
    <mergeCell ref="S387:S391"/>
    <mergeCell ref="S392:S396"/>
    <mergeCell ref="S397:S401"/>
    <mergeCell ref="S402:S406"/>
    <mergeCell ref="S407:S411"/>
    <mergeCell ref="S242:S246"/>
    <mergeCell ref="S247:S251"/>
    <mergeCell ref="S252:S256"/>
    <mergeCell ref="S257:S261"/>
    <mergeCell ref="S262:S266"/>
    <mergeCell ref="S267:S271"/>
    <mergeCell ref="S272:S276"/>
    <mergeCell ref="S277:S281"/>
    <mergeCell ref="S282:S286"/>
    <mergeCell ref="S287:S291"/>
    <mergeCell ref="S292:S296"/>
    <mergeCell ref="S297:S301"/>
    <mergeCell ref="S302:S306"/>
    <mergeCell ref="S307:S311"/>
    <mergeCell ref="S312:S316"/>
    <mergeCell ref="S317:S321"/>
    <mergeCell ref="S322:S326"/>
    <mergeCell ref="S157:S161"/>
    <mergeCell ref="S162:S166"/>
    <mergeCell ref="S167:S171"/>
    <mergeCell ref="S172:S176"/>
    <mergeCell ref="S177:S181"/>
    <mergeCell ref="S182:S186"/>
    <mergeCell ref="S187:S191"/>
    <mergeCell ref="S192:S196"/>
    <mergeCell ref="S197:S201"/>
    <mergeCell ref="S202:S206"/>
    <mergeCell ref="S207:S211"/>
    <mergeCell ref="S212:S216"/>
    <mergeCell ref="S217:S221"/>
    <mergeCell ref="S222:S226"/>
    <mergeCell ref="S227:S231"/>
    <mergeCell ref="S232:S236"/>
    <mergeCell ref="S237:S241"/>
    <mergeCell ref="J477:L477"/>
    <mergeCell ref="S2:S6"/>
    <mergeCell ref="S7:S11"/>
    <mergeCell ref="S12:S16"/>
    <mergeCell ref="S17:S21"/>
    <mergeCell ref="S22:S26"/>
    <mergeCell ref="S27:S31"/>
    <mergeCell ref="S32:S36"/>
    <mergeCell ref="S37:S41"/>
    <mergeCell ref="S42:S46"/>
    <mergeCell ref="S47:S51"/>
    <mergeCell ref="S52:S56"/>
    <mergeCell ref="S57:S61"/>
    <mergeCell ref="S62:S66"/>
    <mergeCell ref="S67:S71"/>
    <mergeCell ref="S72:S76"/>
    <mergeCell ref="S77:S81"/>
    <mergeCell ref="S82:S86"/>
    <mergeCell ref="S87:S91"/>
    <mergeCell ref="S92:S96"/>
    <mergeCell ref="S97:S101"/>
    <mergeCell ref="S102:S106"/>
    <mergeCell ref="S107:S111"/>
    <mergeCell ref="S112:S116"/>
    <mergeCell ref="S117:S121"/>
    <mergeCell ref="S122:S126"/>
    <mergeCell ref="S127:S131"/>
    <mergeCell ref="S132:S136"/>
    <mergeCell ref="S137:S141"/>
    <mergeCell ref="S142:S146"/>
    <mergeCell ref="S147:S151"/>
    <mergeCell ref="S152:S156"/>
    <mergeCell ref="D12:G12"/>
    <mergeCell ref="H12:I12"/>
    <mergeCell ref="J12:L12"/>
    <mergeCell ref="D17:G17"/>
    <mergeCell ref="H17:I17"/>
    <mergeCell ref="J17:L17"/>
    <mergeCell ref="D22:G22"/>
    <mergeCell ref="H22:I22"/>
    <mergeCell ref="J22:L22"/>
    <mergeCell ref="D27:G27"/>
    <mergeCell ref="H27:I27"/>
    <mergeCell ref="J27:L27"/>
    <mergeCell ref="D32:G32"/>
    <mergeCell ref="H32:I32"/>
    <mergeCell ref="J32:L32"/>
    <mergeCell ref="D37:G37"/>
    <mergeCell ref="H37:I37"/>
    <mergeCell ref="J37:L37"/>
    <mergeCell ref="A7:A11"/>
    <mergeCell ref="B7:B11"/>
    <mergeCell ref="M7:M11"/>
    <mergeCell ref="N7:N11"/>
    <mergeCell ref="O7:O11"/>
    <mergeCell ref="P7:P11"/>
    <mergeCell ref="A2:A6"/>
    <mergeCell ref="B2:B6"/>
    <mergeCell ref="M2:M6"/>
    <mergeCell ref="N2:N6"/>
    <mergeCell ref="O2:O6"/>
    <mergeCell ref="P2:P6"/>
    <mergeCell ref="Q2:Q6"/>
    <mergeCell ref="R2:R6"/>
    <mergeCell ref="Q7:Q11"/>
    <mergeCell ref="R7:R11"/>
    <mergeCell ref="H2:I2"/>
    <mergeCell ref="J2:L2"/>
    <mergeCell ref="D2:G2"/>
    <mergeCell ref="D7:G7"/>
    <mergeCell ref="H7:I7"/>
    <mergeCell ref="J7:L7"/>
    <mergeCell ref="Z2:Z6"/>
    <mergeCell ref="AA2:AA6"/>
    <mergeCell ref="AB2:AB6"/>
    <mergeCell ref="AC2:AC6"/>
    <mergeCell ref="T7:T11"/>
    <mergeCell ref="U7:U11"/>
    <mergeCell ref="V7:V11"/>
    <mergeCell ref="W7:W11"/>
    <mergeCell ref="X7:X11"/>
    <mergeCell ref="Y7:Y11"/>
    <mergeCell ref="Z7:Z11"/>
    <mergeCell ref="AA7:AA11"/>
    <mergeCell ref="AB7:AB11"/>
    <mergeCell ref="AC7:AC11"/>
    <mergeCell ref="U1:V1"/>
    <mergeCell ref="X1:Y1"/>
    <mergeCell ref="T2:T6"/>
    <mergeCell ref="U2:U6"/>
    <mergeCell ref="V2:V6"/>
    <mergeCell ref="W2:W6"/>
    <mergeCell ref="X2:X6"/>
    <mergeCell ref="Y2:Y6"/>
    <mergeCell ref="Y17:Y21"/>
    <mergeCell ref="Z17:Z21"/>
    <mergeCell ref="AA17:AA21"/>
    <mergeCell ref="AB17:AB21"/>
    <mergeCell ref="AC17:AC21"/>
    <mergeCell ref="T17:T21"/>
    <mergeCell ref="U17:U21"/>
    <mergeCell ref="V17:V21"/>
    <mergeCell ref="W17:W21"/>
    <mergeCell ref="X17:X21"/>
    <mergeCell ref="Y12:Y16"/>
    <mergeCell ref="Z12:Z16"/>
    <mergeCell ref="AA12:AA16"/>
    <mergeCell ref="AB12:AB16"/>
    <mergeCell ref="AC12:AC16"/>
    <mergeCell ref="T12:T16"/>
    <mergeCell ref="U12:U16"/>
    <mergeCell ref="V12:V16"/>
    <mergeCell ref="W12:W16"/>
    <mergeCell ref="X12:X16"/>
    <mergeCell ref="Y27:Y31"/>
    <mergeCell ref="Z27:Z31"/>
    <mergeCell ref="AA27:AA31"/>
    <mergeCell ref="AB27:AB31"/>
    <mergeCell ref="AC27:AC31"/>
    <mergeCell ref="T27:T31"/>
    <mergeCell ref="U27:U31"/>
    <mergeCell ref="V27:V31"/>
    <mergeCell ref="W27:W31"/>
    <mergeCell ref="X27:X31"/>
    <mergeCell ref="Y22:Y26"/>
    <mergeCell ref="Z22:Z26"/>
    <mergeCell ref="AA22:AA26"/>
    <mergeCell ref="AB22:AB26"/>
    <mergeCell ref="AC22:AC26"/>
    <mergeCell ref="T22:T26"/>
    <mergeCell ref="U22:U26"/>
    <mergeCell ref="V22:V26"/>
    <mergeCell ref="W22:W26"/>
    <mergeCell ref="X22:X26"/>
    <mergeCell ref="Y37:Y41"/>
    <mergeCell ref="Z37:Z41"/>
    <mergeCell ref="AA37:AA41"/>
    <mergeCell ref="AB37:AB41"/>
    <mergeCell ref="AC37:AC41"/>
    <mergeCell ref="T37:T41"/>
    <mergeCell ref="U37:U41"/>
    <mergeCell ref="V37:V41"/>
    <mergeCell ref="W37:W41"/>
    <mergeCell ref="X37:X41"/>
    <mergeCell ref="Y32:Y36"/>
    <mergeCell ref="Z32:Z36"/>
    <mergeCell ref="AA32:AA36"/>
    <mergeCell ref="AB32:AB36"/>
    <mergeCell ref="AC32:AC36"/>
    <mergeCell ref="T32:T36"/>
    <mergeCell ref="U32:U36"/>
    <mergeCell ref="V32:V36"/>
    <mergeCell ref="W32:W36"/>
    <mergeCell ref="X32:X36"/>
    <mergeCell ref="Y47:Y51"/>
    <mergeCell ref="Z47:Z51"/>
    <mergeCell ref="AA47:AA51"/>
    <mergeCell ref="AB47:AB51"/>
    <mergeCell ref="AC47:AC51"/>
    <mergeCell ref="T47:T51"/>
    <mergeCell ref="U47:U51"/>
    <mergeCell ref="V47:V51"/>
    <mergeCell ref="W47:W51"/>
    <mergeCell ref="X47:X51"/>
    <mergeCell ref="Y42:Y46"/>
    <mergeCell ref="Z42:Z46"/>
    <mergeCell ref="AA42:AA46"/>
    <mergeCell ref="AB42:AB46"/>
    <mergeCell ref="AC42:AC46"/>
    <mergeCell ref="T42:T46"/>
    <mergeCell ref="U42:U46"/>
    <mergeCell ref="V42:V46"/>
    <mergeCell ref="W42:W46"/>
    <mergeCell ref="X42:X46"/>
    <mergeCell ref="Y57:Y61"/>
    <mergeCell ref="Z57:Z61"/>
    <mergeCell ref="AA57:AA61"/>
    <mergeCell ref="AB57:AB61"/>
    <mergeCell ref="AC57:AC61"/>
    <mergeCell ref="T57:T61"/>
    <mergeCell ref="U57:U61"/>
    <mergeCell ref="V57:V61"/>
    <mergeCell ref="W57:W61"/>
    <mergeCell ref="X57:X61"/>
    <mergeCell ref="Y52:Y56"/>
    <mergeCell ref="Z52:Z56"/>
    <mergeCell ref="AA52:AA56"/>
    <mergeCell ref="AB52:AB56"/>
    <mergeCell ref="AC52:AC56"/>
    <mergeCell ref="T52:T56"/>
    <mergeCell ref="U52:U56"/>
    <mergeCell ref="V52:V56"/>
    <mergeCell ref="W52:W56"/>
    <mergeCell ref="X52:X56"/>
    <mergeCell ref="Y67:Y71"/>
    <mergeCell ref="Z67:Z71"/>
    <mergeCell ref="AA67:AA71"/>
    <mergeCell ref="AB67:AB71"/>
    <mergeCell ref="AC67:AC71"/>
    <mergeCell ref="T67:T71"/>
    <mergeCell ref="U67:U71"/>
    <mergeCell ref="V67:V71"/>
    <mergeCell ref="W67:W71"/>
    <mergeCell ref="X67:X71"/>
    <mergeCell ref="Y62:Y66"/>
    <mergeCell ref="Z62:Z66"/>
    <mergeCell ref="AA62:AA66"/>
    <mergeCell ref="AB62:AB66"/>
    <mergeCell ref="AC62:AC66"/>
    <mergeCell ref="T62:T66"/>
    <mergeCell ref="U62:U66"/>
    <mergeCell ref="V62:V66"/>
    <mergeCell ref="W62:W66"/>
    <mergeCell ref="X62:X66"/>
    <mergeCell ref="Y77:Y81"/>
    <mergeCell ref="Z77:Z81"/>
    <mergeCell ref="AA77:AA81"/>
    <mergeCell ref="AB77:AB81"/>
    <mergeCell ref="AC77:AC81"/>
    <mergeCell ref="T77:T81"/>
    <mergeCell ref="U77:U81"/>
    <mergeCell ref="V77:V81"/>
    <mergeCell ref="W77:W81"/>
    <mergeCell ref="X77:X81"/>
    <mergeCell ref="Y72:Y76"/>
    <mergeCell ref="Z72:Z76"/>
    <mergeCell ref="AA72:AA76"/>
    <mergeCell ref="AB72:AB76"/>
    <mergeCell ref="AC72:AC76"/>
    <mergeCell ref="T72:T76"/>
    <mergeCell ref="U72:U76"/>
    <mergeCell ref="V72:V76"/>
    <mergeCell ref="W72:W76"/>
    <mergeCell ref="X72:X76"/>
    <mergeCell ref="Y87:Y91"/>
    <mergeCell ref="Z87:Z91"/>
    <mergeCell ref="AA87:AA91"/>
    <mergeCell ref="AB87:AB91"/>
    <mergeCell ref="AC87:AC91"/>
    <mergeCell ref="T87:T91"/>
    <mergeCell ref="U87:U91"/>
    <mergeCell ref="V87:V91"/>
    <mergeCell ref="W87:W91"/>
    <mergeCell ref="X87:X91"/>
    <mergeCell ref="Y82:Y86"/>
    <mergeCell ref="Z82:Z86"/>
    <mergeCell ref="AA82:AA86"/>
    <mergeCell ref="AB82:AB86"/>
    <mergeCell ref="AC82:AC86"/>
    <mergeCell ref="T82:T86"/>
    <mergeCell ref="U82:U86"/>
    <mergeCell ref="V82:V86"/>
    <mergeCell ref="W82:W86"/>
    <mergeCell ref="X82:X86"/>
    <mergeCell ref="Y97:Y101"/>
    <mergeCell ref="Z97:Z101"/>
    <mergeCell ref="AA97:AA101"/>
    <mergeCell ref="AB97:AB101"/>
    <mergeCell ref="AC97:AC101"/>
    <mergeCell ref="T97:T101"/>
    <mergeCell ref="U97:U101"/>
    <mergeCell ref="V97:V101"/>
    <mergeCell ref="W97:W101"/>
    <mergeCell ref="X97:X101"/>
    <mergeCell ref="Y92:Y96"/>
    <mergeCell ref="Z92:Z96"/>
    <mergeCell ref="AA92:AA96"/>
    <mergeCell ref="AB92:AB96"/>
    <mergeCell ref="AC92:AC96"/>
    <mergeCell ref="T92:T96"/>
    <mergeCell ref="U92:U96"/>
    <mergeCell ref="V92:V96"/>
    <mergeCell ref="W92:W96"/>
    <mergeCell ref="X92:X96"/>
    <mergeCell ref="Y107:Y111"/>
    <mergeCell ref="Z107:Z111"/>
    <mergeCell ref="AA107:AA111"/>
    <mergeCell ref="AB107:AB111"/>
    <mergeCell ref="AC107:AC111"/>
    <mergeCell ref="T107:T111"/>
    <mergeCell ref="U107:U111"/>
    <mergeCell ref="V107:V111"/>
    <mergeCell ref="W107:W111"/>
    <mergeCell ref="X107:X111"/>
    <mergeCell ref="Y102:Y106"/>
    <mergeCell ref="Z102:Z106"/>
    <mergeCell ref="AA102:AA106"/>
    <mergeCell ref="AB102:AB106"/>
    <mergeCell ref="AC102:AC106"/>
    <mergeCell ref="T102:T106"/>
    <mergeCell ref="U102:U106"/>
    <mergeCell ref="V102:V106"/>
    <mergeCell ref="W102:W106"/>
    <mergeCell ref="X102:X106"/>
    <mergeCell ref="Y117:Y121"/>
    <mergeCell ref="Z117:Z121"/>
    <mergeCell ref="AA117:AA121"/>
    <mergeCell ref="AB117:AB121"/>
    <mergeCell ref="AC117:AC121"/>
    <mergeCell ref="T117:T121"/>
    <mergeCell ref="U117:U121"/>
    <mergeCell ref="V117:V121"/>
    <mergeCell ref="W117:W121"/>
    <mergeCell ref="X117:X121"/>
    <mergeCell ref="Y112:Y116"/>
    <mergeCell ref="Z112:Z116"/>
    <mergeCell ref="AA112:AA116"/>
    <mergeCell ref="AB112:AB116"/>
    <mergeCell ref="AC112:AC116"/>
    <mergeCell ref="T112:T116"/>
    <mergeCell ref="U112:U116"/>
    <mergeCell ref="V112:V116"/>
    <mergeCell ref="W112:W116"/>
    <mergeCell ref="X112:X116"/>
    <mergeCell ref="Y127:Y131"/>
    <mergeCell ref="Z127:Z131"/>
    <mergeCell ref="AA127:AA131"/>
    <mergeCell ref="AB127:AB131"/>
    <mergeCell ref="AC127:AC131"/>
    <mergeCell ref="T127:T131"/>
    <mergeCell ref="U127:U131"/>
    <mergeCell ref="V127:V131"/>
    <mergeCell ref="W127:W131"/>
    <mergeCell ref="X127:X131"/>
    <mergeCell ref="Y122:Y126"/>
    <mergeCell ref="Z122:Z126"/>
    <mergeCell ref="AA122:AA126"/>
    <mergeCell ref="AB122:AB126"/>
    <mergeCell ref="AC122:AC126"/>
    <mergeCell ref="T122:T126"/>
    <mergeCell ref="U122:U126"/>
    <mergeCell ref="V122:V126"/>
    <mergeCell ref="W122:W126"/>
    <mergeCell ref="X122:X126"/>
    <mergeCell ref="Y137:Y141"/>
    <mergeCell ref="Z137:Z141"/>
    <mergeCell ref="AA137:AA141"/>
    <mergeCell ref="AB137:AB141"/>
    <mergeCell ref="AC137:AC141"/>
    <mergeCell ref="T137:T141"/>
    <mergeCell ref="U137:U141"/>
    <mergeCell ref="V137:V141"/>
    <mergeCell ref="W137:W141"/>
    <mergeCell ref="X137:X141"/>
    <mergeCell ref="Y132:Y136"/>
    <mergeCell ref="Z132:Z136"/>
    <mergeCell ref="AA132:AA136"/>
    <mergeCell ref="AB132:AB136"/>
    <mergeCell ref="AC132:AC136"/>
    <mergeCell ref="T132:T136"/>
    <mergeCell ref="U132:U136"/>
    <mergeCell ref="V132:V136"/>
    <mergeCell ref="W132:W136"/>
    <mergeCell ref="X132:X136"/>
    <mergeCell ref="Y147:Y151"/>
    <mergeCell ref="Z147:Z151"/>
    <mergeCell ref="AA147:AA151"/>
    <mergeCell ref="AB147:AB151"/>
    <mergeCell ref="AC147:AC151"/>
    <mergeCell ref="T147:T151"/>
    <mergeCell ref="U147:U151"/>
    <mergeCell ref="V147:V151"/>
    <mergeCell ref="W147:W151"/>
    <mergeCell ref="X147:X151"/>
    <mergeCell ref="Y142:Y146"/>
    <mergeCell ref="Z142:Z146"/>
    <mergeCell ref="AA142:AA146"/>
    <mergeCell ref="AB142:AB146"/>
    <mergeCell ref="AC142:AC146"/>
    <mergeCell ref="T142:T146"/>
    <mergeCell ref="U142:U146"/>
    <mergeCell ref="V142:V146"/>
    <mergeCell ref="W142:W146"/>
    <mergeCell ref="X142:X146"/>
    <mergeCell ref="Y157:Y161"/>
    <mergeCell ref="Z157:Z161"/>
    <mergeCell ref="AA157:AA161"/>
    <mergeCell ref="AB157:AB161"/>
    <mergeCell ref="AC157:AC161"/>
    <mergeCell ref="T157:T161"/>
    <mergeCell ref="U157:U161"/>
    <mergeCell ref="V157:V161"/>
    <mergeCell ref="W157:W161"/>
    <mergeCell ref="X157:X161"/>
    <mergeCell ref="Y152:Y156"/>
    <mergeCell ref="Z152:Z156"/>
    <mergeCell ref="AA152:AA156"/>
    <mergeCell ref="AB152:AB156"/>
    <mergeCell ref="AC152:AC156"/>
    <mergeCell ref="T152:T156"/>
    <mergeCell ref="U152:U156"/>
    <mergeCell ref="V152:V156"/>
    <mergeCell ref="W152:W156"/>
    <mergeCell ref="X152:X156"/>
    <mergeCell ref="Y167:Y171"/>
    <mergeCell ref="Z167:Z171"/>
    <mergeCell ref="AA167:AA171"/>
    <mergeCell ref="AB167:AB171"/>
    <mergeCell ref="AC167:AC171"/>
    <mergeCell ref="T167:T171"/>
    <mergeCell ref="U167:U171"/>
    <mergeCell ref="V167:V171"/>
    <mergeCell ref="W167:W171"/>
    <mergeCell ref="X167:X171"/>
    <mergeCell ref="Y162:Y166"/>
    <mergeCell ref="Z162:Z166"/>
    <mergeCell ref="AA162:AA166"/>
    <mergeCell ref="AB162:AB166"/>
    <mergeCell ref="AC162:AC166"/>
    <mergeCell ref="T162:T166"/>
    <mergeCell ref="U162:U166"/>
    <mergeCell ref="V162:V166"/>
    <mergeCell ref="W162:W166"/>
    <mergeCell ref="X162:X166"/>
    <mergeCell ref="Y177:Y181"/>
    <mergeCell ref="Z177:Z181"/>
    <mergeCell ref="AA177:AA181"/>
    <mergeCell ref="AB177:AB181"/>
    <mergeCell ref="AC177:AC181"/>
    <mergeCell ref="T177:T181"/>
    <mergeCell ref="U177:U181"/>
    <mergeCell ref="V177:V181"/>
    <mergeCell ref="W177:W181"/>
    <mergeCell ref="X177:X181"/>
    <mergeCell ref="Y172:Y176"/>
    <mergeCell ref="Z172:Z176"/>
    <mergeCell ref="AA172:AA176"/>
    <mergeCell ref="AB172:AB176"/>
    <mergeCell ref="AC172:AC176"/>
    <mergeCell ref="T172:T176"/>
    <mergeCell ref="U172:U176"/>
    <mergeCell ref="V172:V176"/>
    <mergeCell ref="W172:W176"/>
    <mergeCell ref="X172:X176"/>
    <mergeCell ref="Y187:Y191"/>
    <mergeCell ref="Z187:Z191"/>
    <mergeCell ref="AA187:AA191"/>
    <mergeCell ref="AB187:AB191"/>
    <mergeCell ref="AC187:AC191"/>
    <mergeCell ref="T187:T191"/>
    <mergeCell ref="U187:U191"/>
    <mergeCell ref="V187:V191"/>
    <mergeCell ref="W187:W191"/>
    <mergeCell ref="X187:X191"/>
    <mergeCell ref="Y182:Y186"/>
    <mergeCell ref="Z182:Z186"/>
    <mergeCell ref="AA182:AA186"/>
    <mergeCell ref="AB182:AB186"/>
    <mergeCell ref="AC182:AC186"/>
    <mergeCell ref="T182:T186"/>
    <mergeCell ref="U182:U186"/>
    <mergeCell ref="V182:V186"/>
    <mergeCell ref="W182:W186"/>
    <mergeCell ref="X182:X186"/>
    <mergeCell ref="Y197:Y201"/>
    <mergeCell ref="Z197:Z201"/>
    <mergeCell ref="AA197:AA201"/>
    <mergeCell ref="AB197:AB201"/>
    <mergeCell ref="AC197:AC201"/>
    <mergeCell ref="T197:T201"/>
    <mergeCell ref="U197:U201"/>
    <mergeCell ref="V197:V201"/>
    <mergeCell ref="W197:W201"/>
    <mergeCell ref="X197:X201"/>
    <mergeCell ref="Y192:Y196"/>
    <mergeCell ref="Z192:Z196"/>
    <mergeCell ref="AA192:AA196"/>
    <mergeCell ref="AB192:AB196"/>
    <mergeCell ref="AC192:AC196"/>
    <mergeCell ref="T192:T196"/>
    <mergeCell ref="U192:U196"/>
    <mergeCell ref="V192:V196"/>
    <mergeCell ref="W192:W196"/>
    <mergeCell ref="X192:X196"/>
    <mergeCell ref="Y207:Y211"/>
    <mergeCell ref="Z207:Z211"/>
    <mergeCell ref="AA207:AA211"/>
    <mergeCell ref="AB207:AB211"/>
    <mergeCell ref="AC207:AC211"/>
    <mergeCell ref="T207:T211"/>
    <mergeCell ref="U207:U211"/>
    <mergeCell ref="V207:V211"/>
    <mergeCell ref="W207:W211"/>
    <mergeCell ref="X207:X211"/>
    <mergeCell ref="Y202:Y206"/>
    <mergeCell ref="Z202:Z206"/>
    <mergeCell ref="AA202:AA206"/>
    <mergeCell ref="AB202:AB206"/>
    <mergeCell ref="AC202:AC206"/>
    <mergeCell ref="T202:T206"/>
    <mergeCell ref="U202:U206"/>
    <mergeCell ref="V202:V206"/>
    <mergeCell ref="W202:W206"/>
    <mergeCell ref="X202:X206"/>
    <mergeCell ref="Y217:Y221"/>
    <mergeCell ref="Z217:Z221"/>
    <mergeCell ref="AA217:AA221"/>
    <mergeCell ref="AB217:AB221"/>
    <mergeCell ref="AC217:AC221"/>
    <mergeCell ref="T217:T221"/>
    <mergeCell ref="U217:U221"/>
    <mergeCell ref="V217:V221"/>
    <mergeCell ref="W217:W221"/>
    <mergeCell ref="X217:X221"/>
    <mergeCell ref="Y212:Y216"/>
    <mergeCell ref="Z212:Z216"/>
    <mergeCell ref="AA212:AA216"/>
    <mergeCell ref="AB212:AB216"/>
    <mergeCell ref="AC212:AC216"/>
    <mergeCell ref="T212:T216"/>
    <mergeCell ref="U212:U216"/>
    <mergeCell ref="V212:V216"/>
    <mergeCell ref="W212:W216"/>
    <mergeCell ref="X212:X216"/>
    <mergeCell ref="Y227:Y231"/>
    <mergeCell ref="Z227:Z231"/>
    <mergeCell ref="AA227:AA231"/>
    <mergeCell ref="AB227:AB231"/>
    <mergeCell ref="AC227:AC231"/>
    <mergeCell ref="T227:T231"/>
    <mergeCell ref="U227:U231"/>
    <mergeCell ref="V227:V231"/>
    <mergeCell ref="W227:W231"/>
    <mergeCell ref="X227:X231"/>
    <mergeCell ref="Y222:Y226"/>
    <mergeCell ref="Z222:Z226"/>
    <mergeCell ref="AA222:AA226"/>
    <mergeCell ref="AB222:AB226"/>
    <mergeCell ref="AC222:AC226"/>
    <mergeCell ref="T222:T226"/>
    <mergeCell ref="U222:U226"/>
    <mergeCell ref="V222:V226"/>
    <mergeCell ref="W222:W226"/>
    <mergeCell ref="X222:X226"/>
    <mergeCell ref="Y237:Y241"/>
    <mergeCell ref="Z237:Z241"/>
    <mergeCell ref="AA237:AA241"/>
    <mergeCell ref="AB237:AB241"/>
    <mergeCell ref="AC237:AC241"/>
    <mergeCell ref="T237:T241"/>
    <mergeCell ref="U237:U241"/>
    <mergeCell ref="V237:V241"/>
    <mergeCell ref="W237:W241"/>
    <mergeCell ref="X237:X241"/>
    <mergeCell ref="Y232:Y236"/>
    <mergeCell ref="Z232:Z236"/>
    <mergeCell ref="AA232:AA236"/>
    <mergeCell ref="AB232:AB236"/>
    <mergeCell ref="AC232:AC236"/>
    <mergeCell ref="T232:T236"/>
    <mergeCell ref="U232:U236"/>
    <mergeCell ref="V232:V236"/>
    <mergeCell ref="W232:W236"/>
    <mergeCell ref="X232:X236"/>
    <mergeCell ref="Y247:Y251"/>
    <mergeCell ref="Z247:Z251"/>
    <mergeCell ref="AA247:AA251"/>
    <mergeCell ref="AB247:AB251"/>
    <mergeCell ref="AC247:AC251"/>
    <mergeCell ref="T247:T251"/>
    <mergeCell ref="U247:U251"/>
    <mergeCell ref="V247:V251"/>
    <mergeCell ref="W247:W251"/>
    <mergeCell ref="X247:X251"/>
    <mergeCell ref="Y242:Y246"/>
    <mergeCell ref="Z242:Z246"/>
    <mergeCell ref="AA242:AA246"/>
    <mergeCell ref="AB242:AB246"/>
    <mergeCell ref="AC242:AC246"/>
    <mergeCell ref="T242:T246"/>
    <mergeCell ref="U242:U246"/>
    <mergeCell ref="V242:V246"/>
    <mergeCell ref="W242:W246"/>
    <mergeCell ref="X242:X246"/>
    <mergeCell ref="Y257:Y261"/>
    <mergeCell ref="Z257:Z261"/>
    <mergeCell ref="AA257:AA261"/>
    <mergeCell ref="AB257:AB261"/>
    <mergeCell ref="AC257:AC261"/>
    <mergeCell ref="T257:T261"/>
    <mergeCell ref="U257:U261"/>
    <mergeCell ref="V257:V261"/>
    <mergeCell ref="W257:W261"/>
    <mergeCell ref="X257:X261"/>
    <mergeCell ref="Y252:Y256"/>
    <mergeCell ref="Z252:Z256"/>
    <mergeCell ref="AA252:AA256"/>
    <mergeCell ref="AB252:AB256"/>
    <mergeCell ref="AC252:AC256"/>
    <mergeCell ref="T252:T256"/>
    <mergeCell ref="U252:U256"/>
    <mergeCell ref="V252:V256"/>
    <mergeCell ref="W252:W256"/>
    <mergeCell ref="X252:X256"/>
    <mergeCell ref="Y267:Y271"/>
    <mergeCell ref="Z267:Z271"/>
    <mergeCell ref="AA267:AA271"/>
    <mergeCell ref="AB267:AB271"/>
    <mergeCell ref="AC267:AC271"/>
    <mergeCell ref="T267:T271"/>
    <mergeCell ref="U267:U271"/>
    <mergeCell ref="V267:V271"/>
    <mergeCell ref="W267:W271"/>
    <mergeCell ref="X267:X271"/>
    <mergeCell ref="Y262:Y266"/>
    <mergeCell ref="Z262:Z266"/>
    <mergeCell ref="AA262:AA266"/>
    <mergeCell ref="AB262:AB266"/>
    <mergeCell ref="AC262:AC266"/>
    <mergeCell ref="T262:T266"/>
    <mergeCell ref="U262:U266"/>
    <mergeCell ref="V262:V266"/>
    <mergeCell ref="W262:W266"/>
    <mergeCell ref="X262:X266"/>
    <mergeCell ref="Y277:Y281"/>
    <mergeCell ref="Z277:Z281"/>
    <mergeCell ref="AA277:AA281"/>
    <mergeCell ref="AB277:AB281"/>
    <mergeCell ref="AC277:AC281"/>
    <mergeCell ref="T277:T281"/>
    <mergeCell ref="U277:U281"/>
    <mergeCell ref="V277:V281"/>
    <mergeCell ref="W277:W281"/>
    <mergeCell ref="X277:X281"/>
    <mergeCell ref="Y272:Y276"/>
    <mergeCell ref="Z272:Z276"/>
    <mergeCell ref="AA272:AA276"/>
    <mergeCell ref="AB272:AB276"/>
    <mergeCell ref="AC272:AC276"/>
    <mergeCell ref="T272:T276"/>
    <mergeCell ref="U272:U276"/>
    <mergeCell ref="V272:V276"/>
    <mergeCell ref="W272:W276"/>
    <mergeCell ref="X272:X276"/>
    <mergeCell ref="Y287:Y291"/>
    <mergeCell ref="Z287:Z291"/>
    <mergeCell ref="AA287:AA291"/>
    <mergeCell ref="AB287:AB291"/>
    <mergeCell ref="AC287:AC291"/>
    <mergeCell ref="T287:T291"/>
    <mergeCell ref="U287:U291"/>
    <mergeCell ref="V287:V291"/>
    <mergeCell ref="W287:W291"/>
    <mergeCell ref="X287:X291"/>
    <mergeCell ref="Y282:Y286"/>
    <mergeCell ref="Z282:Z286"/>
    <mergeCell ref="AA282:AA286"/>
    <mergeCell ref="AB282:AB286"/>
    <mergeCell ref="AC282:AC286"/>
    <mergeCell ref="T282:T286"/>
    <mergeCell ref="U282:U286"/>
    <mergeCell ref="V282:V286"/>
    <mergeCell ref="W282:W286"/>
    <mergeCell ref="X282:X286"/>
    <mergeCell ref="Y297:Y301"/>
    <mergeCell ref="Z297:Z301"/>
    <mergeCell ref="AA297:AA301"/>
    <mergeCell ref="AB297:AB301"/>
    <mergeCell ref="AC297:AC301"/>
    <mergeCell ref="T297:T301"/>
    <mergeCell ref="U297:U301"/>
    <mergeCell ref="V297:V301"/>
    <mergeCell ref="W297:W301"/>
    <mergeCell ref="X297:X301"/>
    <mergeCell ref="Y292:Y296"/>
    <mergeCell ref="Z292:Z296"/>
    <mergeCell ref="AA292:AA296"/>
    <mergeCell ref="AB292:AB296"/>
    <mergeCell ref="AC292:AC296"/>
    <mergeCell ref="T292:T296"/>
    <mergeCell ref="U292:U296"/>
    <mergeCell ref="V292:V296"/>
    <mergeCell ref="W292:W296"/>
    <mergeCell ref="X292:X296"/>
    <mergeCell ref="Y307:Y311"/>
    <mergeCell ref="Z307:Z311"/>
    <mergeCell ref="AA307:AA311"/>
    <mergeCell ref="AB307:AB311"/>
    <mergeCell ref="AC307:AC311"/>
    <mergeCell ref="T307:T311"/>
    <mergeCell ref="U307:U311"/>
    <mergeCell ref="V307:V311"/>
    <mergeCell ref="W307:W311"/>
    <mergeCell ref="X307:X311"/>
    <mergeCell ref="Y302:Y306"/>
    <mergeCell ref="Z302:Z306"/>
    <mergeCell ref="AA302:AA306"/>
    <mergeCell ref="AB302:AB306"/>
    <mergeCell ref="AC302:AC306"/>
    <mergeCell ref="T302:T306"/>
    <mergeCell ref="U302:U306"/>
    <mergeCell ref="V302:V306"/>
    <mergeCell ref="W302:W306"/>
    <mergeCell ref="X302:X306"/>
    <mergeCell ref="Y317:Y321"/>
    <mergeCell ref="Z317:Z321"/>
    <mergeCell ref="AA317:AA321"/>
    <mergeCell ref="AB317:AB321"/>
    <mergeCell ref="AC317:AC321"/>
    <mergeCell ref="T317:T321"/>
    <mergeCell ref="U317:U321"/>
    <mergeCell ref="V317:V321"/>
    <mergeCell ref="W317:W321"/>
    <mergeCell ref="X317:X321"/>
    <mergeCell ref="Y312:Y316"/>
    <mergeCell ref="Z312:Z316"/>
    <mergeCell ref="AA312:AA316"/>
    <mergeCell ref="AB312:AB316"/>
    <mergeCell ref="AC312:AC316"/>
    <mergeCell ref="T312:T316"/>
    <mergeCell ref="U312:U316"/>
    <mergeCell ref="V312:V316"/>
    <mergeCell ref="W312:W316"/>
    <mergeCell ref="X312:X316"/>
    <mergeCell ref="Y327:Y331"/>
    <mergeCell ref="Z327:Z331"/>
    <mergeCell ref="AA327:AA331"/>
    <mergeCell ref="AB327:AB331"/>
    <mergeCell ref="AC327:AC331"/>
    <mergeCell ref="T327:T331"/>
    <mergeCell ref="U327:U331"/>
    <mergeCell ref="V327:V331"/>
    <mergeCell ref="W327:W331"/>
    <mergeCell ref="X327:X331"/>
    <mergeCell ref="Y322:Y326"/>
    <mergeCell ref="Z322:Z326"/>
    <mergeCell ref="AA322:AA326"/>
    <mergeCell ref="AB322:AB326"/>
    <mergeCell ref="AC322:AC326"/>
    <mergeCell ref="T322:T326"/>
    <mergeCell ref="U322:U326"/>
    <mergeCell ref="V322:V326"/>
    <mergeCell ref="W322:W326"/>
    <mergeCell ref="X322:X326"/>
    <mergeCell ref="Y337:Y341"/>
    <mergeCell ref="Z337:Z341"/>
    <mergeCell ref="AA337:AA341"/>
    <mergeCell ref="AB337:AB341"/>
    <mergeCell ref="AC337:AC341"/>
    <mergeCell ref="T337:T341"/>
    <mergeCell ref="U337:U341"/>
    <mergeCell ref="V337:V341"/>
    <mergeCell ref="W337:W341"/>
    <mergeCell ref="X337:X341"/>
    <mergeCell ref="Y332:Y336"/>
    <mergeCell ref="Z332:Z336"/>
    <mergeCell ref="AA332:AA336"/>
    <mergeCell ref="AB332:AB336"/>
    <mergeCell ref="AC332:AC336"/>
    <mergeCell ref="T332:T336"/>
    <mergeCell ref="U332:U336"/>
    <mergeCell ref="V332:V336"/>
    <mergeCell ref="W332:W336"/>
    <mergeCell ref="X332:X336"/>
    <mergeCell ref="Y347:Y351"/>
    <mergeCell ref="Z347:Z351"/>
    <mergeCell ref="AA347:AA351"/>
    <mergeCell ref="AB347:AB351"/>
    <mergeCell ref="AC347:AC351"/>
    <mergeCell ref="T347:T351"/>
    <mergeCell ref="U347:U351"/>
    <mergeCell ref="V347:V351"/>
    <mergeCell ref="W347:W351"/>
    <mergeCell ref="X347:X351"/>
    <mergeCell ref="Y342:Y346"/>
    <mergeCell ref="Z342:Z346"/>
    <mergeCell ref="AA342:AA346"/>
    <mergeCell ref="AB342:AB346"/>
    <mergeCell ref="AC342:AC346"/>
    <mergeCell ref="T342:T346"/>
    <mergeCell ref="U342:U346"/>
    <mergeCell ref="V342:V346"/>
    <mergeCell ref="W342:W346"/>
    <mergeCell ref="X342:X346"/>
    <mergeCell ref="Y357:Y361"/>
    <mergeCell ref="Z357:Z361"/>
    <mergeCell ref="AA357:AA361"/>
    <mergeCell ref="AB357:AB361"/>
    <mergeCell ref="AC357:AC361"/>
    <mergeCell ref="T357:T361"/>
    <mergeCell ref="U357:U361"/>
    <mergeCell ref="V357:V361"/>
    <mergeCell ref="W357:W361"/>
    <mergeCell ref="X357:X361"/>
    <mergeCell ref="Y352:Y356"/>
    <mergeCell ref="Z352:Z356"/>
    <mergeCell ref="AA352:AA356"/>
    <mergeCell ref="AB352:AB356"/>
    <mergeCell ref="AC352:AC356"/>
    <mergeCell ref="T352:T356"/>
    <mergeCell ref="U352:U356"/>
    <mergeCell ref="V352:V356"/>
    <mergeCell ref="W352:W356"/>
    <mergeCell ref="X352:X356"/>
    <mergeCell ref="Y367:Y371"/>
    <mergeCell ref="Z367:Z371"/>
    <mergeCell ref="AA367:AA371"/>
    <mergeCell ref="AB367:AB371"/>
    <mergeCell ref="AC367:AC371"/>
    <mergeCell ref="T367:T371"/>
    <mergeCell ref="U367:U371"/>
    <mergeCell ref="V367:V371"/>
    <mergeCell ref="W367:W371"/>
    <mergeCell ref="X367:X371"/>
    <mergeCell ref="Y362:Y366"/>
    <mergeCell ref="Z362:Z366"/>
    <mergeCell ref="AA362:AA366"/>
    <mergeCell ref="AB362:AB366"/>
    <mergeCell ref="AC362:AC366"/>
    <mergeCell ref="T362:T366"/>
    <mergeCell ref="U362:U366"/>
    <mergeCell ref="V362:V366"/>
    <mergeCell ref="W362:W366"/>
    <mergeCell ref="X362:X366"/>
    <mergeCell ref="Y377:Y381"/>
    <mergeCell ref="Z377:Z381"/>
    <mergeCell ref="AA377:AA381"/>
    <mergeCell ref="AB377:AB381"/>
    <mergeCell ref="AC377:AC381"/>
    <mergeCell ref="T377:T381"/>
    <mergeCell ref="U377:U381"/>
    <mergeCell ref="V377:V381"/>
    <mergeCell ref="W377:W381"/>
    <mergeCell ref="X377:X381"/>
    <mergeCell ref="Y372:Y376"/>
    <mergeCell ref="Z372:Z376"/>
    <mergeCell ref="AA372:AA376"/>
    <mergeCell ref="AB372:AB376"/>
    <mergeCell ref="AC372:AC376"/>
    <mergeCell ref="T372:T376"/>
    <mergeCell ref="U372:U376"/>
    <mergeCell ref="V372:V376"/>
    <mergeCell ref="W372:W376"/>
    <mergeCell ref="X372:X376"/>
    <mergeCell ref="Y387:Y391"/>
    <mergeCell ref="Z387:Z391"/>
    <mergeCell ref="AA387:AA391"/>
    <mergeCell ref="AB387:AB391"/>
    <mergeCell ref="AC387:AC391"/>
    <mergeCell ref="T387:T391"/>
    <mergeCell ref="U387:U391"/>
    <mergeCell ref="V387:V391"/>
    <mergeCell ref="W387:W391"/>
    <mergeCell ref="X387:X391"/>
    <mergeCell ref="Y382:Y386"/>
    <mergeCell ref="Z382:Z386"/>
    <mergeCell ref="AA382:AA386"/>
    <mergeCell ref="AB382:AB386"/>
    <mergeCell ref="AC382:AC386"/>
    <mergeCell ref="T382:T386"/>
    <mergeCell ref="U382:U386"/>
    <mergeCell ref="V382:V386"/>
    <mergeCell ref="W382:W386"/>
    <mergeCell ref="X382:X386"/>
    <mergeCell ref="Y397:Y401"/>
    <mergeCell ref="Z397:Z401"/>
    <mergeCell ref="AA397:AA401"/>
    <mergeCell ref="AB397:AB401"/>
    <mergeCell ref="AC397:AC401"/>
    <mergeCell ref="T397:T401"/>
    <mergeCell ref="U397:U401"/>
    <mergeCell ref="V397:V401"/>
    <mergeCell ref="W397:W401"/>
    <mergeCell ref="X397:X401"/>
    <mergeCell ref="Y392:Y396"/>
    <mergeCell ref="Z392:Z396"/>
    <mergeCell ref="AA392:AA396"/>
    <mergeCell ref="AB392:AB396"/>
    <mergeCell ref="AC392:AC396"/>
    <mergeCell ref="T392:T396"/>
    <mergeCell ref="U392:U396"/>
    <mergeCell ref="V392:V396"/>
    <mergeCell ref="W392:W396"/>
    <mergeCell ref="X392:X396"/>
    <mergeCell ref="Y407:Y411"/>
    <mergeCell ref="Z407:Z411"/>
    <mergeCell ref="AA407:AA411"/>
    <mergeCell ref="AB407:AB411"/>
    <mergeCell ref="AC407:AC411"/>
    <mergeCell ref="T407:T411"/>
    <mergeCell ref="U407:U411"/>
    <mergeCell ref="V407:V411"/>
    <mergeCell ref="W407:W411"/>
    <mergeCell ref="X407:X411"/>
    <mergeCell ref="Y402:Y406"/>
    <mergeCell ref="Z402:Z406"/>
    <mergeCell ref="AA402:AA406"/>
    <mergeCell ref="AB402:AB406"/>
    <mergeCell ref="AC402:AC406"/>
    <mergeCell ref="T402:T406"/>
    <mergeCell ref="U402:U406"/>
    <mergeCell ref="V402:V406"/>
    <mergeCell ref="W402:W406"/>
    <mergeCell ref="X402:X406"/>
    <mergeCell ref="Y417:Y421"/>
    <mergeCell ref="Z417:Z421"/>
    <mergeCell ref="AA417:AA421"/>
    <mergeCell ref="AB417:AB421"/>
    <mergeCell ref="AC417:AC421"/>
    <mergeCell ref="T417:T421"/>
    <mergeCell ref="U417:U421"/>
    <mergeCell ref="V417:V421"/>
    <mergeCell ref="W417:W421"/>
    <mergeCell ref="X417:X421"/>
    <mergeCell ref="Y412:Y416"/>
    <mergeCell ref="Z412:Z416"/>
    <mergeCell ref="AA412:AA416"/>
    <mergeCell ref="AB412:AB416"/>
    <mergeCell ref="AC412:AC416"/>
    <mergeCell ref="T412:T416"/>
    <mergeCell ref="U412:U416"/>
    <mergeCell ref="V412:V416"/>
    <mergeCell ref="W412:W416"/>
    <mergeCell ref="X412:X416"/>
    <mergeCell ref="Y427:Y431"/>
    <mergeCell ref="Z427:Z431"/>
    <mergeCell ref="AA427:AA431"/>
    <mergeCell ref="AB427:AB431"/>
    <mergeCell ref="AC427:AC431"/>
    <mergeCell ref="T427:T431"/>
    <mergeCell ref="U427:U431"/>
    <mergeCell ref="V427:V431"/>
    <mergeCell ref="W427:W431"/>
    <mergeCell ref="X427:X431"/>
    <mergeCell ref="Y422:Y426"/>
    <mergeCell ref="Z422:Z426"/>
    <mergeCell ref="AA422:AA426"/>
    <mergeCell ref="AB422:AB426"/>
    <mergeCell ref="AC422:AC426"/>
    <mergeCell ref="T422:T426"/>
    <mergeCell ref="U422:U426"/>
    <mergeCell ref="V422:V426"/>
    <mergeCell ref="W422:W426"/>
    <mergeCell ref="X422:X426"/>
    <mergeCell ref="Y437:Y441"/>
    <mergeCell ref="Z437:Z441"/>
    <mergeCell ref="AA437:AA441"/>
    <mergeCell ref="AB437:AB441"/>
    <mergeCell ref="AC437:AC441"/>
    <mergeCell ref="T437:T441"/>
    <mergeCell ref="U437:U441"/>
    <mergeCell ref="V437:V441"/>
    <mergeCell ref="W437:W441"/>
    <mergeCell ref="X437:X441"/>
    <mergeCell ref="Y432:Y436"/>
    <mergeCell ref="Z432:Z436"/>
    <mergeCell ref="AA432:AA436"/>
    <mergeCell ref="AB432:AB436"/>
    <mergeCell ref="AC432:AC436"/>
    <mergeCell ref="T432:T436"/>
    <mergeCell ref="U432:U436"/>
    <mergeCell ref="V432:V436"/>
    <mergeCell ref="W432:W436"/>
    <mergeCell ref="X432:X436"/>
    <mergeCell ref="Y447:Y451"/>
    <mergeCell ref="Z447:Z451"/>
    <mergeCell ref="AA447:AA451"/>
    <mergeCell ref="AB447:AB451"/>
    <mergeCell ref="AC447:AC451"/>
    <mergeCell ref="T447:T451"/>
    <mergeCell ref="U447:U451"/>
    <mergeCell ref="V447:V451"/>
    <mergeCell ref="W447:W451"/>
    <mergeCell ref="X447:X451"/>
    <mergeCell ref="Y442:Y446"/>
    <mergeCell ref="Z442:Z446"/>
    <mergeCell ref="AA442:AA446"/>
    <mergeCell ref="AB442:AB446"/>
    <mergeCell ref="AC442:AC446"/>
    <mergeCell ref="T442:T446"/>
    <mergeCell ref="U442:U446"/>
    <mergeCell ref="V442:V446"/>
    <mergeCell ref="W442:W446"/>
    <mergeCell ref="X442:X446"/>
    <mergeCell ref="Y457:Y461"/>
    <mergeCell ref="Z457:Z461"/>
    <mergeCell ref="AA457:AA461"/>
    <mergeCell ref="AB457:AB461"/>
    <mergeCell ref="AC457:AC461"/>
    <mergeCell ref="T457:T461"/>
    <mergeCell ref="U457:U461"/>
    <mergeCell ref="V457:V461"/>
    <mergeCell ref="W457:W461"/>
    <mergeCell ref="X457:X461"/>
    <mergeCell ref="Y452:Y456"/>
    <mergeCell ref="Z452:Z456"/>
    <mergeCell ref="AA452:AA456"/>
    <mergeCell ref="AB452:AB456"/>
    <mergeCell ref="AC452:AC456"/>
    <mergeCell ref="T452:T456"/>
    <mergeCell ref="U452:U456"/>
    <mergeCell ref="V452:V456"/>
    <mergeCell ref="W452:W456"/>
    <mergeCell ref="X452:X456"/>
    <mergeCell ref="AA467:AA471"/>
    <mergeCell ref="AB467:AB471"/>
    <mergeCell ref="AC467:AC471"/>
    <mergeCell ref="T467:T471"/>
    <mergeCell ref="U467:U471"/>
    <mergeCell ref="V467:V471"/>
    <mergeCell ref="W467:W471"/>
    <mergeCell ref="X467:X471"/>
    <mergeCell ref="Y462:Y466"/>
    <mergeCell ref="Z462:Z466"/>
    <mergeCell ref="AA462:AA466"/>
    <mergeCell ref="AB462:AB466"/>
    <mergeCell ref="AC462:AC466"/>
    <mergeCell ref="T462:T466"/>
    <mergeCell ref="U462:U466"/>
    <mergeCell ref="V462:V466"/>
    <mergeCell ref="W462:W466"/>
    <mergeCell ref="X462:X466"/>
    <mergeCell ref="A12:A16"/>
    <mergeCell ref="B12:B16"/>
    <mergeCell ref="M12:M16"/>
    <mergeCell ref="N12:N16"/>
    <mergeCell ref="O12:O16"/>
    <mergeCell ref="P12:P16"/>
    <mergeCell ref="Q12:Q16"/>
    <mergeCell ref="R12:R16"/>
    <mergeCell ref="Y477:Y481"/>
    <mergeCell ref="Z477:Z481"/>
    <mergeCell ref="AA477:AA481"/>
    <mergeCell ref="AB477:AB481"/>
    <mergeCell ref="AC477:AC481"/>
    <mergeCell ref="T477:T481"/>
    <mergeCell ref="U477:U481"/>
    <mergeCell ref="V477:V481"/>
    <mergeCell ref="W477:W481"/>
    <mergeCell ref="X477:X481"/>
    <mergeCell ref="Y472:Y476"/>
    <mergeCell ref="Z472:Z476"/>
    <mergeCell ref="AA472:AA476"/>
    <mergeCell ref="AB472:AB476"/>
    <mergeCell ref="AC472:AC476"/>
    <mergeCell ref="T472:T476"/>
    <mergeCell ref="U472:U476"/>
    <mergeCell ref="V472:V476"/>
    <mergeCell ref="W472:W476"/>
    <mergeCell ref="X472:X476"/>
    <mergeCell ref="Y467:Y471"/>
    <mergeCell ref="Z467:Z471"/>
    <mergeCell ref="O17:O21"/>
    <mergeCell ref="P17:P21"/>
    <mergeCell ref="Q17:Q21"/>
    <mergeCell ref="R17:R21"/>
    <mergeCell ref="A22:A26"/>
    <mergeCell ref="B22:B26"/>
    <mergeCell ref="M22:M26"/>
    <mergeCell ref="N22:N26"/>
    <mergeCell ref="O22:O26"/>
    <mergeCell ref="P22:P26"/>
    <mergeCell ref="Q22:Q26"/>
    <mergeCell ref="R22:R26"/>
    <mergeCell ref="A17:A21"/>
    <mergeCell ref="B17:B21"/>
    <mergeCell ref="M17:M21"/>
    <mergeCell ref="N17:N21"/>
    <mergeCell ref="O27:O31"/>
    <mergeCell ref="P27:P31"/>
    <mergeCell ref="Q27:Q31"/>
    <mergeCell ref="R27:R31"/>
    <mergeCell ref="A32:A36"/>
    <mergeCell ref="B32:B36"/>
    <mergeCell ref="M32:M36"/>
    <mergeCell ref="N32:N36"/>
    <mergeCell ref="O32:O36"/>
    <mergeCell ref="P32:P36"/>
    <mergeCell ref="Q32:Q36"/>
    <mergeCell ref="R32:R36"/>
    <mergeCell ref="A27:A31"/>
    <mergeCell ref="B27:B31"/>
    <mergeCell ref="M27:M31"/>
    <mergeCell ref="N27:N31"/>
    <mergeCell ref="O37:O41"/>
    <mergeCell ref="P37:P41"/>
    <mergeCell ref="Q37:Q41"/>
    <mergeCell ref="R37:R41"/>
    <mergeCell ref="A42:A46"/>
    <mergeCell ref="B42:B46"/>
    <mergeCell ref="M42:M46"/>
    <mergeCell ref="N42:N46"/>
    <mergeCell ref="O42:O46"/>
    <mergeCell ref="P42:P46"/>
    <mergeCell ref="Q42:Q46"/>
    <mergeCell ref="R42:R46"/>
    <mergeCell ref="A37:A41"/>
    <mergeCell ref="B37:B41"/>
    <mergeCell ref="M37:M41"/>
    <mergeCell ref="N37:N41"/>
    <mergeCell ref="D42:G42"/>
    <mergeCell ref="H42:I42"/>
    <mergeCell ref="J42:L42"/>
    <mergeCell ref="O47:O51"/>
    <mergeCell ref="P47:P51"/>
    <mergeCell ref="Q47:Q51"/>
    <mergeCell ref="R47:R51"/>
    <mergeCell ref="A52:A56"/>
    <mergeCell ref="B52:B56"/>
    <mergeCell ref="M52:M56"/>
    <mergeCell ref="N52:N56"/>
    <mergeCell ref="O52:O56"/>
    <mergeCell ref="P52:P56"/>
    <mergeCell ref="Q52:Q56"/>
    <mergeCell ref="R52:R56"/>
    <mergeCell ref="A47:A51"/>
    <mergeCell ref="B47:B51"/>
    <mergeCell ref="M47:M51"/>
    <mergeCell ref="N47:N51"/>
    <mergeCell ref="D47:G47"/>
    <mergeCell ref="H47:I47"/>
    <mergeCell ref="J47:L47"/>
    <mergeCell ref="D52:G52"/>
    <mergeCell ref="H52:I52"/>
    <mergeCell ref="J52:L52"/>
    <mergeCell ref="O57:O61"/>
    <mergeCell ref="P57:P61"/>
    <mergeCell ref="Q57:Q61"/>
    <mergeCell ref="R57:R61"/>
    <mergeCell ref="A62:A66"/>
    <mergeCell ref="B62:B66"/>
    <mergeCell ref="M62:M66"/>
    <mergeCell ref="N62:N66"/>
    <mergeCell ref="O62:O66"/>
    <mergeCell ref="P62:P66"/>
    <mergeCell ref="Q62:Q66"/>
    <mergeCell ref="R62:R66"/>
    <mergeCell ref="A57:A61"/>
    <mergeCell ref="B57:B61"/>
    <mergeCell ref="M57:M61"/>
    <mergeCell ref="N57:N61"/>
    <mergeCell ref="D57:G57"/>
    <mergeCell ref="H57:I57"/>
    <mergeCell ref="J57:L57"/>
    <mergeCell ref="D62:G62"/>
    <mergeCell ref="H62:I62"/>
    <mergeCell ref="J62:L62"/>
    <mergeCell ref="O67:O71"/>
    <mergeCell ref="P67:P71"/>
    <mergeCell ref="Q67:Q71"/>
    <mergeCell ref="R67:R71"/>
    <mergeCell ref="A72:A76"/>
    <mergeCell ref="B72:B76"/>
    <mergeCell ref="M72:M76"/>
    <mergeCell ref="N72:N76"/>
    <mergeCell ref="O72:O76"/>
    <mergeCell ref="P72:P76"/>
    <mergeCell ref="Q72:Q76"/>
    <mergeCell ref="R72:R76"/>
    <mergeCell ref="A67:A71"/>
    <mergeCell ref="B67:B71"/>
    <mergeCell ref="M67:M71"/>
    <mergeCell ref="N67:N71"/>
    <mergeCell ref="D67:G67"/>
    <mergeCell ref="H67:I67"/>
    <mergeCell ref="J67:L67"/>
    <mergeCell ref="D72:G72"/>
    <mergeCell ref="H72:I72"/>
    <mergeCell ref="J72:L72"/>
    <mergeCell ref="O77:O81"/>
    <mergeCell ref="P77:P81"/>
    <mergeCell ref="Q77:Q81"/>
    <mergeCell ref="R77:R81"/>
    <mergeCell ref="A82:A86"/>
    <mergeCell ref="B82:B86"/>
    <mergeCell ref="M82:M86"/>
    <mergeCell ref="N82:N86"/>
    <mergeCell ref="O82:O86"/>
    <mergeCell ref="P82:P86"/>
    <mergeCell ref="Q82:Q86"/>
    <mergeCell ref="R82:R86"/>
    <mergeCell ref="A77:A81"/>
    <mergeCell ref="B77:B81"/>
    <mergeCell ref="M77:M81"/>
    <mergeCell ref="N77:N81"/>
    <mergeCell ref="D77:G77"/>
    <mergeCell ref="H77:I77"/>
    <mergeCell ref="J77:L77"/>
    <mergeCell ref="D82:G82"/>
    <mergeCell ref="H82:I82"/>
    <mergeCell ref="J82:L82"/>
    <mergeCell ref="O87:O91"/>
    <mergeCell ref="P87:P91"/>
    <mergeCell ref="Q87:Q91"/>
    <mergeCell ref="R87:R91"/>
    <mergeCell ref="A92:A96"/>
    <mergeCell ref="B92:B96"/>
    <mergeCell ref="M92:M96"/>
    <mergeCell ref="N92:N96"/>
    <mergeCell ref="O92:O96"/>
    <mergeCell ref="P92:P96"/>
    <mergeCell ref="Q92:Q96"/>
    <mergeCell ref="R92:R96"/>
    <mergeCell ref="A87:A91"/>
    <mergeCell ref="B87:B91"/>
    <mergeCell ref="M87:M91"/>
    <mergeCell ref="N87:N91"/>
    <mergeCell ref="D87:G87"/>
    <mergeCell ref="H87:I87"/>
    <mergeCell ref="J87:L87"/>
    <mergeCell ref="D92:G92"/>
    <mergeCell ref="H92:I92"/>
    <mergeCell ref="J92:L92"/>
    <mergeCell ref="O97:O101"/>
    <mergeCell ref="P97:P101"/>
    <mergeCell ref="Q97:Q101"/>
    <mergeCell ref="R97:R101"/>
    <mergeCell ref="A102:A106"/>
    <mergeCell ref="B102:B106"/>
    <mergeCell ref="M102:M106"/>
    <mergeCell ref="N102:N106"/>
    <mergeCell ref="O102:O106"/>
    <mergeCell ref="P102:P106"/>
    <mergeCell ref="Q102:Q106"/>
    <mergeCell ref="R102:R106"/>
    <mergeCell ref="A97:A101"/>
    <mergeCell ref="B97:B101"/>
    <mergeCell ref="M97:M101"/>
    <mergeCell ref="N97:N101"/>
    <mergeCell ref="D97:G97"/>
    <mergeCell ref="H97:I97"/>
    <mergeCell ref="J97:L97"/>
    <mergeCell ref="D102:G102"/>
    <mergeCell ref="H102:I102"/>
    <mergeCell ref="J102:L102"/>
    <mergeCell ref="O107:O111"/>
    <mergeCell ref="P107:P111"/>
    <mergeCell ref="Q107:Q111"/>
    <mergeCell ref="R107:R111"/>
    <mergeCell ref="A112:A116"/>
    <mergeCell ref="B112:B116"/>
    <mergeCell ref="M112:M116"/>
    <mergeCell ref="N112:N116"/>
    <mergeCell ref="O112:O116"/>
    <mergeCell ref="P112:P116"/>
    <mergeCell ref="Q112:Q116"/>
    <mergeCell ref="R112:R116"/>
    <mergeCell ref="A107:A111"/>
    <mergeCell ref="B107:B111"/>
    <mergeCell ref="M107:M111"/>
    <mergeCell ref="N107:N111"/>
    <mergeCell ref="D107:G107"/>
    <mergeCell ref="H107:I107"/>
    <mergeCell ref="J107:L107"/>
    <mergeCell ref="D112:G112"/>
    <mergeCell ref="H112:I112"/>
    <mergeCell ref="J112:L112"/>
    <mergeCell ref="O117:O121"/>
    <mergeCell ref="P117:P121"/>
    <mergeCell ref="Q117:Q121"/>
    <mergeCell ref="R117:R121"/>
    <mergeCell ref="A122:A126"/>
    <mergeCell ref="B122:B126"/>
    <mergeCell ref="M122:M126"/>
    <mergeCell ref="N122:N126"/>
    <mergeCell ref="O122:O126"/>
    <mergeCell ref="P122:P126"/>
    <mergeCell ref="Q122:Q126"/>
    <mergeCell ref="R122:R126"/>
    <mergeCell ref="A117:A121"/>
    <mergeCell ref="B117:B121"/>
    <mergeCell ref="M117:M121"/>
    <mergeCell ref="N117:N121"/>
    <mergeCell ref="D117:G117"/>
    <mergeCell ref="H117:I117"/>
    <mergeCell ref="J117:L117"/>
    <mergeCell ref="D122:G122"/>
    <mergeCell ref="H122:I122"/>
    <mergeCell ref="J122:L122"/>
    <mergeCell ref="O127:O131"/>
    <mergeCell ref="P127:P131"/>
    <mergeCell ref="Q127:Q131"/>
    <mergeCell ref="R127:R131"/>
    <mergeCell ref="A132:A136"/>
    <mergeCell ref="B132:B136"/>
    <mergeCell ref="M132:M136"/>
    <mergeCell ref="N132:N136"/>
    <mergeCell ref="O132:O136"/>
    <mergeCell ref="P132:P136"/>
    <mergeCell ref="Q132:Q136"/>
    <mergeCell ref="R132:R136"/>
    <mergeCell ref="A127:A131"/>
    <mergeCell ref="B127:B131"/>
    <mergeCell ref="M127:M131"/>
    <mergeCell ref="N127:N131"/>
    <mergeCell ref="D127:G127"/>
    <mergeCell ref="H127:I127"/>
    <mergeCell ref="J127:L127"/>
    <mergeCell ref="D132:G132"/>
    <mergeCell ref="H132:I132"/>
    <mergeCell ref="J132:L132"/>
    <mergeCell ref="O137:O141"/>
    <mergeCell ref="P137:P141"/>
    <mergeCell ref="Q137:Q141"/>
    <mergeCell ref="R137:R141"/>
    <mergeCell ref="A142:A146"/>
    <mergeCell ref="B142:B146"/>
    <mergeCell ref="M142:M146"/>
    <mergeCell ref="N142:N146"/>
    <mergeCell ref="O142:O146"/>
    <mergeCell ref="P142:P146"/>
    <mergeCell ref="Q142:Q146"/>
    <mergeCell ref="R142:R146"/>
    <mergeCell ref="A137:A141"/>
    <mergeCell ref="B137:B141"/>
    <mergeCell ref="M137:M141"/>
    <mergeCell ref="N137:N141"/>
    <mergeCell ref="D137:G137"/>
    <mergeCell ref="H137:I137"/>
    <mergeCell ref="J137:L137"/>
    <mergeCell ref="D142:G142"/>
    <mergeCell ref="H142:I142"/>
    <mergeCell ref="J142:L142"/>
    <mergeCell ref="O147:O151"/>
    <mergeCell ref="P147:P151"/>
    <mergeCell ref="Q147:Q151"/>
    <mergeCell ref="R147:R151"/>
    <mergeCell ref="A152:A156"/>
    <mergeCell ref="B152:B156"/>
    <mergeCell ref="M152:M156"/>
    <mergeCell ref="N152:N156"/>
    <mergeCell ref="O152:O156"/>
    <mergeCell ref="P152:P156"/>
    <mergeCell ref="Q152:Q156"/>
    <mergeCell ref="R152:R156"/>
    <mergeCell ref="A147:A151"/>
    <mergeCell ref="B147:B151"/>
    <mergeCell ref="M147:M151"/>
    <mergeCell ref="N147:N151"/>
    <mergeCell ref="D147:G147"/>
    <mergeCell ref="H147:I147"/>
    <mergeCell ref="J147:L147"/>
    <mergeCell ref="D152:G152"/>
    <mergeCell ref="H152:I152"/>
    <mergeCell ref="J152:L152"/>
    <mergeCell ref="O157:O161"/>
    <mergeCell ref="P157:P161"/>
    <mergeCell ref="Q157:Q161"/>
    <mergeCell ref="R157:R161"/>
    <mergeCell ref="A162:A166"/>
    <mergeCell ref="B162:B166"/>
    <mergeCell ref="M162:M166"/>
    <mergeCell ref="N162:N166"/>
    <mergeCell ref="O162:O166"/>
    <mergeCell ref="P162:P166"/>
    <mergeCell ref="Q162:Q166"/>
    <mergeCell ref="R162:R166"/>
    <mergeCell ref="A157:A161"/>
    <mergeCell ref="B157:B161"/>
    <mergeCell ref="M157:M161"/>
    <mergeCell ref="N157:N161"/>
    <mergeCell ref="D157:G157"/>
    <mergeCell ref="H157:I157"/>
    <mergeCell ref="J157:L157"/>
    <mergeCell ref="D162:G162"/>
    <mergeCell ref="H162:I162"/>
    <mergeCell ref="J162:L162"/>
    <mergeCell ref="O167:O171"/>
    <mergeCell ref="P167:P171"/>
    <mergeCell ref="Q167:Q171"/>
    <mergeCell ref="R167:R171"/>
    <mergeCell ref="A172:A176"/>
    <mergeCell ref="B172:B176"/>
    <mergeCell ref="M172:M176"/>
    <mergeCell ref="N172:N176"/>
    <mergeCell ref="O172:O176"/>
    <mergeCell ref="P172:P176"/>
    <mergeCell ref="Q172:Q176"/>
    <mergeCell ref="R172:R176"/>
    <mergeCell ref="A167:A171"/>
    <mergeCell ref="B167:B171"/>
    <mergeCell ref="M167:M171"/>
    <mergeCell ref="N167:N171"/>
    <mergeCell ref="D167:G167"/>
    <mergeCell ref="H167:I167"/>
    <mergeCell ref="J167:L167"/>
    <mergeCell ref="D172:G172"/>
    <mergeCell ref="H172:I172"/>
    <mergeCell ref="J172:L172"/>
    <mergeCell ref="O177:O181"/>
    <mergeCell ref="P177:P181"/>
    <mergeCell ref="Q177:Q181"/>
    <mergeCell ref="R177:R181"/>
    <mergeCell ref="A182:A186"/>
    <mergeCell ref="B182:B186"/>
    <mergeCell ref="M182:M186"/>
    <mergeCell ref="N182:N186"/>
    <mergeCell ref="O182:O186"/>
    <mergeCell ref="P182:P186"/>
    <mergeCell ref="Q182:Q186"/>
    <mergeCell ref="R182:R186"/>
    <mergeCell ref="A177:A181"/>
    <mergeCell ref="B177:B181"/>
    <mergeCell ref="M177:M181"/>
    <mergeCell ref="N177:N181"/>
    <mergeCell ref="D177:G177"/>
    <mergeCell ref="H177:I177"/>
    <mergeCell ref="J177:L177"/>
    <mergeCell ref="D182:G182"/>
    <mergeCell ref="H182:I182"/>
    <mergeCell ref="J182:L182"/>
    <mergeCell ref="O187:O191"/>
    <mergeCell ref="P187:P191"/>
    <mergeCell ref="Q187:Q191"/>
    <mergeCell ref="R187:R191"/>
    <mergeCell ref="A192:A196"/>
    <mergeCell ref="B192:B196"/>
    <mergeCell ref="M192:M196"/>
    <mergeCell ref="N192:N196"/>
    <mergeCell ref="O192:O196"/>
    <mergeCell ref="P192:P196"/>
    <mergeCell ref="Q192:Q196"/>
    <mergeCell ref="R192:R196"/>
    <mergeCell ref="A187:A191"/>
    <mergeCell ref="B187:B191"/>
    <mergeCell ref="M187:M191"/>
    <mergeCell ref="N187:N191"/>
    <mergeCell ref="D187:G187"/>
    <mergeCell ref="H187:I187"/>
    <mergeCell ref="J187:L187"/>
    <mergeCell ref="D192:G192"/>
    <mergeCell ref="H192:I192"/>
    <mergeCell ref="J192:L192"/>
    <mergeCell ref="O197:O201"/>
    <mergeCell ref="P197:P201"/>
    <mergeCell ref="Q197:Q201"/>
    <mergeCell ref="R197:R201"/>
    <mergeCell ref="A202:A206"/>
    <mergeCell ref="B202:B206"/>
    <mergeCell ref="M202:M206"/>
    <mergeCell ref="N202:N206"/>
    <mergeCell ref="O202:O206"/>
    <mergeCell ref="P202:P206"/>
    <mergeCell ref="Q202:Q206"/>
    <mergeCell ref="R202:R206"/>
    <mergeCell ref="A197:A201"/>
    <mergeCell ref="B197:B201"/>
    <mergeCell ref="M197:M201"/>
    <mergeCell ref="N197:N201"/>
    <mergeCell ref="D197:G197"/>
    <mergeCell ref="H197:I197"/>
    <mergeCell ref="J197:L197"/>
    <mergeCell ref="D202:G202"/>
    <mergeCell ref="H202:I202"/>
    <mergeCell ref="J202:L202"/>
    <mergeCell ref="O207:O211"/>
    <mergeCell ref="P207:P211"/>
    <mergeCell ref="Q207:Q211"/>
    <mergeCell ref="R207:R211"/>
    <mergeCell ref="A212:A216"/>
    <mergeCell ref="B212:B216"/>
    <mergeCell ref="M212:M216"/>
    <mergeCell ref="N212:N216"/>
    <mergeCell ref="O212:O216"/>
    <mergeCell ref="P212:P216"/>
    <mergeCell ref="Q212:Q216"/>
    <mergeCell ref="R212:R216"/>
    <mergeCell ref="A207:A211"/>
    <mergeCell ref="B207:B211"/>
    <mergeCell ref="M207:M211"/>
    <mergeCell ref="N207:N211"/>
    <mergeCell ref="D207:G207"/>
    <mergeCell ref="H207:I207"/>
    <mergeCell ref="J207:L207"/>
    <mergeCell ref="D212:G212"/>
    <mergeCell ref="H212:I212"/>
    <mergeCell ref="J212:L212"/>
    <mergeCell ref="O217:O221"/>
    <mergeCell ref="P217:P221"/>
    <mergeCell ref="Q217:Q221"/>
    <mergeCell ref="R217:R221"/>
    <mergeCell ref="A222:A226"/>
    <mergeCell ref="B222:B226"/>
    <mergeCell ref="M222:M226"/>
    <mergeCell ref="N222:N226"/>
    <mergeCell ref="O222:O226"/>
    <mergeCell ref="P222:P226"/>
    <mergeCell ref="Q222:Q226"/>
    <mergeCell ref="R222:R226"/>
    <mergeCell ref="A217:A221"/>
    <mergeCell ref="B217:B221"/>
    <mergeCell ref="M217:M221"/>
    <mergeCell ref="N217:N221"/>
    <mergeCell ref="D217:G217"/>
    <mergeCell ref="H217:I217"/>
    <mergeCell ref="J217:L217"/>
    <mergeCell ref="D222:G222"/>
    <mergeCell ref="H222:I222"/>
    <mergeCell ref="J222:L222"/>
    <mergeCell ref="O227:O231"/>
    <mergeCell ref="P227:P231"/>
    <mergeCell ref="Q227:Q231"/>
    <mergeCell ref="R227:R231"/>
    <mergeCell ref="A232:A236"/>
    <mergeCell ref="B232:B236"/>
    <mergeCell ref="M232:M236"/>
    <mergeCell ref="N232:N236"/>
    <mergeCell ref="O232:O236"/>
    <mergeCell ref="P232:P236"/>
    <mergeCell ref="Q232:Q236"/>
    <mergeCell ref="R232:R236"/>
    <mergeCell ref="A227:A231"/>
    <mergeCell ref="B227:B231"/>
    <mergeCell ref="M227:M231"/>
    <mergeCell ref="N227:N231"/>
    <mergeCell ref="D227:G227"/>
    <mergeCell ref="H227:I227"/>
    <mergeCell ref="J227:L227"/>
    <mergeCell ref="D232:G232"/>
    <mergeCell ref="H232:I232"/>
    <mergeCell ref="J232:L232"/>
    <mergeCell ref="O237:O241"/>
    <mergeCell ref="P237:P241"/>
    <mergeCell ref="Q237:Q241"/>
    <mergeCell ref="R237:R241"/>
    <mergeCell ref="A242:A246"/>
    <mergeCell ref="B242:B246"/>
    <mergeCell ref="M242:M246"/>
    <mergeCell ref="N242:N246"/>
    <mergeCell ref="O242:O246"/>
    <mergeCell ref="P242:P246"/>
    <mergeCell ref="Q242:Q246"/>
    <mergeCell ref="R242:R246"/>
    <mergeCell ref="A237:A241"/>
    <mergeCell ref="B237:B241"/>
    <mergeCell ref="M237:M241"/>
    <mergeCell ref="N237:N241"/>
    <mergeCell ref="D237:G237"/>
    <mergeCell ref="H237:I237"/>
    <mergeCell ref="J237:L237"/>
    <mergeCell ref="D242:G242"/>
    <mergeCell ref="H242:I242"/>
    <mergeCell ref="J242:L242"/>
    <mergeCell ref="O247:O251"/>
    <mergeCell ref="P247:P251"/>
    <mergeCell ref="Q247:Q251"/>
    <mergeCell ref="R247:R251"/>
    <mergeCell ref="A252:A256"/>
    <mergeCell ref="B252:B256"/>
    <mergeCell ref="M252:M256"/>
    <mergeCell ref="N252:N256"/>
    <mergeCell ref="O252:O256"/>
    <mergeCell ref="P252:P256"/>
    <mergeCell ref="Q252:Q256"/>
    <mergeCell ref="R252:R256"/>
    <mergeCell ref="A247:A251"/>
    <mergeCell ref="B247:B251"/>
    <mergeCell ref="M247:M251"/>
    <mergeCell ref="N247:N251"/>
    <mergeCell ref="D247:G247"/>
    <mergeCell ref="H247:I247"/>
    <mergeCell ref="J247:L247"/>
    <mergeCell ref="D252:G252"/>
    <mergeCell ref="H252:I252"/>
    <mergeCell ref="J252:L252"/>
    <mergeCell ref="O257:O261"/>
    <mergeCell ref="P257:P261"/>
    <mergeCell ref="Q257:Q261"/>
    <mergeCell ref="R257:R261"/>
    <mergeCell ref="A262:A266"/>
    <mergeCell ref="B262:B266"/>
    <mergeCell ref="M262:M266"/>
    <mergeCell ref="N262:N266"/>
    <mergeCell ref="O262:O266"/>
    <mergeCell ref="P262:P266"/>
    <mergeCell ref="Q262:Q266"/>
    <mergeCell ref="R262:R266"/>
    <mergeCell ref="A257:A261"/>
    <mergeCell ref="B257:B261"/>
    <mergeCell ref="M257:M261"/>
    <mergeCell ref="N257:N261"/>
    <mergeCell ref="D257:G257"/>
    <mergeCell ref="H257:I257"/>
    <mergeCell ref="J257:L257"/>
    <mergeCell ref="D262:G262"/>
    <mergeCell ref="H262:I262"/>
    <mergeCell ref="J262:L262"/>
    <mergeCell ref="O267:O271"/>
    <mergeCell ref="P267:P271"/>
    <mergeCell ref="Q267:Q271"/>
    <mergeCell ref="R267:R271"/>
    <mergeCell ref="A272:A276"/>
    <mergeCell ref="B272:B276"/>
    <mergeCell ref="M272:M276"/>
    <mergeCell ref="N272:N276"/>
    <mergeCell ref="O272:O276"/>
    <mergeCell ref="P272:P276"/>
    <mergeCell ref="Q272:Q276"/>
    <mergeCell ref="R272:R276"/>
    <mergeCell ref="A267:A271"/>
    <mergeCell ref="B267:B271"/>
    <mergeCell ref="M267:M271"/>
    <mergeCell ref="N267:N271"/>
    <mergeCell ref="D267:G267"/>
    <mergeCell ref="H267:I267"/>
    <mergeCell ref="J267:L267"/>
    <mergeCell ref="D272:G272"/>
    <mergeCell ref="H272:I272"/>
    <mergeCell ref="J272:L272"/>
    <mergeCell ref="O277:O281"/>
    <mergeCell ref="P277:P281"/>
    <mergeCell ref="Q277:Q281"/>
    <mergeCell ref="R277:R281"/>
    <mergeCell ref="A282:A286"/>
    <mergeCell ref="B282:B286"/>
    <mergeCell ref="M282:M286"/>
    <mergeCell ref="N282:N286"/>
    <mergeCell ref="O282:O286"/>
    <mergeCell ref="P282:P286"/>
    <mergeCell ref="Q282:Q286"/>
    <mergeCell ref="R282:R286"/>
    <mergeCell ref="A277:A281"/>
    <mergeCell ref="B277:B281"/>
    <mergeCell ref="M277:M281"/>
    <mergeCell ref="N277:N281"/>
    <mergeCell ref="D277:G277"/>
    <mergeCell ref="H277:I277"/>
    <mergeCell ref="J277:L277"/>
    <mergeCell ref="D282:G282"/>
    <mergeCell ref="H282:I282"/>
    <mergeCell ref="J282:L282"/>
    <mergeCell ref="O287:O291"/>
    <mergeCell ref="P287:P291"/>
    <mergeCell ref="Q287:Q291"/>
    <mergeCell ref="R287:R291"/>
    <mergeCell ref="A292:A296"/>
    <mergeCell ref="B292:B296"/>
    <mergeCell ref="M292:M296"/>
    <mergeCell ref="N292:N296"/>
    <mergeCell ref="O292:O296"/>
    <mergeCell ref="P292:P296"/>
    <mergeCell ref="Q292:Q296"/>
    <mergeCell ref="R292:R296"/>
    <mergeCell ref="A287:A291"/>
    <mergeCell ref="B287:B291"/>
    <mergeCell ref="M287:M291"/>
    <mergeCell ref="N287:N291"/>
    <mergeCell ref="D287:G287"/>
    <mergeCell ref="H287:I287"/>
    <mergeCell ref="J287:L287"/>
    <mergeCell ref="D292:G292"/>
    <mergeCell ref="H292:I292"/>
    <mergeCell ref="J292:L292"/>
    <mergeCell ref="O297:O301"/>
    <mergeCell ref="P297:P301"/>
    <mergeCell ref="Q297:Q301"/>
    <mergeCell ref="R297:R301"/>
    <mergeCell ref="A302:A306"/>
    <mergeCell ref="B302:B306"/>
    <mergeCell ref="M302:M306"/>
    <mergeCell ref="N302:N306"/>
    <mergeCell ref="O302:O306"/>
    <mergeCell ref="P302:P306"/>
    <mergeCell ref="Q302:Q306"/>
    <mergeCell ref="R302:R306"/>
    <mergeCell ref="A297:A301"/>
    <mergeCell ref="B297:B301"/>
    <mergeCell ref="M297:M301"/>
    <mergeCell ref="N297:N301"/>
    <mergeCell ref="D297:G297"/>
    <mergeCell ref="H297:I297"/>
    <mergeCell ref="J297:L297"/>
    <mergeCell ref="D302:G302"/>
    <mergeCell ref="H302:I302"/>
    <mergeCell ref="J302:L302"/>
    <mergeCell ref="O307:O311"/>
    <mergeCell ref="P307:P311"/>
    <mergeCell ref="Q307:Q311"/>
    <mergeCell ref="R307:R311"/>
    <mergeCell ref="A312:A316"/>
    <mergeCell ref="B312:B316"/>
    <mergeCell ref="M312:M316"/>
    <mergeCell ref="N312:N316"/>
    <mergeCell ref="O312:O316"/>
    <mergeCell ref="P312:P316"/>
    <mergeCell ref="Q312:Q316"/>
    <mergeCell ref="R312:R316"/>
    <mergeCell ref="A307:A311"/>
    <mergeCell ref="B307:B311"/>
    <mergeCell ref="M307:M311"/>
    <mergeCell ref="N307:N311"/>
    <mergeCell ref="D307:G307"/>
    <mergeCell ref="H307:I307"/>
    <mergeCell ref="J307:L307"/>
    <mergeCell ref="D312:G312"/>
    <mergeCell ref="H312:I312"/>
    <mergeCell ref="J312:L312"/>
    <mergeCell ref="O317:O321"/>
    <mergeCell ref="P317:P321"/>
    <mergeCell ref="Q317:Q321"/>
    <mergeCell ref="R317:R321"/>
    <mergeCell ref="A322:A326"/>
    <mergeCell ref="B322:B326"/>
    <mergeCell ref="M322:M326"/>
    <mergeCell ref="N322:N326"/>
    <mergeCell ref="O322:O326"/>
    <mergeCell ref="P322:P326"/>
    <mergeCell ref="Q322:Q326"/>
    <mergeCell ref="R322:R326"/>
    <mergeCell ref="A317:A321"/>
    <mergeCell ref="B317:B321"/>
    <mergeCell ref="M317:M321"/>
    <mergeCell ref="N317:N321"/>
    <mergeCell ref="D317:G317"/>
    <mergeCell ref="H317:I317"/>
    <mergeCell ref="J317:L317"/>
    <mergeCell ref="D322:G322"/>
    <mergeCell ref="H322:I322"/>
    <mergeCell ref="J322:L322"/>
    <mergeCell ref="O327:O331"/>
    <mergeCell ref="P327:P331"/>
    <mergeCell ref="Q327:Q331"/>
    <mergeCell ref="R327:R331"/>
    <mergeCell ref="A332:A336"/>
    <mergeCell ref="B332:B336"/>
    <mergeCell ref="M332:M336"/>
    <mergeCell ref="N332:N336"/>
    <mergeCell ref="O332:O336"/>
    <mergeCell ref="P332:P336"/>
    <mergeCell ref="Q332:Q336"/>
    <mergeCell ref="R332:R336"/>
    <mergeCell ref="A327:A331"/>
    <mergeCell ref="B327:B331"/>
    <mergeCell ref="M327:M331"/>
    <mergeCell ref="N327:N331"/>
    <mergeCell ref="D327:G327"/>
    <mergeCell ref="H327:I327"/>
    <mergeCell ref="J327:L327"/>
    <mergeCell ref="D332:G332"/>
    <mergeCell ref="H332:I332"/>
    <mergeCell ref="J332:L332"/>
    <mergeCell ref="O337:O341"/>
    <mergeCell ref="P337:P341"/>
    <mergeCell ref="Q337:Q341"/>
    <mergeCell ref="R337:R341"/>
    <mergeCell ref="A342:A346"/>
    <mergeCell ref="B342:B346"/>
    <mergeCell ref="M342:M346"/>
    <mergeCell ref="N342:N346"/>
    <mergeCell ref="O342:O346"/>
    <mergeCell ref="P342:P346"/>
    <mergeCell ref="Q342:Q346"/>
    <mergeCell ref="R342:R346"/>
    <mergeCell ref="A337:A341"/>
    <mergeCell ref="B337:B341"/>
    <mergeCell ref="M337:M341"/>
    <mergeCell ref="N337:N341"/>
    <mergeCell ref="D337:G337"/>
    <mergeCell ref="H337:I337"/>
    <mergeCell ref="J337:L337"/>
    <mergeCell ref="D342:G342"/>
    <mergeCell ref="H342:I342"/>
    <mergeCell ref="J342:L342"/>
    <mergeCell ref="O347:O351"/>
    <mergeCell ref="P347:P351"/>
    <mergeCell ref="Q347:Q351"/>
    <mergeCell ref="R347:R351"/>
    <mergeCell ref="A352:A356"/>
    <mergeCell ref="B352:B356"/>
    <mergeCell ref="M352:M356"/>
    <mergeCell ref="N352:N356"/>
    <mergeCell ref="O352:O356"/>
    <mergeCell ref="P352:P356"/>
    <mergeCell ref="Q352:Q356"/>
    <mergeCell ref="R352:R356"/>
    <mergeCell ref="A347:A351"/>
    <mergeCell ref="B347:B351"/>
    <mergeCell ref="M347:M351"/>
    <mergeCell ref="N347:N351"/>
    <mergeCell ref="D347:G347"/>
    <mergeCell ref="H347:I347"/>
    <mergeCell ref="J347:L347"/>
    <mergeCell ref="D352:G352"/>
    <mergeCell ref="H352:I352"/>
    <mergeCell ref="J352:L352"/>
    <mergeCell ref="O357:O361"/>
    <mergeCell ref="P357:P361"/>
    <mergeCell ref="Q357:Q361"/>
    <mergeCell ref="R357:R361"/>
    <mergeCell ref="A362:A366"/>
    <mergeCell ref="B362:B366"/>
    <mergeCell ref="M362:M366"/>
    <mergeCell ref="N362:N366"/>
    <mergeCell ref="O362:O366"/>
    <mergeCell ref="P362:P366"/>
    <mergeCell ref="Q362:Q366"/>
    <mergeCell ref="R362:R366"/>
    <mergeCell ref="A357:A361"/>
    <mergeCell ref="B357:B361"/>
    <mergeCell ref="M357:M361"/>
    <mergeCell ref="N357:N361"/>
    <mergeCell ref="D357:G357"/>
    <mergeCell ref="H357:I357"/>
    <mergeCell ref="J357:L357"/>
    <mergeCell ref="D362:G362"/>
    <mergeCell ref="H362:I362"/>
    <mergeCell ref="J362:L362"/>
    <mergeCell ref="O367:O371"/>
    <mergeCell ref="P367:P371"/>
    <mergeCell ref="Q367:Q371"/>
    <mergeCell ref="R367:R371"/>
    <mergeCell ref="A372:A376"/>
    <mergeCell ref="B372:B376"/>
    <mergeCell ref="M372:M376"/>
    <mergeCell ref="N372:N376"/>
    <mergeCell ref="O372:O376"/>
    <mergeCell ref="P372:P376"/>
    <mergeCell ref="Q372:Q376"/>
    <mergeCell ref="R372:R376"/>
    <mergeCell ref="A367:A371"/>
    <mergeCell ref="B367:B371"/>
    <mergeCell ref="M367:M371"/>
    <mergeCell ref="N367:N371"/>
    <mergeCell ref="D367:G367"/>
    <mergeCell ref="H367:I367"/>
    <mergeCell ref="J367:L367"/>
    <mergeCell ref="D372:G372"/>
    <mergeCell ref="H372:I372"/>
    <mergeCell ref="J372:L372"/>
    <mergeCell ref="O377:O381"/>
    <mergeCell ref="P377:P381"/>
    <mergeCell ref="Q377:Q381"/>
    <mergeCell ref="R377:R381"/>
    <mergeCell ref="A382:A386"/>
    <mergeCell ref="B382:B386"/>
    <mergeCell ref="M382:M386"/>
    <mergeCell ref="N382:N386"/>
    <mergeCell ref="O382:O386"/>
    <mergeCell ref="P382:P386"/>
    <mergeCell ref="Q382:Q386"/>
    <mergeCell ref="R382:R386"/>
    <mergeCell ref="A377:A381"/>
    <mergeCell ref="B377:B381"/>
    <mergeCell ref="M377:M381"/>
    <mergeCell ref="N377:N381"/>
    <mergeCell ref="D377:G377"/>
    <mergeCell ref="H377:I377"/>
    <mergeCell ref="J377:L377"/>
    <mergeCell ref="D382:G382"/>
    <mergeCell ref="H382:I382"/>
    <mergeCell ref="J382:L382"/>
    <mergeCell ref="O387:O391"/>
    <mergeCell ref="P387:P391"/>
    <mergeCell ref="Q387:Q391"/>
    <mergeCell ref="R387:R391"/>
    <mergeCell ref="A392:A396"/>
    <mergeCell ref="B392:B396"/>
    <mergeCell ref="M392:M396"/>
    <mergeCell ref="N392:N396"/>
    <mergeCell ref="O392:O396"/>
    <mergeCell ref="P392:P396"/>
    <mergeCell ref="Q392:Q396"/>
    <mergeCell ref="R392:R396"/>
    <mergeCell ref="A387:A391"/>
    <mergeCell ref="B387:B391"/>
    <mergeCell ref="M387:M391"/>
    <mergeCell ref="N387:N391"/>
    <mergeCell ref="D387:G387"/>
    <mergeCell ref="H387:I387"/>
    <mergeCell ref="J387:L387"/>
    <mergeCell ref="D392:G392"/>
    <mergeCell ref="H392:I392"/>
    <mergeCell ref="J392:L392"/>
    <mergeCell ref="O397:O401"/>
    <mergeCell ref="P397:P401"/>
    <mergeCell ref="Q397:Q401"/>
    <mergeCell ref="R397:R401"/>
    <mergeCell ref="A402:A406"/>
    <mergeCell ref="B402:B406"/>
    <mergeCell ref="M402:M406"/>
    <mergeCell ref="N402:N406"/>
    <mergeCell ref="O402:O406"/>
    <mergeCell ref="P402:P406"/>
    <mergeCell ref="Q402:Q406"/>
    <mergeCell ref="R402:R406"/>
    <mergeCell ref="A397:A401"/>
    <mergeCell ref="B397:B401"/>
    <mergeCell ref="M397:M401"/>
    <mergeCell ref="N397:N401"/>
    <mergeCell ref="D397:G397"/>
    <mergeCell ref="H397:I397"/>
    <mergeCell ref="J397:L397"/>
    <mergeCell ref="D402:G402"/>
    <mergeCell ref="H402:I402"/>
    <mergeCell ref="J402:L402"/>
    <mergeCell ref="O407:O411"/>
    <mergeCell ref="P407:P411"/>
    <mergeCell ref="Q407:Q411"/>
    <mergeCell ref="R407:R411"/>
    <mergeCell ref="A412:A416"/>
    <mergeCell ref="B412:B416"/>
    <mergeCell ref="M412:M416"/>
    <mergeCell ref="N412:N416"/>
    <mergeCell ref="O412:O416"/>
    <mergeCell ref="P412:P416"/>
    <mergeCell ref="Q412:Q416"/>
    <mergeCell ref="R412:R416"/>
    <mergeCell ref="A407:A411"/>
    <mergeCell ref="B407:B411"/>
    <mergeCell ref="M407:M411"/>
    <mergeCell ref="N407:N411"/>
    <mergeCell ref="D407:G407"/>
    <mergeCell ref="H407:I407"/>
    <mergeCell ref="J407:L407"/>
    <mergeCell ref="D412:G412"/>
    <mergeCell ref="H412:I412"/>
    <mergeCell ref="J412:L412"/>
    <mergeCell ref="O417:O421"/>
    <mergeCell ref="P417:P421"/>
    <mergeCell ref="Q417:Q421"/>
    <mergeCell ref="R417:R421"/>
    <mergeCell ref="A422:A426"/>
    <mergeCell ref="B422:B426"/>
    <mergeCell ref="M422:M426"/>
    <mergeCell ref="N422:N426"/>
    <mergeCell ref="O422:O426"/>
    <mergeCell ref="P422:P426"/>
    <mergeCell ref="Q422:Q426"/>
    <mergeCell ref="R422:R426"/>
    <mergeCell ref="A417:A421"/>
    <mergeCell ref="B417:B421"/>
    <mergeCell ref="M417:M421"/>
    <mergeCell ref="N417:N421"/>
    <mergeCell ref="D417:G417"/>
    <mergeCell ref="H417:I417"/>
    <mergeCell ref="J417:L417"/>
    <mergeCell ref="D422:G422"/>
    <mergeCell ref="H422:I422"/>
    <mergeCell ref="J422:L422"/>
    <mergeCell ref="O427:O431"/>
    <mergeCell ref="P427:P431"/>
    <mergeCell ref="Q427:Q431"/>
    <mergeCell ref="R427:R431"/>
    <mergeCell ref="A432:A436"/>
    <mergeCell ref="B432:B436"/>
    <mergeCell ref="M432:M436"/>
    <mergeCell ref="N432:N436"/>
    <mergeCell ref="O432:O436"/>
    <mergeCell ref="P432:P436"/>
    <mergeCell ref="Q432:Q436"/>
    <mergeCell ref="R432:R436"/>
    <mergeCell ref="A427:A431"/>
    <mergeCell ref="B427:B431"/>
    <mergeCell ref="M427:M431"/>
    <mergeCell ref="N427:N431"/>
    <mergeCell ref="D427:G427"/>
    <mergeCell ref="H427:I427"/>
    <mergeCell ref="J427:L427"/>
    <mergeCell ref="D432:G432"/>
    <mergeCell ref="H432:I432"/>
    <mergeCell ref="J432:L432"/>
    <mergeCell ref="O437:O441"/>
    <mergeCell ref="P437:P441"/>
    <mergeCell ref="Q437:Q441"/>
    <mergeCell ref="R437:R441"/>
    <mergeCell ref="A442:A446"/>
    <mergeCell ref="B442:B446"/>
    <mergeCell ref="M442:M446"/>
    <mergeCell ref="N442:N446"/>
    <mergeCell ref="O442:O446"/>
    <mergeCell ref="P442:P446"/>
    <mergeCell ref="Q442:Q446"/>
    <mergeCell ref="R442:R446"/>
    <mergeCell ref="A437:A441"/>
    <mergeCell ref="B437:B441"/>
    <mergeCell ref="M437:M441"/>
    <mergeCell ref="N437:N441"/>
    <mergeCell ref="D437:G437"/>
    <mergeCell ref="H437:I437"/>
    <mergeCell ref="J437:L437"/>
    <mergeCell ref="D442:G442"/>
    <mergeCell ref="H442:I442"/>
    <mergeCell ref="J442:L442"/>
    <mergeCell ref="O447:O451"/>
    <mergeCell ref="P447:P451"/>
    <mergeCell ref="Q447:Q451"/>
    <mergeCell ref="R447:R451"/>
    <mergeCell ref="A452:A456"/>
    <mergeCell ref="B452:B456"/>
    <mergeCell ref="M452:M456"/>
    <mergeCell ref="N452:N456"/>
    <mergeCell ref="O452:O456"/>
    <mergeCell ref="P452:P456"/>
    <mergeCell ref="Q452:Q456"/>
    <mergeCell ref="R452:R456"/>
    <mergeCell ref="A447:A451"/>
    <mergeCell ref="B447:B451"/>
    <mergeCell ref="M447:M451"/>
    <mergeCell ref="N447:N451"/>
    <mergeCell ref="D447:G447"/>
    <mergeCell ref="H447:I447"/>
    <mergeCell ref="J447:L447"/>
    <mergeCell ref="D452:G452"/>
    <mergeCell ref="H452:I452"/>
    <mergeCell ref="J452:L452"/>
    <mergeCell ref="O457:O461"/>
    <mergeCell ref="P457:P461"/>
    <mergeCell ref="Q457:Q461"/>
    <mergeCell ref="R457:R461"/>
    <mergeCell ref="A462:A466"/>
    <mergeCell ref="B462:B466"/>
    <mergeCell ref="M462:M466"/>
    <mergeCell ref="N462:N466"/>
    <mergeCell ref="O462:O466"/>
    <mergeCell ref="P462:P466"/>
    <mergeCell ref="Q462:Q466"/>
    <mergeCell ref="R462:R466"/>
    <mergeCell ref="A457:A461"/>
    <mergeCell ref="B457:B461"/>
    <mergeCell ref="M457:M461"/>
    <mergeCell ref="N457:N461"/>
    <mergeCell ref="D457:G457"/>
    <mergeCell ref="H457:I457"/>
    <mergeCell ref="J457:L457"/>
    <mergeCell ref="D462:G462"/>
    <mergeCell ref="H462:I462"/>
    <mergeCell ref="J462:L462"/>
    <mergeCell ref="O477:O481"/>
    <mergeCell ref="P477:P481"/>
    <mergeCell ref="Q477:Q481"/>
    <mergeCell ref="R477:R481"/>
    <mergeCell ref="A477:A481"/>
    <mergeCell ref="B477:B481"/>
    <mergeCell ref="M477:M481"/>
    <mergeCell ref="N477:N481"/>
    <mergeCell ref="O467:O471"/>
    <mergeCell ref="P467:P471"/>
    <mergeCell ref="Q467:Q471"/>
    <mergeCell ref="R467:R471"/>
    <mergeCell ref="A472:A476"/>
    <mergeCell ref="B472:B476"/>
    <mergeCell ref="M472:M476"/>
    <mergeCell ref="N472:N476"/>
    <mergeCell ref="O472:O476"/>
    <mergeCell ref="P472:P476"/>
    <mergeCell ref="Q472:Q476"/>
    <mergeCell ref="R472:R476"/>
    <mergeCell ref="A467:A471"/>
    <mergeCell ref="B467:B471"/>
    <mergeCell ref="M467:M471"/>
    <mergeCell ref="N467:N471"/>
    <mergeCell ref="D467:G467"/>
    <mergeCell ref="H467:I467"/>
    <mergeCell ref="J467:L467"/>
    <mergeCell ref="D472:G472"/>
    <mergeCell ref="H472:I472"/>
    <mergeCell ref="J472:L472"/>
    <mergeCell ref="D477:G477"/>
    <mergeCell ref="H477:I477"/>
  </mergeCells>
  <conditionalFormatting sqref="C3:C6">
    <cfRule type="cellIs" dxfId="835" priority="1963" stopIfTrue="1" operator="equal">
      <formula>"reserved"</formula>
    </cfRule>
  </conditionalFormatting>
  <conditionalFormatting sqref="C8:C11">
    <cfRule type="cellIs" dxfId="834" priority="835" stopIfTrue="1" operator="equal">
      <formula>"reserved"</formula>
    </cfRule>
  </conditionalFormatting>
  <conditionalFormatting sqref="C13:C16">
    <cfRule type="cellIs" dxfId="833" priority="834" stopIfTrue="1" operator="equal">
      <formula>"reserved"</formula>
    </cfRule>
  </conditionalFormatting>
  <conditionalFormatting sqref="C18:C21">
    <cfRule type="cellIs" dxfId="832" priority="833" stopIfTrue="1" operator="equal">
      <formula>"reserved"</formula>
    </cfRule>
  </conditionalFormatting>
  <conditionalFormatting sqref="C23:C26">
    <cfRule type="cellIs" dxfId="831" priority="832" stopIfTrue="1" operator="equal">
      <formula>"reserved"</formula>
    </cfRule>
  </conditionalFormatting>
  <conditionalFormatting sqref="C28:C31">
    <cfRule type="cellIs" dxfId="830" priority="831" stopIfTrue="1" operator="equal">
      <formula>"reserved"</formula>
    </cfRule>
  </conditionalFormatting>
  <conditionalFormatting sqref="C33:C36">
    <cfRule type="cellIs" dxfId="829" priority="830" stopIfTrue="1" operator="equal">
      <formula>"reserved"</formula>
    </cfRule>
  </conditionalFormatting>
  <conditionalFormatting sqref="C38:C41">
    <cfRule type="cellIs" dxfId="828" priority="829" stopIfTrue="1" operator="equal">
      <formula>"reserved"</formula>
    </cfRule>
  </conditionalFormatting>
  <conditionalFormatting sqref="C43:C46">
    <cfRule type="cellIs" dxfId="827" priority="828" stopIfTrue="1" operator="equal">
      <formula>"reserved"</formula>
    </cfRule>
  </conditionalFormatting>
  <conditionalFormatting sqref="C48:C51">
    <cfRule type="cellIs" dxfId="826" priority="827" stopIfTrue="1" operator="equal">
      <formula>"reserved"</formula>
    </cfRule>
  </conditionalFormatting>
  <conditionalFormatting sqref="C53:C56">
    <cfRule type="cellIs" dxfId="825" priority="826" stopIfTrue="1" operator="equal">
      <formula>"reserved"</formula>
    </cfRule>
  </conditionalFormatting>
  <conditionalFormatting sqref="C58:C61">
    <cfRule type="cellIs" dxfId="824" priority="825" stopIfTrue="1" operator="equal">
      <formula>"reserved"</formula>
    </cfRule>
  </conditionalFormatting>
  <conditionalFormatting sqref="C63:C66">
    <cfRule type="cellIs" dxfId="823" priority="824" stopIfTrue="1" operator="equal">
      <formula>"reserved"</formula>
    </cfRule>
  </conditionalFormatting>
  <conditionalFormatting sqref="C68:C71">
    <cfRule type="cellIs" dxfId="822" priority="823" stopIfTrue="1" operator="equal">
      <formula>"reserved"</formula>
    </cfRule>
  </conditionalFormatting>
  <conditionalFormatting sqref="C73:C76">
    <cfRule type="cellIs" dxfId="821" priority="822" stopIfTrue="1" operator="equal">
      <formula>"reserved"</formula>
    </cfRule>
  </conditionalFormatting>
  <conditionalFormatting sqref="C78:C81">
    <cfRule type="cellIs" dxfId="820" priority="821" stopIfTrue="1" operator="equal">
      <formula>"reserved"</formula>
    </cfRule>
  </conditionalFormatting>
  <conditionalFormatting sqref="C83:C86">
    <cfRule type="cellIs" dxfId="819" priority="820" stopIfTrue="1" operator="equal">
      <formula>"reserved"</formula>
    </cfRule>
  </conditionalFormatting>
  <conditionalFormatting sqref="C88:C91">
    <cfRule type="cellIs" dxfId="818" priority="819" stopIfTrue="1" operator="equal">
      <formula>"reserved"</formula>
    </cfRule>
  </conditionalFormatting>
  <conditionalFormatting sqref="C93:C96">
    <cfRule type="cellIs" dxfId="817" priority="818" stopIfTrue="1" operator="equal">
      <formula>"reserved"</formula>
    </cfRule>
  </conditionalFormatting>
  <conditionalFormatting sqref="C98:C101">
    <cfRule type="cellIs" dxfId="816" priority="817" stopIfTrue="1" operator="equal">
      <formula>"reserved"</formula>
    </cfRule>
  </conditionalFormatting>
  <conditionalFormatting sqref="C103:C106">
    <cfRule type="cellIs" dxfId="815" priority="816" stopIfTrue="1" operator="equal">
      <formula>"reserved"</formula>
    </cfRule>
  </conditionalFormatting>
  <conditionalFormatting sqref="C108:C111">
    <cfRule type="cellIs" dxfId="814" priority="815" stopIfTrue="1" operator="equal">
      <formula>"reserved"</formula>
    </cfRule>
  </conditionalFormatting>
  <conditionalFormatting sqref="C113:C116">
    <cfRule type="cellIs" dxfId="813" priority="814" stopIfTrue="1" operator="equal">
      <formula>"reserved"</formula>
    </cfRule>
  </conditionalFormatting>
  <conditionalFormatting sqref="C118:C121">
    <cfRule type="cellIs" dxfId="812" priority="813" stopIfTrue="1" operator="equal">
      <formula>"reserved"</formula>
    </cfRule>
  </conditionalFormatting>
  <conditionalFormatting sqref="C123:C126">
    <cfRule type="cellIs" dxfId="811" priority="812" stopIfTrue="1" operator="equal">
      <formula>"reserved"</formula>
    </cfRule>
  </conditionalFormatting>
  <conditionalFormatting sqref="C128:C131">
    <cfRule type="cellIs" dxfId="810" priority="811" stopIfTrue="1" operator="equal">
      <formula>"reserved"</formula>
    </cfRule>
  </conditionalFormatting>
  <conditionalFormatting sqref="C133:C136">
    <cfRule type="cellIs" dxfId="809" priority="810" stopIfTrue="1" operator="equal">
      <formula>"reserved"</formula>
    </cfRule>
  </conditionalFormatting>
  <conditionalFormatting sqref="C138:C141">
    <cfRule type="cellIs" dxfId="808" priority="809" stopIfTrue="1" operator="equal">
      <formula>"reserved"</formula>
    </cfRule>
  </conditionalFormatting>
  <conditionalFormatting sqref="C143:C146">
    <cfRule type="cellIs" dxfId="807" priority="808" stopIfTrue="1" operator="equal">
      <formula>"reserved"</formula>
    </cfRule>
  </conditionalFormatting>
  <conditionalFormatting sqref="C148:C151">
    <cfRule type="cellIs" dxfId="806" priority="807" stopIfTrue="1" operator="equal">
      <formula>"reserved"</formula>
    </cfRule>
  </conditionalFormatting>
  <conditionalFormatting sqref="C153:C156">
    <cfRule type="cellIs" dxfId="805" priority="806" stopIfTrue="1" operator="equal">
      <formula>"reserved"</formula>
    </cfRule>
  </conditionalFormatting>
  <conditionalFormatting sqref="C158:C161">
    <cfRule type="cellIs" dxfId="804" priority="805" stopIfTrue="1" operator="equal">
      <formula>"reserved"</formula>
    </cfRule>
  </conditionalFormatting>
  <conditionalFormatting sqref="C163:C166">
    <cfRule type="cellIs" dxfId="803" priority="804" stopIfTrue="1" operator="equal">
      <formula>"reserved"</formula>
    </cfRule>
  </conditionalFormatting>
  <conditionalFormatting sqref="C168:C171">
    <cfRule type="cellIs" dxfId="802" priority="803" stopIfTrue="1" operator="equal">
      <formula>"reserved"</formula>
    </cfRule>
  </conditionalFormatting>
  <conditionalFormatting sqref="C173:C176">
    <cfRule type="cellIs" dxfId="801" priority="802" stopIfTrue="1" operator="equal">
      <formula>"reserved"</formula>
    </cfRule>
  </conditionalFormatting>
  <conditionalFormatting sqref="C178:C181">
    <cfRule type="cellIs" dxfId="800" priority="801" stopIfTrue="1" operator="equal">
      <formula>"reserved"</formula>
    </cfRule>
  </conditionalFormatting>
  <conditionalFormatting sqref="C183:C186">
    <cfRule type="cellIs" dxfId="799" priority="800" stopIfTrue="1" operator="equal">
      <formula>"reserved"</formula>
    </cfRule>
  </conditionalFormatting>
  <conditionalFormatting sqref="C188:C191">
    <cfRule type="cellIs" dxfId="798" priority="799" stopIfTrue="1" operator="equal">
      <formula>"reserved"</formula>
    </cfRule>
  </conditionalFormatting>
  <conditionalFormatting sqref="C193:C196">
    <cfRule type="cellIs" dxfId="797" priority="798" stopIfTrue="1" operator="equal">
      <formula>"reserved"</formula>
    </cfRule>
  </conditionalFormatting>
  <conditionalFormatting sqref="C198:C201">
    <cfRule type="cellIs" dxfId="796" priority="797" stopIfTrue="1" operator="equal">
      <formula>"reserved"</formula>
    </cfRule>
  </conditionalFormatting>
  <conditionalFormatting sqref="C203:C206">
    <cfRule type="cellIs" dxfId="795" priority="796" stopIfTrue="1" operator="equal">
      <formula>"reserved"</formula>
    </cfRule>
  </conditionalFormatting>
  <conditionalFormatting sqref="C208:C211">
    <cfRule type="cellIs" dxfId="794" priority="795" stopIfTrue="1" operator="equal">
      <formula>"reserved"</formula>
    </cfRule>
  </conditionalFormatting>
  <conditionalFormatting sqref="C213:C216">
    <cfRule type="cellIs" dxfId="793" priority="794" stopIfTrue="1" operator="equal">
      <formula>"reserved"</formula>
    </cfRule>
  </conditionalFormatting>
  <conditionalFormatting sqref="C218:C221">
    <cfRule type="cellIs" dxfId="792" priority="793" stopIfTrue="1" operator="equal">
      <formula>"reserved"</formula>
    </cfRule>
  </conditionalFormatting>
  <conditionalFormatting sqref="C223:C226">
    <cfRule type="cellIs" dxfId="791" priority="792" stopIfTrue="1" operator="equal">
      <formula>"reserved"</formula>
    </cfRule>
  </conditionalFormatting>
  <conditionalFormatting sqref="C228:C231">
    <cfRule type="cellIs" dxfId="790" priority="791" stopIfTrue="1" operator="equal">
      <formula>"reserved"</formula>
    </cfRule>
  </conditionalFormatting>
  <conditionalFormatting sqref="C233:C236">
    <cfRule type="cellIs" dxfId="789" priority="790" stopIfTrue="1" operator="equal">
      <formula>"reserved"</formula>
    </cfRule>
  </conditionalFormatting>
  <conditionalFormatting sqref="C238:C241">
    <cfRule type="cellIs" dxfId="788" priority="789" stopIfTrue="1" operator="equal">
      <formula>"reserved"</formula>
    </cfRule>
  </conditionalFormatting>
  <conditionalFormatting sqref="C243:C246">
    <cfRule type="cellIs" dxfId="787" priority="788" stopIfTrue="1" operator="equal">
      <formula>"reserved"</formula>
    </cfRule>
  </conditionalFormatting>
  <conditionalFormatting sqref="C248:C251">
    <cfRule type="cellIs" dxfId="786" priority="787" stopIfTrue="1" operator="equal">
      <formula>"reserved"</formula>
    </cfRule>
  </conditionalFormatting>
  <conditionalFormatting sqref="C253:C256">
    <cfRule type="cellIs" dxfId="785" priority="786" stopIfTrue="1" operator="equal">
      <formula>"reserved"</formula>
    </cfRule>
  </conditionalFormatting>
  <conditionalFormatting sqref="C258:C261">
    <cfRule type="cellIs" dxfId="784" priority="785" stopIfTrue="1" operator="equal">
      <formula>"reserved"</formula>
    </cfRule>
  </conditionalFormatting>
  <conditionalFormatting sqref="C263:C266">
    <cfRule type="cellIs" dxfId="783" priority="784" stopIfTrue="1" operator="equal">
      <formula>"reserved"</formula>
    </cfRule>
  </conditionalFormatting>
  <conditionalFormatting sqref="C268:C271">
    <cfRule type="cellIs" dxfId="782" priority="783" stopIfTrue="1" operator="equal">
      <formula>"reserved"</formula>
    </cfRule>
  </conditionalFormatting>
  <conditionalFormatting sqref="C273:C276">
    <cfRule type="cellIs" dxfId="781" priority="782" stopIfTrue="1" operator="equal">
      <formula>"reserved"</formula>
    </cfRule>
  </conditionalFormatting>
  <conditionalFormatting sqref="C278:C281">
    <cfRule type="cellIs" dxfId="780" priority="781" stopIfTrue="1" operator="equal">
      <formula>"reserved"</formula>
    </cfRule>
  </conditionalFormatting>
  <conditionalFormatting sqref="C283:C286">
    <cfRule type="cellIs" dxfId="779" priority="780" stopIfTrue="1" operator="equal">
      <formula>"reserved"</formula>
    </cfRule>
  </conditionalFormatting>
  <conditionalFormatting sqref="C288:C291">
    <cfRule type="cellIs" dxfId="778" priority="779" stopIfTrue="1" operator="equal">
      <formula>"reserved"</formula>
    </cfRule>
  </conditionalFormatting>
  <conditionalFormatting sqref="C293:C296">
    <cfRule type="cellIs" dxfId="777" priority="778" stopIfTrue="1" operator="equal">
      <formula>"reserved"</formula>
    </cfRule>
  </conditionalFormatting>
  <conditionalFormatting sqref="C298:C301">
    <cfRule type="cellIs" dxfId="776" priority="777" stopIfTrue="1" operator="equal">
      <formula>"reserved"</formula>
    </cfRule>
  </conditionalFormatting>
  <conditionalFormatting sqref="C303:C306">
    <cfRule type="cellIs" dxfId="775" priority="776" stopIfTrue="1" operator="equal">
      <formula>"reserved"</formula>
    </cfRule>
  </conditionalFormatting>
  <conditionalFormatting sqref="C308:C311">
    <cfRule type="cellIs" dxfId="774" priority="775" stopIfTrue="1" operator="equal">
      <formula>"reserved"</formula>
    </cfRule>
  </conditionalFormatting>
  <conditionalFormatting sqref="C313:C316">
    <cfRule type="cellIs" dxfId="773" priority="774" stopIfTrue="1" operator="equal">
      <formula>"reserved"</formula>
    </cfRule>
  </conditionalFormatting>
  <conditionalFormatting sqref="C318:C321">
    <cfRule type="cellIs" dxfId="772" priority="773" stopIfTrue="1" operator="equal">
      <formula>"reserved"</formula>
    </cfRule>
  </conditionalFormatting>
  <conditionalFormatting sqref="C323:C326">
    <cfRule type="cellIs" dxfId="771" priority="772" stopIfTrue="1" operator="equal">
      <formula>"reserved"</formula>
    </cfRule>
  </conditionalFormatting>
  <conditionalFormatting sqref="C328:C331">
    <cfRule type="cellIs" dxfId="770" priority="771" stopIfTrue="1" operator="equal">
      <formula>"reserved"</formula>
    </cfRule>
  </conditionalFormatting>
  <conditionalFormatting sqref="C333:C336">
    <cfRule type="cellIs" dxfId="769" priority="770" stopIfTrue="1" operator="equal">
      <formula>"reserved"</formula>
    </cfRule>
  </conditionalFormatting>
  <conditionalFormatting sqref="C338:C341">
    <cfRule type="cellIs" dxfId="768" priority="769" stopIfTrue="1" operator="equal">
      <formula>"reserved"</formula>
    </cfRule>
  </conditionalFormatting>
  <conditionalFormatting sqref="C343:C346">
    <cfRule type="cellIs" dxfId="767" priority="768" stopIfTrue="1" operator="equal">
      <formula>"reserved"</formula>
    </cfRule>
  </conditionalFormatting>
  <conditionalFormatting sqref="C348:C351">
    <cfRule type="cellIs" dxfId="766" priority="767" stopIfTrue="1" operator="equal">
      <formula>"reserved"</formula>
    </cfRule>
  </conditionalFormatting>
  <conditionalFormatting sqref="C353:C356">
    <cfRule type="cellIs" dxfId="765" priority="766" stopIfTrue="1" operator="equal">
      <formula>"reserved"</formula>
    </cfRule>
  </conditionalFormatting>
  <conditionalFormatting sqref="C358:C361">
    <cfRule type="cellIs" dxfId="764" priority="765" stopIfTrue="1" operator="equal">
      <formula>"reserved"</formula>
    </cfRule>
  </conditionalFormatting>
  <conditionalFormatting sqref="C363:C366">
    <cfRule type="cellIs" dxfId="763" priority="764" stopIfTrue="1" operator="equal">
      <formula>"reserved"</formula>
    </cfRule>
  </conditionalFormatting>
  <conditionalFormatting sqref="C368:C371">
    <cfRule type="cellIs" dxfId="762" priority="763" stopIfTrue="1" operator="equal">
      <formula>"reserved"</formula>
    </cfRule>
  </conditionalFormatting>
  <conditionalFormatting sqref="C373:C376">
    <cfRule type="cellIs" dxfId="761" priority="762" stopIfTrue="1" operator="equal">
      <formula>"reserved"</formula>
    </cfRule>
  </conditionalFormatting>
  <conditionalFormatting sqref="C378:C381">
    <cfRule type="cellIs" dxfId="760" priority="761" stopIfTrue="1" operator="equal">
      <formula>"reserved"</formula>
    </cfRule>
  </conditionalFormatting>
  <conditionalFormatting sqref="C383:C386">
    <cfRule type="cellIs" dxfId="759" priority="760" stopIfTrue="1" operator="equal">
      <formula>"reserved"</formula>
    </cfRule>
  </conditionalFormatting>
  <conditionalFormatting sqref="C388:C391">
    <cfRule type="cellIs" dxfId="758" priority="759" stopIfTrue="1" operator="equal">
      <formula>"reserved"</formula>
    </cfRule>
  </conditionalFormatting>
  <conditionalFormatting sqref="C393:C396">
    <cfRule type="cellIs" dxfId="757" priority="758" stopIfTrue="1" operator="equal">
      <formula>"reserved"</formula>
    </cfRule>
  </conditionalFormatting>
  <conditionalFormatting sqref="C398:C401">
    <cfRule type="cellIs" dxfId="756" priority="757" stopIfTrue="1" operator="equal">
      <formula>"reserved"</formula>
    </cfRule>
  </conditionalFormatting>
  <conditionalFormatting sqref="C403:C406">
    <cfRule type="cellIs" dxfId="755" priority="756" stopIfTrue="1" operator="equal">
      <formula>"reserved"</formula>
    </cfRule>
  </conditionalFormatting>
  <conditionalFormatting sqref="C408:C411">
    <cfRule type="cellIs" dxfId="754" priority="755" stopIfTrue="1" operator="equal">
      <formula>"reserved"</formula>
    </cfRule>
  </conditionalFormatting>
  <conditionalFormatting sqref="C413:C416">
    <cfRule type="cellIs" dxfId="753" priority="754" stopIfTrue="1" operator="equal">
      <formula>"reserved"</formula>
    </cfRule>
  </conditionalFormatting>
  <conditionalFormatting sqref="C418:C421">
    <cfRule type="cellIs" dxfId="752" priority="753" stopIfTrue="1" operator="equal">
      <formula>"reserved"</formula>
    </cfRule>
  </conditionalFormatting>
  <conditionalFormatting sqref="C423:C426">
    <cfRule type="cellIs" dxfId="751" priority="752" stopIfTrue="1" operator="equal">
      <formula>"reserved"</formula>
    </cfRule>
  </conditionalFormatting>
  <conditionalFormatting sqref="C428:C431">
    <cfRule type="cellIs" dxfId="750" priority="751" stopIfTrue="1" operator="equal">
      <formula>"reserved"</formula>
    </cfRule>
  </conditionalFormatting>
  <conditionalFormatting sqref="C433:C436">
    <cfRule type="cellIs" dxfId="749" priority="750" stopIfTrue="1" operator="equal">
      <formula>"reserved"</formula>
    </cfRule>
  </conditionalFormatting>
  <conditionalFormatting sqref="C438:C441">
    <cfRule type="cellIs" dxfId="748" priority="749" stopIfTrue="1" operator="equal">
      <formula>"reserved"</formula>
    </cfRule>
  </conditionalFormatting>
  <conditionalFormatting sqref="C443:C446">
    <cfRule type="cellIs" dxfId="747" priority="748" stopIfTrue="1" operator="equal">
      <formula>"reserved"</formula>
    </cfRule>
  </conditionalFormatting>
  <conditionalFormatting sqref="C448:C451">
    <cfRule type="cellIs" dxfId="746" priority="747" stopIfTrue="1" operator="equal">
      <formula>"reserved"</formula>
    </cfRule>
  </conditionalFormatting>
  <conditionalFormatting sqref="C453:C456">
    <cfRule type="cellIs" dxfId="745" priority="746" stopIfTrue="1" operator="equal">
      <formula>"reserved"</formula>
    </cfRule>
  </conditionalFormatting>
  <conditionalFormatting sqref="C458:C461">
    <cfRule type="cellIs" dxfId="744" priority="745" stopIfTrue="1" operator="equal">
      <formula>"reserved"</formula>
    </cfRule>
  </conditionalFormatting>
  <conditionalFormatting sqref="C463:C466">
    <cfRule type="cellIs" dxfId="743" priority="744" stopIfTrue="1" operator="equal">
      <formula>"reserved"</formula>
    </cfRule>
  </conditionalFormatting>
  <conditionalFormatting sqref="C468:C471">
    <cfRule type="cellIs" dxfId="742" priority="743" stopIfTrue="1" operator="equal">
      <formula>"reserved"</formula>
    </cfRule>
  </conditionalFormatting>
  <conditionalFormatting sqref="C473:C476">
    <cfRule type="cellIs" dxfId="741" priority="742" stopIfTrue="1" operator="equal">
      <formula>"reserved"</formula>
    </cfRule>
  </conditionalFormatting>
  <conditionalFormatting sqref="C478:C481">
    <cfRule type="cellIs" dxfId="740" priority="741" stopIfTrue="1" operator="equal">
      <formula>"reserved"</formula>
    </cfRule>
  </conditionalFormatting>
  <conditionalFormatting sqref="C532 C547 C759 C761:C762 C521:C523 C536:C538">
    <cfRule type="cellIs" dxfId="739" priority="725" stopIfTrue="1" operator="equal">
      <formula>"reserved"</formula>
    </cfRule>
  </conditionalFormatting>
  <conditionalFormatting sqref="C506">
    <cfRule type="cellIs" dxfId="738" priority="724" stopIfTrue="1" operator="equal">
      <formula>"reserved"</formula>
    </cfRule>
  </conditionalFormatting>
  <conditionalFormatting sqref="C508">
    <cfRule type="cellIs" dxfId="737" priority="723" stopIfTrue="1" operator="equal">
      <formula>"reserved"</formula>
    </cfRule>
  </conditionalFormatting>
  <conditionalFormatting sqref="C490">
    <cfRule type="cellIs" dxfId="736" priority="731" stopIfTrue="1" operator="equal">
      <formula>"reserved"</formula>
    </cfRule>
  </conditionalFormatting>
  <conditionalFormatting sqref="C489">
    <cfRule type="cellIs" dxfId="735" priority="730" stopIfTrue="1" operator="equal">
      <formula>"reserved"</formula>
    </cfRule>
  </conditionalFormatting>
  <conditionalFormatting sqref="C492">
    <cfRule type="cellIs" dxfId="734" priority="729" stopIfTrue="1" operator="equal">
      <formula>"reserved"</formula>
    </cfRule>
  </conditionalFormatting>
  <conditionalFormatting sqref="C491">
    <cfRule type="cellIs" dxfId="733" priority="728" stopIfTrue="1" operator="equal">
      <formula>"reserved"</formula>
    </cfRule>
  </conditionalFormatting>
  <conditionalFormatting sqref="C493:C499">
    <cfRule type="cellIs" dxfId="732" priority="727" stopIfTrue="1" operator="equal">
      <formula>"reserved"</formula>
    </cfRule>
  </conditionalFormatting>
  <conditionalFormatting sqref="C493">
    <cfRule type="cellIs" dxfId="731" priority="726" stopIfTrue="1" operator="equal">
      <formula>"reserved"</formula>
    </cfRule>
  </conditionalFormatting>
  <conditionalFormatting sqref="C749">
    <cfRule type="cellIs" dxfId="730" priority="740" stopIfTrue="1" operator="equal">
      <formula>"reserved"</formula>
    </cfRule>
  </conditionalFormatting>
  <conditionalFormatting sqref="C747:C748">
    <cfRule type="cellIs" dxfId="729" priority="739" stopIfTrue="1" operator="equal">
      <formula>"reserved"</formula>
    </cfRule>
  </conditionalFormatting>
  <conditionalFormatting sqref="C756">
    <cfRule type="cellIs" dxfId="728" priority="738" stopIfTrue="1" operator="equal">
      <formula>"reserved"</formula>
    </cfRule>
  </conditionalFormatting>
  <conditionalFormatting sqref="C750">
    <cfRule type="cellIs" dxfId="727" priority="737" stopIfTrue="1" operator="equal">
      <formula>"reserved"</formula>
    </cfRule>
  </conditionalFormatting>
  <conditionalFormatting sqref="C755">
    <cfRule type="cellIs" dxfId="726" priority="736" stopIfTrue="1" operator="equal">
      <formula>"reserved"</formula>
    </cfRule>
  </conditionalFormatting>
  <conditionalFormatting sqref="C757">
    <cfRule type="cellIs" dxfId="725" priority="735" stopIfTrue="1" operator="equal">
      <formula>"reserved"</formula>
    </cfRule>
  </conditionalFormatting>
  <conditionalFormatting sqref="C758">
    <cfRule type="cellIs" dxfId="724" priority="734" stopIfTrue="1" operator="equal">
      <formula>"reserved"</formula>
    </cfRule>
  </conditionalFormatting>
  <conditionalFormatting sqref="C488">
    <cfRule type="cellIs" dxfId="723" priority="733" stopIfTrue="1" operator="equal">
      <formula>"reserved"</formula>
    </cfRule>
  </conditionalFormatting>
  <conditionalFormatting sqref="C483:C484">
    <cfRule type="cellIs" dxfId="722" priority="732" stopIfTrue="1" operator="equal">
      <formula>"reserved"</formula>
    </cfRule>
  </conditionalFormatting>
  <conditionalFormatting sqref="C524">
    <cfRule type="cellIs" dxfId="721" priority="717" stopIfTrue="1" operator="equal">
      <formula>"reserved"</formula>
    </cfRule>
  </conditionalFormatting>
  <conditionalFormatting sqref="C526">
    <cfRule type="cellIs" dxfId="720" priority="716" stopIfTrue="1" operator="equal">
      <formula>"reserved"</formula>
    </cfRule>
  </conditionalFormatting>
  <conditionalFormatting sqref="C487">
    <cfRule type="cellIs" dxfId="719" priority="702" stopIfTrue="1" operator="equal">
      <formula>"reserved"</formula>
    </cfRule>
  </conditionalFormatting>
  <conditionalFormatting sqref="C529">
    <cfRule type="cellIs" dxfId="718" priority="711" stopIfTrue="1" operator="equal">
      <formula>"reserved"</formula>
    </cfRule>
  </conditionalFormatting>
  <conditionalFormatting sqref="C539">
    <cfRule type="cellIs" dxfId="717" priority="710" stopIfTrue="1" operator="equal">
      <formula>"reserved"</formula>
    </cfRule>
  </conditionalFormatting>
  <conditionalFormatting sqref="C541">
    <cfRule type="cellIs" dxfId="716" priority="709" stopIfTrue="1" operator="equal">
      <formula>"reserved"</formula>
    </cfRule>
  </conditionalFormatting>
  <conditionalFormatting sqref="C540">
    <cfRule type="cellIs" dxfId="715" priority="708" stopIfTrue="1" operator="equal">
      <formula>"reserved"</formula>
    </cfRule>
  </conditionalFormatting>
  <conditionalFormatting sqref="C543">
    <cfRule type="cellIs" dxfId="714" priority="707" stopIfTrue="1" operator="equal">
      <formula>"reserved"</formula>
    </cfRule>
  </conditionalFormatting>
  <conditionalFormatting sqref="C763">
    <cfRule type="cellIs" dxfId="713" priority="703" stopIfTrue="1" operator="equal">
      <formula>"reserved"</formula>
    </cfRule>
  </conditionalFormatting>
  <conditionalFormatting sqref="C534:C537">
    <cfRule type="cellIs" dxfId="712" priority="698" stopIfTrue="1" operator="equal">
      <formula>"reserved"</formula>
    </cfRule>
  </conditionalFormatting>
  <conditionalFormatting sqref="C507">
    <cfRule type="cellIs" dxfId="711" priority="722" stopIfTrue="1" operator="equal">
      <formula>"reserved"</formula>
    </cfRule>
  </conditionalFormatting>
  <conditionalFormatting sqref="C510">
    <cfRule type="cellIs" dxfId="710" priority="721" stopIfTrue="1" operator="equal">
      <formula>"reserved"</formula>
    </cfRule>
  </conditionalFormatting>
  <conditionalFormatting sqref="C509">
    <cfRule type="cellIs" dxfId="709" priority="720" stopIfTrue="1" operator="equal">
      <formula>"reserved"</formula>
    </cfRule>
  </conditionalFormatting>
  <conditionalFormatting sqref="C512">
    <cfRule type="cellIs" dxfId="708" priority="719" stopIfTrue="1" operator="equal">
      <formula>"reserved"</formula>
    </cfRule>
  </conditionalFormatting>
  <conditionalFormatting sqref="C511">
    <cfRule type="cellIs" dxfId="707" priority="718" stopIfTrue="1" operator="equal">
      <formula>"reserved"</formula>
    </cfRule>
  </conditionalFormatting>
  <conditionalFormatting sqref="C525">
    <cfRule type="cellIs" dxfId="706" priority="715" stopIfTrue="1" operator="equal">
      <formula>"reserved"</formula>
    </cfRule>
  </conditionalFormatting>
  <conditionalFormatting sqref="C528">
    <cfRule type="cellIs" dxfId="705" priority="714" stopIfTrue="1" operator="equal">
      <formula>"reserved"</formula>
    </cfRule>
  </conditionalFormatting>
  <conditionalFormatting sqref="C527">
    <cfRule type="cellIs" dxfId="704" priority="713" stopIfTrue="1" operator="equal">
      <formula>"reserved"</formula>
    </cfRule>
  </conditionalFormatting>
  <conditionalFormatting sqref="C530">
    <cfRule type="cellIs" dxfId="703" priority="712" stopIfTrue="1" operator="equal">
      <formula>"reserved"</formula>
    </cfRule>
  </conditionalFormatting>
  <conditionalFormatting sqref="C542">
    <cfRule type="cellIs" dxfId="702" priority="706" stopIfTrue="1" operator="equal">
      <formula>"reserved"</formula>
    </cfRule>
  </conditionalFormatting>
  <conditionalFormatting sqref="C545">
    <cfRule type="cellIs" dxfId="701" priority="705" stopIfTrue="1" operator="equal">
      <formula>"reserved"</formula>
    </cfRule>
  </conditionalFormatting>
  <conditionalFormatting sqref="C544">
    <cfRule type="cellIs" dxfId="700" priority="704" stopIfTrue="1" operator="equal">
      <formula>"reserved"</formula>
    </cfRule>
  </conditionalFormatting>
  <conditionalFormatting sqref="C505">
    <cfRule type="cellIs" dxfId="699" priority="701" stopIfTrue="1" operator="equal">
      <formula>"reserved"</formula>
    </cfRule>
  </conditionalFormatting>
  <conditionalFormatting sqref="C501:C502">
    <cfRule type="cellIs" dxfId="698" priority="700" stopIfTrue="1" operator="equal">
      <formula>"reserved"</formula>
    </cfRule>
  </conditionalFormatting>
  <conditionalFormatting sqref="C519:C520 C522">
    <cfRule type="cellIs" dxfId="697" priority="699" stopIfTrue="1" operator="equal">
      <formula>"reserved"</formula>
    </cfRule>
  </conditionalFormatting>
  <conditionalFormatting sqref="C504">
    <cfRule type="cellIs" dxfId="696" priority="695" stopIfTrue="1" operator="equal">
      <formula>"reserved"</formula>
    </cfRule>
  </conditionalFormatting>
  <conditionalFormatting sqref="C751:C754">
    <cfRule type="cellIs" dxfId="695" priority="697" stopIfTrue="1" operator="equal">
      <formula>"reserved"</formula>
    </cfRule>
  </conditionalFormatting>
  <conditionalFormatting sqref="C486">
    <cfRule type="cellIs" dxfId="694" priority="696" stopIfTrue="1" operator="equal">
      <formula>"reserved"</formula>
    </cfRule>
  </conditionalFormatting>
  <conditionalFormatting sqref="C513:C516">
    <cfRule type="cellIs" dxfId="693" priority="694" stopIfTrue="1" operator="equal">
      <formula>"reserved"</formula>
    </cfRule>
  </conditionalFormatting>
  <conditionalFormatting sqref="C513">
    <cfRule type="cellIs" dxfId="692" priority="693" stopIfTrue="1" operator="equal">
      <formula>"reserved"</formula>
    </cfRule>
  </conditionalFormatting>
  <conditionalFormatting sqref="C760">
    <cfRule type="cellIs" dxfId="691" priority="692" stopIfTrue="1" operator="equal">
      <formula>"reserved"</formula>
    </cfRule>
  </conditionalFormatting>
  <conditionalFormatting sqref="C521">
    <cfRule type="cellIs" dxfId="690" priority="691" stopIfTrue="1" operator="equal">
      <formula>"reserved"</formula>
    </cfRule>
  </conditionalFormatting>
  <conditionalFormatting sqref="C485">
    <cfRule type="cellIs" dxfId="689" priority="690" stopIfTrue="1" operator="equal">
      <formula>"reserved"</formula>
    </cfRule>
  </conditionalFormatting>
  <conditionalFormatting sqref="C503">
    <cfRule type="cellIs" dxfId="688" priority="689" stopIfTrue="1" operator="equal">
      <formula>"reserved"</formula>
    </cfRule>
  </conditionalFormatting>
  <conditionalFormatting sqref="C766:C770">
    <cfRule type="cellIs" dxfId="687" priority="688" stopIfTrue="1" operator="equal">
      <formula>"reserved"</formula>
    </cfRule>
  </conditionalFormatting>
  <conditionalFormatting sqref="C775:C778">
    <cfRule type="cellIs" dxfId="686" priority="686" stopIfTrue="1" operator="equal">
      <formula>"reserved"</formula>
    </cfRule>
  </conditionalFormatting>
  <conditionalFormatting sqref="C770">
    <cfRule type="cellIs" dxfId="685" priority="685" stopIfTrue="1" operator="equal">
      <formula>"reserved"</formula>
    </cfRule>
  </conditionalFormatting>
  <conditionalFormatting sqref="C765">
    <cfRule type="cellIs" dxfId="684" priority="687" stopIfTrue="1" operator="equal">
      <formula>"reserved"</formula>
    </cfRule>
  </conditionalFormatting>
  <conditionalFormatting sqref="C779:C782">
    <cfRule type="cellIs" dxfId="683" priority="684" stopIfTrue="1" operator="equal">
      <formula>"reserved"</formula>
    </cfRule>
  </conditionalFormatting>
  <conditionalFormatting sqref="C773:C774">
    <cfRule type="cellIs" dxfId="682" priority="683" stopIfTrue="1" operator="equal">
      <formula>"reserved"</formula>
    </cfRule>
  </conditionalFormatting>
  <conditionalFormatting sqref="C489">
    <cfRule type="cellIs" dxfId="681" priority="681" stopIfTrue="1" operator="equal">
      <formula>"reserved"</formula>
    </cfRule>
  </conditionalFormatting>
  <conditionalFormatting sqref="C488">
    <cfRule type="cellIs" dxfId="680" priority="680" stopIfTrue="1" operator="equal">
      <formula>"reserved"</formula>
    </cfRule>
  </conditionalFormatting>
  <conditionalFormatting sqref="C491">
    <cfRule type="cellIs" dxfId="679" priority="679" stopIfTrue="1" operator="equal">
      <formula>"reserved"</formula>
    </cfRule>
  </conditionalFormatting>
  <conditionalFormatting sqref="C490">
    <cfRule type="cellIs" dxfId="678" priority="678" stopIfTrue="1" operator="equal">
      <formula>"reserved"</formula>
    </cfRule>
  </conditionalFormatting>
  <conditionalFormatting sqref="C492">
    <cfRule type="cellIs" dxfId="677" priority="677" stopIfTrue="1" operator="equal">
      <formula>"reserved"</formula>
    </cfRule>
  </conditionalFormatting>
  <conditionalFormatting sqref="C487">
    <cfRule type="cellIs" dxfId="676" priority="682" stopIfTrue="1" operator="equal">
      <formula>"reserved"</formula>
    </cfRule>
  </conditionalFormatting>
  <conditionalFormatting sqref="C486">
    <cfRule type="cellIs" dxfId="675" priority="676" stopIfTrue="1" operator="equal">
      <formula>"reserved"</formula>
    </cfRule>
  </conditionalFormatting>
  <conditionalFormatting sqref="C485">
    <cfRule type="cellIs" dxfId="674" priority="675" stopIfTrue="1" operator="equal">
      <formula>"reserved"</formula>
    </cfRule>
  </conditionalFormatting>
  <conditionalFormatting sqref="C505">
    <cfRule type="cellIs" dxfId="673" priority="674" stopIfTrue="1" operator="equal">
      <formula>"reserved"</formula>
    </cfRule>
  </conditionalFormatting>
  <conditionalFormatting sqref="C507">
    <cfRule type="cellIs" dxfId="672" priority="673" stopIfTrue="1" operator="equal">
      <formula>"reserved"</formula>
    </cfRule>
  </conditionalFormatting>
  <conditionalFormatting sqref="C506">
    <cfRule type="cellIs" dxfId="671" priority="672" stopIfTrue="1" operator="equal">
      <formula>"reserved"</formula>
    </cfRule>
  </conditionalFormatting>
  <conditionalFormatting sqref="C509">
    <cfRule type="cellIs" dxfId="670" priority="671" stopIfTrue="1" operator="equal">
      <formula>"reserved"</formula>
    </cfRule>
  </conditionalFormatting>
  <conditionalFormatting sqref="C508">
    <cfRule type="cellIs" dxfId="669" priority="670" stopIfTrue="1" operator="equal">
      <formula>"reserved"</formula>
    </cfRule>
  </conditionalFormatting>
  <conditionalFormatting sqref="C511">
    <cfRule type="cellIs" dxfId="668" priority="669" stopIfTrue="1" operator="equal">
      <formula>"reserved"</formula>
    </cfRule>
  </conditionalFormatting>
  <conditionalFormatting sqref="C510">
    <cfRule type="cellIs" dxfId="667" priority="668" stopIfTrue="1" operator="equal">
      <formula>"reserved"</formula>
    </cfRule>
  </conditionalFormatting>
  <conditionalFormatting sqref="C504">
    <cfRule type="cellIs" dxfId="666" priority="667" stopIfTrue="1" operator="equal">
      <formula>"reserved"</formula>
    </cfRule>
  </conditionalFormatting>
  <conditionalFormatting sqref="C503">
    <cfRule type="cellIs" dxfId="665" priority="666" stopIfTrue="1" operator="equal">
      <formula>"reserved"</formula>
    </cfRule>
  </conditionalFormatting>
  <conditionalFormatting sqref="C512">
    <cfRule type="cellIs" dxfId="664" priority="665" stopIfTrue="1" operator="equal">
      <formula>"reserved"</formula>
    </cfRule>
  </conditionalFormatting>
  <conditionalFormatting sqref="C517">
    <cfRule type="cellIs" dxfId="663" priority="664" stopIfTrue="1" operator="equal">
      <formula>"reserved"</formula>
    </cfRule>
  </conditionalFormatting>
  <conditionalFormatting sqref="C523">
    <cfRule type="cellIs" dxfId="662" priority="663" stopIfTrue="1" operator="equal">
      <formula>"reserved"</formula>
    </cfRule>
  </conditionalFormatting>
  <conditionalFormatting sqref="C525">
    <cfRule type="cellIs" dxfId="661" priority="662" stopIfTrue="1" operator="equal">
      <formula>"reserved"</formula>
    </cfRule>
  </conditionalFormatting>
  <conditionalFormatting sqref="C528">
    <cfRule type="cellIs" dxfId="660" priority="657" stopIfTrue="1" operator="equal">
      <formula>"reserved"</formula>
    </cfRule>
  </conditionalFormatting>
  <conditionalFormatting sqref="C524">
    <cfRule type="cellIs" dxfId="659" priority="661" stopIfTrue="1" operator="equal">
      <formula>"reserved"</formula>
    </cfRule>
  </conditionalFormatting>
  <conditionalFormatting sqref="C527">
    <cfRule type="cellIs" dxfId="658" priority="660" stopIfTrue="1" operator="equal">
      <formula>"reserved"</formula>
    </cfRule>
  </conditionalFormatting>
  <conditionalFormatting sqref="C526">
    <cfRule type="cellIs" dxfId="657" priority="659" stopIfTrue="1" operator="equal">
      <formula>"reserved"</formula>
    </cfRule>
  </conditionalFormatting>
  <conditionalFormatting sqref="C529">
    <cfRule type="cellIs" dxfId="656" priority="658" stopIfTrue="1" operator="equal">
      <formula>"reserved"</formula>
    </cfRule>
  </conditionalFormatting>
  <conditionalFormatting sqref="C521">
    <cfRule type="cellIs" dxfId="655" priority="656" stopIfTrue="1" operator="equal">
      <formula>"reserved"</formula>
    </cfRule>
  </conditionalFormatting>
  <conditionalFormatting sqref="C530">
    <cfRule type="cellIs" dxfId="654" priority="655" stopIfTrue="1" operator="equal">
      <formula>"reserved"</formula>
    </cfRule>
  </conditionalFormatting>
  <conditionalFormatting sqref="C531">
    <cfRule type="cellIs" dxfId="653" priority="654" stopIfTrue="1" operator="equal">
      <formula>"reserved"</formula>
    </cfRule>
  </conditionalFormatting>
  <conditionalFormatting sqref="C538">
    <cfRule type="cellIs" dxfId="652" priority="653" stopIfTrue="1" operator="equal">
      <formula>"reserved"</formula>
    </cfRule>
  </conditionalFormatting>
  <conditionalFormatting sqref="C540">
    <cfRule type="cellIs" dxfId="651" priority="652" stopIfTrue="1" operator="equal">
      <formula>"reserved"</formula>
    </cfRule>
  </conditionalFormatting>
  <conditionalFormatting sqref="C539">
    <cfRule type="cellIs" dxfId="650" priority="651" stopIfTrue="1" operator="equal">
      <formula>"reserved"</formula>
    </cfRule>
  </conditionalFormatting>
  <conditionalFormatting sqref="C542">
    <cfRule type="cellIs" dxfId="649" priority="650" stopIfTrue="1" operator="equal">
      <formula>"reserved"</formula>
    </cfRule>
  </conditionalFormatting>
  <conditionalFormatting sqref="C541">
    <cfRule type="cellIs" dxfId="648" priority="649" stopIfTrue="1" operator="equal">
      <formula>"reserved"</formula>
    </cfRule>
  </conditionalFormatting>
  <conditionalFormatting sqref="C544">
    <cfRule type="cellIs" dxfId="647" priority="648" stopIfTrue="1" operator="equal">
      <formula>"reserved"</formula>
    </cfRule>
  </conditionalFormatting>
  <conditionalFormatting sqref="C543">
    <cfRule type="cellIs" dxfId="646" priority="647" stopIfTrue="1" operator="equal">
      <formula>"reserved"</formula>
    </cfRule>
  </conditionalFormatting>
  <conditionalFormatting sqref="C545">
    <cfRule type="cellIs" dxfId="645" priority="646" stopIfTrue="1" operator="equal">
      <formula>"reserved"</formula>
    </cfRule>
  </conditionalFormatting>
  <conditionalFormatting sqref="C546">
    <cfRule type="cellIs" dxfId="644" priority="645" stopIfTrue="1" operator="equal">
      <formula>"reserved"</formula>
    </cfRule>
  </conditionalFormatting>
  <conditionalFormatting sqref="C598 C613 C587:C589 C602:C604">
    <cfRule type="cellIs" dxfId="643" priority="636" stopIfTrue="1" operator="equal">
      <formula>"reserved"</formula>
    </cfRule>
  </conditionalFormatting>
  <conditionalFormatting sqref="C572">
    <cfRule type="cellIs" dxfId="642" priority="635" stopIfTrue="1" operator="equal">
      <formula>"reserved"</formula>
    </cfRule>
  </conditionalFormatting>
  <conditionalFormatting sqref="C574">
    <cfRule type="cellIs" dxfId="641" priority="634" stopIfTrue="1" operator="equal">
      <formula>"reserved"</formula>
    </cfRule>
  </conditionalFormatting>
  <conditionalFormatting sqref="C556">
    <cfRule type="cellIs" dxfId="640" priority="642" stopIfTrue="1" operator="equal">
      <formula>"reserved"</formula>
    </cfRule>
  </conditionalFormatting>
  <conditionalFormatting sqref="C555">
    <cfRule type="cellIs" dxfId="639" priority="641" stopIfTrue="1" operator="equal">
      <formula>"reserved"</formula>
    </cfRule>
  </conditionalFormatting>
  <conditionalFormatting sqref="C558">
    <cfRule type="cellIs" dxfId="638" priority="640" stopIfTrue="1" operator="equal">
      <formula>"reserved"</formula>
    </cfRule>
  </conditionalFormatting>
  <conditionalFormatting sqref="C557">
    <cfRule type="cellIs" dxfId="637" priority="639" stopIfTrue="1" operator="equal">
      <formula>"reserved"</formula>
    </cfRule>
  </conditionalFormatting>
  <conditionalFormatting sqref="C559:C565">
    <cfRule type="cellIs" dxfId="636" priority="638" stopIfTrue="1" operator="equal">
      <formula>"reserved"</formula>
    </cfRule>
  </conditionalFormatting>
  <conditionalFormatting sqref="C559">
    <cfRule type="cellIs" dxfId="635" priority="637" stopIfTrue="1" operator="equal">
      <formula>"reserved"</formula>
    </cfRule>
  </conditionalFormatting>
  <conditionalFormatting sqref="C554">
    <cfRule type="cellIs" dxfId="634" priority="644" stopIfTrue="1" operator="equal">
      <formula>"reserved"</formula>
    </cfRule>
  </conditionalFormatting>
  <conditionalFormatting sqref="C549:C550">
    <cfRule type="cellIs" dxfId="633" priority="643" stopIfTrue="1" operator="equal">
      <formula>"reserved"</formula>
    </cfRule>
  </conditionalFormatting>
  <conditionalFormatting sqref="C590">
    <cfRule type="cellIs" dxfId="632" priority="628" stopIfTrue="1" operator="equal">
      <formula>"reserved"</formula>
    </cfRule>
  </conditionalFormatting>
  <conditionalFormatting sqref="C592">
    <cfRule type="cellIs" dxfId="631" priority="627" stopIfTrue="1" operator="equal">
      <formula>"reserved"</formula>
    </cfRule>
  </conditionalFormatting>
  <conditionalFormatting sqref="C553">
    <cfRule type="cellIs" dxfId="630" priority="614" stopIfTrue="1" operator="equal">
      <formula>"reserved"</formula>
    </cfRule>
  </conditionalFormatting>
  <conditionalFormatting sqref="C595">
    <cfRule type="cellIs" dxfId="629" priority="622" stopIfTrue="1" operator="equal">
      <formula>"reserved"</formula>
    </cfRule>
  </conditionalFormatting>
  <conditionalFormatting sqref="C605">
    <cfRule type="cellIs" dxfId="628" priority="621" stopIfTrue="1" operator="equal">
      <formula>"reserved"</formula>
    </cfRule>
  </conditionalFormatting>
  <conditionalFormatting sqref="C607">
    <cfRule type="cellIs" dxfId="627" priority="620" stopIfTrue="1" operator="equal">
      <formula>"reserved"</formula>
    </cfRule>
  </conditionalFormatting>
  <conditionalFormatting sqref="C606">
    <cfRule type="cellIs" dxfId="626" priority="619" stopIfTrue="1" operator="equal">
      <formula>"reserved"</formula>
    </cfRule>
  </conditionalFormatting>
  <conditionalFormatting sqref="C609">
    <cfRule type="cellIs" dxfId="625" priority="618" stopIfTrue="1" operator="equal">
      <formula>"reserved"</formula>
    </cfRule>
  </conditionalFormatting>
  <conditionalFormatting sqref="C600:C603">
    <cfRule type="cellIs" dxfId="624" priority="610" stopIfTrue="1" operator="equal">
      <formula>"reserved"</formula>
    </cfRule>
  </conditionalFormatting>
  <conditionalFormatting sqref="C573">
    <cfRule type="cellIs" dxfId="623" priority="633" stopIfTrue="1" operator="equal">
      <formula>"reserved"</formula>
    </cfRule>
  </conditionalFormatting>
  <conditionalFormatting sqref="C576">
    <cfRule type="cellIs" dxfId="622" priority="632" stopIfTrue="1" operator="equal">
      <formula>"reserved"</formula>
    </cfRule>
  </conditionalFormatting>
  <conditionalFormatting sqref="C575">
    <cfRule type="cellIs" dxfId="621" priority="631" stopIfTrue="1" operator="equal">
      <formula>"reserved"</formula>
    </cfRule>
  </conditionalFormatting>
  <conditionalFormatting sqref="C578">
    <cfRule type="cellIs" dxfId="620" priority="630" stopIfTrue="1" operator="equal">
      <formula>"reserved"</formula>
    </cfRule>
  </conditionalFormatting>
  <conditionalFormatting sqref="C577">
    <cfRule type="cellIs" dxfId="619" priority="629" stopIfTrue="1" operator="equal">
      <formula>"reserved"</formula>
    </cfRule>
  </conditionalFormatting>
  <conditionalFormatting sqref="C591">
    <cfRule type="cellIs" dxfId="618" priority="626" stopIfTrue="1" operator="equal">
      <formula>"reserved"</formula>
    </cfRule>
  </conditionalFormatting>
  <conditionalFormatting sqref="C594">
    <cfRule type="cellIs" dxfId="617" priority="625" stopIfTrue="1" operator="equal">
      <formula>"reserved"</formula>
    </cfRule>
  </conditionalFormatting>
  <conditionalFormatting sqref="C593">
    <cfRule type="cellIs" dxfId="616" priority="624" stopIfTrue="1" operator="equal">
      <formula>"reserved"</formula>
    </cfRule>
  </conditionalFormatting>
  <conditionalFormatting sqref="C596">
    <cfRule type="cellIs" dxfId="615" priority="623" stopIfTrue="1" operator="equal">
      <formula>"reserved"</formula>
    </cfRule>
  </conditionalFormatting>
  <conditionalFormatting sqref="C608">
    <cfRule type="cellIs" dxfId="614" priority="617" stopIfTrue="1" operator="equal">
      <formula>"reserved"</formula>
    </cfRule>
  </conditionalFormatting>
  <conditionalFormatting sqref="C611">
    <cfRule type="cellIs" dxfId="613" priority="616" stopIfTrue="1" operator="equal">
      <formula>"reserved"</formula>
    </cfRule>
  </conditionalFormatting>
  <conditionalFormatting sqref="C610">
    <cfRule type="cellIs" dxfId="612" priority="615" stopIfTrue="1" operator="equal">
      <formula>"reserved"</formula>
    </cfRule>
  </conditionalFormatting>
  <conditionalFormatting sqref="C571">
    <cfRule type="cellIs" dxfId="611" priority="613" stopIfTrue="1" operator="equal">
      <formula>"reserved"</formula>
    </cfRule>
  </conditionalFormatting>
  <conditionalFormatting sqref="C567:C568">
    <cfRule type="cellIs" dxfId="610" priority="612" stopIfTrue="1" operator="equal">
      <formula>"reserved"</formula>
    </cfRule>
  </conditionalFormatting>
  <conditionalFormatting sqref="C585:C586 C588">
    <cfRule type="cellIs" dxfId="609" priority="611" stopIfTrue="1" operator="equal">
      <formula>"reserved"</formula>
    </cfRule>
  </conditionalFormatting>
  <conditionalFormatting sqref="C570">
    <cfRule type="cellIs" dxfId="608" priority="608" stopIfTrue="1" operator="equal">
      <formula>"reserved"</formula>
    </cfRule>
  </conditionalFormatting>
  <conditionalFormatting sqref="C552">
    <cfRule type="cellIs" dxfId="607" priority="609" stopIfTrue="1" operator="equal">
      <formula>"reserved"</formula>
    </cfRule>
  </conditionalFormatting>
  <conditionalFormatting sqref="C579:C582">
    <cfRule type="cellIs" dxfId="606" priority="607" stopIfTrue="1" operator="equal">
      <formula>"reserved"</formula>
    </cfRule>
  </conditionalFormatting>
  <conditionalFormatting sqref="C579">
    <cfRule type="cellIs" dxfId="605" priority="606" stopIfTrue="1" operator="equal">
      <formula>"reserved"</formula>
    </cfRule>
  </conditionalFormatting>
  <conditionalFormatting sqref="C587">
    <cfRule type="cellIs" dxfId="604" priority="605" stopIfTrue="1" operator="equal">
      <formula>"reserved"</formula>
    </cfRule>
  </conditionalFormatting>
  <conditionalFormatting sqref="C551">
    <cfRule type="cellIs" dxfId="603" priority="604" stopIfTrue="1" operator="equal">
      <formula>"reserved"</formula>
    </cfRule>
  </conditionalFormatting>
  <conditionalFormatting sqref="C569">
    <cfRule type="cellIs" dxfId="602" priority="603" stopIfTrue="1" operator="equal">
      <formula>"reserved"</formula>
    </cfRule>
  </conditionalFormatting>
  <conditionalFormatting sqref="C555">
    <cfRule type="cellIs" dxfId="601" priority="601" stopIfTrue="1" operator="equal">
      <formula>"reserved"</formula>
    </cfRule>
  </conditionalFormatting>
  <conditionalFormatting sqref="C554">
    <cfRule type="cellIs" dxfId="600" priority="600" stopIfTrue="1" operator="equal">
      <formula>"reserved"</formula>
    </cfRule>
  </conditionalFormatting>
  <conditionalFormatting sqref="C557">
    <cfRule type="cellIs" dxfId="599" priority="599" stopIfTrue="1" operator="equal">
      <formula>"reserved"</formula>
    </cfRule>
  </conditionalFormatting>
  <conditionalFormatting sqref="C556">
    <cfRule type="cellIs" dxfId="598" priority="598" stopIfTrue="1" operator="equal">
      <formula>"reserved"</formula>
    </cfRule>
  </conditionalFormatting>
  <conditionalFormatting sqref="C558">
    <cfRule type="cellIs" dxfId="597" priority="597" stopIfTrue="1" operator="equal">
      <formula>"reserved"</formula>
    </cfRule>
  </conditionalFormatting>
  <conditionalFormatting sqref="C553">
    <cfRule type="cellIs" dxfId="596" priority="602" stopIfTrue="1" operator="equal">
      <formula>"reserved"</formula>
    </cfRule>
  </conditionalFormatting>
  <conditionalFormatting sqref="C552">
    <cfRule type="cellIs" dxfId="595" priority="596" stopIfTrue="1" operator="equal">
      <formula>"reserved"</formula>
    </cfRule>
  </conditionalFormatting>
  <conditionalFormatting sqref="C551">
    <cfRule type="cellIs" dxfId="594" priority="595" stopIfTrue="1" operator="equal">
      <formula>"reserved"</formula>
    </cfRule>
  </conditionalFormatting>
  <conditionalFormatting sqref="C571">
    <cfRule type="cellIs" dxfId="593" priority="594" stopIfTrue="1" operator="equal">
      <formula>"reserved"</formula>
    </cfRule>
  </conditionalFormatting>
  <conditionalFormatting sqref="C573">
    <cfRule type="cellIs" dxfId="592" priority="593" stopIfTrue="1" operator="equal">
      <formula>"reserved"</formula>
    </cfRule>
  </conditionalFormatting>
  <conditionalFormatting sqref="C572">
    <cfRule type="cellIs" dxfId="591" priority="592" stopIfTrue="1" operator="equal">
      <formula>"reserved"</formula>
    </cfRule>
  </conditionalFormatting>
  <conditionalFormatting sqref="C575">
    <cfRule type="cellIs" dxfId="590" priority="591" stopIfTrue="1" operator="equal">
      <formula>"reserved"</formula>
    </cfRule>
  </conditionalFormatting>
  <conditionalFormatting sqref="C574">
    <cfRule type="cellIs" dxfId="589" priority="590" stopIfTrue="1" operator="equal">
      <formula>"reserved"</formula>
    </cfRule>
  </conditionalFormatting>
  <conditionalFormatting sqref="C577">
    <cfRule type="cellIs" dxfId="588" priority="589" stopIfTrue="1" operator="equal">
      <formula>"reserved"</formula>
    </cfRule>
  </conditionalFormatting>
  <conditionalFormatting sqref="C576">
    <cfRule type="cellIs" dxfId="587" priority="588" stopIfTrue="1" operator="equal">
      <formula>"reserved"</formula>
    </cfRule>
  </conditionalFormatting>
  <conditionalFormatting sqref="C570">
    <cfRule type="cellIs" dxfId="586" priority="587" stopIfTrue="1" operator="equal">
      <formula>"reserved"</formula>
    </cfRule>
  </conditionalFormatting>
  <conditionalFormatting sqref="C569">
    <cfRule type="cellIs" dxfId="585" priority="586" stopIfTrue="1" operator="equal">
      <formula>"reserved"</formula>
    </cfRule>
  </conditionalFormatting>
  <conditionalFormatting sqref="C578">
    <cfRule type="cellIs" dxfId="584" priority="585" stopIfTrue="1" operator="equal">
      <formula>"reserved"</formula>
    </cfRule>
  </conditionalFormatting>
  <conditionalFormatting sqref="C583">
    <cfRule type="cellIs" dxfId="583" priority="584" stopIfTrue="1" operator="equal">
      <formula>"reserved"</formula>
    </cfRule>
  </conditionalFormatting>
  <conditionalFormatting sqref="C589">
    <cfRule type="cellIs" dxfId="582" priority="583" stopIfTrue="1" operator="equal">
      <formula>"reserved"</formula>
    </cfRule>
  </conditionalFormatting>
  <conditionalFormatting sqref="C591">
    <cfRule type="cellIs" dxfId="581" priority="582" stopIfTrue="1" operator="equal">
      <formula>"reserved"</formula>
    </cfRule>
  </conditionalFormatting>
  <conditionalFormatting sqref="C594">
    <cfRule type="cellIs" dxfId="580" priority="577" stopIfTrue="1" operator="equal">
      <formula>"reserved"</formula>
    </cfRule>
  </conditionalFormatting>
  <conditionalFormatting sqref="C590">
    <cfRule type="cellIs" dxfId="579" priority="581" stopIfTrue="1" operator="equal">
      <formula>"reserved"</formula>
    </cfRule>
  </conditionalFormatting>
  <conditionalFormatting sqref="C593">
    <cfRule type="cellIs" dxfId="578" priority="580" stopIfTrue="1" operator="equal">
      <formula>"reserved"</formula>
    </cfRule>
  </conditionalFormatting>
  <conditionalFormatting sqref="C592">
    <cfRule type="cellIs" dxfId="577" priority="579" stopIfTrue="1" operator="equal">
      <formula>"reserved"</formula>
    </cfRule>
  </conditionalFormatting>
  <conditionalFormatting sqref="C595">
    <cfRule type="cellIs" dxfId="576" priority="578" stopIfTrue="1" operator="equal">
      <formula>"reserved"</formula>
    </cfRule>
  </conditionalFormatting>
  <conditionalFormatting sqref="C587">
    <cfRule type="cellIs" dxfId="575" priority="576" stopIfTrue="1" operator="equal">
      <formula>"reserved"</formula>
    </cfRule>
  </conditionalFormatting>
  <conditionalFormatting sqref="C596">
    <cfRule type="cellIs" dxfId="574" priority="575" stopIfTrue="1" operator="equal">
      <formula>"reserved"</formula>
    </cfRule>
  </conditionalFormatting>
  <conditionalFormatting sqref="C597">
    <cfRule type="cellIs" dxfId="573" priority="574" stopIfTrue="1" operator="equal">
      <formula>"reserved"</formula>
    </cfRule>
  </conditionalFormatting>
  <conditionalFormatting sqref="C604">
    <cfRule type="cellIs" dxfId="572" priority="573" stopIfTrue="1" operator="equal">
      <formula>"reserved"</formula>
    </cfRule>
  </conditionalFormatting>
  <conditionalFormatting sqref="C606">
    <cfRule type="cellIs" dxfId="571" priority="572" stopIfTrue="1" operator="equal">
      <formula>"reserved"</formula>
    </cfRule>
  </conditionalFormatting>
  <conditionalFormatting sqref="C605">
    <cfRule type="cellIs" dxfId="570" priority="571" stopIfTrue="1" operator="equal">
      <formula>"reserved"</formula>
    </cfRule>
  </conditionalFormatting>
  <conditionalFormatting sqref="C608">
    <cfRule type="cellIs" dxfId="569" priority="570" stopIfTrue="1" operator="equal">
      <formula>"reserved"</formula>
    </cfRule>
  </conditionalFormatting>
  <conditionalFormatting sqref="C607">
    <cfRule type="cellIs" dxfId="568" priority="569" stopIfTrue="1" operator="equal">
      <formula>"reserved"</formula>
    </cfRule>
  </conditionalFormatting>
  <conditionalFormatting sqref="C610">
    <cfRule type="cellIs" dxfId="567" priority="568" stopIfTrue="1" operator="equal">
      <formula>"reserved"</formula>
    </cfRule>
  </conditionalFormatting>
  <conditionalFormatting sqref="C609">
    <cfRule type="cellIs" dxfId="566" priority="567" stopIfTrue="1" operator="equal">
      <formula>"reserved"</formula>
    </cfRule>
  </conditionalFormatting>
  <conditionalFormatting sqref="C611">
    <cfRule type="cellIs" dxfId="565" priority="566" stopIfTrue="1" operator="equal">
      <formula>"reserved"</formula>
    </cfRule>
  </conditionalFormatting>
  <conditionalFormatting sqref="C612">
    <cfRule type="cellIs" dxfId="564" priority="565" stopIfTrue="1" operator="equal">
      <formula>"reserved"</formula>
    </cfRule>
  </conditionalFormatting>
  <conditionalFormatting sqref="C664 C679 C653:C655 C668:C670">
    <cfRule type="cellIs" dxfId="563" priority="556" stopIfTrue="1" operator="equal">
      <formula>"reserved"</formula>
    </cfRule>
  </conditionalFormatting>
  <conditionalFormatting sqref="C638">
    <cfRule type="cellIs" dxfId="562" priority="555" stopIfTrue="1" operator="equal">
      <formula>"reserved"</formula>
    </cfRule>
  </conditionalFormatting>
  <conditionalFormatting sqref="C640">
    <cfRule type="cellIs" dxfId="561" priority="554" stopIfTrue="1" operator="equal">
      <formula>"reserved"</formula>
    </cfRule>
  </conditionalFormatting>
  <conditionalFormatting sqref="C622">
    <cfRule type="cellIs" dxfId="560" priority="562" stopIfTrue="1" operator="equal">
      <formula>"reserved"</formula>
    </cfRule>
  </conditionalFormatting>
  <conditionalFormatting sqref="C621">
    <cfRule type="cellIs" dxfId="559" priority="561" stopIfTrue="1" operator="equal">
      <formula>"reserved"</formula>
    </cfRule>
  </conditionalFormatting>
  <conditionalFormatting sqref="C624">
    <cfRule type="cellIs" dxfId="558" priority="560" stopIfTrue="1" operator="equal">
      <formula>"reserved"</formula>
    </cfRule>
  </conditionalFormatting>
  <conditionalFormatting sqref="C623">
    <cfRule type="cellIs" dxfId="557" priority="559" stopIfTrue="1" operator="equal">
      <formula>"reserved"</formula>
    </cfRule>
  </conditionalFormatting>
  <conditionalFormatting sqref="C625:C631">
    <cfRule type="cellIs" dxfId="556" priority="558" stopIfTrue="1" operator="equal">
      <formula>"reserved"</formula>
    </cfRule>
  </conditionalFormatting>
  <conditionalFormatting sqref="C625">
    <cfRule type="cellIs" dxfId="555" priority="557" stopIfTrue="1" operator="equal">
      <formula>"reserved"</formula>
    </cfRule>
  </conditionalFormatting>
  <conditionalFormatting sqref="C620">
    <cfRule type="cellIs" dxfId="554" priority="564" stopIfTrue="1" operator="equal">
      <formula>"reserved"</formula>
    </cfRule>
  </conditionalFormatting>
  <conditionalFormatting sqref="C615:C616">
    <cfRule type="cellIs" dxfId="553" priority="563" stopIfTrue="1" operator="equal">
      <formula>"reserved"</formula>
    </cfRule>
  </conditionalFormatting>
  <conditionalFormatting sqref="C656">
    <cfRule type="cellIs" dxfId="552" priority="548" stopIfTrue="1" operator="equal">
      <formula>"reserved"</formula>
    </cfRule>
  </conditionalFormatting>
  <conditionalFormatting sqref="C658">
    <cfRule type="cellIs" dxfId="551" priority="547" stopIfTrue="1" operator="equal">
      <formula>"reserved"</formula>
    </cfRule>
  </conditionalFormatting>
  <conditionalFormatting sqref="C619">
    <cfRule type="cellIs" dxfId="550" priority="534" stopIfTrue="1" operator="equal">
      <formula>"reserved"</formula>
    </cfRule>
  </conditionalFormatting>
  <conditionalFormatting sqref="C661">
    <cfRule type="cellIs" dxfId="549" priority="542" stopIfTrue="1" operator="equal">
      <formula>"reserved"</formula>
    </cfRule>
  </conditionalFormatting>
  <conditionalFormatting sqref="C671">
    <cfRule type="cellIs" dxfId="548" priority="541" stopIfTrue="1" operator="equal">
      <formula>"reserved"</formula>
    </cfRule>
  </conditionalFormatting>
  <conditionalFormatting sqref="C673">
    <cfRule type="cellIs" dxfId="547" priority="540" stopIfTrue="1" operator="equal">
      <formula>"reserved"</formula>
    </cfRule>
  </conditionalFormatting>
  <conditionalFormatting sqref="C672">
    <cfRule type="cellIs" dxfId="546" priority="539" stopIfTrue="1" operator="equal">
      <formula>"reserved"</formula>
    </cfRule>
  </conditionalFormatting>
  <conditionalFormatting sqref="C675">
    <cfRule type="cellIs" dxfId="545" priority="538" stopIfTrue="1" operator="equal">
      <formula>"reserved"</formula>
    </cfRule>
  </conditionalFormatting>
  <conditionalFormatting sqref="C666:C669">
    <cfRule type="cellIs" dxfId="544" priority="530" stopIfTrue="1" operator="equal">
      <formula>"reserved"</formula>
    </cfRule>
  </conditionalFormatting>
  <conditionalFormatting sqref="C639">
    <cfRule type="cellIs" dxfId="543" priority="553" stopIfTrue="1" operator="equal">
      <formula>"reserved"</formula>
    </cfRule>
  </conditionalFormatting>
  <conditionalFormatting sqref="C642">
    <cfRule type="cellIs" dxfId="542" priority="552" stopIfTrue="1" operator="equal">
      <formula>"reserved"</formula>
    </cfRule>
  </conditionalFormatting>
  <conditionalFormatting sqref="C641">
    <cfRule type="cellIs" dxfId="541" priority="551" stopIfTrue="1" operator="equal">
      <formula>"reserved"</formula>
    </cfRule>
  </conditionalFormatting>
  <conditionalFormatting sqref="C644">
    <cfRule type="cellIs" dxfId="540" priority="550" stopIfTrue="1" operator="equal">
      <formula>"reserved"</formula>
    </cfRule>
  </conditionalFormatting>
  <conditionalFormatting sqref="C643">
    <cfRule type="cellIs" dxfId="539" priority="549" stopIfTrue="1" operator="equal">
      <formula>"reserved"</formula>
    </cfRule>
  </conditionalFormatting>
  <conditionalFormatting sqref="C657">
    <cfRule type="cellIs" dxfId="538" priority="546" stopIfTrue="1" operator="equal">
      <formula>"reserved"</formula>
    </cfRule>
  </conditionalFormatting>
  <conditionalFormatting sqref="C660">
    <cfRule type="cellIs" dxfId="537" priority="545" stopIfTrue="1" operator="equal">
      <formula>"reserved"</formula>
    </cfRule>
  </conditionalFormatting>
  <conditionalFormatting sqref="C659">
    <cfRule type="cellIs" dxfId="536" priority="544" stopIfTrue="1" operator="equal">
      <formula>"reserved"</formula>
    </cfRule>
  </conditionalFormatting>
  <conditionalFormatting sqref="C662">
    <cfRule type="cellIs" dxfId="535" priority="543" stopIfTrue="1" operator="equal">
      <formula>"reserved"</formula>
    </cfRule>
  </conditionalFormatting>
  <conditionalFormatting sqref="C674">
    <cfRule type="cellIs" dxfId="534" priority="537" stopIfTrue="1" operator="equal">
      <formula>"reserved"</formula>
    </cfRule>
  </conditionalFormatting>
  <conditionalFormatting sqref="C677">
    <cfRule type="cellIs" dxfId="533" priority="536" stopIfTrue="1" operator="equal">
      <formula>"reserved"</formula>
    </cfRule>
  </conditionalFormatting>
  <conditionalFormatting sqref="C676">
    <cfRule type="cellIs" dxfId="532" priority="535" stopIfTrue="1" operator="equal">
      <formula>"reserved"</formula>
    </cfRule>
  </conditionalFormatting>
  <conditionalFormatting sqref="C637">
    <cfRule type="cellIs" dxfId="531" priority="533" stopIfTrue="1" operator="equal">
      <formula>"reserved"</formula>
    </cfRule>
  </conditionalFormatting>
  <conditionalFormatting sqref="C633:C634">
    <cfRule type="cellIs" dxfId="530" priority="532" stopIfTrue="1" operator="equal">
      <formula>"reserved"</formula>
    </cfRule>
  </conditionalFormatting>
  <conditionalFormatting sqref="C651:C652 C654">
    <cfRule type="cellIs" dxfId="529" priority="531" stopIfTrue="1" operator="equal">
      <formula>"reserved"</formula>
    </cfRule>
  </conditionalFormatting>
  <conditionalFormatting sqref="C636">
    <cfRule type="cellIs" dxfId="528" priority="528" stopIfTrue="1" operator="equal">
      <formula>"reserved"</formula>
    </cfRule>
  </conditionalFormatting>
  <conditionalFormatting sqref="C618">
    <cfRule type="cellIs" dxfId="527" priority="529" stopIfTrue="1" operator="equal">
      <formula>"reserved"</formula>
    </cfRule>
  </conditionalFormatting>
  <conditionalFormatting sqref="C645:C648">
    <cfRule type="cellIs" dxfId="526" priority="527" stopIfTrue="1" operator="equal">
      <formula>"reserved"</formula>
    </cfRule>
  </conditionalFormatting>
  <conditionalFormatting sqref="C645">
    <cfRule type="cellIs" dxfId="525" priority="526" stopIfTrue="1" operator="equal">
      <formula>"reserved"</formula>
    </cfRule>
  </conditionalFormatting>
  <conditionalFormatting sqref="C653">
    <cfRule type="cellIs" dxfId="524" priority="525" stopIfTrue="1" operator="equal">
      <formula>"reserved"</formula>
    </cfRule>
  </conditionalFormatting>
  <conditionalFormatting sqref="C617">
    <cfRule type="cellIs" dxfId="523" priority="524" stopIfTrue="1" operator="equal">
      <formula>"reserved"</formula>
    </cfRule>
  </conditionalFormatting>
  <conditionalFormatting sqref="C635">
    <cfRule type="cellIs" dxfId="522" priority="523" stopIfTrue="1" operator="equal">
      <formula>"reserved"</formula>
    </cfRule>
  </conditionalFormatting>
  <conditionalFormatting sqref="C621">
    <cfRule type="cellIs" dxfId="521" priority="521" stopIfTrue="1" operator="equal">
      <formula>"reserved"</formula>
    </cfRule>
  </conditionalFormatting>
  <conditionalFormatting sqref="C620">
    <cfRule type="cellIs" dxfId="520" priority="520" stopIfTrue="1" operator="equal">
      <formula>"reserved"</formula>
    </cfRule>
  </conditionalFormatting>
  <conditionalFormatting sqref="C623">
    <cfRule type="cellIs" dxfId="519" priority="519" stopIfTrue="1" operator="equal">
      <formula>"reserved"</formula>
    </cfRule>
  </conditionalFormatting>
  <conditionalFormatting sqref="C622">
    <cfRule type="cellIs" dxfId="518" priority="518" stopIfTrue="1" operator="equal">
      <formula>"reserved"</formula>
    </cfRule>
  </conditionalFormatting>
  <conditionalFormatting sqref="C624">
    <cfRule type="cellIs" dxfId="517" priority="517" stopIfTrue="1" operator="equal">
      <formula>"reserved"</formula>
    </cfRule>
  </conditionalFormatting>
  <conditionalFormatting sqref="C619">
    <cfRule type="cellIs" dxfId="516" priority="522" stopIfTrue="1" operator="equal">
      <formula>"reserved"</formula>
    </cfRule>
  </conditionalFormatting>
  <conditionalFormatting sqref="C618">
    <cfRule type="cellIs" dxfId="515" priority="516" stopIfTrue="1" operator="equal">
      <formula>"reserved"</formula>
    </cfRule>
  </conditionalFormatting>
  <conditionalFormatting sqref="C617">
    <cfRule type="cellIs" dxfId="514" priority="515" stopIfTrue="1" operator="equal">
      <formula>"reserved"</formula>
    </cfRule>
  </conditionalFormatting>
  <conditionalFormatting sqref="C637">
    <cfRule type="cellIs" dxfId="513" priority="514" stopIfTrue="1" operator="equal">
      <formula>"reserved"</formula>
    </cfRule>
  </conditionalFormatting>
  <conditionalFormatting sqref="C639">
    <cfRule type="cellIs" dxfId="512" priority="513" stopIfTrue="1" operator="equal">
      <formula>"reserved"</formula>
    </cfRule>
  </conditionalFormatting>
  <conditionalFormatting sqref="C638">
    <cfRule type="cellIs" dxfId="511" priority="512" stopIfTrue="1" operator="equal">
      <formula>"reserved"</formula>
    </cfRule>
  </conditionalFormatting>
  <conditionalFormatting sqref="C641">
    <cfRule type="cellIs" dxfId="510" priority="511" stopIfTrue="1" operator="equal">
      <formula>"reserved"</formula>
    </cfRule>
  </conditionalFormatting>
  <conditionalFormatting sqref="C640">
    <cfRule type="cellIs" dxfId="509" priority="510" stopIfTrue="1" operator="equal">
      <formula>"reserved"</formula>
    </cfRule>
  </conditionalFormatting>
  <conditionalFormatting sqref="C643">
    <cfRule type="cellIs" dxfId="508" priority="509" stopIfTrue="1" operator="equal">
      <formula>"reserved"</formula>
    </cfRule>
  </conditionalFormatting>
  <conditionalFormatting sqref="C642">
    <cfRule type="cellIs" dxfId="507" priority="508" stopIfTrue="1" operator="equal">
      <formula>"reserved"</formula>
    </cfRule>
  </conditionalFormatting>
  <conditionalFormatting sqref="C636">
    <cfRule type="cellIs" dxfId="506" priority="507" stopIfTrue="1" operator="equal">
      <formula>"reserved"</formula>
    </cfRule>
  </conditionalFormatting>
  <conditionalFormatting sqref="C635">
    <cfRule type="cellIs" dxfId="505" priority="506" stopIfTrue="1" operator="equal">
      <formula>"reserved"</formula>
    </cfRule>
  </conditionalFormatting>
  <conditionalFormatting sqref="C644">
    <cfRule type="cellIs" dxfId="504" priority="505" stopIfTrue="1" operator="equal">
      <formula>"reserved"</formula>
    </cfRule>
  </conditionalFormatting>
  <conditionalFormatting sqref="C649">
    <cfRule type="cellIs" dxfId="503" priority="504" stopIfTrue="1" operator="equal">
      <formula>"reserved"</formula>
    </cfRule>
  </conditionalFormatting>
  <conditionalFormatting sqref="C655">
    <cfRule type="cellIs" dxfId="502" priority="503" stopIfTrue="1" operator="equal">
      <formula>"reserved"</formula>
    </cfRule>
  </conditionalFormatting>
  <conditionalFormatting sqref="C657">
    <cfRule type="cellIs" dxfId="501" priority="502" stopIfTrue="1" operator="equal">
      <formula>"reserved"</formula>
    </cfRule>
  </conditionalFormatting>
  <conditionalFormatting sqref="C660">
    <cfRule type="cellIs" dxfId="500" priority="497" stopIfTrue="1" operator="equal">
      <formula>"reserved"</formula>
    </cfRule>
  </conditionalFormatting>
  <conditionalFormatting sqref="C656">
    <cfRule type="cellIs" dxfId="499" priority="501" stopIfTrue="1" operator="equal">
      <formula>"reserved"</formula>
    </cfRule>
  </conditionalFormatting>
  <conditionalFormatting sqref="C659">
    <cfRule type="cellIs" dxfId="498" priority="500" stopIfTrue="1" operator="equal">
      <formula>"reserved"</formula>
    </cfRule>
  </conditionalFormatting>
  <conditionalFormatting sqref="C658">
    <cfRule type="cellIs" dxfId="497" priority="499" stopIfTrue="1" operator="equal">
      <formula>"reserved"</formula>
    </cfRule>
  </conditionalFormatting>
  <conditionalFormatting sqref="C661">
    <cfRule type="cellIs" dxfId="496" priority="498" stopIfTrue="1" operator="equal">
      <formula>"reserved"</formula>
    </cfRule>
  </conditionalFormatting>
  <conditionalFormatting sqref="C653">
    <cfRule type="cellIs" dxfId="495" priority="496" stopIfTrue="1" operator="equal">
      <formula>"reserved"</formula>
    </cfRule>
  </conditionalFormatting>
  <conditionalFormatting sqref="C662">
    <cfRule type="cellIs" dxfId="494" priority="495" stopIfTrue="1" operator="equal">
      <formula>"reserved"</formula>
    </cfRule>
  </conditionalFormatting>
  <conditionalFormatting sqref="C663">
    <cfRule type="cellIs" dxfId="493" priority="494" stopIfTrue="1" operator="equal">
      <formula>"reserved"</formula>
    </cfRule>
  </conditionalFormatting>
  <conditionalFormatting sqref="C670">
    <cfRule type="cellIs" dxfId="492" priority="493" stopIfTrue="1" operator="equal">
      <formula>"reserved"</formula>
    </cfRule>
  </conditionalFormatting>
  <conditionalFormatting sqref="C672">
    <cfRule type="cellIs" dxfId="491" priority="492" stopIfTrue="1" operator="equal">
      <formula>"reserved"</formula>
    </cfRule>
  </conditionalFormatting>
  <conditionalFormatting sqref="C671">
    <cfRule type="cellIs" dxfId="490" priority="491" stopIfTrue="1" operator="equal">
      <formula>"reserved"</formula>
    </cfRule>
  </conditionalFormatting>
  <conditionalFormatting sqref="C674">
    <cfRule type="cellIs" dxfId="489" priority="490" stopIfTrue="1" operator="equal">
      <formula>"reserved"</formula>
    </cfRule>
  </conditionalFormatting>
  <conditionalFormatting sqref="C673">
    <cfRule type="cellIs" dxfId="488" priority="489" stopIfTrue="1" operator="equal">
      <formula>"reserved"</formula>
    </cfRule>
  </conditionalFormatting>
  <conditionalFormatting sqref="C676">
    <cfRule type="cellIs" dxfId="487" priority="488" stopIfTrue="1" operator="equal">
      <formula>"reserved"</formula>
    </cfRule>
  </conditionalFormatting>
  <conditionalFormatting sqref="C675">
    <cfRule type="cellIs" dxfId="486" priority="487" stopIfTrue="1" operator="equal">
      <formula>"reserved"</formula>
    </cfRule>
  </conditionalFormatting>
  <conditionalFormatting sqref="C677">
    <cfRule type="cellIs" dxfId="485" priority="486" stopIfTrue="1" operator="equal">
      <formula>"reserved"</formula>
    </cfRule>
  </conditionalFormatting>
  <conditionalFormatting sqref="C678">
    <cfRule type="cellIs" dxfId="484" priority="485" stopIfTrue="1" operator="equal">
      <formula>"reserved"</formula>
    </cfRule>
  </conditionalFormatting>
  <conditionalFormatting sqref="C730 C745 C719:C721 C734:C736">
    <cfRule type="cellIs" dxfId="483" priority="476" stopIfTrue="1" operator="equal">
      <formula>"reserved"</formula>
    </cfRule>
  </conditionalFormatting>
  <conditionalFormatting sqref="C704">
    <cfRule type="cellIs" dxfId="482" priority="475" stopIfTrue="1" operator="equal">
      <formula>"reserved"</formula>
    </cfRule>
  </conditionalFormatting>
  <conditionalFormatting sqref="C706">
    <cfRule type="cellIs" dxfId="481" priority="474" stopIfTrue="1" operator="equal">
      <formula>"reserved"</formula>
    </cfRule>
  </conditionalFormatting>
  <conditionalFormatting sqref="C688">
    <cfRule type="cellIs" dxfId="480" priority="482" stopIfTrue="1" operator="equal">
      <formula>"reserved"</formula>
    </cfRule>
  </conditionalFormatting>
  <conditionalFormatting sqref="C687">
    <cfRule type="cellIs" dxfId="479" priority="481" stopIfTrue="1" operator="equal">
      <formula>"reserved"</formula>
    </cfRule>
  </conditionalFormatting>
  <conditionalFormatting sqref="C690">
    <cfRule type="cellIs" dxfId="478" priority="480" stopIfTrue="1" operator="equal">
      <formula>"reserved"</formula>
    </cfRule>
  </conditionalFormatting>
  <conditionalFormatting sqref="C689">
    <cfRule type="cellIs" dxfId="477" priority="479" stopIfTrue="1" operator="equal">
      <formula>"reserved"</formula>
    </cfRule>
  </conditionalFormatting>
  <conditionalFormatting sqref="C691:C697">
    <cfRule type="cellIs" dxfId="476" priority="478" stopIfTrue="1" operator="equal">
      <formula>"reserved"</formula>
    </cfRule>
  </conditionalFormatting>
  <conditionalFormatting sqref="C691">
    <cfRule type="cellIs" dxfId="475" priority="477" stopIfTrue="1" operator="equal">
      <formula>"reserved"</formula>
    </cfRule>
  </conditionalFormatting>
  <conditionalFormatting sqref="C686">
    <cfRule type="cellIs" dxfId="474" priority="484" stopIfTrue="1" operator="equal">
      <formula>"reserved"</formula>
    </cfRule>
  </conditionalFormatting>
  <conditionalFormatting sqref="C681:C682">
    <cfRule type="cellIs" dxfId="473" priority="483" stopIfTrue="1" operator="equal">
      <formula>"reserved"</formula>
    </cfRule>
  </conditionalFormatting>
  <conditionalFormatting sqref="C722">
    <cfRule type="cellIs" dxfId="472" priority="468" stopIfTrue="1" operator="equal">
      <formula>"reserved"</formula>
    </cfRule>
  </conditionalFormatting>
  <conditionalFormatting sqref="C724">
    <cfRule type="cellIs" dxfId="471" priority="467" stopIfTrue="1" operator="equal">
      <formula>"reserved"</formula>
    </cfRule>
  </conditionalFormatting>
  <conditionalFormatting sqref="C685">
    <cfRule type="cellIs" dxfId="470" priority="454" stopIfTrue="1" operator="equal">
      <formula>"reserved"</formula>
    </cfRule>
  </conditionalFormatting>
  <conditionalFormatting sqref="C727">
    <cfRule type="cellIs" dxfId="469" priority="462" stopIfTrue="1" operator="equal">
      <formula>"reserved"</formula>
    </cfRule>
  </conditionalFormatting>
  <conditionalFormatting sqref="C737">
    <cfRule type="cellIs" dxfId="468" priority="461" stopIfTrue="1" operator="equal">
      <formula>"reserved"</formula>
    </cfRule>
  </conditionalFormatting>
  <conditionalFormatting sqref="C739">
    <cfRule type="cellIs" dxfId="467" priority="460" stopIfTrue="1" operator="equal">
      <formula>"reserved"</formula>
    </cfRule>
  </conditionalFormatting>
  <conditionalFormatting sqref="C738">
    <cfRule type="cellIs" dxfId="466" priority="459" stopIfTrue="1" operator="equal">
      <formula>"reserved"</formula>
    </cfRule>
  </conditionalFormatting>
  <conditionalFormatting sqref="C741">
    <cfRule type="cellIs" dxfId="465" priority="458" stopIfTrue="1" operator="equal">
      <formula>"reserved"</formula>
    </cfRule>
  </conditionalFormatting>
  <conditionalFormatting sqref="C732:C735">
    <cfRule type="cellIs" dxfId="464" priority="450" stopIfTrue="1" operator="equal">
      <formula>"reserved"</formula>
    </cfRule>
  </conditionalFormatting>
  <conditionalFormatting sqref="C705">
    <cfRule type="cellIs" dxfId="463" priority="473" stopIfTrue="1" operator="equal">
      <formula>"reserved"</formula>
    </cfRule>
  </conditionalFormatting>
  <conditionalFormatting sqref="C708">
    <cfRule type="cellIs" dxfId="462" priority="472" stopIfTrue="1" operator="equal">
      <formula>"reserved"</formula>
    </cfRule>
  </conditionalFormatting>
  <conditionalFormatting sqref="C707">
    <cfRule type="cellIs" dxfId="461" priority="471" stopIfTrue="1" operator="equal">
      <formula>"reserved"</formula>
    </cfRule>
  </conditionalFormatting>
  <conditionalFormatting sqref="C710">
    <cfRule type="cellIs" dxfId="460" priority="470" stopIfTrue="1" operator="equal">
      <formula>"reserved"</formula>
    </cfRule>
  </conditionalFormatting>
  <conditionalFormatting sqref="C709">
    <cfRule type="cellIs" dxfId="459" priority="469" stopIfTrue="1" operator="equal">
      <formula>"reserved"</formula>
    </cfRule>
  </conditionalFormatting>
  <conditionalFormatting sqref="C723">
    <cfRule type="cellIs" dxfId="458" priority="466" stopIfTrue="1" operator="equal">
      <formula>"reserved"</formula>
    </cfRule>
  </conditionalFormatting>
  <conditionalFormatting sqref="C726">
    <cfRule type="cellIs" dxfId="457" priority="465" stopIfTrue="1" operator="equal">
      <formula>"reserved"</formula>
    </cfRule>
  </conditionalFormatting>
  <conditionalFormatting sqref="C725">
    <cfRule type="cellIs" dxfId="456" priority="464" stopIfTrue="1" operator="equal">
      <formula>"reserved"</formula>
    </cfRule>
  </conditionalFormatting>
  <conditionalFormatting sqref="C728">
    <cfRule type="cellIs" dxfId="455" priority="463" stopIfTrue="1" operator="equal">
      <formula>"reserved"</formula>
    </cfRule>
  </conditionalFormatting>
  <conditionalFormatting sqref="C740">
    <cfRule type="cellIs" dxfId="454" priority="457" stopIfTrue="1" operator="equal">
      <formula>"reserved"</formula>
    </cfRule>
  </conditionalFormatting>
  <conditionalFormatting sqref="C743">
    <cfRule type="cellIs" dxfId="453" priority="456" stopIfTrue="1" operator="equal">
      <formula>"reserved"</formula>
    </cfRule>
  </conditionalFormatting>
  <conditionalFormatting sqref="C742">
    <cfRule type="cellIs" dxfId="452" priority="455" stopIfTrue="1" operator="equal">
      <formula>"reserved"</formula>
    </cfRule>
  </conditionalFormatting>
  <conditionalFormatting sqref="C703">
    <cfRule type="cellIs" dxfId="451" priority="453" stopIfTrue="1" operator="equal">
      <formula>"reserved"</formula>
    </cfRule>
  </conditionalFormatting>
  <conditionalFormatting sqref="C699:C700">
    <cfRule type="cellIs" dxfId="450" priority="452" stopIfTrue="1" operator="equal">
      <formula>"reserved"</formula>
    </cfRule>
  </conditionalFormatting>
  <conditionalFormatting sqref="C717:C718 C720">
    <cfRule type="cellIs" dxfId="449" priority="451" stopIfTrue="1" operator="equal">
      <formula>"reserved"</formula>
    </cfRule>
  </conditionalFormatting>
  <conditionalFormatting sqref="C702">
    <cfRule type="cellIs" dxfId="448" priority="448" stopIfTrue="1" operator="equal">
      <formula>"reserved"</formula>
    </cfRule>
  </conditionalFormatting>
  <conditionalFormatting sqref="C684">
    <cfRule type="cellIs" dxfId="447" priority="449" stopIfTrue="1" operator="equal">
      <formula>"reserved"</formula>
    </cfRule>
  </conditionalFormatting>
  <conditionalFormatting sqref="C711:C714">
    <cfRule type="cellIs" dxfId="446" priority="447" stopIfTrue="1" operator="equal">
      <formula>"reserved"</formula>
    </cfRule>
  </conditionalFormatting>
  <conditionalFormatting sqref="C711">
    <cfRule type="cellIs" dxfId="445" priority="446" stopIfTrue="1" operator="equal">
      <formula>"reserved"</formula>
    </cfRule>
  </conditionalFormatting>
  <conditionalFormatting sqref="C719">
    <cfRule type="cellIs" dxfId="444" priority="445" stopIfTrue="1" operator="equal">
      <formula>"reserved"</formula>
    </cfRule>
  </conditionalFormatting>
  <conditionalFormatting sqref="C683">
    <cfRule type="cellIs" dxfId="443" priority="444" stopIfTrue="1" operator="equal">
      <formula>"reserved"</formula>
    </cfRule>
  </conditionalFormatting>
  <conditionalFormatting sqref="C701">
    <cfRule type="cellIs" dxfId="442" priority="443" stopIfTrue="1" operator="equal">
      <formula>"reserved"</formula>
    </cfRule>
  </conditionalFormatting>
  <conditionalFormatting sqref="C687">
    <cfRule type="cellIs" dxfId="441" priority="441" stopIfTrue="1" operator="equal">
      <formula>"reserved"</formula>
    </cfRule>
  </conditionalFormatting>
  <conditionalFormatting sqref="C686">
    <cfRule type="cellIs" dxfId="440" priority="440" stopIfTrue="1" operator="equal">
      <formula>"reserved"</formula>
    </cfRule>
  </conditionalFormatting>
  <conditionalFormatting sqref="C689">
    <cfRule type="cellIs" dxfId="439" priority="439" stopIfTrue="1" operator="equal">
      <formula>"reserved"</formula>
    </cfRule>
  </conditionalFormatting>
  <conditionalFormatting sqref="C688">
    <cfRule type="cellIs" dxfId="438" priority="438" stopIfTrue="1" operator="equal">
      <formula>"reserved"</formula>
    </cfRule>
  </conditionalFormatting>
  <conditionalFormatting sqref="C690">
    <cfRule type="cellIs" dxfId="437" priority="437" stopIfTrue="1" operator="equal">
      <formula>"reserved"</formula>
    </cfRule>
  </conditionalFormatting>
  <conditionalFormatting sqref="C685">
    <cfRule type="cellIs" dxfId="436" priority="442" stopIfTrue="1" operator="equal">
      <formula>"reserved"</formula>
    </cfRule>
  </conditionalFormatting>
  <conditionalFormatting sqref="C684">
    <cfRule type="cellIs" dxfId="435" priority="436" stopIfTrue="1" operator="equal">
      <formula>"reserved"</formula>
    </cfRule>
  </conditionalFormatting>
  <conditionalFormatting sqref="C683">
    <cfRule type="cellIs" dxfId="434" priority="435" stopIfTrue="1" operator="equal">
      <formula>"reserved"</formula>
    </cfRule>
  </conditionalFormatting>
  <conditionalFormatting sqref="C703">
    <cfRule type="cellIs" dxfId="433" priority="434" stopIfTrue="1" operator="equal">
      <formula>"reserved"</formula>
    </cfRule>
  </conditionalFormatting>
  <conditionalFormatting sqref="C705">
    <cfRule type="cellIs" dxfId="432" priority="433" stopIfTrue="1" operator="equal">
      <formula>"reserved"</formula>
    </cfRule>
  </conditionalFormatting>
  <conditionalFormatting sqref="C704">
    <cfRule type="cellIs" dxfId="431" priority="432" stopIfTrue="1" operator="equal">
      <formula>"reserved"</formula>
    </cfRule>
  </conditionalFormatting>
  <conditionalFormatting sqref="C707">
    <cfRule type="cellIs" dxfId="430" priority="431" stopIfTrue="1" operator="equal">
      <formula>"reserved"</formula>
    </cfRule>
  </conditionalFormatting>
  <conditionalFormatting sqref="C706">
    <cfRule type="cellIs" dxfId="429" priority="430" stopIfTrue="1" operator="equal">
      <formula>"reserved"</formula>
    </cfRule>
  </conditionalFormatting>
  <conditionalFormatting sqref="C709">
    <cfRule type="cellIs" dxfId="428" priority="429" stopIfTrue="1" operator="equal">
      <formula>"reserved"</formula>
    </cfRule>
  </conditionalFormatting>
  <conditionalFormatting sqref="C708">
    <cfRule type="cellIs" dxfId="427" priority="428" stopIfTrue="1" operator="equal">
      <formula>"reserved"</formula>
    </cfRule>
  </conditionalFormatting>
  <conditionalFormatting sqref="C702">
    <cfRule type="cellIs" dxfId="426" priority="427" stopIfTrue="1" operator="equal">
      <formula>"reserved"</formula>
    </cfRule>
  </conditionalFormatting>
  <conditionalFormatting sqref="C701">
    <cfRule type="cellIs" dxfId="425" priority="426" stopIfTrue="1" operator="equal">
      <formula>"reserved"</formula>
    </cfRule>
  </conditionalFormatting>
  <conditionalFormatting sqref="C710">
    <cfRule type="cellIs" dxfId="424" priority="425" stopIfTrue="1" operator="equal">
      <formula>"reserved"</formula>
    </cfRule>
  </conditionalFormatting>
  <conditionalFormatting sqref="C715">
    <cfRule type="cellIs" dxfId="423" priority="424" stopIfTrue="1" operator="equal">
      <formula>"reserved"</formula>
    </cfRule>
  </conditionalFormatting>
  <conditionalFormatting sqref="C721">
    <cfRule type="cellIs" dxfId="422" priority="423" stopIfTrue="1" operator="equal">
      <formula>"reserved"</formula>
    </cfRule>
  </conditionalFormatting>
  <conditionalFormatting sqref="C723">
    <cfRule type="cellIs" dxfId="421" priority="422" stopIfTrue="1" operator="equal">
      <formula>"reserved"</formula>
    </cfRule>
  </conditionalFormatting>
  <conditionalFormatting sqref="C726">
    <cfRule type="cellIs" dxfId="420" priority="417" stopIfTrue="1" operator="equal">
      <formula>"reserved"</formula>
    </cfRule>
  </conditionalFormatting>
  <conditionalFormatting sqref="C722">
    <cfRule type="cellIs" dxfId="419" priority="421" stopIfTrue="1" operator="equal">
      <formula>"reserved"</formula>
    </cfRule>
  </conditionalFormatting>
  <conditionalFormatting sqref="C725">
    <cfRule type="cellIs" dxfId="418" priority="420" stopIfTrue="1" operator="equal">
      <formula>"reserved"</formula>
    </cfRule>
  </conditionalFormatting>
  <conditionalFormatting sqref="C724">
    <cfRule type="cellIs" dxfId="417" priority="419" stopIfTrue="1" operator="equal">
      <formula>"reserved"</formula>
    </cfRule>
  </conditionalFormatting>
  <conditionalFormatting sqref="C727">
    <cfRule type="cellIs" dxfId="416" priority="418" stopIfTrue="1" operator="equal">
      <formula>"reserved"</formula>
    </cfRule>
  </conditionalFormatting>
  <conditionalFormatting sqref="C719">
    <cfRule type="cellIs" dxfId="415" priority="416" stopIfTrue="1" operator="equal">
      <formula>"reserved"</formula>
    </cfRule>
  </conditionalFormatting>
  <conditionalFormatting sqref="C728">
    <cfRule type="cellIs" dxfId="414" priority="415" stopIfTrue="1" operator="equal">
      <formula>"reserved"</formula>
    </cfRule>
  </conditionalFormatting>
  <conditionalFormatting sqref="C729">
    <cfRule type="cellIs" dxfId="413" priority="414" stopIfTrue="1" operator="equal">
      <formula>"reserved"</formula>
    </cfRule>
  </conditionalFormatting>
  <conditionalFormatting sqref="C736">
    <cfRule type="cellIs" dxfId="412" priority="413" stopIfTrue="1" operator="equal">
      <formula>"reserved"</formula>
    </cfRule>
  </conditionalFormatting>
  <conditionalFormatting sqref="C738">
    <cfRule type="cellIs" dxfId="411" priority="412" stopIfTrue="1" operator="equal">
      <formula>"reserved"</formula>
    </cfRule>
  </conditionalFormatting>
  <conditionalFormatting sqref="C737">
    <cfRule type="cellIs" dxfId="410" priority="411" stopIfTrue="1" operator="equal">
      <formula>"reserved"</formula>
    </cfRule>
  </conditionalFormatting>
  <conditionalFormatting sqref="C740">
    <cfRule type="cellIs" dxfId="409" priority="410" stopIfTrue="1" operator="equal">
      <formula>"reserved"</formula>
    </cfRule>
  </conditionalFormatting>
  <conditionalFormatting sqref="C739">
    <cfRule type="cellIs" dxfId="408" priority="409" stopIfTrue="1" operator="equal">
      <formula>"reserved"</formula>
    </cfRule>
  </conditionalFormatting>
  <conditionalFormatting sqref="C742">
    <cfRule type="cellIs" dxfId="407" priority="408" stopIfTrue="1" operator="equal">
      <formula>"reserved"</formula>
    </cfRule>
  </conditionalFormatting>
  <conditionalFormatting sqref="C741">
    <cfRule type="cellIs" dxfId="406" priority="407" stopIfTrue="1" operator="equal">
      <formula>"reserved"</formula>
    </cfRule>
  </conditionalFormatting>
  <conditionalFormatting sqref="C743">
    <cfRule type="cellIs" dxfId="405" priority="406" stopIfTrue="1" operator="equal">
      <formula>"reserved"</formula>
    </cfRule>
  </conditionalFormatting>
  <conditionalFormatting sqref="C744">
    <cfRule type="cellIs" dxfId="404" priority="405" stopIfTrue="1" operator="equal">
      <formula>"reserved"</formula>
    </cfRule>
  </conditionalFormatting>
  <conditionalFormatting sqref="C771:C772">
    <cfRule type="cellIs" dxfId="403" priority="404" stopIfTrue="1" operator="equal">
      <formula>"reserved"</formula>
    </cfRule>
  </conditionalFormatting>
  <conditionalFormatting sqref="C850 C838:C848 C827:C836">
    <cfRule type="cellIs" dxfId="402" priority="403" stopIfTrue="1" operator="equal">
      <formula>"reserved"</formula>
    </cfRule>
  </conditionalFormatting>
  <conditionalFormatting sqref="C850">
    <cfRule type="cellIs" dxfId="401" priority="401" stopIfTrue="1" operator="equal">
      <formula>"reserved"</formula>
    </cfRule>
  </conditionalFormatting>
  <conditionalFormatting sqref="C826">
    <cfRule type="cellIs" dxfId="400" priority="402" stopIfTrue="1" operator="equal">
      <formula>"reserved"</formula>
    </cfRule>
  </conditionalFormatting>
  <conditionalFormatting sqref="C849">
    <cfRule type="cellIs" dxfId="399" priority="400" stopIfTrue="1" operator="equal">
      <formula>"reserved"</formula>
    </cfRule>
  </conditionalFormatting>
  <conditionalFormatting sqref="C849">
    <cfRule type="cellIs" dxfId="398" priority="399" stopIfTrue="1" operator="equal">
      <formula>"reserved"</formula>
    </cfRule>
  </conditionalFormatting>
  <conditionalFormatting sqref="C837">
    <cfRule type="cellIs" dxfId="397" priority="398" stopIfTrue="1" operator="equal">
      <formula>"reserved"</formula>
    </cfRule>
  </conditionalFormatting>
  <conditionalFormatting sqref="C946:C950">
    <cfRule type="cellIs" dxfId="396" priority="1" stopIfTrue="1" operator="equal">
      <formula>"reserved"</formula>
    </cfRule>
  </conditionalFormatting>
  <conditionalFormatting sqref="C862:C863 C852 C965 C911">
    <cfRule type="cellIs" dxfId="395" priority="397" stopIfTrue="1" operator="equal">
      <formula>"reserved"</formula>
    </cfRule>
  </conditionalFormatting>
  <conditionalFormatting sqref="C861">
    <cfRule type="cellIs" dxfId="394" priority="396" stopIfTrue="1" operator="equal">
      <formula>"reserved"</formula>
    </cfRule>
  </conditionalFormatting>
  <conditionalFormatting sqref="C900">
    <cfRule type="cellIs" dxfId="393" priority="391" stopIfTrue="1" operator="equal">
      <formula>"reserved"</formula>
    </cfRule>
  </conditionalFormatting>
  <conditionalFormatting sqref="C878">
    <cfRule type="cellIs" dxfId="392" priority="393" stopIfTrue="1" operator="equal">
      <formula>"reserved"</formula>
    </cfRule>
  </conditionalFormatting>
  <conditionalFormatting sqref="C882:C883">
    <cfRule type="cellIs" dxfId="391" priority="392" stopIfTrue="1" operator="equal">
      <formula>"reserved"</formula>
    </cfRule>
  </conditionalFormatting>
  <conditionalFormatting sqref="C960">
    <cfRule type="cellIs" dxfId="390" priority="384" stopIfTrue="1" operator="equal">
      <formula>"reserved"</formula>
    </cfRule>
  </conditionalFormatting>
  <conditionalFormatting sqref="C901">
    <cfRule type="cellIs" dxfId="389" priority="388" stopIfTrue="1" operator="equal">
      <formula>"reserved"</formula>
    </cfRule>
  </conditionalFormatting>
  <conditionalFormatting sqref="C881">
    <cfRule type="cellIs" dxfId="388" priority="394" stopIfTrue="1" operator="equal">
      <formula>"reserved"</formula>
    </cfRule>
  </conditionalFormatting>
  <conditionalFormatting sqref="C961">
    <cfRule type="cellIs" dxfId="387" priority="385" stopIfTrue="1" operator="equal">
      <formula>"reserved"</formula>
    </cfRule>
  </conditionalFormatting>
  <conditionalFormatting sqref="C962">
    <cfRule type="cellIs" dxfId="386" priority="382" stopIfTrue="1" operator="equal">
      <formula>"reserved"</formula>
    </cfRule>
  </conditionalFormatting>
  <conditionalFormatting sqref="C903">
    <cfRule type="cellIs" dxfId="385" priority="390" stopIfTrue="1" operator="equal">
      <formula>"reserved"</formula>
    </cfRule>
  </conditionalFormatting>
  <conditionalFormatting sqref="C868 C871:C873">
    <cfRule type="cellIs" dxfId="384" priority="395" stopIfTrue="1" operator="equal">
      <formula>"reserved"</formula>
    </cfRule>
  </conditionalFormatting>
  <conditionalFormatting sqref="C958">
    <cfRule type="cellIs" dxfId="383" priority="386" stopIfTrue="1" operator="equal">
      <formula>"reserved"</formula>
    </cfRule>
  </conditionalFormatting>
  <conditionalFormatting sqref="C963">
    <cfRule type="cellIs" dxfId="382" priority="383" stopIfTrue="1" operator="equal">
      <formula>"reserved"</formula>
    </cfRule>
  </conditionalFormatting>
  <conditionalFormatting sqref="C902">
    <cfRule type="cellIs" dxfId="381" priority="389" stopIfTrue="1" operator="equal">
      <formula>"reserved"</formula>
    </cfRule>
  </conditionalFormatting>
  <conditionalFormatting sqref="C959">
    <cfRule type="cellIs" dxfId="380" priority="387" stopIfTrue="1" operator="equal">
      <formula>"reserved"</formula>
    </cfRule>
  </conditionalFormatting>
  <conditionalFormatting sqref="C871">
    <cfRule type="cellIs" dxfId="379" priority="381" stopIfTrue="1" operator="equal">
      <formula>"reserved"</formula>
    </cfRule>
  </conditionalFormatting>
  <conditionalFormatting sqref="C872:C873">
    <cfRule type="cellIs" dxfId="378" priority="380" stopIfTrue="1" operator="equal">
      <formula>"reserved"</formula>
    </cfRule>
  </conditionalFormatting>
  <conditionalFormatting sqref="C894:C898">
    <cfRule type="cellIs" dxfId="377" priority="378" stopIfTrue="1" operator="equal">
      <formula>"reserved"</formula>
    </cfRule>
  </conditionalFormatting>
  <conditionalFormatting sqref="C890">
    <cfRule type="cellIs" dxfId="376" priority="379" stopIfTrue="1" operator="equal">
      <formula>"reserved"</formula>
    </cfRule>
  </conditionalFormatting>
  <conditionalFormatting sqref="C893">
    <cfRule type="cellIs" dxfId="375" priority="377" stopIfTrue="1" operator="equal">
      <formula>"reserved"</formula>
    </cfRule>
  </conditionalFormatting>
  <conditionalFormatting sqref="C941">
    <cfRule type="cellIs" dxfId="374" priority="361" stopIfTrue="1" operator="equal">
      <formula>"reserved"</formula>
    </cfRule>
  </conditionalFormatting>
  <conditionalFormatting sqref="C945">
    <cfRule type="cellIs" dxfId="373" priority="360" stopIfTrue="1" operator="equal">
      <formula>"reserved"</formula>
    </cfRule>
  </conditionalFormatting>
  <conditionalFormatting sqref="C1036">
    <cfRule type="cellIs" dxfId="372" priority="358" stopIfTrue="1" operator="equal">
      <formula>"reserved"</formula>
    </cfRule>
  </conditionalFormatting>
  <conditionalFormatting sqref="C1035">
    <cfRule type="cellIs" dxfId="371" priority="357" stopIfTrue="1" operator="equal">
      <formula>"reserved"</formula>
    </cfRule>
  </conditionalFormatting>
  <conditionalFormatting sqref="C1063">
    <cfRule type="cellIs" dxfId="370" priority="342" stopIfTrue="1" operator="equal">
      <formula>"reserved"</formula>
    </cfRule>
  </conditionalFormatting>
  <conditionalFormatting sqref="C1074">
    <cfRule type="cellIs" dxfId="369" priority="341" stopIfTrue="1" operator="equal">
      <formula>"reserved"</formula>
    </cfRule>
  </conditionalFormatting>
  <conditionalFormatting sqref="C891">
    <cfRule type="cellIs" dxfId="368" priority="376" stopIfTrue="1" operator="equal">
      <formula>"reserved"</formula>
    </cfRule>
  </conditionalFormatting>
  <conditionalFormatting sqref="C888">
    <cfRule type="cellIs" dxfId="367" priority="375" stopIfTrue="1" operator="equal">
      <formula>"reserved"</formula>
    </cfRule>
  </conditionalFormatting>
  <conditionalFormatting sqref="C889">
    <cfRule type="cellIs" dxfId="366" priority="374" stopIfTrue="1" operator="equal">
      <formula>"reserved"</formula>
    </cfRule>
  </conditionalFormatting>
  <conditionalFormatting sqref="C908">
    <cfRule type="cellIs" dxfId="365" priority="373" stopIfTrue="1" operator="equal">
      <formula>"reserved"</formula>
    </cfRule>
  </conditionalFormatting>
  <conditionalFormatting sqref="C909">
    <cfRule type="cellIs" dxfId="364" priority="372" stopIfTrue="1" operator="equal">
      <formula>"reserved"</formula>
    </cfRule>
  </conditionalFormatting>
  <conditionalFormatting sqref="C906">
    <cfRule type="cellIs" dxfId="363" priority="371" stopIfTrue="1" operator="equal">
      <formula>"reserved"</formula>
    </cfRule>
  </conditionalFormatting>
  <conditionalFormatting sqref="C907">
    <cfRule type="cellIs" dxfId="362" priority="370" stopIfTrue="1" operator="equal">
      <formula>"reserved"</formula>
    </cfRule>
  </conditionalFormatting>
  <conditionalFormatting sqref="C923">
    <cfRule type="cellIs" dxfId="361" priority="367" stopIfTrue="1" operator="equal">
      <formula>"reserved"</formula>
    </cfRule>
  </conditionalFormatting>
  <conditionalFormatting sqref="C924">
    <cfRule type="cellIs" dxfId="360" priority="366" stopIfTrue="1" operator="equal">
      <formula>"reserved"</formula>
    </cfRule>
  </conditionalFormatting>
  <conditionalFormatting sqref="C925">
    <cfRule type="cellIs" dxfId="359" priority="369" stopIfTrue="1" operator="equal">
      <formula>"reserved"</formula>
    </cfRule>
  </conditionalFormatting>
  <conditionalFormatting sqref="C926">
    <cfRule type="cellIs" dxfId="358" priority="368" stopIfTrue="1" operator="equal">
      <formula>"reserved"</formula>
    </cfRule>
  </conditionalFormatting>
  <conditionalFormatting sqref="C942">
    <cfRule type="cellIs" dxfId="357" priority="364" stopIfTrue="1" operator="equal">
      <formula>"reserved"</formula>
    </cfRule>
  </conditionalFormatting>
  <conditionalFormatting sqref="C928">
    <cfRule type="cellIs" dxfId="356" priority="365" stopIfTrue="1" operator="equal">
      <formula>"reserved"</formula>
    </cfRule>
  </conditionalFormatting>
  <conditionalFormatting sqref="C940">
    <cfRule type="cellIs" dxfId="355" priority="362" stopIfTrue="1" operator="equal">
      <formula>"reserved"</formula>
    </cfRule>
  </conditionalFormatting>
  <conditionalFormatting sqref="C1060">
    <cfRule type="cellIs" dxfId="354" priority="347" stopIfTrue="1" operator="equal">
      <formula>"reserved"</formula>
    </cfRule>
  </conditionalFormatting>
  <conditionalFormatting sqref="C1061">
    <cfRule type="cellIs" dxfId="353" priority="346" stopIfTrue="1" operator="equal">
      <formula>"reserved"</formula>
    </cfRule>
  </conditionalFormatting>
  <conditionalFormatting sqref="C1032">
    <cfRule type="cellIs" dxfId="352" priority="359" stopIfTrue="1" operator="equal">
      <formula>"reserved"</formula>
    </cfRule>
  </conditionalFormatting>
  <conditionalFormatting sqref="C943">
    <cfRule type="cellIs" dxfId="351" priority="363" stopIfTrue="1" operator="equal">
      <formula>"reserved"</formula>
    </cfRule>
  </conditionalFormatting>
  <conditionalFormatting sqref="C1058">
    <cfRule type="cellIs" dxfId="350" priority="345" stopIfTrue="1" operator="equal">
      <formula>"reserved"</formula>
    </cfRule>
  </conditionalFormatting>
  <conditionalFormatting sqref="C1064">
    <cfRule type="cellIs" dxfId="349" priority="343" stopIfTrue="1" operator="equal">
      <formula>"reserved"</formula>
    </cfRule>
  </conditionalFormatting>
  <conditionalFormatting sqref="C1059">
    <cfRule type="cellIs" dxfId="348" priority="344" stopIfTrue="1" operator="equal">
      <formula>"reserved"</formula>
    </cfRule>
  </conditionalFormatting>
  <conditionalFormatting sqref="C1075">
    <cfRule type="cellIs" dxfId="347" priority="340" stopIfTrue="1" operator="equal">
      <formula>"reserved"</formula>
    </cfRule>
  </conditionalFormatting>
  <conditionalFormatting sqref="C1077">
    <cfRule type="cellIs" dxfId="346" priority="336" stopIfTrue="1" operator="equal">
      <formula>"reserved"</formula>
    </cfRule>
  </conditionalFormatting>
  <conditionalFormatting sqref="C1031">
    <cfRule type="cellIs" dxfId="345" priority="354" stopIfTrue="1" operator="equal">
      <formula>"reserved"</formula>
    </cfRule>
  </conditionalFormatting>
  <conditionalFormatting sqref="C1046">
    <cfRule type="cellIs" dxfId="344" priority="353" stopIfTrue="1" operator="equal">
      <formula>"reserved"</formula>
    </cfRule>
  </conditionalFormatting>
  <conditionalFormatting sqref="C1030">
    <cfRule type="cellIs" dxfId="343" priority="355" stopIfTrue="1" operator="equal">
      <formula>"reserved"</formula>
    </cfRule>
  </conditionalFormatting>
  <conditionalFormatting sqref="C1044">
    <cfRule type="cellIs" dxfId="342" priority="351" stopIfTrue="1" operator="equal">
      <formula>"reserved"</formula>
    </cfRule>
  </conditionalFormatting>
  <conditionalFormatting sqref="C1045">
    <cfRule type="cellIs" dxfId="341" priority="350" stopIfTrue="1" operator="equal">
      <formula>"reserved"</formula>
    </cfRule>
  </conditionalFormatting>
  <conditionalFormatting sqref="C1047">
    <cfRule type="cellIs" dxfId="340" priority="352" stopIfTrue="1" operator="equal">
      <formula>"reserved"</formula>
    </cfRule>
  </conditionalFormatting>
  <conditionalFormatting sqref="C1073">
    <cfRule type="cellIs" dxfId="339" priority="338" stopIfTrue="1" operator="equal">
      <formula>"reserved"</formula>
    </cfRule>
  </conditionalFormatting>
  <conditionalFormatting sqref="C1078">
    <cfRule type="cellIs" dxfId="338" priority="337" stopIfTrue="1" operator="equal">
      <formula>"reserved"</formula>
    </cfRule>
  </conditionalFormatting>
  <conditionalFormatting sqref="C1072">
    <cfRule type="cellIs" dxfId="337" priority="339" stopIfTrue="1" operator="equal">
      <formula>"reserved"</formula>
    </cfRule>
  </conditionalFormatting>
  <conditionalFormatting sqref="C1033">
    <cfRule type="cellIs" dxfId="336" priority="356" stopIfTrue="1" operator="equal">
      <formula>"reserved"</formula>
    </cfRule>
  </conditionalFormatting>
  <conditionalFormatting sqref="C1049">
    <cfRule type="cellIs" dxfId="335" priority="348" stopIfTrue="1" operator="equal">
      <formula>"reserved"</formula>
    </cfRule>
  </conditionalFormatting>
  <conditionalFormatting sqref="C1050">
    <cfRule type="cellIs" dxfId="334" priority="349" stopIfTrue="1" operator="equal">
      <formula>"reserved"</formula>
    </cfRule>
  </conditionalFormatting>
  <conditionalFormatting sqref="C1167">
    <cfRule type="cellIs" dxfId="333" priority="334" stopIfTrue="1" operator="equal">
      <formula>"reserved"</formula>
    </cfRule>
  </conditionalFormatting>
  <conditionalFormatting sqref="C1163">
    <cfRule type="cellIs" dxfId="332" priority="335" stopIfTrue="1" operator="equal">
      <formula>"reserved"</formula>
    </cfRule>
  </conditionalFormatting>
  <conditionalFormatting sqref="C1166">
    <cfRule type="cellIs" dxfId="331" priority="333" stopIfTrue="1" operator="equal">
      <formula>"reserved"</formula>
    </cfRule>
  </conditionalFormatting>
  <conditionalFormatting sqref="C1162">
    <cfRule type="cellIs" dxfId="330" priority="330" stopIfTrue="1" operator="equal">
      <formula>"reserved"</formula>
    </cfRule>
  </conditionalFormatting>
  <conditionalFormatting sqref="C1177">
    <cfRule type="cellIs" dxfId="329" priority="329" stopIfTrue="1" operator="equal">
      <formula>"reserved"</formula>
    </cfRule>
  </conditionalFormatting>
  <conditionalFormatting sqref="C1161">
    <cfRule type="cellIs" dxfId="328" priority="331" stopIfTrue="1" operator="equal">
      <formula>"reserved"</formula>
    </cfRule>
  </conditionalFormatting>
  <conditionalFormatting sqref="C1192">
    <cfRule type="cellIs" dxfId="327" priority="322" stopIfTrue="1" operator="equal">
      <formula>"reserved"</formula>
    </cfRule>
  </conditionalFormatting>
  <conditionalFormatting sqref="C1175">
    <cfRule type="cellIs" dxfId="326" priority="327" stopIfTrue="1" operator="equal">
      <formula>"reserved"</formula>
    </cfRule>
  </conditionalFormatting>
  <conditionalFormatting sqref="C1176">
    <cfRule type="cellIs" dxfId="325" priority="326" stopIfTrue="1" operator="equal">
      <formula>"reserved"</formula>
    </cfRule>
  </conditionalFormatting>
  <conditionalFormatting sqref="C1178">
    <cfRule type="cellIs" dxfId="324" priority="328" stopIfTrue="1" operator="equal">
      <formula>"reserved"</formula>
    </cfRule>
  </conditionalFormatting>
  <conditionalFormatting sqref="C1195">
    <cfRule type="cellIs" dxfId="323" priority="319" stopIfTrue="1" operator="equal">
      <formula>"reserved"</formula>
    </cfRule>
  </conditionalFormatting>
  <conditionalFormatting sqref="C1190">
    <cfRule type="cellIs" dxfId="322" priority="320" stopIfTrue="1" operator="equal">
      <formula>"reserved"</formula>
    </cfRule>
  </conditionalFormatting>
  <conditionalFormatting sqref="C1164">
    <cfRule type="cellIs" dxfId="321" priority="332" stopIfTrue="1" operator="equal">
      <formula>"reserved"</formula>
    </cfRule>
  </conditionalFormatting>
  <conditionalFormatting sqref="C1189">
    <cfRule type="cellIs" dxfId="320" priority="321" stopIfTrue="1" operator="equal">
      <formula>"reserved"</formula>
    </cfRule>
  </conditionalFormatting>
  <conditionalFormatting sqref="C1191">
    <cfRule type="cellIs" dxfId="319" priority="323" stopIfTrue="1" operator="equal">
      <formula>"reserved"</formula>
    </cfRule>
  </conditionalFormatting>
  <conditionalFormatting sqref="C1181">
    <cfRule type="cellIs" dxfId="318" priority="325" stopIfTrue="1" operator="equal">
      <formula>"reserved"</formula>
    </cfRule>
  </conditionalFormatting>
  <conditionalFormatting sqref="C1180">
    <cfRule type="cellIs" dxfId="317" priority="324" stopIfTrue="1" operator="equal">
      <formula>"reserved"</formula>
    </cfRule>
  </conditionalFormatting>
  <conditionalFormatting sqref="C1194">
    <cfRule type="cellIs" dxfId="316" priority="318" stopIfTrue="1" operator="equal">
      <formula>"reserved"</formula>
    </cfRule>
  </conditionalFormatting>
  <conditionalFormatting sqref="C1205">
    <cfRule type="cellIs" dxfId="315" priority="317" stopIfTrue="1" operator="equal">
      <formula>"reserved"</formula>
    </cfRule>
  </conditionalFormatting>
  <conditionalFormatting sqref="C1203">
    <cfRule type="cellIs" dxfId="314" priority="315" stopIfTrue="1" operator="equal">
      <formula>"reserved"</formula>
    </cfRule>
  </conditionalFormatting>
  <conditionalFormatting sqref="C1204">
    <cfRule type="cellIs" dxfId="313" priority="314" stopIfTrue="1" operator="equal">
      <formula>"reserved"</formula>
    </cfRule>
  </conditionalFormatting>
  <conditionalFormatting sqref="C1209">
    <cfRule type="cellIs" dxfId="312" priority="313" stopIfTrue="1" operator="equal">
      <formula>"reserved"</formula>
    </cfRule>
  </conditionalFormatting>
  <conditionalFormatting sqref="C1208">
    <cfRule type="cellIs" dxfId="311" priority="312" stopIfTrue="1" operator="equal">
      <formula>"reserved"</formula>
    </cfRule>
  </conditionalFormatting>
  <conditionalFormatting sqref="C1206">
    <cfRule type="cellIs" dxfId="310" priority="316" stopIfTrue="1" operator="equal">
      <formula>"reserved"</formula>
    </cfRule>
  </conditionalFormatting>
  <conditionalFormatting sqref="C1295">
    <cfRule type="cellIs" dxfId="309" priority="308" stopIfTrue="1" operator="equal">
      <formula>"reserved"</formula>
    </cfRule>
  </conditionalFormatting>
  <conditionalFormatting sqref="C1292">
    <cfRule type="cellIs" dxfId="308" priority="307" stopIfTrue="1" operator="equal">
      <formula>"reserved"</formula>
    </cfRule>
  </conditionalFormatting>
  <conditionalFormatting sqref="C1298">
    <cfRule type="cellIs" dxfId="307" priority="310" stopIfTrue="1" operator="equal">
      <formula>"reserved"</formula>
    </cfRule>
  </conditionalFormatting>
  <conditionalFormatting sqref="C1294">
    <cfRule type="cellIs" dxfId="306" priority="311" stopIfTrue="1" operator="equal">
      <formula>"reserved"</formula>
    </cfRule>
  </conditionalFormatting>
  <conditionalFormatting sqref="C1297">
    <cfRule type="cellIs" dxfId="305" priority="309" stopIfTrue="1" operator="equal">
      <formula>"reserved"</formula>
    </cfRule>
  </conditionalFormatting>
  <conditionalFormatting sqref="C1293">
    <cfRule type="cellIs" dxfId="304" priority="306" stopIfTrue="1" operator="equal">
      <formula>"reserved"</formula>
    </cfRule>
  </conditionalFormatting>
  <conditionalFormatting sqref="C1308">
    <cfRule type="cellIs" dxfId="303" priority="305" stopIfTrue="1" operator="equal">
      <formula>"reserved"</formula>
    </cfRule>
  </conditionalFormatting>
  <conditionalFormatting sqref="C1309">
    <cfRule type="cellIs" dxfId="302" priority="304" stopIfTrue="1" operator="equal">
      <formula>"reserved"</formula>
    </cfRule>
  </conditionalFormatting>
  <conditionalFormatting sqref="C1306">
    <cfRule type="cellIs" dxfId="301" priority="303" stopIfTrue="1" operator="equal">
      <formula>"reserved"</formula>
    </cfRule>
  </conditionalFormatting>
  <conditionalFormatting sqref="C1307">
    <cfRule type="cellIs" dxfId="300" priority="302" stopIfTrue="1" operator="equal">
      <formula>"reserved"</formula>
    </cfRule>
  </conditionalFormatting>
  <conditionalFormatting sqref="C1312">
    <cfRule type="cellIs" dxfId="299" priority="301" stopIfTrue="1" operator="equal">
      <formula>"reserved"</formula>
    </cfRule>
  </conditionalFormatting>
  <conditionalFormatting sqref="C1311">
    <cfRule type="cellIs" dxfId="298" priority="300" stopIfTrue="1" operator="equal">
      <formula>"reserved"</formula>
    </cfRule>
  </conditionalFormatting>
  <conditionalFormatting sqref="C1320">
    <cfRule type="cellIs" dxfId="297" priority="297" stopIfTrue="1" operator="equal">
      <formula>"reserved"</formula>
    </cfRule>
  </conditionalFormatting>
  <conditionalFormatting sqref="C1321">
    <cfRule type="cellIs" dxfId="296" priority="296" stopIfTrue="1" operator="equal">
      <formula>"reserved"</formula>
    </cfRule>
  </conditionalFormatting>
  <conditionalFormatting sqref="C1322">
    <cfRule type="cellIs" dxfId="295" priority="299" stopIfTrue="1" operator="equal">
      <formula>"reserved"</formula>
    </cfRule>
  </conditionalFormatting>
  <conditionalFormatting sqref="C1323">
    <cfRule type="cellIs" dxfId="294" priority="298" stopIfTrue="1" operator="equal">
      <formula>"reserved"</formula>
    </cfRule>
  </conditionalFormatting>
  <conditionalFormatting sqref="C1326">
    <cfRule type="cellIs" dxfId="293" priority="295" stopIfTrue="1" operator="equal">
      <formula>"reserved"</formula>
    </cfRule>
  </conditionalFormatting>
  <conditionalFormatting sqref="C1325">
    <cfRule type="cellIs" dxfId="292" priority="294" stopIfTrue="1" operator="equal">
      <formula>"reserved"</formula>
    </cfRule>
  </conditionalFormatting>
  <conditionalFormatting sqref="C1334">
    <cfRule type="cellIs" dxfId="291" priority="291" stopIfTrue="1" operator="equal">
      <formula>"reserved"</formula>
    </cfRule>
  </conditionalFormatting>
  <conditionalFormatting sqref="C1335">
    <cfRule type="cellIs" dxfId="290" priority="290" stopIfTrue="1" operator="equal">
      <formula>"reserved"</formula>
    </cfRule>
  </conditionalFormatting>
  <conditionalFormatting sqref="C1340">
    <cfRule type="cellIs" dxfId="289" priority="289" stopIfTrue="1" operator="equal">
      <formula>"reserved"</formula>
    </cfRule>
  </conditionalFormatting>
  <conditionalFormatting sqref="C1339">
    <cfRule type="cellIs" dxfId="288" priority="288" stopIfTrue="1" operator="equal">
      <formula>"reserved"</formula>
    </cfRule>
  </conditionalFormatting>
  <conditionalFormatting sqref="C1336">
    <cfRule type="cellIs" dxfId="287" priority="293" stopIfTrue="1" operator="equal">
      <formula>"reserved"</formula>
    </cfRule>
  </conditionalFormatting>
  <conditionalFormatting sqref="C1337">
    <cfRule type="cellIs" dxfId="286" priority="292" stopIfTrue="1" operator="equal">
      <formula>"reserved"</formula>
    </cfRule>
  </conditionalFormatting>
  <conditionalFormatting sqref="C974">
    <cfRule type="cellIs" dxfId="285" priority="287" stopIfTrue="1" operator="equal">
      <formula>"reserved"</formula>
    </cfRule>
  </conditionalFormatting>
  <conditionalFormatting sqref="C969">
    <cfRule type="cellIs" dxfId="284" priority="283" stopIfTrue="1" operator="equal">
      <formula>"reserved"</formula>
    </cfRule>
  </conditionalFormatting>
  <conditionalFormatting sqref="C970">
    <cfRule type="cellIs" dxfId="283" priority="284" stopIfTrue="1" operator="equal">
      <formula>"reserved"</formula>
    </cfRule>
  </conditionalFormatting>
  <conditionalFormatting sqref="C971">
    <cfRule type="cellIs" dxfId="282" priority="281" stopIfTrue="1" operator="equal">
      <formula>"reserved"</formula>
    </cfRule>
  </conditionalFormatting>
  <conditionalFormatting sqref="C967">
    <cfRule type="cellIs" dxfId="281" priority="285" stopIfTrue="1" operator="equal">
      <formula>"reserved"</formula>
    </cfRule>
  </conditionalFormatting>
  <conditionalFormatting sqref="C972">
    <cfRule type="cellIs" dxfId="280" priority="282" stopIfTrue="1" operator="equal">
      <formula>"reserved"</formula>
    </cfRule>
  </conditionalFormatting>
  <conditionalFormatting sqref="C968">
    <cfRule type="cellIs" dxfId="279" priority="286" stopIfTrue="1" operator="equal">
      <formula>"reserved"</formula>
    </cfRule>
  </conditionalFormatting>
  <conditionalFormatting sqref="C983">
    <cfRule type="cellIs" dxfId="278" priority="280" stopIfTrue="1" operator="equal">
      <formula>"reserved"</formula>
    </cfRule>
  </conditionalFormatting>
  <conditionalFormatting sqref="C978">
    <cfRule type="cellIs" dxfId="277" priority="276" stopIfTrue="1" operator="equal">
      <formula>"reserved"</formula>
    </cfRule>
  </conditionalFormatting>
  <conditionalFormatting sqref="C979">
    <cfRule type="cellIs" dxfId="276" priority="277" stopIfTrue="1" operator="equal">
      <formula>"reserved"</formula>
    </cfRule>
  </conditionalFormatting>
  <conditionalFormatting sqref="C980">
    <cfRule type="cellIs" dxfId="275" priority="274" stopIfTrue="1" operator="equal">
      <formula>"reserved"</formula>
    </cfRule>
  </conditionalFormatting>
  <conditionalFormatting sqref="C976">
    <cfRule type="cellIs" dxfId="274" priority="278" stopIfTrue="1" operator="equal">
      <formula>"reserved"</formula>
    </cfRule>
  </conditionalFormatting>
  <conditionalFormatting sqref="C981">
    <cfRule type="cellIs" dxfId="273" priority="275" stopIfTrue="1" operator="equal">
      <formula>"reserved"</formula>
    </cfRule>
  </conditionalFormatting>
  <conditionalFormatting sqref="C977">
    <cfRule type="cellIs" dxfId="272" priority="279" stopIfTrue="1" operator="equal">
      <formula>"reserved"</formula>
    </cfRule>
  </conditionalFormatting>
  <conditionalFormatting sqref="C992">
    <cfRule type="cellIs" dxfId="271" priority="273" stopIfTrue="1" operator="equal">
      <formula>"reserved"</formula>
    </cfRule>
  </conditionalFormatting>
  <conditionalFormatting sqref="C987">
    <cfRule type="cellIs" dxfId="270" priority="269" stopIfTrue="1" operator="equal">
      <formula>"reserved"</formula>
    </cfRule>
  </conditionalFormatting>
  <conditionalFormatting sqref="C988">
    <cfRule type="cellIs" dxfId="269" priority="270" stopIfTrue="1" operator="equal">
      <formula>"reserved"</formula>
    </cfRule>
  </conditionalFormatting>
  <conditionalFormatting sqref="C989">
    <cfRule type="cellIs" dxfId="268" priority="267" stopIfTrue="1" operator="equal">
      <formula>"reserved"</formula>
    </cfRule>
  </conditionalFormatting>
  <conditionalFormatting sqref="C985">
    <cfRule type="cellIs" dxfId="267" priority="271" stopIfTrue="1" operator="equal">
      <formula>"reserved"</formula>
    </cfRule>
  </conditionalFormatting>
  <conditionalFormatting sqref="C990">
    <cfRule type="cellIs" dxfId="266" priority="268" stopIfTrue="1" operator="equal">
      <formula>"reserved"</formula>
    </cfRule>
  </conditionalFormatting>
  <conditionalFormatting sqref="C986">
    <cfRule type="cellIs" dxfId="265" priority="272" stopIfTrue="1" operator="equal">
      <formula>"reserved"</formula>
    </cfRule>
  </conditionalFormatting>
  <conditionalFormatting sqref="C1093">
    <cfRule type="cellIs" dxfId="264" priority="266" stopIfTrue="1" operator="equal">
      <formula>"reserved"</formula>
    </cfRule>
  </conditionalFormatting>
  <conditionalFormatting sqref="C1088">
    <cfRule type="cellIs" dxfId="263" priority="262" stopIfTrue="1" operator="equal">
      <formula>"reserved"</formula>
    </cfRule>
  </conditionalFormatting>
  <conditionalFormatting sqref="C1089">
    <cfRule type="cellIs" dxfId="262" priority="263" stopIfTrue="1" operator="equal">
      <formula>"reserved"</formula>
    </cfRule>
  </conditionalFormatting>
  <conditionalFormatting sqref="C1090">
    <cfRule type="cellIs" dxfId="261" priority="260" stopIfTrue="1" operator="equal">
      <formula>"reserved"</formula>
    </cfRule>
  </conditionalFormatting>
  <conditionalFormatting sqref="C1086">
    <cfRule type="cellIs" dxfId="260" priority="264" stopIfTrue="1" operator="equal">
      <formula>"reserved"</formula>
    </cfRule>
  </conditionalFormatting>
  <conditionalFormatting sqref="C1091">
    <cfRule type="cellIs" dxfId="259" priority="261" stopIfTrue="1" operator="equal">
      <formula>"reserved"</formula>
    </cfRule>
  </conditionalFormatting>
  <conditionalFormatting sqref="C1087">
    <cfRule type="cellIs" dxfId="258" priority="265" stopIfTrue="1" operator="equal">
      <formula>"reserved"</formula>
    </cfRule>
  </conditionalFormatting>
  <conditionalFormatting sqref="C1102">
    <cfRule type="cellIs" dxfId="257" priority="259" stopIfTrue="1" operator="equal">
      <formula>"reserved"</formula>
    </cfRule>
  </conditionalFormatting>
  <conditionalFormatting sqref="C1097">
    <cfRule type="cellIs" dxfId="256" priority="255" stopIfTrue="1" operator="equal">
      <formula>"reserved"</formula>
    </cfRule>
  </conditionalFormatting>
  <conditionalFormatting sqref="C1098">
    <cfRule type="cellIs" dxfId="255" priority="256" stopIfTrue="1" operator="equal">
      <formula>"reserved"</formula>
    </cfRule>
  </conditionalFormatting>
  <conditionalFormatting sqref="C1099">
    <cfRule type="cellIs" dxfId="254" priority="253" stopIfTrue="1" operator="equal">
      <formula>"reserved"</formula>
    </cfRule>
  </conditionalFormatting>
  <conditionalFormatting sqref="C1095">
    <cfRule type="cellIs" dxfId="253" priority="257" stopIfTrue="1" operator="equal">
      <formula>"reserved"</formula>
    </cfRule>
  </conditionalFormatting>
  <conditionalFormatting sqref="C1100">
    <cfRule type="cellIs" dxfId="252" priority="254" stopIfTrue="1" operator="equal">
      <formula>"reserved"</formula>
    </cfRule>
  </conditionalFormatting>
  <conditionalFormatting sqref="C1096">
    <cfRule type="cellIs" dxfId="251" priority="258" stopIfTrue="1" operator="equal">
      <formula>"reserved"</formula>
    </cfRule>
  </conditionalFormatting>
  <conditionalFormatting sqref="C1114">
    <cfRule type="cellIs" dxfId="250" priority="252" stopIfTrue="1" operator="equal">
      <formula>"reserved"</formula>
    </cfRule>
  </conditionalFormatting>
  <conditionalFormatting sqref="C1106">
    <cfRule type="cellIs" dxfId="249" priority="248" stopIfTrue="1" operator="equal">
      <formula>"reserved"</formula>
    </cfRule>
  </conditionalFormatting>
  <conditionalFormatting sqref="C1107">
    <cfRule type="cellIs" dxfId="248" priority="249" stopIfTrue="1" operator="equal">
      <formula>"reserved"</formula>
    </cfRule>
  </conditionalFormatting>
  <conditionalFormatting sqref="C1108">
    <cfRule type="cellIs" dxfId="247" priority="246" stopIfTrue="1" operator="equal">
      <formula>"reserved"</formula>
    </cfRule>
  </conditionalFormatting>
  <conditionalFormatting sqref="C1104">
    <cfRule type="cellIs" dxfId="246" priority="250" stopIfTrue="1" operator="equal">
      <formula>"reserved"</formula>
    </cfRule>
  </conditionalFormatting>
  <conditionalFormatting sqref="C1109">
    <cfRule type="cellIs" dxfId="245" priority="247" stopIfTrue="1" operator="equal">
      <formula>"reserved"</formula>
    </cfRule>
  </conditionalFormatting>
  <conditionalFormatting sqref="C1105">
    <cfRule type="cellIs" dxfId="244" priority="251" stopIfTrue="1" operator="equal">
      <formula>"reserved"</formula>
    </cfRule>
  </conditionalFormatting>
  <conditionalFormatting sqref="C1123">
    <cfRule type="cellIs" dxfId="243" priority="245" stopIfTrue="1" operator="equal">
      <formula>"reserved"</formula>
    </cfRule>
  </conditionalFormatting>
  <conditionalFormatting sqref="C1118">
    <cfRule type="cellIs" dxfId="242" priority="241" stopIfTrue="1" operator="equal">
      <formula>"reserved"</formula>
    </cfRule>
  </conditionalFormatting>
  <conditionalFormatting sqref="C1119">
    <cfRule type="cellIs" dxfId="241" priority="242" stopIfTrue="1" operator="equal">
      <formula>"reserved"</formula>
    </cfRule>
  </conditionalFormatting>
  <conditionalFormatting sqref="C1120">
    <cfRule type="cellIs" dxfId="240" priority="239" stopIfTrue="1" operator="equal">
      <formula>"reserved"</formula>
    </cfRule>
  </conditionalFormatting>
  <conditionalFormatting sqref="C1116">
    <cfRule type="cellIs" dxfId="239" priority="243" stopIfTrue="1" operator="equal">
      <formula>"reserved"</formula>
    </cfRule>
  </conditionalFormatting>
  <conditionalFormatting sqref="C1121">
    <cfRule type="cellIs" dxfId="238" priority="240" stopIfTrue="1" operator="equal">
      <formula>"reserved"</formula>
    </cfRule>
  </conditionalFormatting>
  <conditionalFormatting sqref="C1117">
    <cfRule type="cellIs" dxfId="237" priority="244" stopIfTrue="1" operator="equal">
      <formula>"reserved"</formula>
    </cfRule>
  </conditionalFormatting>
  <conditionalFormatting sqref="C1224">
    <cfRule type="cellIs" dxfId="236" priority="238" stopIfTrue="1" operator="equal">
      <formula>"reserved"</formula>
    </cfRule>
  </conditionalFormatting>
  <conditionalFormatting sqref="C1219">
    <cfRule type="cellIs" dxfId="235" priority="234" stopIfTrue="1" operator="equal">
      <formula>"reserved"</formula>
    </cfRule>
  </conditionalFormatting>
  <conditionalFormatting sqref="C1220">
    <cfRule type="cellIs" dxfId="234" priority="235" stopIfTrue="1" operator="equal">
      <formula>"reserved"</formula>
    </cfRule>
  </conditionalFormatting>
  <conditionalFormatting sqref="C1221">
    <cfRule type="cellIs" dxfId="233" priority="232" stopIfTrue="1" operator="equal">
      <formula>"reserved"</formula>
    </cfRule>
  </conditionalFormatting>
  <conditionalFormatting sqref="C1217">
    <cfRule type="cellIs" dxfId="232" priority="236" stopIfTrue="1" operator="equal">
      <formula>"reserved"</formula>
    </cfRule>
  </conditionalFormatting>
  <conditionalFormatting sqref="C1222">
    <cfRule type="cellIs" dxfId="231" priority="233" stopIfTrue="1" operator="equal">
      <formula>"reserved"</formula>
    </cfRule>
  </conditionalFormatting>
  <conditionalFormatting sqref="C1218">
    <cfRule type="cellIs" dxfId="230" priority="237" stopIfTrue="1" operator="equal">
      <formula>"reserved"</formula>
    </cfRule>
  </conditionalFormatting>
  <conditionalFormatting sqref="C1236">
    <cfRule type="cellIs" dxfId="229" priority="231" stopIfTrue="1" operator="equal">
      <formula>"reserved"</formula>
    </cfRule>
  </conditionalFormatting>
  <conditionalFormatting sqref="C1228">
    <cfRule type="cellIs" dxfId="228" priority="227" stopIfTrue="1" operator="equal">
      <formula>"reserved"</formula>
    </cfRule>
  </conditionalFormatting>
  <conditionalFormatting sqref="C1229">
    <cfRule type="cellIs" dxfId="227" priority="228" stopIfTrue="1" operator="equal">
      <formula>"reserved"</formula>
    </cfRule>
  </conditionalFormatting>
  <conditionalFormatting sqref="C1230">
    <cfRule type="cellIs" dxfId="226" priority="225" stopIfTrue="1" operator="equal">
      <formula>"reserved"</formula>
    </cfRule>
  </conditionalFormatting>
  <conditionalFormatting sqref="C1226">
    <cfRule type="cellIs" dxfId="225" priority="229" stopIfTrue="1" operator="equal">
      <formula>"reserved"</formula>
    </cfRule>
  </conditionalFormatting>
  <conditionalFormatting sqref="C1231">
    <cfRule type="cellIs" dxfId="224" priority="226" stopIfTrue="1" operator="equal">
      <formula>"reserved"</formula>
    </cfRule>
  </conditionalFormatting>
  <conditionalFormatting sqref="C1227">
    <cfRule type="cellIs" dxfId="223" priority="230" stopIfTrue="1" operator="equal">
      <formula>"reserved"</formula>
    </cfRule>
  </conditionalFormatting>
  <conditionalFormatting sqref="C1245">
    <cfRule type="cellIs" dxfId="222" priority="224" stopIfTrue="1" operator="equal">
      <formula>"reserved"</formula>
    </cfRule>
  </conditionalFormatting>
  <conditionalFormatting sqref="C1240">
    <cfRule type="cellIs" dxfId="221" priority="220" stopIfTrue="1" operator="equal">
      <formula>"reserved"</formula>
    </cfRule>
  </conditionalFormatting>
  <conditionalFormatting sqref="C1241">
    <cfRule type="cellIs" dxfId="220" priority="221" stopIfTrue="1" operator="equal">
      <formula>"reserved"</formula>
    </cfRule>
  </conditionalFormatting>
  <conditionalFormatting sqref="C1242">
    <cfRule type="cellIs" dxfId="219" priority="218" stopIfTrue="1" operator="equal">
      <formula>"reserved"</formula>
    </cfRule>
  </conditionalFormatting>
  <conditionalFormatting sqref="C1238">
    <cfRule type="cellIs" dxfId="218" priority="222" stopIfTrue="1" operator="equal">
      <formula>"reserved"</formula>
    </cfRule>
  </conditionalFormatting>
  <conditionalFormatting sqref="C1243">
    <cfRule type="cellIs" dxfId="217" priority="219" stopIfTrue="1" operator="equal">
      <formula>"reserved"</formula>
    </cfRule>
  </conditionalFormatting>
  <conditionalFormatting sqref="C1239">
    <cfRule type="cellIs" dxfId="216" priority="223" stopIfTrue="1" operator="equal">
      <formula>"reserved"</formula>
    </cfRule>
  </conditionalFormatting>
  <conditionalFormatting sqref="C1254">
    <cfRule type="cellIs" dxfId="215" priority="217" stopIfTrue="1" operator="equal">
      <formula>"reserved"</formula>
    </cfRule>
  </conditionalFormatting>
  <conditionalFormatting sqref="C1249">
    <cfRule type="cellIs" dxfId="214" priority="213" stopIfTrue="1" operator="equal">
      <formula>"reserved"</formula>
    </cfRule>
  </conditionalFormatting>
  <conditionalFormatting sqref="C1250">
    <cfRule type="cellIs" dxfId="213" priority="214" stopIfTrue="1" operator="equal">
      <formula>"reserved"</formula>
    </cfRule>
  </conditionalFormatting>
  <conditionalFormatting sqref="C1251">
    <cfRule type="cellIs" dxfId="212" priority="211" stopIfTrue="1" operator="equal">
      <formula>"reserved"</formula>
    </cfRule>
  </conditionalFormatting>
  <conditionalFormatting sqref="C1247">
    <cfRule type="cellIs" dxfId="211" priority="215" stopIfTrue="1" operator="equal">
      <formula>"reserved"</formula>
    </cfRule>
  </conditionalFormatting>
  <conditionalFormatting sqref="C1252">
    <cfRule type="cellIs" dxfId="210" priority="212" stopIfTrue="1" operator="equal">
      <formula>"reserved"</formula>
    </cfRule>
  </conditionalFormatting>
  <conditionalFormatting sqref="C1248">
    <cfRule type="cellIs" dxfId="209" priority="216" stopIfTrue="1" operator="equal">
      <formula>"reserved"</formula>
    </cfRule>
  </conditionalFormatting>
  <conditionalFormatting sqref="C1355">
    <cfRule type="cellIs" dxfId="208" priority="210" stopIfTrue="1" operator="equal">
      <formula>"reserved"</formula>
    </cfRule>
  </conditionalFormatting>
  <conditionalFormatting sqref="C1350">
    <cfRule type="cellIs" dxfId="207" priority="206" stopIfTrue="1" operator="equal">
      <formula>"reserved"</formula>
    </cfRule>
  </conditionalFormatting>
  <conditionalFormatting sqref="C1351">
    <cfRule type="cellIs" dxfId="206" priority="207" stopIfTrue="1" operator="equal">
      <formula>"reserved"</formula>
    </cfRule>
  </conditionalFormatting>
  <conditionalFormatting sqref="C1352">
    <cfRule type="cellIs" dxfId="205" priority="204" stopIfTrue="1" operator="equal">
      <formula>"reserved"</formula>
    </cfRule>
  </conditionalFormatting>
  <conditionalFormatting sqref="C1348">
    <cfRule type="cellIs" dxfId="204" priority="208" stopIfTrue="1" operator="equal">
      <formula>"reserved"</formula>
    </cfRule>
  </conditionalFormatting>
  <conditionalFormatting sqref="C1353">
    <cfRule type="cellIs" dxfId="203" priority="205" stopIfTrue="1" operator="equal">
      <formula>"reserved"</formula>
    </cfRule>
  </conditionalFormatting>
  <conditionalFormatting sqref="C1349">
    <cfRule type="cellIs" dxfId="202" priority="209" stopIfTrue="1" operator="equal">
      <formula>"reserved"</formula>
    </cfRule>
  </conditionalFormatting>
  <conditionalFormatting sqref="C1364">
    <cfRule type="cellIs" dxfId="201" priority="203" stopIfTrue="1" operator="equal">
      <formula>"reserved"</formula>
    </cfRule>
  </conditionalFormatting>
  <conditionalFormatting sqref="C1359">
    <cfRule type="cellIs" dxfId="200" priority="199" stopIfTrue="1" operator="equal">
      <formula>"reserved"</formula>
    </cfRule>
  </conditionalFormatting>
  <conditionalFormatting sqref="C1360">
    <cfRule type="cellIs" dxfId="199" priority="200" stopIfTrue="1" operator="equal">
      <formula>"reserved"</formula>
    </cfRule>
  </conditionalFormatting>
  <conditionalFormatting sqref="C1361">
    <cfRule type="cellIs" dxfId="198" priority="197" stopIfTrue="1" operator="equal">
      <formula>"reserved"</formula>
    </cfRule>
  </conditionalFormatting>
  <conditionalFormatting sqref="C1357">
    <cfRule type="cellIs" dxfId="197" priority="201" stopIfTrue="1" operator="equal">
      <formula>"reserved"</formula>
    </cfRule>
  </conditionalFormatting>
  <conditionalFormatting sqref="C1362">
    <cfRule type="cellIs" dxfId="196" priority="198" stopIfTrue="1" operator="equal">
      <formula>"reserved"</formula>
    </cfRule>
  </conditionalFormatting>
  <conditionalFormatting sqref="C1358">
    <cfRule type="cellIs" dxfId="195" priority="202" stopIfTrue="1" operator="equal">
      <formula>"reserved"</formula>
    </cfRule>
  </conditionalFormatting>
  <conditionalFormatting sqref="C1382">
    <cfRule type="cellIs" dxfId="194" priority="189" stopIfTrue="1" operator="equal">
      <formula>"reserved"</formula>
    </cfRule>
  </conditionalFormatting>
  <conditionalFormatting sqref="C1377">
    <cfRule type="cellIs" dxfId="193" priority="185" stopIfTrue="1" operator="equal">
      <formula>"reserved"</formula>
    </cfRule>
  </conditionalFormatting>
  <conditionalFormatting sqref="C1378">
    <cfRule type="cellIs" dxfId="192" priority="186" stopIfTrue="1" operator="equal">
      <formula>"reserved"</formula>
    </cfRule>
  </conditionalFormatting>
  <conditionalFormatting sqref="C1379">
    <cfRule type="cellIs" dxfId="191" priority="183" stopIfTrue="1" operator="equal">
      <formula>"reserved"</formula>
    </cfRule>
  </conditionalFormatting>
  <conditionalFormatting sqref="C1375">
    <cfRule type="cellIs" dxfId="190" priority="187" stopIfTrue="1" operator="equal">
      <formula>"reserved"</formula>
    </cfRule>
  </conditionalFormatting>
  <conditionalFormatting sqref="C1380">
    <cfRule type="cellIs" dxfId="189" priority="184" stopIfTrue="1" operator="equal">
      <formula>"reserved"</formula>
    </cfRule>
  </conditionalFormatting>
  <conditionalFormatting sqref="C1376">
    <cfRule type="cellIs" dxfId="188" priority="188" stopIfTrue="1" operator="equal">
      <formula>"reserved"</formula>
    </cfRule>
  </conditionalFormatting>
  <conditionalFormatting sqref="C1373">
    <cfRule type="cellIs" dxfId="187" priority="196" stopIfTrue="1" operator="equal">
      <formula>"reserved"</formula>
    </cfRule>
  </conditionalFormatting>
  <conditionalFormatting sqref="C1368">
    <cfRule type="cellIs" dxfId="186" priority="192" stopIfTrue="1" operator="equal">
      <formula>"reserved"</formula>
    </cfRule>
  </conditionalFormatting>
  <conditionalFormatting sqref="C1369">
    <cfRule type="cellIs" dxfId="185" priority="193" stopIfTrue="1" operator="equal">
      <formula>"reserved"</formula>
    </cfRule>
  </conditionalFormatting>
  <conditionalFormatting sqref="C1370">
    <cfRule type="cellIs" dxfId="184" priority="190" stopIfTrue="1" operator="equal">
      <formula>"reserved"</formula>
    </cfRule>
  </conditionalFormatting>
  <conditionalFormatting sqref="C1366">
    <cfRule type="cellIs" dxfId="183" priority="194" stopIfTrue="1" operator="equal">
      <formula>"reserved"</formula>
    </cfRule>
  </conditionalFormatting>
  <conditionalFormatting sqref="C1371">
    <cfRule type="cellIs" dxfId="182" priority="191" stopIfTrue="1" operator="equal">
      <formula>"reserved"</formula>
    </cfRule>
  </conditionalFormatting>
  <conditionalFormatting sqref="C1367">
    <cfRule type="cellIs" dxfId="181" priority="195" stopIfTrue="1" operator="equal">
      <formula>"reserved"</formula>
    </cfRule>
  </conditionalFormatting>
  <conditionalFormatting sqref="C853:C854">
    <cfRule type="cellIs" dxfId="180" priority="182" stopIfTrue="1" operator="equal">
      <formula>"reserved"</formula>
    </cfRule>
  </conditionalFormatting>
  <conditionalFormatting sqref="C869">
    <cfRule type="cellIs" dxfId="179" priority="181" stopIfTrue="1" operator="equal">
      <formula>"reserved"</formula>
    </cfRule>
  </conditionalFormatting>
  <conditionalFormatting sqref="C869">
    <cfRule type="cellIs" dxfId="178" priority="180" stopIfTrue="1" operator="equal">
      <formula>"reserved"</formula>
    </cfRule>
  </conditionalFormatting>
  <conditionalFormatting sqref="C870">
    <cfRule type="cellIs" dxfId="177" priority="179" stopIfTrue="1" operator="equal">
      <formula>"reserved"</formula>
    </cfRule>
  </conditionalFormatting>
  <conditionalFormatting sqref="C870">
    <cfRule type="cellIs" dxfId="176" priority="178" stopIfTrue="1" operator="equal">
      <formula>"reserved"</formula>
    </cfRule>
  </conditionalFormatting>
  <conditionalFormatting sqref="C879">
    <cfRule type="cellIs" dxfId="175" priority="177" stopIfTrue="1" operator="equal">
      <formula>"reserved"</formula>
    </cfRule>
  </conditionalFormatting>
  <conditionalFormatting sqref="C880">
    <cfRule type="cellIs" dxfId="174" priority="176" stopIfTrue="1" operator="equal">
      <formula>"reserved"</formula>
    </cfRule>
  </conditionalFormatting>
  <conditionalFormatting sqref="C937">
    <cfRule type="cellIs" dxfId="173" priority="168" stopIfTrue="1" operator="equal">
      <formula>"reserved"</formula>
    </cfRule>
  </conditionalFormatting>
  <conditionalFormatting sqref="C919">
    <cfRule type="cellIs" dxfId="172" priority="172" stopIfTrue="1" operator="equal">
      <formula>"reserved"</formula>
    </cfRule>
  </conditionalFormatting>
  <conditionalFormatting sqref="C904">
    <cfRule type="cellIs" dxfId="171" priority="175" stopIfTrue="1" operator="equal">
      <formula>"reserved"</formula>
    </cfRule>
  </conditionalFormatting>
  <conditionalFormatting sqref="C917">
    <cfRule type="cellIs" dxfId="170" priority="174" stopIfTrue="1" operator="equal">
      <formula>"reserved"</formula>
    </cfRule>
  </conditionalFormatting>
  <conditionalFormatting sqref="C918">
    <cfRule type="cellIs" dxfId="169" priority="171" stopIfTrue="1" operator="equal">
      <formula>"reserved"</formula>
    </cfRule>
  </conditionalFormatting>
  <conditionalFormatting sqref="C920">
    <cfRule type="cellIs" dxfId="168" priority="173" stopIfTrue="1" operator="equal">
      <formula>"reserved"</formula>
    </cfRule>
  </conditionalFormatting>
  <conditionalFormatting sqref="C952">
    <cfRule type="cellIs" dxfId="167" priority="164" stopIfTrue="1" operator="equal">
      <formula>"reserved"</formula>
    </cfRule>
  </conditionalFormatting>
  <conditionalFormatting sqref="C921">
    <cfRule type="cellIs" dxfId="166" priority="170" stopIfTrue="1" operator="equal">
      <formula>"reserved"</formula>
    </cfRule>
  </conditionalFormatting>
  <conditionalFormatting sqref="C938">
    <cfRule type="cellIs" dxfId="165" priority="165" stopIfTrue="1" operator="equal">
      <formula>"reserved"</formula>
    </cfRule>
  </conditionalFormatting>
  <conditionalFormatting sqref="C936">
    <cfRule type="cellIs" dxfId="164" priority="167" stopIfTrue="1" operator="equal">
      <formula>"reserved"</formula>
    </cfRule>
  </conditionalFormatting>
  <conditionalFormatting sqref="C935">
    <cfRule type="cellIs" dxfId="163" priority="166" stopIfTrue="1" operator="equal">
      <formula>"reserved"</formula>
    </cfRule>
  </conditionalFormatting>
  <conditionalFormatting sqref="C955">
    <cfRule type="cellIs" dxfId="162" priority="163" stopIfTrue="1" operator="equal">
      <formula>"reserved"</formula>
    </cfRule>
  </conditionalFormatting>
  <conditionalFormatting sqref="C954">
    <cfRule type="cellIs" dxfId="161" priority="162" stopIfTrue="1" operator="equal">
      <formula>"reserved"</formula>
    </cfRule>
  </conditionalFormatting>
  <conditionalFormatting sqref="C953">
    <cfRule type="cellIs" dxfId="160" priority="161" stopIfTrue="1" operator="equal">
      <formula>"reserved"</formula>
    </cfRule>
  </conditionalFormatting>
  <conditionalFormatting sqref="C934">
    <cfRule type="cellIs" dxfId="159" priority="169" stopIfTrue="1" operator="equal">
      <formula>"reserved"</formula>
    </cfRule>
  </conditionalFormatting>
  <conditionalFormatting sqref="C1055">
    <cfRule type="cellIs" dxfId="158" priority="143" stopIfTrue="1" operator="equal">
      <formula>"reserved"</formula>
    </cfRule>
  </conditionalFormatting>
  <conditionalFormatting sqref="C1169">
    <cfRule type="cellIs" dxfId="157" priority="154" stopIfTrue="1" operator="equal">
      <formula>"reserved"</formula>
    </cfRule>
  </conditionalFormatting>
  <conditionalFormatting sqref="C1172">
    <cfRule type="cellIs" dxfId="156" priority="153" stopIfTrue="1" operator="equal">
      <formula>"reserved"</formula>
    </cfRule>
  </conditionalFormatting>
  <conditionalFormatting sqref="C1042">
    <cfRule type="cellIs" dxfId="155" priority="155" stopIfTrue="1" operator="equal">
      <formula>"reserved"</formula>
    </cfRule>
  </conditionalFormatting>
  <conditionalFormatting sqref="C1039">
    <cfRule type="cellIs" dxfId="154" priority="156" stopIfTrue="1" operator="equal">
      <formula>"reserved"</formula>
    </cfRule>
  </conditionalFormatting>
  <conditionalFormatting sqref="C1170">
    <cfRule type="cellIs" dxfId="153" priority="151" stopIfTrue="1" operator="equal">
      <formula>"reserved"</formula>
    </cfRule>
  </conditionalFormatting>
  <conditionalFormatting sqref="C1038">
    <cfRule type="cellIs" dxfId="152" priority="159" stopIfTrue="1" operator="equal">
      <formula>"reserved"</formula>
    </cfRule>
  </conditionalFormatting>
  <conditionalFormatting sqref="C1041">
    <cfRule type="cellIs" dxfId="151" priority="158" stopIfTrue="1" operator="equal">
      <formula>"reserved"</formula>
    </cfRule>
  </conditionalFormatting>
  <conditionalFormatting sqref="C1040">
    <cfRule type="cellIs" dxfId="150" priority="157" stopIfTrue="1" operator="equal">
      <formula>"reserved"</formula>
    </cfRule>
  </conditionalFormatting>
  <conditionalFormatting sqref="C1302">
    <cfRule type="cellIs" dxfId="149" priority="147" stopIfTrue="1" operator="equal">
      <formula>"reserved"</formula>
    </cfRule>
  </conditionalFormatting>
  <conditionalFormatting sqref="C1068">
    <cfRule type="cellIs" dxfId="148" priority="117" stopIfTrue="1" operator="equal">
      <formula>"reserved"</formula>
    </cfRule>
  </conditionalFormatting>
  <conditionalFormatting sqref="C1171">
    <cfRule type="cellIs" dxfId="147" priority="152" stopIfTrue="1" operator="equal">
      <formula>"reserved"</formula>
    </cfRule>
  </conditionalFormatting>
  <conditionalFormatting sqref="C1212">
    <cfRule type="cellIs" dxfId="146" priority="106" stopIfTrue="1" operator="equal">
      <formula>"reserved"</formula>
    </cfRule>
  </conditionalFormatting>
  <conditionalFormatting sqref="C956">
    <cfRule type="cellIs" dxfId="145" priority="160" stopIfTrue="1" operator="equal">
      <formula>"reserved"</formula>
    </cfRule>
  </conditionalFormatting>
  <conditionalFormatting sqref="C1303">
    <cfRule type="cellIs" dxfId="144" priority="148" stopIfTrue="1" operator="equal">
      <formula>"reserved"</formula>
    </cfRule>
  </conditionalFormatting>
  <conditionalFormatting sqref="C1304">
    <cfRule type="cellIs" dxfId="143" priority="145" stopIfTrue="1" operator="equal">
      <formula>"reserved"</formula>
    </cfRule>
  </conditionalFormatting>
  <conditionalFormatting sqref="C1183">
    <cfRule type="cellIs" dxfId="142" priority="139" stopIfTrue="1" operator="equal">
      <formula>"reserved"</formula>
    </cfRule>
  </conditionalFormatting>
  <conditionalFormatting sqref="C1054">
    <cfRule type="cellIs" dxfId="141" priority="142" stopIfTrue="1" operator="equal">
      <formula>"reserved"</formula>
    </cfRule>
  </conditionalFormatting>
  <conditionalFormatting sqref="C1053">
    <cfRule type="cellIs" dxfId="140" priority="141" stopIfTrue="1" operator="equal">
      <formula>"reserved"</formula>
    </cfRule>
  </conditionalFormatting>
  <conditionalFormatting sqref="C1186">
    <cfRule type="cellIs" dxfId="139" priority="138" stopIfTrue="1" operator="equal">
      <formula>"reserved"</formula>
    </cfRule>
  </conditionalFormatting>
  <conditionalFormatting sqref="C1197">
    <cfRule type="cellIs" dxfId="138" priority="129" stopIfTrue="1" operator="equal">
      <formula>"reserved"</formula>
    </cfRule>
  </conditionalFormatting>
  <conditionalFormatting sqref="C1200">
    <cfRule type="cellIs" dxfId="137" priority="128" stopIfTrue="1" operator="equal">
      <formula>"reserved"</formula>
    </cfRule>
  </conditionalFormatting>
  <conditionalFormatting sqref="C1184">
    <cfRule type="cellIs" dxfId="136" priority="136" stopIfTrue="1" operator="equal">
      <formula>"reserved"</formula>
    </cfRule>
  </conditionalFormatting>
  <conditionalFormatting sqref="C1213">
    <cfRule type="cellIs" dxfId="135" priority="107" stopIfTrue="1" operator="equal">
      <formula>"reserved"</formula>
    </cfRule>
  </conditionalFormatting>
  <conditionalFormatting sqref="C1052">
    <cfRule type="cellIs" dxfId="134" priority="144" stopIfTrue="1" operator="equal">
      <formula>"reserved"</formula>
    </cfRule>
  </conditionalFormatting>
  <conditionalFormatting sqref="C1300">
    <cfRule type="cellIs" dxfId="133" priority="149" stopIfTrue="1" operator="equal">
      <formula>"reserved"</formula>
    </cfRule>
  </conditionalFormatting>
  <conditionalFormatting sqref="C1185">
    <cfRule type="cellIs" dxfId="132" priority="137" stopIfTrue="1" operator="equal">
      <formula>"reserved"</formula>
    </cfRule>
  </conditionalFormatting>
  <conditionalFormatting sqref="C1198">
    <cfRule type="cellIs" dxfId="131" priority="126" stopIfTrue="1" operator="equal">
      <formula>"reserved"</formula>
    </cfRule>
  </conditionalFormatting>
  <conditionalFormatting sqref="C1187">
    <cfRule type="cellIs" dxfId="130" priority="135" stopIfTrue="1" operator="equal">
      <formula>"reserved"</formula>
    </cfRule>
  </conditionalFormatting>
  <conditionalFormatting sqref="C1318">
    <cfRule type="cellIs" dxfId="129" priority="130" stopIfTrue="1" operator="equal">
      <formula>"reserved"</formula>
    </cfRule>
  </conditionalFormatting>
  <conditionalFormatting sqref="C1084">
    <cfRule type="cellIs" dxfId="128" priority="110" stopIfTrue="1" operator="equal">
      <formula>"reserved"</formula>
    </cfRule>
  </conditionalFormatting>
  <conditionalFormatting sqref="C1066">
    <cfRule type="cellIs" dxfId="127" priority="119" stopIfTrue="1" operator="equal">
      <formula>"reserved"</formula>
    </cfRule>
  </conditionalFormatting>
  <conditionalFormatting sqref="C866">
    <cfRule type="cellIs" dxfId="126" priority="96" stopIfTrue="1" operator="equal">
      <formula>"reserved"</formula>
    </cfRule>
  </conditionalFormatting>
  <conditionalFormatting sqref="C1069">
    <cfRule type="cellIs" dxfId="125" priority="118" stopIfTrue="1" operator="equal">
      <formula>"reserved"</formula>
    </cfRule>
  </conditionalFormatting>
  <conditionalFormatting sqref="C1082">
    <cfRule type="cellIs" dxfId="124" priority="112" stopIfTrue="1" operator="equal">
      <formula>"reserved"</formula>
    </cfRule>
  </conditionalFormatting>
  <conditionalFormatting sqref="C1081">
    <cfRule type="cellIs" dxfId="123" priority="111" stopIfTrue="1" operator="equal">
      <formula>"reserved"</formula>
    </cfRule>
  </conditionalFormatting>
  <conditionalFormatting sqref="C1173">
    <cfRule type="cellIs" dxfId="122" priority="150" stopIfTrue="1" operator="equal">
      <formula>"reserved"</formula>
    </cfRule>
  </conditionalFormatting>
  <conditionalFormatting sqref="C1344">
    <cfRule type="cellIs" dxfId="121" priority="102" stopIfTrue="1" operator="equal">
      <formula>"reserved"</formula>
    </cfRule>
  </conditionalFormatting>
  <conditionalFormatting sqref="C1346">
    <cfRule type="cellIs" dxfId="120" priority="100" stopIfTrue="1" operator="equal">
      <formula>"reserved"</formula>
    </cfRule>
  </conditionalFormatting>
  <conditionalFormatting sqref="C859">
    <cfRule type="cellIs" dxfId="119" priority="97" stopIfTrue="1" operator="equal">
      <formula>"reserved"</formula>
    </cfRule>
  </conditionalFormatting>
  <conditionalFormatting sqref="C1083">
    <cfRule type="cellIs" dxfId="118" priority="113" stopIfTrue="1" operator="equal">
      <formula>"reserved"</formula>
    </cfRule>
  </conditionalFormatting>
  <conditionalFormatting sqref="C1342">
    <cfRule type="cellIs" dxfId="117" priority="104" stopIfTrue="1" operator="equal">
      <formula>"reserved"</formula>
    </cfRule>
  </conditionalFormatting>
  <conditionalFormatting sqref="C1301">
    <cfRule type="cellIs" dxfId="116" priority="146" stopIfTrue="1" operator="equal">
      <formula>"reserved"</formula>
    </cfRule>
  </conditionalFormatting>
  <conditionalFormatting sqref="C874">
    <cfRule type="cellIs" dxfId="115" priority="91" stopIfTrue="1" operator="equal">
      <formula>"reserved"</formula>
    </cfRule>
  </conditionalFormatting>
  <conditionalFormatting sqref="C855:C857">
    <cfRule type="cellIs" dxfId="114" priority="99" stopIfTrue="1" operator="equal">
      <formula>"reserved"</formula>
    </cfRule>
  </conditionalFormatting>
  <conditionalFormatting sqref="C1199">
    <cfRule type="cellIs" dxfId="113" priority="127" stopIfTrue="1" operator="equal">
      <formula>"reserved"</formula>
    </cfRule>
  </conditionalFormatting>
  <conditionalFormatting sqref="C1314">
    <cfRule type="cellIs" dxfId="112" priority="134" stopIfTrue="1" operator="equal">
      <formula>"reserved"</formula>
    </cfRule>
  </conditionalFormatting>
  <conditionalFormatting sqref="C1315">
    <cfRule type="cellIs" dxfId="111" priority="131" stopIfTrue="1" operator="equal">
      <formula>"reserved"</formula>
    </cfRule>
  </conditionalFormatting>
  <conditionalFormatting sqref="C1317">
    <cfRule type="cellIs" dxfId="110" priority="133" stopIfTrue="1" operator="equal">
      <formula>"reserved"</formula>
    </cfRule>
  </conditionalFormatting>
  <conditionalFormatting sqref="C1316">
    <cfRule type="cellIs" dxfId="109" priority="132" stopIfTrue="1" operator="equal">
      <formula>"reserved"</formula>
    </cfRule>
  </conditionalFormatting>
  <conditionalFormatting sqref="C1056">
    <cfRule type="cellIs" dxfId="108" priority="140" stopIfTrue="1" operator="equal">
      <formula>"reserved"</formula>
    </cfRule>
  </conditionalFormatting>
  <conditionalFormatting sqref="C1329">
    <cfRule type="cellIs" dxfId="107" priority="121" stopIfTrue="1" operator="equal">
      <formula>"reserved"</formula>
    </cfRule>
  </conditionalFormatting>
  <conditionalFormatting sqref="C1214">
    <cfRule type="cellIs" dxfId="106" priority="108" stopIfTrue="1" operator="equal">
      <formula>"reserved"</formula>
    </cfRule>
  </conditionalFormatting>
  <conditionalFormatting sqref="C1332">
    <cfRule type="cellIs" dxfId="105" priority="120" stopIfTrue="1" operator="equal">
      <formula>"reserved"</formula>
    </cfRule>
  </conditionalFormatting>
  <conditionalFormatting sqref="C858">
    <cfRule type="cellIs" dxfId="104" priority="98" stopIfTrue="1" operator="equal">
      <formula>"reserved"</formula>
    </cfRule>
  </conditionalFormatting>
  <conditionalFormatting sqref="C1201">
    <cfRule type="cellIs" dxfId="103" priority="125" stopIfTrue="1" operator="equal">
      <formula>"reserved"</formula>
    </cfRule>
  </conditionalFormatting>
  <conditionalFormatting sqref="C885">
    <cfRule type="cellIs" dxfId="102" priority="89" stopIfTrue="1" operator="equal">
      <formula>"reserved"</formula>
    </cfRule>
  </conditionalFormatting>
  <conditionalFormatting sqref="C1331">
    <cfRule type="cellIs" dxfId="101" priority="123" stopIfTrue="1" operator="equal">
      <formula>"reserved"</formula>
    </cfRule>
  </conditionalFormatting>
  <conditionalFormatting sqref="C884">
    <cfRule type="cellIs" dxfId="100" priority="88" stopIfTrue="1" operator="equal">
      <formula>"reserved"</formula>
    </cfRule>
  </conditionalFormatting>
  <conditionalFormatting sqref="C1328">
    <cfRule type="cellIs" dxfId="99" priority="124" stopIfTrue="1" operator="equal">
      <formula>"reserved"</formula>
    </cfRule>
  </conditionalFormatting>
  <conditionalFormatting sqref="C875">
    <cfRule type="cellIs" dxfId="98" priority="92" stopIfTrue="1" operator="equal">
      <formula>"reserved"</formula>
    </cfRule>
  </conditionalFormatting>
  <conditionalFormatting sqref="C1211">
    <cfRule type="cellIs" dxfId="97" priority="109" stopIfTrue="1" operator="equal">
      <formula>"reserved"</formula>
    </cfRule>
  </conditionalFormatting>
  <conditionalFormatting sqref="C865">
    <cfRule type="cellIs" dxfId="96" priority="95" stopIfTrue="1" operator="equal">
      <formula>"reserved"</formula>
    </cfRule>
  </conditionalFormatting>
  <conditionalFormatting sqref="C864">
    <cfRule type="cellIs" dxfId="95" priority="94" stopIfTrue="1" operator="equal">
      <formula>"reserved"</formula>
    </cfRule>
  </conditionalFormatting>
  <conditionalFormatting sqref="C1330">
    <cfRule type="cellIs" dxfId="94" priority="122" stopIfTrue="1" operator="equal">
      <formula>"reserved"</formula>
    </cfRule>
  </conditionalFormatting>
  <conditionalFormatting sqref="C886">
    <cfRule type="cellIs" dxfId="93" priority="90" stopIfTrue="1" operator="equal">
      <formula>"reserved"</formula>
    </cfRule>
  </conditionalFormatting>
  <conditionalFormatting sqref="C1067">
    <cfRule type="cellIs" dxfId="92" priority="116" stopIfTrue="1" operator="equal">
      <formula>"reserved"</formula>
    </cfRule>
  </conditionalFormatting>
  <conditionalFormatting sqref="C1070">
    <cfRule type="cellIs" dxfId="91" priority="115" stopIfTrue="1" operator="equal">
      <formula>"reserved"</formula>
    </cfRule>
  </conditionalFormatting>
  <conditionalFormatting sqref="C1080">
    <cfRule type="cellIs" dxfId="90" priority="114" stopIfTrue="1" operator="equal">
      <formula>"reserved"</formula>
    </cfRule>
  </conditionalFormatting>
  <conditionalFormatting sqref="C1343">
    <cfRule type="cellIs" dxfId="89" priority="101" stopIfTrue="1" operator="equal">
      <formula>"reserved"</formula>
    </cfRule>
  </conditionalFormatting>
  <conditionalFormatting sqref="C1345">
    <cfRule type="cellIs" dxfId="88" priority="103" stopIfTrue="1" operator="equal">
      <formula>"reserved"</formula>
    </cfRule>
  </conditionalFormatting>
  <conditionalFormatting sqref="C1215">
    <cfRule type="cellIs" dxfId="87" priority="105" stopIfTrue="1" operator="equal">
      <formula>"reserved"</formula>
    </cfRule>
  </conditionalFormatting>
  <conditionalFormatting sqref="C876">
    <cfRule type="cellIs" dxfId="86" priority="93" stopIfTrue="1" operator="equal">
      <formula>"reserved"</formula>
    </cfRule>
  </conditionalFormatting>
  <conditionalFormatting sqref="C1259:C1261">
    <cfRule type="cellIs" dxfId="85" priority="85" stopIfTrue="1" operator="equal">
      <formula>"reserved"</formula>
    </cfRule>
  </conditionalFormatting>
  <conditionalFormatting sqref="C1288">
    <cfRule type="cellIs" dxfId="84" priority="60" stopIfTrue="1" operator="equal">
      <formula>"reserved"</formula>
    </cfRule>
  </conditionalFormatting>
  <conditionalFormatting sqref="C1266:C1267">
    <cfRule type="cellIs" dxfId="83" priority="82" stopIfTrue="1" operator="equal">
      <formula>"reserved"</formula>
    </cfRule>
  </conditionalFormatting>
  <conditionalFormatting sqref="C1268">
    <cfRule type="cellIs" dxfId="82" priority="78" stopIfTrue="1" operator="equal">
      <formula>"reserved"</formula>
    </cfRule>
  </conditionalFormatting>
  <conditionalFormatting sqref="C1280">
    <cfRule type="cellIs" dxfId="81" priority="70" stopIfTrue="1" operator="equal">
      <formula>"reserved"</formula>
    </cfRule>
  </conditionalFormatting>
  <conditionalFormatting sqref="C1148">
    <cfRule type="cellIs" dxfId="80" priority="41" stopIfTrue="1" operator="equal">
      <formula>"reserved"</formula>
    </cfRule>
  </conditionalFormatting>
  <conditionalFormatting sqref="C1272 C1275:C1277">
    <cfRule type="cellIs" dxfId="79" priority="77" stopIfTrue="1" operator="equal">
      <formula>"reserved"</formula>
    </cfRule>
  </conditionalFormatting>
  <conditionalFormatting sqref="C1275">
    <cfRule type="cellIs" dxfId="78" priority="76" stopIfTrue="1" operator="equal">
      <formula>"reserved"</formula>
    </cfRule>
  </conditionalFormatting>
  <conditionalFormatting sqref="C1273">
    <cfRule type="cellIs" dxfId="77" priority="73" stopIfTrue="1" operator="equal">
      <formula>"reserved"</formula>
    </cfRule>
  </conditionalFormatting>
  <conditionalFormatting sqref="C1274">
    <cfRule type="cellIs" dxfId="76" priority="72" stopIfTrue="1" operator="equal">
      <formula>"reserved"</formula>
    </cfRule>
  </conditionalFormatting>
  <conditionalFormatting sqref="C1273">
    <cfRule type="cellIs" dxfId="75" priority="74" stopIfTrue="1" operator="equal">
      <formula>"reserved"</formula>
    </cfRule>
  </conditionalFormatting>
  <conditionalFormatting sqref="C1276:C1277">
    <cfRule type="cellIs" dxfId="74" priority="75" stopIfTrue="1" operator="equal">
      <formula>"reserved"</formula>
    </cfRule>
  </conditionalFormatting>
  <conditionalFormatting sqref="C1274">
    <cfRule type="cellIs" dxfId="73" priority="71" stopIfTrue="1" operator="equal">
      <formula>"reserved"</formula>
    </cfRule>
  </conditionalFormatting>
  <conditionalFormatting sqref="C1279">
    <cfRule type="cellIs" dxfId="72" priority="69" stopIfTrue="1" operator="equal">
      <formula>"reserved"</formula>
    </cfRule>
  </conditionalFormatting>
  <conditionalFormatting sqref="C1278">
    <cfRule type="cellIs" dxfId="71" priority="68" stopIfTrue="1" operator="equal">
      <formula>"reserved"</formula>
    </cfRule>
  </conditionalFormatting>
  <conditionalFormatting sqref="C1285">
    <cfRule type="cellIs" dxfId="70" priority="67" stopIfTrue="1" operator="equal">
      <formula>"reserved"</formula>
    </cfRule>
  </conditionalFormatting>
  <conditionalFormatting sqref="C1282">
    <cfRule type="cellIs" dxfId="69" priority="66" stopIfTrue="1" operator="equal">
      <formula>"reserved"</formula>
    </cfRule>
  </conditionalFormatting>
  <conditionalFormatting sqref="C1286:C1287">
    <cfRule type="cellIs" dxfId="68" priority="65" stopIfTrue="1" operator="equal">
      <formula>"reserved"</formula>
    </cfRule>
  </conditionalFormatting>
  <conditionalFormatting sqref="C1283">
    <cfRule type="cellIs" dxfId="67" priority="64" stopIfTrue="1" operator="equal">
      <formula>"reserved"</formula>
    </cfRule>
  </conditionalFormatting>
  <conditionalFormatting sqref="C1284">
    <cfRule type="cellIs" dxfId="66" priority="63" stopIfTrue="1" operator="equal">
      <formula>"reserved"</formula>
    </cfRule>
  </conditionalFormatting>
  <conditionalFormatting sqref="C1290">
    <cfRule type="cellIs" dxfId="65" priority="62" stopIfTrue="1" operator="equal">
      <formula>"reserved"</formula>
    </cfRule>
  </conditionalFormatting>
  <conditionalFormatting sqref="C1256">
    <cfRule type="cellIs" dxfId="64" priority="87" stopIfTrue="1" operator="equal">
      <formula>"reserved"</formula>
    </cfRule>
  </conditionalFormatting>
  <conditionalFormatting sqref="C1289">
    <cfRule type="cellIs" dxfId="63" priority="61" stopIfTrue="1" operator="equal">
      <formula>"reserved"</formula>
    </cfRule>
  </conditionalFormatting>
  <conditionalFormatting sqref="C1145:C1146">
    <cfRule type="cellIs" dxfId="62" priority="47" stopIfTrue="1" operator="equal">
      <formula>"reserved"</formula>
    </cfRule>
  </conditionalFormatting>
  <conditionalFormatting sqref="C1141 C1144:C1146">
    <cfRule type="cellIs" dxfId="61" priority="49" stopIfTrue="1" operator="equal">
      <formula>"reserved"</formula>
    </cfRule>
  </conditionalFormatting>
  <conditionalFormatting sqref="C1144">
    <cfRule type="cellIs" dxfId="60" priority="48" stopIfTrue="1" operator="equal">
      <formula>"reserved"</formula>
    </cfRule>
  </conditionalFormatting>
  <conditionalFormatting sqref="C1143">
    <cfRule type="cellIs" dxfId="59" priority="44" stopIfTrue="1" operator="equal">
      <formula>"reserved"</formula>
    </cfRule>
  </conditionalFormatting>
  <conditionalFormatting sqref="C1142">
    <cfRule type="cellIs" dxfId="58" priority="46" stopIfTrue="1" operator="equal">
      <formula>"reserved"</formula>
    </cfRule>
  </conditionalFormatting>
  <conditionalFormatting sqref="C1142">
    <cfRule type="cellIs" dxfId="57" priority="45" stopIfTrue="1" operator="equal">
      <formula>"reserved"</formula>
    </cfRule>
  </conditionalFormatting>
  <conditionalFormatting sqref="C1143">
    <cfRule type="cellIs" dxfId="56" priority="43" stopIfTrue="1" operator="equal">
      <formula>"reserved"</formula>
    </cfRule>
  </conditionalFormatting>
  <conditionalFormatting sqref="C1149">
    <cfRule type="cellIs" dxfId="55" priority="42" stopIfTrue="1" operator="equal">
      <formula>"reserved"</formula>
    </cfRule>
  </conditionalFormatting>
  <conditionalFormatting sqref="C1269">
    <cfRule type="cellIs" dxfId="54" priority="79" stopIfTrue="1" operator="equal">
      <formula>"reserved"</formula>
    </cfRule>
  </conditionalFormatting>
  <conditionalFormatting sqref="C1257:C1258">
    <cfRule type="cellIs" dxfId="53" priority="86" stopIfTrue="1" operator="equal">
      <formula>"reserved"</formula>
    </cfRule>
  </conditionalFormatting>
  <conditionalFormatting sqref="C1128:C1130">
    <cfRule type="cellIs" dxfId="52" priority="57" stopIfTrue="1" operator="equal">
      <formula>"reserved"</formula>
    </cfRule>
  </conditionalFormatting>
  <conditionalFormatting sqref="C1263">
    <cfRule type="cellIs" dxfId="51" priority="83" stopIfTrue="1" operator="equal">
      <formula>"reserved"</formula>
    </cfRule>
  </conditionalFormatting>
  <conditionalFormatting sqref="C1262">
    <cfRule type="cellIs" dxfId="50" priority="84" stopIfTrue="1" operator="equal">
      <formula>"reserved"</formula>
    </cfRule>
  </conditionalFormatting>
  <conditionalFormatting sqref="C1135:C1136">
    <cfRule type="cellIs" dxfId="49" priority="54" stopIfTrue="1" operator="equal">
      <formula>"reserved"</formula>
    </cfRule>
  </conditionalFormatting>
  <conditionalFormatting sqref="C1265">
    <cfRule type="cellIs" dxfId="48" priority="81" stopIfTrue="1" operator="equal">
      <formula>"reserved"</formula>
    </cfRule>
  </conditionalFormatting>
  <conditionalFormatting sqref="C1147">
    <cfRule type="cellIs" dxfId="47" priority="40" stopIfTrue="1" operator="equal">
      <formula>"reserved"</formula>
    </cfRule>
  </conditionalFormatting>
  <conditionalFormatting sqref="C1270">
    <cfRule type="cellIs" dxfId="46" priority="80" stopIfTrue="1" operator="equal">
      <formula>"reserved"</formula>
    </cfRule>
  </conditionalFormatting>
  <conditionalFormatting sqref="C1157">
    <cfRule type="cellIs" dxfId="45" priority="32" stopIfTrue="1" operator="equal">
      <formula>"reserved"</formula>
    </cfRule>
  </conditionalFormatting>
  <conditionalFormatting sqref="C1155:C1156">
    <cfRule type="cellIs" dxfId="44" priority="37" stopIfTrue="1" operator="equal">
      <formula>"reserved"</formula>
    </cfRule>
  </conditionalFormatting>
  <conditionalFormatting sqref="C1154">
    <cfRule type="cellIs" dxfId="43" priority="39" stopIfTrue="1" operator="equal">
      <formula>"reserved"</formula>
    </cfRule>
  </conditionalFormatting>
  <conditionalFormatting sqref="C1151">
    <cfRule type="cellIs" dxfId="42" priority="38" stopIfTrue="1" operator="equal">
      <formula>"reserved"</formula>
    </cfRule>
  </conditionalFormatting>
  <conditionalFormatting sqref="C1152">
    <cfRule type="cellIs" dxfId="41" priority="36" stopIfTrue="1" operator="equal">
      <formula>"reserved"</formula>
    </cfRule>
  </conditionalFormatting>
  <conditionalFormatting sqref="C1153">
    <cfRule type="cellIs" dxfId="40" priority="35" stopIfTrue="1" operator="equal">
      <formula>"reserved"</formula>
    </cfRule>
  </conditionalFormatting>
  <conditionalFormatting sqref="C1159">
    <cfRule type="cellIs" dxfId="39" priority="34" stopIfTrue="1" operator="equal">
      <formula>"reserved"</formula>
    </cfRule>
  </conditionalFormatting>
  <conditionalFormatting sqref="C1158">
    <cfRule type="cellIs" dxfId="38" priority="33" stopIfTrue="1" operator="equal">
      <formula>"reserved"</formula>
    </cfRule>
  </conditionalFormatting>
  <conditionalFormatting sqref="C1137">
    <cfRule type="cellIs" dxfId="37" priority="50" stopIfTrue="1" operator="equal">
      <formula>"reserved"</formula>
    </cfRule>
  </conditionalFormatting>
  <conditionalFormatting sqref="C1125">
    <cfRule type="cellIs" dxfId="36" priority="59" stopIfTrue="1" operator="equal">
      <formula>"reserved"</formula>
    </cfRule>
  </conditionalFormatting>
  <conditionalFormatting sqref="C1138">
    <cfRule type="cellIs" dxfId="35" priority="51" stopIfTrue="1" operator="equal">
      <formula>"reserved"</formula>
    </cfRule>
  </conditionalFormatting>
  <conditionalFormatting sqref="C1126:C1127">
    <cfRule type="cellIs" dxfId="34" priority="58" stopIfTrue="1" operator="equal">
      <formula>"reserved"</formula>
    </cfRule>
  </conditionalFormatting>
  <conditionalFormatting sqref="C1132">
    <cfRule type="cellIs" dxfId="33" priority="55" stopIfTrue="1" operator="equal">
      <formula>"reserved"</formula>
    </cfRule>
  </conditionalFormatting>
  <conditionalFormatting sqref="C1131">
    <cfRule type="cellIs" dxfId="32" priority="56" stopIfTrue="1" operator="equal">
      <formula>"reserved"</formula>
    </cfRule>
  </conditionalFormatting>
  <conditionalFormatting sqref="C1134">
    <cfRule type="cellIs" dxfId="31" priority="53" stopIfTrue="1" operator="equal">
      <formula>"reserved"</formula>
    </cfRule>
  </conditionalFormatting>
  <conditionalFormatting sqref="C1139">
    <cfRule type="cellIs" dxfId="30" priority="52" stopIfTrue="1" operator="equal">
      <formula>"reserved"</formula>
    </cfRule>
  </conditionalFormatting>
  <conditionalFormatting sqref="C1006">
    <cfRule type="cellIs" dxfId="29" priority="22" stopIfTrue="1" operator="equal">
      <formula>"reserved"</formula>
    </cfRule>
  </conditionalFormatting>
  <conditionalFormatting sqref="C994">
    <cfRule type="cellIs" dxfId="28" priority="31" stopIfTrue="1" operator="equal">
      <formula>"reserved"</formula>
    </cfRule>
  </conditionalFormatting>
  <conditionalFormatting sqref="C1007">
    <cfRule type="cellIs" dxfId="27" priority="23" stopIfTrue="1" operator="equal">
      <formula>"reserved"</formula>
    </cfRule>
  </conditionalFormatting>
  <conditionalFormatting sqref="C995:C996">
    <cfRule type="cellIs" dxfId="26" priority="30" stopIfTrue="1" operator="equal">
      <formula>"reserved"</formula>
    </cfRule>
  </conditionalFormatting>
  <conditionalFormatting sqref="C997:C999">
    <cfRule type="cellIs" dxfId="25" priority="29" stopIfTrue="1" operator="equal">
      <formula>"reserved"</formula>
    </cfRule>
  </conditionalFormatting>
  <conditionalFormatting sqref="C1001">
    <cfRule type="cellIs" dxfId="24" priority="27" stopIfTrue="1" operator="equal">
      <formula>"reserved"</formula>
    </cfRule>
  </conditionalFormatting>
  <conditionalFormatting sqref="C1000">
    <cfRule type="cellIs" dxfId="23" priority="28" stopIfTrue="1" operator="equal">
      <formula>"reserved"</formula>
    </cfRule>
  </conditionalFormatting>
  <conditionalFormatting sqref="C1003">
    <cfRule type="cellIs" dxfId="22" priority="25" stopIfTrue="1" operator="equal">
      <formula>"reserved"</formula>
    </cfRule>
  </conditionalFormatting>
  <conditionalFormatting sqref="C1004:C1005">
    <cfRule type="cellIs" dxfId="21" priority="26" stopIfTrue="1" operator="equal">
      <formula>"reserved"</formula>
    </cfRule>
  </conditionalFormatting>
  <conditionalFormatting sqref="C1016">
    <cfRule type="cellIs" dxfId="20" priority="12" stopIfTrue="1" operator="equal">
      <formula>"reserved"</formula>
    </cfRule>
  </conditionalFormatting>
  <conditionalFormatting sqref="C1008">
    <cfRule type="cellIs" dxfId="19" priority="24" stopIfTrue="1" operator="equal">
      <formula>"reserved"</formula>
    </cfRule>
  </conditionalFormatting>
  <conditionalFormatting sqref="C1014:C1015">
    <cfRule type="cellIs" dxfId="18" priority="19" stopIfTrue="1" operator="equal">
      <formula>"reserved"</formula>
    </cfRule>
  </conditionalFormatting>
  <conditionalFormatting sqref="C1010 C1013:C1015">
    <cfRule type="cellIs" dxfId="17" priority="21" stopIfTrue="1" operator="equal">
      <formula>"reserved"</formula>
    </cfRule>
  </conditionalFormatting>
  <conditionalFormatting sqref="C1013">
    <cfRule type="cellIs" dxfId="16" priority="20" stopIfTrue="1" operator="equal">
      <formula>"reserved"</formula>
    </cfRule>
  </conditionalFormatting>
  <conditionalFormatting sqref="C1011">
    <cfRule type="cellIs" dxfId="15" priority="18" stopIfTrue="1" operator="equal">
      <formula>"reserved"</formula>
    </cfRule>
  </conditionalFormatting>
  <conditionalFormatting sqref="C1012">
    <cfRule type="cellIs" dxfId="14" priority="15" stopIfTrue="1" operator="equal">
      <formula>"reserved"</formula>
    </cfRule>
  </conditionalFormatting>
  <conditionalFormatting sqref="C1011">
    <cfRule type="cellIs" dxfId="13" priority="17" stopIfTrue="1" operator="equal">
      <formula>"reserved"</formula>
    </cfRule>
  </conditionalFormatting>
  <conditionalFormatting sqref="C1012">
    <cfRule type="cellIs" dxfId="12" priority="16" stopIfTrue="1" operator="equal">
      <formula>"reserved"</formula>
    </cfRule>
  </conditionalFormatting>
  <conditionalFormatting sqref="C1026">
    <cfRule type="cellIs" dxfId="11" priority="4" stopIfTrue="1" operator="equal">
      <formula>"reserved"</formula>
    </cfRule>
  </conditionalFormatting>
  <conditionalFormatting sqref="C1018">
    <cfRule type="cellIs" dxfId="10" priority="14" stopIfTrue="1" operator="equal">
      <formula>"reserved"</formula>
    </cfRule>
  </conditionalFormatting>
  <conditionalFormatting sqref="C1017">
    <cfRule type="cellIs" dxfId="9" priority="13" stopIfTrue="1" operator="equal">
      <formula>"reserved"</formula>
    </cfRule>
  </conditionalFormatting>
  <conditionalFormatting sqref="C1023">
    <cfRule type="cellIs" dxfId="8" priority="11" stopIfTrue="1" operator="equal">
      <formula>"reserved"</formula>
    </cfRule>
  </conditionalFormatting>
  <conditionalFormatting sqref="C1020">
    <cfRule type="cellIs" dxfId="7" priority="10" stopIfTrue="1" operator="equal">
      <formula>"reserved"</formula>
    </cfRule>
  </conditionalFormatting>
  <conditionalFormatting sqref="C1024:C1025">
    <cfRule type="cellIs" dxfId="6" priority="9" stopIfTrue="1" operator="equal">
      <formula>"reserved"</formula>
    </cfRule>
  </conditionalFormatting>
  <conditionalFormatting sqref="C1021">
    <cfRule type="cellIs" dxfId="5" priority="8" stopIfTrue="1" operator="equal">
      <formula>"reserved"</formula>
    </cfRule>
  </conditionalFormatting>
  <conditionalFormatting sqref="C1022">
    <cfRule type="cellIs" dxfId="4" priority="7" stopIfTrue="1" operator="equal">
      <formula>"reserved"</formula>
    </cfRule>
  </conditionalFormatting>
  <conditionalFormatting sqref="C1028">
    <cfRule type="cellIs" dxfId="3" priority="6" stopIfTrue="1" operator="equal">
      <formula>"reserved"</formula>
    </cfRule>
  </conditionalFormatting>
  <conditionalFormatting sqref="C1027">
    <cfRule type="cellIs" dxfId="2" priority="5" stopIfTrue="1" operator="equal">
      <formula>"reserved"</formula>
    </cfRule>
  </conditionalFormatting>
  <conditionalFormatting sqref="C912:C915">
    <cfRule type="cellIs" dxfId="1" priority="3" stopIfTrue="1" operator="equal">
      <formula>"reserved"</formula>
    </cfRule>
  </conditionalFormatting>
  <conditionalFormatting sqref="C929:C932">
    <cfRule type="cellIs" dxfId="0" priority="2" stopIfTrue="1" operator="equal">
      <formula>"reserved"</formula>
    </cfRule>
  </conditionalFormatting>
  <dataValidations disablePrompts="1" xWindow="475" yWindow="579" count="6">
    <dataValidation type="list" allowBlank="1" showErrorMessage="1" sqref="I1" xr:uid="{00000000-0002-0000-0000-000001000000}">
      <formula1>"WR,RO"</formula1>
    </dataValidation>
    <dataValidation allowBlank="1" showInputMessage="1" showErrorMessage="1" prompt="8 bit Hexa number between 0x0 and 0xff. Offset within register space for block" sqref="M17:S17 B1:B2 M22:S22 B7 M27:S27 B12 M32:S32 B17 M37:S37 B22 M42:S42 B27 M47:S47 B32 M52:S52 B37 M57:S57 B42 M62:S62 B47 M67:S67 B52 M72:S72 B57 M77:S77 B62 M82:S82 B67 M87:S87 B72 M92:S92 B77 M97:S97 B82 M102:S102 B87 M107:S107 B92 M112:S112 B97 M117:S117 B102 M122:S122 B107 M127:S127 B112 M132:S132 B117 M137:S137 B122 M142:S142 B127 M147:S147 B132 M152:S152 B137 M157:S157 B142 M162:S162 B147 M167:S167 B152 M172:S172 B157 M177:S177 B162 M182:S182 B167 M187:S187 B172 M192:S192 B177 M197:S197 B182 M202:S202 B187 M207:S207 B192 M212:S212 B197 M217:S217 B202 M222:S222 B207 M227:S227 B212 M232:S232 B217 M237:S237 B222 M242:S242 B227 M247:S247 B232 M252:S252 B237 M257:S257 B242 M262:S262 B247 M472:S472 B252 M477:S477 B257 M462:S462 B262 B267 B272 B277 B282 B287 B292 B297 B302 B307 B312 B317 B322 B327 B332 B337 B342 B347 B352 B357 B362 B367 B372 B377 B382 B387 B392 B397 B402 B407 B412 B417 B422 B427 B432 B437 B442 B447 B452 B457 B477 B462 M457:S457 B467 M452:S452 B472 M447:S447 M442:S442 M437:S437 M432:S432 M427:S427 M422:S422 M417:S417 M412:S412 M407:S407 M402:S402 M397:S397 M392:S392 M387:S387 M382:S382 M377:S377 M372:S372 M367:S367 M362:S362 M357:S357 M352:S352 M302:S302 M307:S307 M312:S312 M317:S317 M322:S322 M327:S327 M332:S332 M337:S337 M342:S342 M347:S347 M267:S267 M297:S297 M292:S292 M287:S287 M282:S282 M277:S277 M272:S272 M467:S467 M7:S7 M1:S2 M12:S12 B482 Q698:S698 B533 B500 B518 Q665:S665 Q716:S716 Q632:S632 Q599:S599 Q650:S650 M500:S500 Q548:S548 Q614:S614 Q584:S584 M518:S518 M533:S533 B746 Q566:S566 M746:S746 Q680:S680 B548:B553 M584:P597 B584:B597 M599:P612 B599:B612 B731:B743 M731:P743 B716:B728 M716:P728 B698:B709 M698:P709 M680:P691 B680:B691 M665:P678 B665:B678 M650:P662 B650:B662 M632:P642 B632:B642 M614:P623 B614:B623 M566:P579 B566:B579 M548:P553 M482:S482 Q731:S731 B764 B825 B851 B877 B860 B867 B887 B899 B957 M851:S851 B892 B905 B916 B910 B922 B933 B927 M933:S933 B939 B951 B944 B966 B975 B984 M951:S951 M887:S887 M877:S877 M860:S860 M867:S867 M927:S927 M892:S892 M899:S899 M905:S905 M910:S910 M916:S916 M922:S922 M939:S939 M944:S944 M975:S975 M966:S966 M957:S957 M984:S984 B993 B1019 B1002 B1009 B1029 B1037 B1085 M993:S993 B1034 B1043 B1051 B1048 B1057 B1065 B1062 M1065:S1065 B1071 B1079 B1076 B1094 B1103 B1115 M1079:S1079 M1029:S1029 M1019:S1019 M1002:S1002 M1009:S1009 M1062:S1062 M1034:S1034 M1037:S1037 M1043:S1043 M1048:S1048 M1051:S1051 M1057:S1057 M1071:S1071 M1076:S1076 M1103:S1103 M1094:S1094 M1085:S1085 M1115:S1115 B1124 B1150 B1133 B1140 B1160 B1168 B1216 M1124:S1124 B1165 B1174 B1182 B1179 B1188 B1196 B1193 M1196:S1196 B1202 B1210 B1207 B1225 B1237 B1246 M1210:S1210 M1160:S1160 M1150:S1150 M1133:S1133 M1140:S1140 M1193:S1193 M1165:S1165 M1168:S1168 M1174:S1174 M1179:S1179 M1182:S1182 M1188:S1188 M1202:S1202 M1207:S1207 M1237:S1237 M1225:S1225 M1216:S1216 M1246:S1246 B1255 B1281 B1264 B1271 B1291 B1299 B1347 M1255:S1255 B1296 B1305 B1313 B1310 B1319 B1327 B1324 M1327:S1327 B1333 B1341 B1338 B1356 B1365 B1374 M1341:S1341 M1291:S1291 M1281:S1281 M1264:S1264 M1271:S1271 M1324:S1324 M1296:S1296 M1299:S1299 M1305:S1305 M1310:S1310 M1313:S1313 M1319:S1319 M1333:S1333 M1338:S1338 M1365:S1365 M1356:S1356 M1347:S1347 M1374:S1374 R1383:S1383 R1413:S1413 R1424:S1424 R1441:S1441 R1432:S1432" xr:uid="{00000000-0002-0000-0000-000003000000}">
      <formula1>0</formula1>
      <formula2>0</formula2>
    </dataValidation>
    <dataValidation allowBlank="1" showInputMessage="1" sqref="F1:G1 F3:G6 F8:G11 F13:G16 F18:G21 F23:G26 F243:G246 F28:G31 F33:G36 F38:G41 F43:G46 F48:G51 F53:G56 F58:G61 F63:G66 F68:G71 F73:G76 F78:G81 F83:G86 F88:G91 F93:G96 F98:G101 F103:G106 F108:G111 F113:G116 F248:G251 F253:G256 F258:G261 F263:G266 F268:G271 F273:G276 F278:G281 F283:G286 F288:G291 F293:G296 F298:G301 F303:G306 F308:G311 F313:G316 F318:G321 F323:G326 F328:G331 F333:G336 F338:G341 F343:G346 F348:G351 F353:G356 F358:G361 F118:G121 F123:G126 F128:G131 F133:G136 F138:G141 F143:G146 F148:G151 F153:G156 F158:G161 F163:G166 F168:G171 F173:G176 F178:G181 F183:G186 F188:G191 F193:G196 F198:G201 F203:G206 F208:G211 F213:G216 F218:G221 F223:G226 F228:G231 F233:G236 F238:G241 F363:G366 F368:G371 F373:G376 F378:G381 F383:G386 F388:G391 F393:G396 F398:G401 F403:G406 F408:G411 F413:G416 F418:G421 F423:G426 F428:G431 F433:G436 F438:G441 F443:G446 F448:G451 F453:G456 F458:G461 F463:G466 F468:G471 F473:G476 F478:G481 F767:G788 F501:G517 F681:G697 F747:G763 F717:G730 F567:G583 F534:G547 F633:G649 F519:G532 F483:G499 F585:G598 F600:G613 F549:G565 F651:G664 F615:G631 F699:G715 F666:G679 F732:G745 F1010:G1018 F900:G904 F888:G891 F906:G909 F934:G938 F923:G926 F1314:G1318 F940:G943 F1328:G1332 F994:G1001 F1357:G1364 F1348:G1355 F1125:G1132 F1141:G1149 F1183:G1187 F1035:G1036 F917:G921 F1030:G1033 F1044:G1047 F1197:G1201 F1049:G1050 F1058:G1061 F1300:G1304 F1063:G1064 F1072:G1075 F1038:G1042 F958:G965 F1366:G1373 F976:G983 F1226:G1236 F945:G950 F1342:G1346 F1077:G1078 F1238:G1245 F1166:G1167 F952:G956 F1161:G1164 F1175:G1178 F1211:G1215 F1180:G1181 F1189:G1192 F1247:G1254 F1194:G1195 F1203:G1206 F1080:G1084 F1086:G1093 F1265:G1270 F985:G992 F967:G974 F868:G876 F1208:G1209 F1003:G1008 F1297:G1298 F1066:G1070 F1292:G1295 F1306:G1309 F1169:G1173 F1311:G1312 F1320:G1323 F1339:G1340 F1325:G1326 F1334:G1337 F1052:G1056 F1095:G1102 F1104:G1114 F1217:G1224 F1116:G1123 F1282:G1290 F852:G859 F1375:G1382 F1256:G1263 F1134:G1139 F861:G866 F878:G886 F1272:G1280 F1020:G1028 F893:G898 F911:G915 F928:G932 F1151:G1159" xr:uid="{00000000-0002-0000-0000-000004000000}"/>
    <dataValidation type="list" allowBlank="1" sqref="J1:J481 J519:J532 J534:J547 J549:J565 J585:J598 J600:J613 J567:J583 J483:J499 J615:J631 J651:J664 J666:J679 J633:J649 J681:J697 J717:J730 J732:J745 J699:J715 J747:J763 J501:J517 J765:J788 J1487:J1491 J1474:J1485 J826:J1467 J1469:J1472 J804:J824 J790:J802" xr:uid="{00000000-0002-0000-0000-000005000000}">
      <formula1>"Default, Soft Strap, Hard Strap, Fuse"</formula1>
    </dataValidation>
    <dataValidation type="list" allowBlank="1" showInputMessage="1" showErrorMessage="1" sqref="K3:K6 K8:K11 K13:K16 K18:K21 K23:K26 K28:K31 K33:K36 K38:K41 K43:K46 K48:K51 K53:K56 K58:K61 K63:K66 K68:K71 K73:K76 K78:K81 K83:K86 K88:K91 K93:K96 K98:K101 K103:K106 K108:K111 K113:K116 K118:K121 K243:K246 K248:K251 K253:K256 K258:K261 K263:K266 K268:K271 K273:K276 K278:K281 K283:K286 K288:K291 K293:K296 K298:K301 K303:K306 K308:K311 K313:K316 K318:K321 K323:K326 K328:K331 K333:K336 K338:K341 K343:K346 K348:K351 K353:K356 K358:K361 K123:K126 K128:K131 K133:K136 K138:K141 K143:K146 K148:K151 K153:K156 K158:K161 K163:K166 K168:K171 K173:K176 K178:K181 K183:K186 K188:K191 K193:K196 K198:K201 K203:K206 K208:K211 K213:K216 K218:K221 K223:K226 K228:K231 K233:K236 K238:K241 K363:K366 K368:K371 K373:K376 K378:K381 K383:K386 K388:K391 K393:K396 K398:K401 K403:K406 K408:K411 K413:K416 K418:K421 K423:K426 K428:K431 K433:K436 K438:K441 K443:K446 K448:K451 K453:K456 K458:K461 K463:K466 K468:K471 K473:K476 K478:K481 K585:K598 K534:K547 K600:K613 K549:K565 K567:K583 K519:K532 K483:K499 K651:K664 K666:K679 K615:K631 K633:K649 K717:K730 K732:K745 K681:K697 K699:K715 K747:K763 K501:K517 K765:K788 K1487:K1491 K952:K956 K900:K904 K906:K909 K911:K915 K917:K921 K923:K926 K934:K938 K940:K943 K893:K898 K1292:K1295 K958:K965 K967:K974 K976:K983 K852:K859 K928:K932 K1104:K1114 K861:K866 K888:K891 K1080:K1084 K1035:K1036 K1038:K1042 K1044:K1047 K1063:K1064 K1052:K1056 K1058:K1061 K1066:K1070 K1072:K1075 K1049:K1050 K985:K992 K1086:K1093 K1095:K1102 K1226:K1236 K1003:K1008 K1077:K1078 K1020:K1028 K994:K1001 K1030:K1033 K1211:K1215 K1166:K1167 K1169:K1173 K1175:K1178 K1194:K1195 K1183:K1187 K1189:K1192 K1197:K1201 K1203:K1206 K1180:K1181 K1116:K1123 K1217:K1224 K1375:K1382 K1238:K1245 K1134:K1139 K1208:K1209 K1151:K1159 K1125:K1132 K1161:K1164 K1342:K1346 K1297:K1298 K1300:K1304 K1306:K1309 K1325:K1326 K1314:K1318 K1320:K1323 K1328:K1332 K1334:K1337 K1311:K1312 K1247:K1254 K1348:K1355 K1357:K1364 K1366:K1373 K1265:K1270 K1339:K1340 K1282:K1290 K1256:K1263 K868:K876 K1010:K1018 K1141:K1149 K1272:K1280 K878:K886 K945:K950 K826:K850 K1425:K1431 K1442:K1467 K1414:K1423 K1433:K1440 K1469:K1472 K1474:K1485 K1384:K1412 K804:K824 K790:K802" xr:uid="{40AE59E4-F500-416D-98B8-12E6BCA203F5}">
      <formula1>BOOLEAN</formula1>
    </dataValidation>
    <dataValidation type="list" allowBlank="1" showInputMessage="1" showErrorMessage="1" sqref="I3:I6 I8:I11 I13:I16 I18:I21 I23:I26 I28:I31 I33:I36 I38:I41 I43:I46 I48:I51 I53:I56 I58:I61 I63:I66 I68:I71 I73:I76 I78:I81 I83:I86 I88:I91 I93:I96 I98:I101 I103:I106 I108:I111 I113:I116 I118:I121 I243:I246 I248:I251 I253:I256 I258:I261 I263:I266 I268:I271 I273:I276 I278:I281 I283:I286 I288:I291 I293:I296 I298:I301 I303:I306 I308:I311 I313:I316 I318:I321 I323:I326 I328:I331 I333:I336 I338:I341 I343:I346 I348:I351 I353:I356 I358:I361 I123:I126 I128:I131 I133:I136 I138:I141 I143:I146 I148:I151 I153:I156 I158:I161 I163:I166 I168:I171 I173:I176 I178:I181 I183:I186 I188:I191 I193:I196 I198:I201 I203:I206 I208:I211 I213:I216 I218:I221 I223:I226 I228:I231 I233:I236 I238:I241 I363:I366 I368:I371 I373:I376 I378:I381 I383:I386 I388:I391 I393:I396 I398:I401 I403:I406 I408:I411 I413:I416 I418:I421 I423:I426 I428:I431 I433:I436 I438:I441 I443:I446 I448:I451 I453:I456 I458:I461 I463:I466 I468:I471 I473:I476 I478:I481 I534:I547 I699:I715 I765:I788 I519:I532 I483:I499 I600:I613 I585:I598 I549:I565 I567:I583 I666:I679 I651:I664 I615:I631 I633:I649 I747:I763 I501:I517 I732:I745 I717:I730 I681:I697 I1487:I1491 I952:I956 I900:I904 I906:I909 I911:I915 I917:I921 I923:I926 I934:I938 I940:I943 I893:I898 I1292:I1295 I958:I965 I967:I974 I976:I983 I852:I859 I928:I932 I1104:I1114 I861:I866 I888:I891 I1080:I1084 I1035:I1036 I1038:I1042 I1044:I1047 I1063:I1064 I1052:I1056 I1058:I1061 I1066:I1070 I1072:I1075 I1049:I1050 I985:I992 I1086:I1093 I1095:I1102 I1226:I1236 I1003:I1008 I1077:I1078 I1020:I1028 I1272:I1280 I1030:I1033 I1211:I1215 I1166:I1167 I1169:I1173 I1175:I1178 I1194:I1195 I1183:I1187 I1189:I1192 I1197:I1201 I1203:I1206 I1180:I1181 I1116:I1123 I1217:I1224 I1375:I1382 I1238:I1245 I1134:I1139 I1208:I1209 I1151:I1159 I1125:I1132 I1161:I1164 I1342:I1346 I1297:I1298 I1300:I1304 I1306:I1309 I1325:I1326 I1314:I1318 I1320:I1323 I1328:I1332 I1334:I1337 I1311:I1312 I1247:I1254 I1348:I1355 I1357:I1364 I1366:I1373 I1265:I1270 I1339:I1340 I1282:I1290 I1256:I1263 I868:I876 I1010:I1018 I1141:I1149 I994:I1001 I878:I886 I945:I950 I826:I850 I1425:I1431 I1442:I1467 I1414:I1423 I1433:I1440 I1469:I1472 I1474:I1485 I1384:I1412 I804:I824 I790:I802" xr:uid="{7834C8C0-FFD1-41BC-80B9-EBB2CF139125}">
      <formula1>"WR,RO"</formula1>
    </dataValidation>
  </dataValidations>
  <pageMargins left="0.7" right="0.7" top="0.75" bottom="0.75" header="0.51180555555555551" footer="0.51180555555555551"/>
  <pageSetup firstPageNumber="0" orientation="portrait" horizontalDpi="300" verticalDpi="300" r:id="rId2"/>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AH521"/>
  <sheetViews>
    <sheetView topLeftCell="H9" zoomScale="85" zoomScaleNormal="85" workbookViewId="0">
      <selection activeCell="AA262" sqref="AA262:AA266"/>
    </sheetView>
  </sheetViews>
  <sheetFormatPr defaultColWidth="78.88671875" defaultRowHeight="14.4"/>
  <cols>
    <col min="1" max="1" width="34.5546875" bestFit="1" customWidth="1"/>
    <col min="2" max="2" width="2.109375" bestFit="1" customWidth="1"/>
    <col min="3" max="3" width="80" bestFit="1" customWidth="1"/>
    <col min="4" max="4" width="8.88671875" bestFit="1" customWidth="1"/>
    <col min="5" max="5" width="34.44140625" bestFit="1" customWidth="1"/>
    <col min="6" max="6" width="4.109375" bestFit="1" customWidth="1"/>
    <col min="7" max="7" width="8" bestFit="1" customWidth="1"/>
    <col min="8" max="8" width="11" customWidth="1"/>
    <col min="9" max="11" width="0" hidden="1" customWidth="1"/>
    <col min="12" max="12" width="2.109375" hidden="1" customWidth="1"/>
    <col min="13" max="13" width="0" hidden="1" customWidth="1"/>
    <col min="14" max="14" width="2.109375" hidden="1" customWidth="1"/>
    <col min="15" max="15" width="3" hidden="1" customWidth="1"/>
    <col min="16" max="16" width="2.109375" hidden="1" customWidth="1"/>
    <col min="17" max="17" width="7.109375" hidden="1" customWidth="1"/>
    <col min="18" max="18" width="4.109375" style="38" hidden="1" customWidth="1"/>
    <col min="19" max="19" width="0" hidden="1" customWidth="1"/>
    <col min="26" max="26" width="2.109375" bestFit="1" customWidth="1"/>
    <col min="27" max="27" width="34.5546875" bestFit="1" customWidth="1"/>
    <col min="30" max="30" width="8" bestFit="1" customWidth="1"/>
    <col min="31" max="31" width="8.88671875" bestFit="1" customWidth="1"/>
    <col min="32" max="33" width="6.109375" bestFit="1" customWidth="1"/>
    <col min="34" max="34" width="14.5546875" bestFit="1" customWidth="1"/>
  </cols>
  <sheetData>
    <row r="1" spans="1:34" ht="15" thickBot="1">
      <c r="A1" s="327" t="str">
        <f>bitConcat(D2:D11)</f>
        <v>Less Than 32 bit Were defined (22)</v>
      </c>
      <c r="B1" s="327"/>
      <c r="C1" s="327"/>
      <c r="D1" s="327"/>
      <c r="E1" s="327"/>
      <c r="F1" s="327"/>
      <c r="G1" s="327"/>
      <c r="H1" s="327"/>
      <c r="I1" s="328"/>
      <c r="R1" s="41" t="s">
        <v>132</v>
      </c>
      <c r="S1" s="39"/>
      <c r="T1" s="40"/>
      <c r="U1" s="41"/>
      <c r="V1" s="39"/>
      <c r="W1" s="42"/>
      <c r="X1" s="41"/>
      <c r="Y1" s="41"/>
      <c r="Z1" s="41"/>
      <c r="AA1" s="42" t="s">
        <v>131</v>
      </c>
      <c r="AD1" s="41" t="s">
        <v>139</v>
      </c>
      <c r="AE1" s="42" t="s">
        <v>138</v>
      </c>
      <c r="AF1" t="s">
        <v>137</v>
      </c>
      <c r="AG1" t="s">
        <v>140</v>
      </c>
      <c r="AH1" t="s">
        <v>142</v>
      </c>
    </row>
    <row r="2" spans="1:34">
      <c r="A2" s="47" t="str">
        <f>AA2</f>
        <v>vofc_dom0_quad0_quad2_sar0_slc0</v>
      </c>
      <c r="B2" s="47">
        <v>5</v>
      </c>
      <c r="C2" s="48" t="str">
        <f>IF(B2&gt;1,(23)&amp;":"&amp;(23-B2+1),(23-B2+1)&amp;":"&amp;(23-B2+1))</f>
        <v>23:19</v>
      </c>
      <c r="D2" s="49" t="s">
        <v>78</v>
      </c>
      <c r="E2" s="49" t="s">
        <v>69</v>
      </c>
      <c r="F2" s="49" t="s">
        <v>68</v>
      </c>
      <c r="G2" s="49" t="s">
        <v>36</v>
      </c>
      <c r="H2" s="49" t="s">
        <v>6</v>
      </c>
      <c r="I2" s="50"/>
      <c r="L2" t="str">
        <f>DEC2HEX(_xlfn.BITLSHIFT(HEX2DEC(P2),2))</f>
        <v>0</v>
      </c>
      <c r="P2" t="str">
        <f>Z2</f>
        <v>0</v>
      </c>
      <c r="Q2" s="52" t="e">
        <f>BIN2HEX(LEFT(RIGHT(C2,32),4))&amp;BIN2HEX(LEFT(RIGHT(C2,28),4))&amp;BIN2HEX(LEFT(RIGHT(C2,24),4))&amp;BIN2HEX(LEFT(RIGHT(C2,20),4))&amp;BIN2HEX(LEFT(RIGHT(C2,16),4))&amp;BIN2HEX(LEFT(RIGHT(C2,12),4))&amp;BIN2HEX(LEFT(RIGHT(C2,8),4))&amp;BIN2HEX(LEFT(RIGHT(C2,4),4))</f>
        <v>#NUM!</v>
      </c>
      <c r="R2" s="326">
        <v>0</v>
      </c>
      <c r="S2" s="321"/>
      <c r="T2" s="311"/>
      <c r="U2" s="314"/>
      <c r="V2" s="321"/>
      <c r="W2" s="311"/>
      <c r="X2" s="314"/>
      <c r="Y2" s="314"/>
      <c r="Z2" s="314" t="str">
        <f>BIN2HEX(S2&amp;T2&amp;U2&amp;V2&amp;W2&amp;X2&amp;Y2)</f>
        <v>0</v>
      </c>
      <c r="AA2" s="317" t="str">
        <f>CONCATENATE("vofc_dom",BIN2DEC(S2&amp;T2),"_quad",BIN2DEC(Y2),"_quad",BIN2DEC(Y2)+2,"_sar",ABS( BIN2DEC(T2)*3-BIN2DEC(X2)),"_slc",BIN2DEC(V2&amp;W2)+BIN2DEC(U2)*3)</f>
        <v>vofc_dom0_quad0_quad2_sar0_slc0</v>
      </c>
      <c r="AD2" s="58"/>
      <c r="AE2" s="58"/>
      <c r="AF2" s="58"/>
      <c r="AG2" s="58"/>
    </row>
    <row r="3" spans="1:34">
      <c r="A3" s="47" t="s">
        <v>77</v>
      </c>
      <c r="B3" s="47">
        <v>1</v>
      </c>
      <c r="C3" s="51" t="s">
        <v>141</v>
      </c>
      <c r="D3" s="49" t="s">
        <v>7</v>
      </c>
      <c r="E3" s="49" t="s">
        <v>77</v>
      </c>
      <c r="F3" s="49" t="s">
        <v>68</v>
      </c>
      <c r="G3" s="49" t="s">
        <v>36</v>
      </c>
      <c r="H3" s="49" t="s">
        <v>6</v>
      </c>
      <c r="I3" s="50"/>
      <c r="Q3" s="52"/>
      <c r="R3" s="326"/>
      <c r="S3" s="322"/>
      <c r="T3" s="312"/>
      <c r="U3" s="315"/>
      <c r="V3" s="322"/>
      <c r="W3" s="312"/>
      <c r="X3" s="315"/>
      <c r="Y3" s="315"/>
      <c r="Z3" s="315"/>
      <c r="AA3" s="318"/>
      <c r="AD3" s="58" t="e">
        <f>BIN2DEC($AA2)*3</f>
        <v>#NUM!</v>
      </c>
      <c r="AE3" s="58">
        <f>ABS(BIN2DEC($U2)*3)</f>
        <v>0</v>
      </c>
      <c r="AF3" s="58">
        <f>ABS( BIN2DEC(V2)*3-BIN2DEC(Z2))</f>
        <v>0</v>
      </c>
      <c r="AG3" s="58">
        <f>BIN2DEC(X2&amp;Y2)+BIN2DEC(W2)*3</f>
        <v>0</v>
      </c>
      <c r="AH3" t="e">
        <f>AD3+AE3*4+AF3*16</f>
        <v>#NUM!</v>
      </c>
    </row>
    <row r="4" spans="1:34" ht="129.6">
      <c r="A4" s="47" t="s">
        <v>70</v>
      </c>
      <c r="B4" s="47">
        <v>3</v>
      </c>
      <c r="C4" s="51" t="s">
        <v>141</v>
      </c>
      <c r="D4" s="49" t="s">
        <v>81</v>
      </c>
      <c r="E4" s="49" t="s">
        <v>80</v>
      </c>
      <c r="F4" s="49" t="s">
        <v>68</v>
      </c>
      <c r="G4" s="49" t="s">
        <v>36</v>
      </c>
      <c r="H4" s="49" t="s">
        <v>6</v>
      </c>
      <c r="I4" s="50"/>
      <c r="Q4" s="52"/>
      <c r="R4" s="326"/>
      <c r="S4" s="322"/>
      <c r="T4" s="312"/>
      <c r="U4" s="315"/>
      <c r="V4" s="322"/>
      <c r="W4" s="312"/>
      <c r="X4" s="315"/>
      <c r="Y4" s="315"/>
      <c r="Z4" s="315"/>
      <c r="AA4" s="318"/>
      <c r="AD4" s="58" t="e">
        <f>BIN2DEC($AA2)*3</f>
        <v>#NUM!</v>
      </c>
      <c r="AE4" s="58">
        <f>ABS(BIN2DEC($U3)*3-1)</f>
        <v>1</v>
      </c>
      <c r="AF4" s="58">
        <f>ABS( BIN2DEC(V2)*3-BIN2DEC(Z2))</f>
        <v>0</v>
      </c>
      <c r="AG4" s="58">
        <f>BIN2DEC(X2&amp;Y2)+BIN2DEC(W2)*3</f>
        <v>0</v>
      </c>
      <c r="AH4" t="e">
        <f t="shared" ref="AH4:AH6" si="0">AD4+AE4*4+AF4*16</f>
        <v>#NUM!</v>
      </c>
    </row>
    <row r="5" spans="1:34">
      <c r="A5" s="47" t="s">
        <v>71</v>
      </c>
      <c r="B5" s="47">
        <v>1</v>
      </c>
      <c r="C5" s="51" t="s">
        <v>141</v>
      </c>
      <c r="D5" s="49" t="s">
        <v>7</v>
      </c>
      <c r="E5" s="49" t="s">
        <v>73</v>
      </c>
      <c r="F5" s="49" t="s">
        <v>68</v>
      </c>
      <c r="G5" s="49" t="s">
        <v>36</v>
      </c>
      <c r="H5" s="49" t="s">
        <v>6</v>
      </c>
      <c r="I5" s="50"/>
      <c r="Q5" s="52"/>
      <c r="R5" s="326"/>
      <c r="S5" s="322"/>
      <c r="T5" s="312"/>
      <c r="U5" s="315"/>
      <c r="V5" s="322"/>
      <c r="W5" s="312"/>
      <c r="X5" s="315"/>
      <c r="Y5" s="315"/>
      <c r="Z5" s="315"/>
      <c r="AA5" s="318"/>
      <c r="AD5" s="58" t="e">
        <f>ABS(BIN2DEC($AA2)*3-2)</f>
        <v>#NUM!</v>
      </c>
      <c r="AE5" s="58">
        <f>ABS(BIN2DEC($U2)*3)</f>
        <v>0</v>
      </c>
      <c r="AF5" s="58">
        <f>ABS( BIN2DEC(V2)*3-BIN2DEC(Z2))</f>
        <v>0</v>
      </c>
      <c r="AG5" s="58">
        <f>BIN2DEC(X2&amp;Y2)+BIN2DEC(W2)*3</f>
        <v>0</v>
      </c>
      <c r="AH5" t="e">
        <f t="shared" si="0"/>
        <v>#NUM!</v>
      </c>
    </row>
    <row r="6" spans="1:34" ht="15" thickBot="1">
      <c r="A6" s="47" t="s">
        <v>72</v>
      </c>
      <c r="B6" s="47">
        <v>1</v>
      </c>
      <c r="C6" s="51" t="s">
        <v>141</v>
      </c>
      <c r="D6" s="49" t="s">
        <v>7</v>
      </c>
      <c r="E6" s="49" t="s">
        <v>74</v>
      </c>
      <c r="F6" s="49" t="s">
        <v>68</v>
      </c>
      <c r="G6" s="49" t="s">
        <v>36</v>
      </c>
      <c r="H6" s="49" t="s">
        <v>6</v>
      </c>
      <c r="I6" s="50"/>
      <c r="Q6" s="52"/>
      <c r="R6" s="326"/>
      <c r="S6" s="323"/>
      <c r="T6" s="313"/>
      <c r="U6" s="316"/>
      <c r="V6" s="323"/>
      <c r="W6" s="313"/>
      <c r="X6" s="316"/>
      <c r="Y6" s="316"/>
      <c r="Z6" s="316"/>
      <c r="AA6" s="319"/>
      <c r="AD6" s="58" t="e">
        <f>ABS(BIN2DEC($AA2)*3-2)</f>
        <v>#NUM!</v>
      </c>
      <c r="AE6" s="58">
        <f>ABS(BIN2DEC($U2)*3-1)</f>
        <v>1</v>
      </c>
      <c r="AF6" s="58">
        <f>ABS( BIN2DEC(V2)*3-BIN2DEC(Z2))</f>
        <v>0</v>
      </c>
      <c r="AG6" s="58">
        <f>BIN2DEC(X2&amp;Y2)+BIN2DEC(W2)*3</f>
        <v>0</v>
      </c>
      <c r="AH6" t="e">
        <f t="shared" si="0"/>
        <v>#NUM!</v>
      </c>
    </row>
    <row r="7" spans="1:34">
      <c r="A7" s="47" t="str">
        <f>AA7</f>
        <v>vofc_dom0_quad0_quad2_sar0_slc0</v>
      </c>
      <c r="B7" s="47">
        <v>5</v>
      </c>
      <c r="C7" s="48" t="str">
        <f>IF(B7&gt;1,(23)&amp;":"&amp;(23-B7+1),(23-B7+1)&amp;":"&amp;(23-B7+1))</f>
        <v>23:19</v>
      </c>
      <c r="D7" s="49" t="s">
        <v>78</v>
      </c>
      <c r="E7" s="49" t="s">
        <v>69</v>
      </c>
      <c r="F7" s="49" t="s">
        <v>68</v>
      </c>
      <c r="G7" s="49" t="s">
        <v>36</v>
      </c>
      <c r="H7" s="49" t="s">
        <v>6</v>
      </c>
      <c r="I7" s="50"/>
      <c r="L7" t="str">
        <f>DEC2HEX(_xlfn.BITLSHIFT(HEX2DEC(P7),2))</f>
        <v>0</v>
      </c>
      <c r="N7">
        <v>0</v>
      </c>
      <c r="P7" t="str">
        <f>Z7</f>
        <v>0</v>
      </c>
      <c r="Q7" s="52" t="e">
        <f>BIN2HEX(LEFT(RIGHT(C7,32),4))&amp;BIN2HEX(LEFT(RIGHT(C7,28),4))&amp;BIN2HEX(LEFT(RIGHT(C7,24),4))&amp;BIN2HEX(LEFT(RIGHT(C7,20),4))&amp;BIN2HEX(LEFT(RIGHT(C7,16),4))&amp;BIN2HEX(LEFT(RIGHT(C7,12),4))&amp;BIN2HEX(LEFT(RIGHT(C7,8),4))&amp;BIN2HEX(LEFT(RIGHT(C7,4),4))</f>
        <v>#NUM!</v>
      </c>
      <c r="R7" s="326">
        <v>1</v>
      </c>
      <c r="S7" s="321"/>
      <c r="T7" s="311"/>
      <c r="U7" s="314"/>
      <c r="V7" s="321"/>
      <c r="W7" s="311"/>
      <c r="X7" s="314"/>
      <c r="Y7" s="314"/>
      <c r="Z7" s="314" t="str">
        <f>BIN2HEX(S7&amp;T7&amp;U7&amp;V7&amp;W7&amp;X7&amp;Y7)</f>
        <v>0</v>
      </c>
      <c r="AA7" s="317" t="str">
        <f>CONCATENATE("vofc_dom",BIN2DEC(S7&amp;T7),"_quad",BIN2DEC(Y7),"_quad",BIN2DEC(Y7)+2,"_sar",ABS( BIN2DEC(T7)*3-BIN2DEC(X7)),"_slc",BIN2DEC(V7&amp;W7)+BIN2DEC(U7)*3)</f>
        <v>vofc_dom0_quad0_quad2_sar0_slc0</v>
      </c>
      <c r="AD7" s="58"/>
      <c r="AE7" s="58"/>
      <c r="AF7" s="58"/>
      <c r="AG7" s="58"/>
    </row>
    <row r="8" spans="1:34">
      <c r="A8" s="47" t="s">
        <v>77</v>
      </c>
      <c r="B8" s="47">
        <v>1</v>
      </c>
      <c r="C8" s="51" t="s">
        <v>141</v>
      </c>
      <c r="D8" s="49" t="s">
        <v>7</v>
      </c>
      <c r="E8" s="49" t="s">
        <v>77</v>
      </c>
      <c r="F8" s="49" t="s">
        <v>68</v>
      </c>
      <c r="G8" s="49" t="s">
        <v>36</v>
      </c>
      <c r="H8" s="49" t="s">
        <v>6</v>
      </c>
      <c r="I8" s="50"/>
      <c r="Q8" s="52"/>
      <c r="R8" s="326"/>
      <c r="S8" s="322"/>
      <c r="T8" s="312"/>
      <c r="U8" s="315"/>
      <c r="V8" s="322"/>
      <c r="W8" s="312"/>
      <c r="X8" s="315"/>
      <c r="Y8" s="315"/>
      <c r="Z8" s="315"/>
      <c r="AA8" s="318"/>
      <c r="AD8" s="58" t="e">
        <f>BIN2DEC($AA7)*3</f>
        <v>#NUM!</v>
      </c>
      <c r="AE8" s="58">
        <f>ABS(BIN2DEC($U7)*3)</f>
        <v>0</v>
      </c>
      <c r="AF8" s="58">
        <f>ABS( BIN2DEC(V7)*3-BIN2DEC(Z7))</f>
        <v>0</v>
      </c>
      <c r="AG8" s="58">
        <f>BIN2DEC(X7&amp;Y7)+BIN2DEC(W7)*3</f>
        <v>0</v>
      </c>
      <c r="AH8" t="e">
        <f>AD8+AE8*4+AF8*16</f>
        <v>#NUM!</v>
      </c>
    </row>
    <row r="9" spans="1:34" ht="129.6">
      <c r="A9" s="47" t="s">
        <v>70</v>
      </c>
      <c r="B9" s="47">
        <v>3</v>
      </c>
      <c r="C9" s="51" t="s">
        <v>141</v>
      </c>
      <c r="D9" s="49" t="s">
        <v>81</v>
      </c>
      <c r="E9" s="49" t="s">
        <v>80</v>
      </c>
      <c r="F9" s="49" t="s">
        <v>68</v>
      </c>
      <c r="G9" s="49" t="s">
        <v>36</v>
      </c>
      <c r="H9" s="49" t="s">
        <v>6</v>
      </c>
      <c r="I9" s="50"/>
      <c r="Q9" s="52"/>
      <c r="R9" s="326"/>
      <c r="S9" s="322"/>
      <c r="T9" s="312"/>
      <c r="U9" s="315"/>
      <c r="V9" s="322"/>
      <c r="W9" s="312"/>
      <c r="X9" s="315"/>
      <c r="Y9" s="315"/>
      <c r="Z9" s="315"/>
      <c r="AA9" s="318"/>
      <c r="AD9" s="58" t="e">
        <f>BIN2DEC($AA7)*3</f>
        <v>#NUM!</v>
      </c>
      <c r="AE9" s="58">
        <f>ABS(BIN2DEC($U8)*3-1)</f>
        <v>1</v>
      </c>
      <c r="AF9" s="58">
        <f>ABS( BIN2DEC(V7)*3-BIN2DEC(Z7))</f>
        <v>0</v>
      </c>
      <c r="AG9" s="58">
        <f>BIN2DEC(X7&amp;Y7)+BIN2DEC(W7)*3</f>
        <v>0</v>
      </c>
      <c r="AH9" t="e">
        <f t="shared" ref="AH9:AH11" si="1">AD9+AE9*4+AF9*16</f>
        <v>#NUM!</v>
      </c>
    </row>
    <row r="10" spans="1:34">
      <c r="A10" s="47" t="s">
        <v>71</v>
      </c>
      <c r="B10" s="47">
        <v>1</v>
      </c>
      <c r="C10" s="51" t="s">
        <v>141</v>
      </c>
      <c r="D10" s="49" t="s">
        <v>7</v>
      </c>
      <c r="E10" s="49" t="s">
        <v>73</v>
      </c>
      <c r="F10" s="49" t="s">
        <v>68</v>
      </c>
      <c r="G10" s="49" t="s">
        <v>36</v>
      </c>
      <c r="H10" s="49" t="s">
        <v>6</v>
      </c>
      <c r="I10" s="50"/>
      <c r="Q10" s="52"/>
      <c r="R10" s="326"/>
      <c r="S10" s="322"/>
      <c r="T10" s="312"/>
      <c r="U10" s="315"/>
      <c r="V10" s="322"/>
      <c r="W10" s="312"/>
      <c r="X10" s="315"/>
      <c r="Y10" s="315"/>
      <c r="Z10" s="315"/>
      <c r="AA10" s="318"/>
      <c r="AD10" s="58" t="e">
        <f>ABS(BIN2DEC($AA7)*3-2)</f>
        <v>#NUM!</v>
      </c>
      <c r="AE10" s="58">
        <f>ABS(BIN2DEC($U7)*3)</f>
        <v>0</v>
      </c>
      <c r="AF10" s="58">
        <f>ABS( BIN2DEC(V7)*3-BIN2DEC(Z7))</f>
        <v>0</v>
      </c>
      <c r="AG10" s="58">
        <f>BIN2DEC(X7&amp;Y7)+BIN2DEC(W7)*3</f>
        <v>0</v>
      </c>
      <c r="AH10" t="e">
        <f t="shared" si="1"/>
        <v>#NUM!</v>
      </c>
    </row>
    <row r="11" spans="1:34" ht="15" thickBot="1">
      <c r="A11" s="47" t="s">
        <v>72</v>
      </c>
      <c r="B11" s="47">
        <v>1</v>
      </c>
      <c r="C11" s="51" t="s">
        <v>141</v>
      </c>
      <c r="D11" s="49" t="s">
        <v>7</v>
      </c>
      <c r="E11" s="49" t="s">
        <v>74</v>
      </c>
      <c r="F11" s="49" t="s">
        <v>68</v>
      </c>
      <c r="G11" s="49" t="s">
        <v>36</v>
      </c>
      <c r="H11" s="49" t="s">
        <v>6</v>
      </c>
      <c r="I11" s="50"/>
      <c r="Q11" s="52"/>
      <c r="R11" s="326"/>
      <c r="S11" s="323"/>
      <c r="T11" s="313"/>
      <c r="U11" s="316"/>
      <c r="V11" s="323"/>
      <c r="W11" s="313"/>
      <c r="X11" s="316"/>
      <c r="Y11" s="316"/>
      <c r="Z11" s="316"/>
      <c r="AA11" s="319"/>
      <c r="AD11" s="58" t="e">
        <f>ABS(BIN2DEC($AA7)*3-2)</f>
        <v>#NUM!</v>
      </c>
      <c r="AE11" s="58">
        <f>ABS(BIN2DEC($U7)*3-1)</f>
        <v>1</v>
      </c>
      <c r="AF11" s="58">
        <f>ABS( BIN2DEC(V7)*3-BIN2DEC(Z7))</f>
        <v>0</v>
      </c>
      <c r="AG11" s="58">
        <f>BIN2DEC(X7&amp;Y7)+BIN2DEC(W7)*3</f>
        <v>0</v>
      </c>
      <c r="AH11" t="e">
        <f t="shared" si="1"/>
        <v>#NUM!</v>
      </c>
    </row>
    <row r="12" spans="1:34">
      <c r="A12" s="47" t="str">
        <f>AA12</f>
        <v>vofc_dom0_quad0_quad2_sar0_slc0</v>
      </c>
      <c r="B12" s="47">
        <v>5</v>
      </c>
      <c r="C12" s="48" t="str">
        <f>IF(B12&gt;1,(23)&amp;":"&amp;(23-B12+1),(23-B12+1)&amp;":"&amp;(23-B12+1))</f>
        <v>23:19</v>
      </c>
      <c r="D12" s="49" t="s">
        <v>78</v>
      </c>
      <c r="E12" s="49" t="s">
        <v>69</v>
      </c>
      <c r="F12" s="49" t="s">
        <v>68</v>
      </c>
      <c r="G12" s="49" t="s">
        <v>36</v>
      </c>
      <c r="H12" s="49" t="s">
        <v>6</v>
      </c>
      <c r="I12" s="50"/>
      <c r="L12" t="str">
        <f>DEC2HEX(_xlfn.BITLSHIFT(HEX2DEC(P12),2))</f>
        <v>0</v>
      </c>
      <c r="N12">
        <v>0</v>
      </c>
      <c r="P12" t="str">
        <f>Z12</f>
        <v>0</v>
      </c>
      <c r="Q12" s="52" t="e">
        <f>BIN2HEX(LEFT(RIGHT(C12,32),4))&amp;BIN2HEX(LEFT(RIGHT(C12,28),4))&amp;BIN2HEX(LEFT(RIGHT(C12,24),4))&amp;BIN2HEX(LEFT(RIGHT(C12,20),4))&amp;BIN2HEX(LEFT(RIGHT(C12,16),4))&amp;BIN2HEX(LEFT(RIGHT(C12,12),4))&amp;BIN2HEX(LEFT(RIGHT(C12,8),4))&amp;BIN2HEX(LEFT(RIGHT(C12,4),4))</f>
        <v>#NUM!</v>
      </c>
      <c r="R12" s="326">
        <v>2</v>
      </c>
      <c r="S12" s="321"/>
      <c r="T12" s="311"/>
      <c r="U12" s="314"/>
      <c r="V12" s="321"/>
      <c r="W12" s="311"/>
      <c r="X12" s="314"/>
      <c r="Y12" s="314"/>
      <c r="Z12" s="314" t="str">
        <f>BIN2HEX(S12&amp;T12&amp;U12&amp;V12&amp;W12&amp;X12&amp;Y12)</f>
        <v>0</v>
      </c>
      <c r="AA12" s="317" t="str">
        <f>CONCATENATE("vofc_dom",BIN2DEC(S12&amp;T12),"_quad",BIN2DEC(Y12),"_quad",BIN2DEC(Y12)+2,"_sar",ABS( BIN2DEC(T12)*3-BIN2DEC(X12)),"_slc",BIN2DEC(V12&amp;W12)+BIN2DEC(U12)*3)</f>
        <v>vofc_dom0_quad0_quad2_sar0_slc0</v>
      </c>
      <c r="AD12" s="58"/>
      <c r="AE12" s="58"/>
      <c r="AF12" s="58"/>
      <c r="AG12" s="58"/>
    </row>
    <row r="13" spans="1:34">
      <c r="A13" s="47" t="s">
        <v>77</v>
      </c>
      <c r="B13" s="47">
        <v>1</v>
      </c>
      <c r="C13" s="51" t="s">
        <v>141</v>
      </c>
      <c r="D13" s="49" t="s">
        <v>7</v>
      </c>
      <c r="E13" s="49" t="s">
        <v>77</v>
      </c>
      <c r="F13" s="49" t="s">
        <v>68</v>
      </c>
      <c r="G13" s="49" t="s">
        <v>36</v>
      </c>
      <c r="H13" s="49" t="s">
        <v>6</v>
      </c>
      <c r="I13" s="50"/>
      <c r="Q13" s="52"/>
      <c r="R13" s="326"/>
      <c r="S13" s="322"/>
      <c r="T13" s="312"/>
      <c r="U13" s="315"/>
      <c r="V13" s="322"/>
      <c r="W13" s="312"/>
      <c r="X13" s="315"/>
      <c r="Y13" s="315"/>
      <c r="Z13" s="315"/>
      <c r="AA13" s="318"/>
      <c r="AD13" s="58" t="e">
        <f>BIN2DEC($AA12)*3</f>
        <v>#NUM!</v>
      </c>
      <c r="AE13" s="58">
        <f>ABS(BIN2DEC($U12)*3)</f>
        <v>0</v>
      </c>
      <c r="AF13" s="58">
        <f>ABS( BIN2DEC(V12)*3-BIN2DEC(Z12))</f>
        <v>0</v>
      </c>
      <c r="AG13" s="58">
        <f>BIN2DEC(X12&amp;Y12)+BIN2DEC(W12)*3</f>
        <v>0</v>
      </c>
      <c r="AH13" t="e">
        <f>AD13+AE13*4+AF13*16</f>
        <v>#NUM!</v>
      </c>
    </row>
    <row r="14" spans="1:34" ht="129.6">
      <c r="A14" s="47" t="s">
        <v>70</v>
      </c>
      <c r="B14" s="47">
        <v>3</v>
      </c>
      <c r="C14" s="51" t="s">
        <v>141</v>
      </c>
      <c r="D14" s="49" t="s">
        <v>81</v>
      </c>
      <c r="E14" s="49" t="s">
        <v>80</v>
      </c>
      <c r="F14" s="49" t="s">
        <v>68</v>
      </c>
      <c r="G14" s="49" t="s">
        <v>36</v>
      </c>
      <c r="H14" s="49" t="s">
        <v>6</v>
      </c>
      <c r="I14" s="50"/>
      <c r="Q14" s="52"/>
      <c r="R14" s="326"/>
      <c r="S14" s="322"/>
      <c r="T14" s="312"/>
      <c r="U14" s="315"/>
      <c r="V14" s="322"/>
      <c r="W14" s="312"/>
      <c r="X14" s="315"/>
      <c r="Y14" s="315"/>
      <c r="Z14" s="315"/>
      <c r="AA14" s="318"/>
      <c r="AD14" s="58" t="e">
        <f>BIN2DEC($AA12)*3</f>
        <v>#NUM!</v>
      </c>
      <c r="AE14" s="58">
        <f>ABS(BIN2DEC($U13)*3-1)</f>
        <v>1</v>
      </c>
      <c r="AF14" s="58">
        <f>ABS( BIN2DEC(V12)*3-BIN2DEC(Z12))</f>
        <v>0</v>
      </c>
      <c r="AG14" s="58">
        <f>BIN2DEC(X12&amp;Y12)+BIN2DEC(W12)*3</f>
        <v>0</v>
      </c>
      <c r="AH14" t="e">
        <f t="shared" ref="AH14:AH16" si="2">AD14+AE14*4+AF14*16</f>
        <v>#NUM!</v>
      </c>
    </row>
    <row r="15" spans="1:34">
      <c r="A15" s="47" t="s">
        <v>71</v>
      </c>
      <c r="B15" s="47">
        <v>1</v>
      </c>
      <c r="C15" s="51" t="s">
        <v>141</v>
      </c>
      <c r="D15" s="49" t="s">
        <v>7</v>
      </c>
      <c r="E15" s="49" t="s">
        <v>73</v>
      </c>
      <c r="F15" s="49" t="s">
        <v>68</v>
      </c>
      <c r="G15" s="49" t="s">
        <v>36</v>
      </c>
      <c r="H15" s="49" t="s">
        <v>6</v>
      </c>
      <c r="I15" s="50"/>
      <c r="Q15" s="52"/>
      <c r="R15" s="326"/>
      <c r="S15" s="322"/>
      <c r="T15" s="312"/>
      <c r="U15" s="315"/>
      <c r="V15" s="322"/>
      <c r="W15" s="312"/>
      <c r="X15" s="315"/>
      <c r="Y15" s="315"/>
      <c r="Z15" s="315"/>
      <c r="AA15" s="318"/>
      <c r="AD15" s="58" t="e">
        <f>ABS(BIN2DEC($AA12)*3-2)</f>
        <v>#NUM!</v>
      </c>
      <c r="AE15" s="58">
        <f>ABS(BIN2DEC($U12)*3)</f>
        <v>0</v>
      </c>
      <c r="AF15" s="58">
        <f>ABS( BIN2DEC(V12)*3-BIN2DEC(Z12))</f>
        <v>0</v>
      </c>
      <c r="AG15" s="58">
        <f>BIN2DEC(X12&amp;Y12)+BIN2DEC(W12)*3</f>
        <v>0</v>
      </c>
      <c r="AH15" t="e">
        <f t="shared" si="2"/>
        <v>#NUM!</v>
      </c>
    </row>
    <row r="16" spans="1:34" ht="15" thickBot="1">
      <c r="A16" s="47" t="s">
        <v>72</v>
      </c>
      <c r="B16" s="47">
        <v>1</v>
      </c>
      <c r="C16" s="51" t="s">
        <v>141</v>
      </c>
      <c r="D16" s="49" t="s">
        <v>7</v>
      </c>
      <c r="E16" s="49" t="s">
        <v>74</v>
      </c>
      <c r="F16" s="49" t="s">
        <v>68</v>
      </c>
      <c r="G16" s="49" t="s">
        <v>36</v>
      </c>
      <c r="H16" s="49" t="s">
        <v>6</v>
      </c>
      <c r="I16" s="50"/>
      <c r="Q16" s="52"/>
      <c r="R16" s="326"/>
      <c r="S16" s="323"/>
      <c r="T16" s="313"/>
      <c r="U16" s="316"/>
      <c r="V16" s="323"/>
      <c r="W16" s="313"/>
      <c r="X16" s="316"/>
      <c r="Y16" s="316"/>
      <c r="Z16" s="316"/>
      <c r="AA16" s="319"/>
      <c r="AD16" s="58" t="e">
        <f>ABS(BIN2DEC($AA12)*3-2)</f>
        <v>#NUM!</v>
      </c>
      <c r="AE16" s="58">
        <f>ABS(BIN2DEC($U12)*3-1)</f>
        <v>1</v>
      </c>
      <c r="AF16" s="58">
        <f>ABS( BIN2DEC(V12)*3-BIN2DEC(Z12))</f>
        <v>0</v>
      </c>
      <c r="AG16" s="58">
        <f>BIN2DEC(X12&amp;Y12)+BIN2DEC(W12)*3</f>
        <v>0</v>
      </c>
      <c r="AH16" t="e">
        <f t="shared" si="2"/>
        <v>#NUM!</v>
      </c>
    </row>
    <row r="17" spans="1:34">
      <c r="A17" s="47" t="str">
        <f>AA17</f>
        <v>vofc_dom0_quad0_quad2_sar0_slc0</v>
      </c>
      <c r="B17" s="47">
        <v>5</v>
      </c>
      <c r="C17" s="48" t="str">
        <f>IF(B17&gt;1,(23)&amp;":"&amp;(23-B17+1),(23-B17+1)&amp;":"&amp;(23-B17+1))</f>
        <v>23:19</v>
      </c>
      <c r="D17" s="49" t="s">
        <v>78</v>
      </c>
      <c r="E17" s="49" t="s">
        <v>69</v>
      </c>
      <c r="F17" s="49" t="s">
        <v>68</v>
      </c>
      <c r="G17" s="49" t="s">
        <v>36</v>
      </c>
      <c r="H17" s="49" t="s">
        <v>6</v>
      </c>
      <c r="I17" s="50"/>
      <c r="L17" t="str">
        <f>DEC2HEX(_xlfn.BITLSHIFT(HEX2DEC(P17),2))</f>
        <v>0</v>
      </c>
      <c r="N17">
        <v>0</v>
      </c>
      <c r="P17" t="str">
        <f>Z17</f>
        <v>0</v>
      </c>
      <c r="Q17" s="52" t="e">
        <f>BIN2HEX(LEFT(RIGHT(C17,32),4))&amp;BIN2HEX(LEFT(RIGHT(C17,28),4))&amp;BIN2HEX(LEFT(RIGHT(C17,24),4))&amp;BIN2HEX(LEFT(RIGHT(C17,20),4))&amp;BIN2HEX(LEFT(RIGHT(C17,16),4))&amp;BIN2HEX(LEFT(RIGHT(C17,12),4))&amp;BIN2HEX(LEFT(RIGHT(C17,8),4))&amp;BIN2HEX(LEFT(RIGHT(C17,4),4))</f>
        <v>#NUM!</v>
      </c>
      <c r="R17" s="326">
        <v>3</v>
      </c>
      <c r="S17" s="321"/>
      <c r="T17" s="311"/>
      <c r="U17" s="314"/>
      <c r="V17" s="321"/>
      <c r="W17" s="311"/>
      <c r="X17" s="314"/>
      <c r="Y17" s="314"/>
      <c r="Z17" s="314" t="str">
        <f>BIN2HEX(S17&amp;T17&amp;U17&amp;V17&amp;W17&amp;X17&amp;Y17)</f>
        <v>0</v>
      </c>
      <c r="AA17" s="317" t="str">
        <f>CONCATENATE("vofc_dom",BIN2DEC(S17&amp;T17),"_quad",BIN2DEC(Y17),"_quad",BIN2DEC(Y17)+2,"_sar",ABS( BIN2DEC(T17)*3-BIN2DEC(X17)),"_slc",BIN2DEC(V17&amp;W17)+BIN2DEC(U17)*3)</f>
        <v>vofc_dom0_quad0_quad2_sar0_slc0</v>
      </c>
      <c r="AD17" s="58"/>
      <c r="AE17" s="58"/>
      <c r="AF17" s="58"/>
      <c r="AG17" s="58"/>
    </row>
    <row r="18" spans="1:34">
      <c r="A18" s="47" t="s">
        <v>77</v>
      </c>
      <c r="B18" s="47">
        <v>1</v>
      </c>
      <c r="C18" s="51" t="s">
        <v>141</v>
      </c>
      <c r="D18" s="49" t="s">
        <v>7</v>
      </c>
      <c r="E18" s="49" t="s">
        <v>77</v>
      </c>
      <c r="F18" s="49" t="s">
        <v>68</v>
      </c>
      <c r="G18" s="49" t="s">
        <v>36</v>
      </c>
      <c r="H18" s="49" t="s">
        <v>6</v>
      </c>
      <c r="I18" s="50"/>
      <c r="Q18" s="52"/>
      <c r="R18" s="326"/>
      <c r="S18" s="322"/>
      <c r="T18" s="312"/>
      <c r="U18" s="315"/>
      <c r="V18" s="322"/>
      <c r="W18" s="312"/>
      <c r="X18" s="315"/>
      <c r="Y18" s="315"/>
      <c r="Z18" s="315"/>
      <c r="AA18" s="318"/>
      <c r="AD18" s="58" t="e">
        <f>BIN2DEC($AA17)*3</f>
        <v>#NUM!</v>
      </c>
      <c r="AE18" s="58">
        <f>ABS(BIN2DEC($U17)*3)</f>
        <v>0</v>
      </c>
      <c r="AF18" s="58">
        <f>ABS( BIN2DEC(V17)*3-BIN2DEC(Z17))</f>
        <v>0</v>
      </c>
      <c r="AG18" s="58">
        <f>BIN2DEC(X17&amp;Y17)+BIN2DEC(W17)*3</f>
        <v>0</v>
      </c>
      <c r="AH18" t="e">
        <f>AD18+AE18*4+AF18*16</f>
        <v>#NUM!</v>
      </c>
    </row>
    <row r="19" spans="1:34" ht="129.6">
      <c r="A19" s="47" t="s">
        <v>70</v>
      </c>
      <c r="B19" s="47">
        <v>3</v>
      </c>
      <c r="C19" s="51" t="s">
        <v>141</v>
      </c>
      <c r="D19" s="49" t="s">
        <v>81</v>
      </c>
      <c r="E19" s="49" t="s">
        <v>80</v>
      </c>
      <c r="F19" s="49" t="s">
        <v>68</v>
      </c>
      <c r="G19" s="49" t="s">
        <v>36</v>
      </c>
      <c r="H19" s="49" t="s">
        <v>6</v>
      </c>
      <c r="I19" s="50"/>
      <c r="Q19" s="52"/>
      <c r="R19" s="326"/>
      <c r="S19" s="322"/>
      <c r="T19" s="312"/>
      <c r="U19" s="315"/>
      <c r="V19" s="322"/>
      <c r="W19" s="312"/>
      <c r="X19" s="315"/>
      <c r="Y19" s="315"/>
      <c r="Z19" s="315"/>
      <c r="AA19" s="318"/>
      <c r="AD19" s="58" t="e">
        <f>BIN2DEC($AA17)*3</f>
        <v>#NUM!</v>
      </c>
      <c r="AE19" s="58">
        <f>ABS(BIN2DEC($U18)*3-1)</f>
        <v>1</v>
      </c>
      <c r="AF19" s="58">
        <f>ABS( BIN2DEC(V17)*3-BIN2DEC(Z17))</f>
        <v>0</v>
      </c>
      <c r="AG19" s="58">
        <f>BIN2DEC(X17&amp;Y17)+BIN2DEC(W17)*3</f>
        <v>0</v>
      </c>
      <c r="AH19" t="e">
        <f t="shared" ref="AH19:AH21" si="3">AD19+AE19*4+AF19*16</f>
        <v>#NUM!</v>
      </c>
    </row>
    <row r="20" spans="1:34">
      <c r="A20" s="47" t="s">
        <v>71</v>
      </c>
      <c r="B20" s="47">
        <v>1</v>
      </c>
      <c r="C20" s="51" t="s">
        <v>141</v>
      </c>
      <c r="D20" s="49" t="s">
        <v>7</v>
      </c>
      <c r="E20" s="49" t="s">
        <v>73</v>
      </c>
      <c r="F20" s="49" t="s">
        <v>68</v>
      </c>
      <c r="G20" s="49" t="s">
        <v>36</v>
      </c>
      <c r="H20" s="49" t="s">
        <v>6</v>
      </c>
      <c r="I20" s="50"/>
      <c r="Q20" s="52"/>
      <c r="R20" s="326"/>
      <c r="S20" s="322"/>
      <c r="T20" s="312"/>
      <c r="U20" s="315"/>
      <c r="V20" s="322"/>
      <c r="W20" s="312"/>
      <c r="X20" s="315"/>
      <c r="Y20" s="315"/>
      <c r="Z20" s="315"/>
      <c r="AA20" s="318"/>
      <c r="AD20" s="58" t="e">
        <f>ABS(BIN2DEC($AA17)*3-2)</f>
        <v>#NUM!</v>
      </c>
      <c r="AE20" s="58">
        <f>ABS(BIN2DEC($U17)*3)</f>
        <v>0</v>
      </c>
      <c r="AF20" s="58">
        <f>ABS( BIN2DEC(V17)*3-BIN2DEC(Z17))</f>
        <v>0</v>
      </c>
      <c r="AG20" s="58">
        <f>BIN2DEC(X17&amp;Y17)+BIN2DEC(W17)*3</f>
        <v>0</v>
      </c>
      <c r="AH20" t="e">
        <f t="shared" si="3"/>
        <v>#NUM!</v>
      </c>
    </row>
    <row r="21" spans="1:34" ht="15" thickBot="1">
      <c r="A21" s="47" t="s">
        <v>72</v>
      </c>
      <c r="B21" s="47">
        <v>1</v>
      </c>
      <c r="C21" s="51" t="s">
        <v>141</v>
      </c>
      <c r="D21" s="49" t="s">
        <v>7</v>
      </c>
      <c r="E21" s="49" t="s">
        <v>74</v>
      </c>
      <c r="F21" s="49" t="s">
        <v>68</v>
      </c>
      <c r="G21" s="49" t="s">
        <v>36</v>
      </c>
      <c r="H21" s="49" t="s">
        <v>6</v>
      </c>
      <c r="I21" s="50"/>
      <c r="Q21" s="52"/>
      <c r="R21" s="326"/>
      <c r="S21" s="323"/>
      <c r="T21" s="313"/>
      <c r="U21" s="316"/>
      <c r="V21" s="323"/>
      <c r="W21" s="313"/>
      <c r="X21" s="316"/>
      <c r="Y21" s="316"/>
      <c r="Z21" s="316"/>
      <c r="AA21" s="319"/>
      <c r="AD21" s="58" t="e">
        <f>ABS(BIN2DEC($AA17)*3-2)</f>
        <v>#NUM!</v>
      </c>
      <c r="AE21" s="58">
        <f>ABS(BIN2DEC($U17)*3-1)</f>
        <v>1</v>
      </c>
      <c r="AF21" s="58">
        <f>ABS( BIN2DEC(V17)*3-BIN2DEC(Z17))</f>
        <v>0</v>
      </c>
      <c r="AG21" s="58">
        <f>BIN2DEC(X17&amp;Y17)+BIN2DEC(W17)*3</f>
        <v>0</v>
      </c>
      <c r="AH21" t="e">
        <f t="shared" si="3"/>
        <v>#NUM!</v>
      </c>
    </row>
    <row r="22" spans="1:34">
      <c r="A22" s="47" t="str">
        <f>AA22</f>
        <v>vofc_dom0_quad0_quad2_sar0_slc0</v>
      </c>
      <c r="B22" s="47">
        <v>5</v>
      </c>
      <c r="C22" s="48" t="str">
        <f>IF(B22&gt;1,(23)&amp;":"&amp;(23-B22+1),(23-B22+1)&amp;":"&amp;(23-B22+1))</f>
        <v>23:19</v>
      </c>
      <c r="D22" s="49" t="s">
        <v>78</v>
      </c>
      <c r="E22" s="49" t="s">
        <v>69</v>
      </c>
      <c r="F22" s="49" t="s">
        <v>68</v>
      </c>
      <c r="G22" s="49" t="s">
        <v>36</v>
      </c>
      <c r="H22" s="49" t="s">
        <v>6</v>
      </c>
      <c r="I22" s="50"/>
      <c r="L22" t="str">
        <f>DEC2HEX(_xlfn.BITLSHIFT(HEX2DEC(P22),2))</f>
        <v>0</v>
      </c>
      <c r="N22">
        <v>0</v>
      </c>
      <c r="P22" t="str">
        <f>Z22</f>
        <v>0</v>
      </c>
      <c r="Q22" s="52" t="e">
        <f>BIN2HEX(LEFT(RIGHT(C22,32),4))&amp;BIN2HEX(LEFT(RIGHT(C22,28),4))&amp;BIN2HEX(LEFT(RIGHT(C22,24),4))&amp;BIN2HEX(LEFT(RIGHT(C22,20),4))&amp;BIN2HEX(LEFT(RIGHT(C22,16),4))&amp;BIN2HEX(LEFT(RIGHT(C22,12),4))&amp;BIN2HEX(LEFT(RIGHT(C22,8),4))&amp;BIN2HEX(LEFT(RIGHT(C22,4),4))</f>
        <v>#NUM!</v>
      </c>
      <c r="R22" s="326">
        <v>4</v>
      </c>
      <c r="S22" s="321"/>
      <c r="T22" s="311"/>
      <c r="U22" s="314"/>
      <c r="V22" s="321"/>
      <c r="W22" s="311"/>
      <c r="X22" s="314"/>
      <c r="Y22" s="314"/>
      <c r="Z22" s="314" t="str">
        <f>BIN2HEX(S22&amp;T22&amp;U22&amp;V22&amp;W22&amp;X22&amp;Y22)</f>
        <v>0</v>
      </c>
      <c r="AA22" s="317" t="str">
        <f>CONCATENATE("vofc_dom",BIN2DEC(S22&amp;T22),"_quad",BIN2DEC(Y22),"_quad",BIN2DEC(Y22)+2,"_sar",ABS( BIN2DEC(T22)*3-BIN2DEC(X22)),"_slc",BIN2DEC(V22&amp;W22)+BIN2DEC(U22)*3)</f>
        <v>vofc_dom0_quad0_quad2_sar0_slc0</v>
      </c>
      <c r="AD22" s="58"/>
      <c r="AE22" s="58"/>
      <c r="AF22" s="58"/>
      <c r="AG22" s="58"/>
    </row>
    <row r="23" spans="1:34">
      <c r="A23" s="47" t="s">
        <v>77</v>
      </c>
      <c r="B23" s="47">
        <v>1</v>
      </c>
      <c r="C23" s="51" t="s">
        <v>141</v>
      </c>
      <c r="D23" s="49" t="s">
        <v>7</v>
      </c>
      <c r="E23" s="49" t="s">
        <v>77</v>
      </c>
      <c r="F23" s="49" t="s">
        <v>68</v>
      </c>
      <c r="G23" s="49" t="s">
        <v>36</v>
      </c>
      <c r="H23" s="49" t="s">
        <v>6</v>
      </c>
      <c r="I23" s="50"/>
      <c r="Q23" s="52"/>
      <c r="R23" s="326"/>
      <c r="S23" s="322"/>
      <c r="T23" s="312"/>
      <c r="U23" s="315"/>
      <c r="V23" s="322"/>
      <c r="W23" s="312"/>
      <c r="X23" s="315"/>
      <c r="Y23" s="315"/>
      <c r="Z23" s="315"/>
      <c r="AA23" s="318"/>
      <c r="AD23" s="58" t="e">
        <f>BIN2DEC($AA22)*3</f>
        <v>#NUM!</v>
      </c>
      <c r="AE23" s="58">
        <f>ABS(BIN2DEC($U22)*3)</f>
        <v>0</v>
      </c>
      <c r="AF23" s="58">
        <f>ABS( BIN2DEC(V22)*3-BIN2DEC(Z22))</f>
        <v>0</v>
      </c>
      <c r="AG23" s="58">
        <f>BIN2DEC(X22&amp;Y22)+BIN2DEC(W22)*3</f>
        <v>0</v>
      </c>
      <c r="AH23" t="e">
        <f>AD23+AE23*4+AF23*16</f>
        <v>#NUM!</v>
      </c>
    </row>
    <row r="24" spans="1:34" ht="129.6">
      <c r="A24" s="47" t="s">
        <v>70</v>
      </c>
      <c r="B24" s="47">
        <v>3</v>
      </c>
      <c r="C24" s="51" t="s">
        <v>141</v>
      </c>
      <c r="D24" s="49" t="s">
        <v>81</v>
      </c>
      <c r="E24" s="49" t="s">
        <v>80</v>
      </c>
      <c r="F24" s="49" t="s">
        <v>68</v>
      </c>
      <c r="G24" s="49" t="s">
        <v>36</v>
      </c>
      <c r="H24" s="49" t="s">
        <v>6</v>
      </c>
      <c r="I24" s="50"/>
      <c r="Q24" s="52"/>
      <c r="R24" s="326"/>
      <c r="S24" s="322"/>
      <c r="T24" s="312"/>
      <c r="U24" s="315"/>
      <c r="V24" s="322"/>
      <c r="W24" s="312"/>
      <c r="X24" s="315"/>
      <c r="Y24" s="315"/>
      <c r="Z24" s="315"/>
      <c r="AA24" s="318"/>
      <c r="AD24" s="58" t="e">
        <f>BIN2DEC($AA22)*3</f>
        <v>#NUM!</v>
      </c>
      <c r="AE24" s="58">
        <f>ABS(BIN2DEC($U23)*3-1)</f>
        <v>1</v>
      </c>
      <c r="AF24" s="58">
        <f>ABS( BIN2DEC(V22)*3-BIN2DEC(Z22))</f>
        <v>0</v>
      </c>
      <c r="AG24" s="58">
        <f>BIN2DEC(X22&amp;Y22)+BIN2DEC(W22)*3</f>
        <v>0</v>
      </c>
      <c r="AH24" t="e">
        <f t="shared" ref="AH24:AH26" si="4">AD24+AE24*4+AF24*16</f>
        <v>#NUM!</v>
      </c>
    </row>
    <row r="25" spans="1:34">
      <c r="A25" s="47" t="s">
        <v>71</v>
      </c>
      <c r="B25" s="47">
        <v>1</v>
      </c>
      <c r="C25" s="51" t="s">
        <v>141</v>
      </c>
      <c r="D25" s="49" t="s">
        <v>7</v>
      </c>
      <c r="E25" s="49" t="s">
        <v>73</v>
      </c>
      <c r="F25" s="49" t="s">
        <v>68</v>
      </c>
      <c r="G25" s="49" t="s">
        <v>36</v>
      </c>
      <c r="H25" s="49" t="s">
        <v>6</v>
      </c>
      <c r="I25" s="50"/>
      <c r="Q25" s="52"/>
      <c r="R25" s="326"/>
      <c r="S25" s="322"/>
      <c r="T25" s="312"/>
      <c r="U25" s="315"/>
      <c r="V25" s="322"/>
      <c r="W25" s="312"/>
      <c r="X25" s="315"/>
      <c r="Y25" s="315"/>
      <c r="Z25" s="315"/>
      <c r="AA25" s="318"/>
      <c r="AD25" s="58" t="e">
        <f>ABS(BIN2DEC($AA22)*3-2)</f>
        <v>#NUM!</v>
      </c>
      <c r="AE25" s="58">
        <f>ABS(BIN2DEC($U22)*3)</f>
        <v>0</v>
      </c>
      <c r="AF25" s="58">
        <f>ABS( BIN2DEC(V22)*3-BIN2DEC(Z22))</f>
        <v>0</v>
      </c>
      <c r="AG25" s="58">
        <f>BIN2DEC(X22&amp;Y22)+BIN2DEC(W22)*3</f>
        <v>0</v>
      </c>
      <c r="AH25" t="e">
        <f t="shared" si="4"/>
        <v>#NUM!</v>
      </c>
    </row>
    <row r="26" spans="1:34" ht="15" thickBot="1">
      <c r="A26" s="47" t="s">
        <v>72</v>
      </c>
      <c r="B26" s="47">
        <v>1</v>
      </c>
      <c r="C26" s="51" t="s">
        <v>141</v>
      </c>
      <c r="D26" s="49" t="s">
        <v>7</v>
      </c>
      <c r="E26" s="49" t="s">
        <v>74</v>
      </c>
      <c r="F26" s="49" t="s">
        <v>68</v>
      </c>
      <c r="G26" s="49" t="s">
        <v>36</v>
      </c>
      <c r="H26" s="49" t="s">
        <v>6</v>
      </c>
      <c r="I26" s="50"/>
      <c r="Q26" s="52"/>
      <c r="R26" s="326"/>
      <c r="S26" s="323"/>
      <c r="T26" s="313"/>
      <c r="U26" s="316"/>
      <c r="V26" s="323"/>
      <c r="W26" s="313"/>
      <c r="X26" s="316"/>
      <c r="Y26" s="316"/>
      <c r="Z26" s="316"/>
      <c r="AA26" s="319"/>
      <c r="AD26" s="58" t="e">
        <f>ABS(BIN2DEC($AA22)*3-2)</f>
        <v>#NUM!</v>
      </c>
      <c r="AE26" s="58">
        <f>ABS(BIN2DEC($U22)*3-1)</f>
        <v>1</v>
      </c>
      <c r="AF26" s="58">
        <f>ABS( BIN2DEC(V22)*3-BIN2DEC(Z22))</f>
        <v>0</v>
      </c>
      <c r="AG26" s="58">
        <f>BIN2DEC(X22&amp;Y22)+BIN2DEC(W22)*3</f>
        <v>0</v>
      </c>
      <c r="AH26" t="e">
        <f t="shared" si="4"/>
        <v>#NUM!</v>
      </c>
    </row>
    <row r="27" spans="1:34">
      <c r="A27" s="47" t="str">
        <f>AA27</f>
        <v>vofc_dom0_quad0_quad2_sar0_slc0</v>
      </c>
      <c r="B27" s="47">
        <v>5</v>
      </c>
      <c r="C27" s="48" t="str">
        <f>IF(B27&gt;1,(23)&amp;":"&amp;(23-B27+1),(23-B27+1)&amp;":"&amp;(23-B27+1))</f>
        <v>23:19</v>
      </c>
      <c r="D27" s="49" t="s">
        <v>78</v>
      </c>
      <c r="E27" s="49" t="s">
        <v>69</v>
      </c>
      <c r="F27" s="49" t="s">
        <v>68</v>
      </c>
      <c r="G27" s="49" t="s">
        <v>36</v>
      </c>
      <c r="H27" s="49" t="s">
        <v>6</v>
      </c>
      <c r="I27" s="50"/>
      <c r="L27" t="str">
        <f>DEC2HEX(_xlfn.BITLSHIFT(HEX2DEC(P27),2))</f>
        <v>0</v>
      </c>
      <c r="N27">
        <v>0</v>
      </c>
      <c r="P27" t="str">
        <f>Z27</f>
        <v>0</v>
      </c>
      <c r="Q27" s="52" t="e">
        <f>BIN2HEX(LEFT(RIGHT(C27,32),4))&amp;BIN2HEX(LEFT(RIGHT(C27,28),4))&amp;BIN2HEX(LEFT(RIGHT(C27,24),4))&amp;BIN2HEX(LEFT(RIGHT(C27,20),4))&amp;BIN2HEX(LEFT(RIGHT(C27,16),4))&amp;BIN2HEX(LEFT(RIGHT(C27,12),4))&amp;BIN2HEX(LEFT(RIGHT(C27,8),4))&amp;BIN2HEX(LEFT(RIGHT(C27,4),4))</f>
        <v>#NUM!</v>
      </c>
      <c r="R27" s="326">
        <v>5</v>
      </c>
      <c r="S27" s="321"/>
      <c r="T27" s="311"/>
      <c r="U27" s="314"/>
      <c r="V27" s="321"/>
      <c r="W27" s="311"/>
      <c r="X27" s="314"/>
      <c r="Y27" s="314"/>
      <c r="Z27" s="314" t="str">
        <f>BIN2HEX(S27&amp;T27&amp;U27&amp;V27&amp;W27&amp;X27&amp;Y27)</f>
        <v>0</v>
      </c>
      <c r="AA27" s="317" t="str">
        <f>CONCATENATE("vofc_dom",BIN2DEC(S27&amp;T27),"_quad",BIN2DEC(Y27),"_quad",BIN2DEC(Y27)+2,"_sar",ABS( BIN2DEC(T27)*3-BIN2DEC(X27)),"_slc",BIN2DEC(V27&amp;W27)+BIN2DEC(U27)*3)</f>
        <v>vofc_dom0_quad0_quad2_sar0_slc0</v>
      </c>
      <c r="AD27" s="58"/>
      <c r="AE27" s="58"/>
      <c r="AF27" s="58"/>
      <c r="AG27" s="58"/>
    </row>
    <row r="28" spans="1:34">
      <c r="A28" s="47" t="s">
        <v>77</v>
      </c>
      <c r="B28" s="47">
        <v>1</v>
      </c>
      <c r="C28" s="51" t="s">
        <v>141</v>
      </c>
      <c r="D28" s="49" t="s">
        <v>7</v>
      </c>
      <c r="E28" s="49" t="s">
        <v>77</v>
      </c>
      <c r="F28" s="49" t="s">
        <v>68</v>
      </c>
      <c r="G28" s="49" t="s">
        <v>36</v>
      </c>
      <c r="H28" s="49" t="s">
        <v>6</v>
      </c>
      <c r="I28" s="50"/>
      <c r="Q28" s="52"/>
      <c r="R28" s="326"/>
      <c r="S28" s="322"/>
      <c r="T28" s="312"/>
      <c r="U28" s="315"/>
      <c r="V28" s="322"/>
      <c r="W28" s="312"/>
      <c r="X28" s="315"/>
      <c r="Y28" s="315"/>
      <c r="Z28" s="315"/>
      <c r="AA28" s="318"/>
      <c r="AD28" s="58" t="e">
        <f>BIN2DEC($AA27)*3</f>
        <v>#NUM!</v>
      </c>
      <c r="AE28" s="58">
        <f>ABS(BIN2DEC($U27)*3)</f>
        <v>0</v>
      </c>
      <c r="AF28" s="58">
        <f>ABS( BIN2DEC(V27)*3-BIN2DEC(Z27))</f>
        <v>0</v>
      </c>
      <c r="AG28" s="58">
        <f>BIN2DEC(X27&amp;Y27)+BIN2DEC(W27)*3</f>
        <v>0</v>
      </c>
      <c r="AH28" t="e">
        <f>AD28+AE28*4+AF28*16</f>
        <v>#NUM!</v>
      </c>
    </row>
    <row r="29" spans="1:34" ht="129.6">
      <c r="A29" s="47" t="s">
        <v>70</v>
      </c>
      <c r="B29" s="47">
        <v>3</v>
      </c>
      <c r="C29" s="51" t="s">
        <v>141</v>
      </c>
      <c r="D29" s="49" t="s">
        <v>81</v>
      </c>
      <c r="E29" s="49" t="s">
        <v>80</v>
      </c>
      <c r="F29" s="49" t="s">
        <v>68</v>
      </c>
      <c r="G29" s="49" t="s">
        <v>36</v>
      </c>
      <c r="H29" s="49" t="s">
        <v>6</v>
      </c>
      <c r="I29" s="50"/>
      <c r="Q29" s="52"/>
      <c r="R29" s="326"/>
      <c r="S29" s="322"/>
      <c r="T29" s="312"/>
      <c r="U29" s="315"/>
      <c r="V29" s="322"/>
      <c r="W29" s="312"/>
      <c r="X29" s="315"/>
      <c r="Y29" s="315"/>
      <c r="Z29" s="315"/>
      <c r="AA29" s="318"/>
      <c r="AD29" s="58" t="e">
        <f>BIN2DEC($AA27)*3</f>
        <v>#NUM!</v>
      </c>
      <c r="AE29" s="58">
        <f>ABS(BIN2DEC($U28)*3-1)</f>
        <v>1</v>
      </c>
      <c r="AF29" s="58">
        <f>ABS( BIN2DEC(V27)*3-BIN2DEC(Z27))</f>
        <v>0</v>
      </c>
      <c r="AG29" s="58">
        <f>BIN2DEC(X27&amp;Y27)+BIN2DEC(W27)*3</f>
        <v>0</v>
      </c>
      <c r="AH29" t="e">
        <f t="shared" ref="AH29:AH31" si="5">AD29+AE29*4+AF29*16</f>
        <v>#NUM!</v>
      </c>
    </row>
    <row r="30" spans="1:34">
      <c r="A30" s="47" t="s">
        <v>71</v>
      </c>
      <c r="B30" s="47">
        <v>1</v>
      </c>
      <c r="C30" s="51" t="s">
        <v>141</v>
      </c>
      <c r="D30" s="49" t="s">
        <v>7</v>
      </c>
      <c r="E30" s="49" t="s">
        <v>73</v>
      </c>
      <c r="F30" s="49" t="s">
        <v>68</v>
      </c>
      <c r="G30" s="49" t="s">
        <v>36</v>
      </c>
      <c r="H30" s="49" t="s">
        <v>6</v>
      </c>
      <c r="I30" s="50"/>
      <c r="Q30" s="52"/>
      <c r="R30" s="326"/>
      <c r="S30" s="322"/>
      <c r="T30" s="312"/>
      <c r="U30" s="315"/>
      <c r="V30" s="322"/>
      <c r="W30" s="312"/>
      <c r="X30" s="315"/>
      <c r="Y30" s="315"/>
      <c r="Z30" s="315"/>
      <c r="AA30" s="318"/>
      <c r="AD30" s="58" t="e">
        <f>ABS(BIN2DEC($AA27)*3-2)</f>
        <v>#NUM!</v>
      </c>
      <c r="AE30" s="58">
        <f>ABS(BIN2DEC($U27)*3)</f>
        <v>0</v>
      </c>
      <c r="AF30" s="58">
        <f>ABS( BIN2DEC(V27)*3-BIN2DEC(Z27))</f>
        <v>0</v>
      </c>
      <c r="AG30" s="58">
        <f>BIN2DEC(X27&amp;Y27)+BIN2DEC(W27)*3</f>
        <v>0</v>
      </c>
      <c r="AH30" t="e">
        <f t="shared" si="5"/>
        <v>#NUM!</v>
      </c>
    </row>
    <row r="31" spans="1:34" ht="15" thickBot="1">
      <c r="A31" s="47" t="s">
        <v>72</v>
      </c>
      <c r="B31" s="47">
        <v>1</v>
      </c>
      <c r="C31" s="51" t="s">
        <v>141</v>
      </c>
      <c r="D31" s="49" t="s">
        <v>7</v>
      </c>
      <c r="E31" s="49" t="s">
        <v>74</v>
      </c>
      <c r="F31" s="49" t="s">
        <v>68</v>
      </c>
      <c r="G31" s="49" t="s">
        <v>36</v>
      </c>
      <c r="H31" s="49" t="s">
        <v>6</v>
      </c>
      <c r="I31" s="50"/>
      <c r="Q31" s="52"/>
      <c r="R31" s="326"/>
      <c r="S31" s="323"/>
      <c r="T31" s="313"/>
      <c r="U31" s="316"/>
      <c r="V31" s="323"/>
      <c r="W31" s="313"/>
      <c r="X31" s="316"/>
      <c r="Y31" s="316"/>
      <c r="Z31" s="316"/>
      <c r="AA31" s="319"/>
      <c r="AD31" s="58" t="e">
        <f>ABS(BIN2DEC($AA27)*3-2)</f>
        <v>#NUM!</v>
      </c>
      <c r="AE31" s="58">
        <f>ABS(BIN2DEC($U27)*3-1)</f>
        <v>1</v>
      </c>
      <c r="AF31" s="58">
        <f>ABS( BIN2DEC(V27)*3-BIN2DEC(Z27))</f>
        <v>0</v>
      </c>
      <c r="AG31" s="58">
        <f>BIN2DEC(X27&amp;Y27)+BIN2DEC(W27)*3</f>
        <v>0</v>
      </c>
      <c r="AH31" t="e">
        <f t="shared" si="5"/>
        <v>#NUM!</v>
      </c>
    </row>
    <row r="32" spans="1:34">
      <c r="A32" s="47" t="str">
        <f>AA32</f>
        <v>vofc_dom0_quad0_quad2_sar0_slc0</v>
      </c>
      <c r="B32" s="47">
        <v>5</v>
      </c>
      <c r="C32" s="48" t="str">
        <f>IF(B32&gt;1,(23)&amp;":"&amp;(23-B32+1),(23-B32+1)&amp;":"&amp;(23-B32+1))</f>
        <v>23:19</v>
      </c>
      <c r="D32" s="49" t="s">
        <v>78</v>
      </c>
      <c r="E32" s="49" t="s">
        <v>69</v>
      </c>
      <c r="F32" s="49" t="s">
        <v>68</v>
      </c>
      <c r="G32" s="49" t="s">
        <v>36</v>
      </c>
      <c r="H32" s="49" t="s">
        <v>6</v>
      </c>
      <c r="I32" s="50"/>
      <c r="L32" t="str">
        <f>DEC2HEX(_xlfn.BITLSHIFT(HEX2DEC(P32),2))</f>
        <v>0</v>
      </c>
      <c r="N32">
        <v>0</v>
      </c>
      <c r="P32" t="str">
        <f>Z32</f>
        <v>0</v>
      </c>
      <c r="Q32" s="52" t="e">
        <f>BIN2HEX(LEFT(RIGHT(C32,32),4))&amp;BIN2HEX(LEFT(RIGHT(C32,28),4))&amp;BIN2HEX(LEFT(RIGHT(C32,24),4))&amp;BIN2HEX(LEFT(RIGHT(C32,20),4))&amp;BIN2HEX(LEFT(RIGHT(C32,16),4))&amp;BIN2HEX(LEFT(RIGHT(C32,12),4))&amp;BIN2HEX(LEFT(RIGHT(C32,8),4))&amp;BIN2HEX(LEFT(RIGHT(C32,4),4))</f>
        <v>#NUM!</v>
      </c>
      <c r="R32" s="326">
        <v>6</v>
      </c>
      <c r="S32" s="321"/>
      <c r="T32" s="311"/>
      <c r="U32" s="314"/>
      <c r="V32" s="321"/>
      <c r="W32" s="311"/>
      <c r="X32" s="314"/>
      <c r="Y32" s="314"/>
      <c r="Z32" s="314" t="str">
        <f>BIN2HEX(S32&amp;T32&amp;U32&amp;V32&amp;W32&amp;X32&amp;Y32)</f>
        <v>0</v>
      </c>
      <c r="AA32" s="317" t="str">
        <f>CONCATENATE("vofc_dom",BIN2DEC(S32&amp;T32),"_quad",BIN2DEC(Y32),"_quad",BIN2DEC(Y32)+2,"_sar",ABS( BIN2DEC(T32)*3-BIN2DEC(X32)),"_slc",BIN2DEC(V32&amp;W32)+BIN2DEC(U32)*3)</f>
        <v>vofc_dom0_quad0_quad2_sar0_slc0</v>
      </c>
      <c r="AD32" s="58"/>
      <c r="AE32" s="58"/>
      <c r="AF32" s="58"/>
      <c r="AG32" s="58"/>
    </row>
    <row r="33" spans="1:34">
      <c r="A33" s="47" t="s">
        <v>77</v>
      </c>
      <c r="B33" s="47">
        <v>1</v>
      </c>
      <c r="C33" s="51" t="s">
        <v>141</v>
      </c>
      <c r="D33" s="49" t="s">
        <v>7</v>
      </c>
      <c r="E33" s="49" t="s">
        <v>77</v>
      </c>
      <c r="F33" s="49" t="s">
        <v>68</v>
      </c>
      <c r="G33" s="49" t="s">
        <v>36</v>
      </c>
      <c r="H33" s="49" t="s">
        <v>6</v>
      </c>
      <c r="I33" s="50"/>
      <c r="Q33" s="52"/>
      <c r="R33" s="326"/>
      <c r="S33" s="322"/>
      <c r="T33" s="312"/>
      <c r="U33" s="315"/>
      <c r="V33" s="322"/>
      <c r="W33" s="312"/>
      <c r="X33" s="315"/>
      <c r="Y33" s="315"/>
      <c r="Z33" s="315"/>
      <c r="AA33" s="318"/>
      <c r="AD33" s="58" t="e">
        <f>BIN2DEC($AA32)*3</f>
        <v>#NUM!</v>
      </c>
      <c r="AE33" s="58">
        <f>ABS(BIN2DEC($U32)*3)</f>
        <v>0</v>
      </c>
      <c r="AF33" s="58">
        <f>ABS( BIN2DEC(V32)*3-BIN2DEC(Z32))</f>
        <v>0</v>
      </c>
      <c r="AG33" s="58">
        <f>BIN2DEC(X32&amp;Y32)+BIN2DEC(W32)*3</f>
        <v>0</v>
      </c>
      <c r="AH33" t="e">
        <f>AD33+AE33*4+AF33*16</f>
        <v>#NUM!</v>
      </c>
    </row>
    <row r="34" spans="1:34" ht="129.6">
      <c r="A34" s="47" t="s">
        <v>70</v>
      </c>
      <c r="B34" s="47">
        <v>3</v>
      </c>
      <c r="C34" s="51" t="s">
        <v>141</v>
      </c>
      <c r="D34" s="49" t="s">
        <v>81</v>
      </c>
      <c r="E34" s="49" t="s">
        <v>80</v>
      </c>
      <c r="F34" s="49" t="s">
        <v>68</v>
      </c>
      <c r="G34" s="49" t="s">
        <v>36</v>
      </c>
      <c r="H34" s="49" t="s">
        <v>6</v>
      </c>
      <c r="I34" s="50"/>
      <c r="Q34" s="52"/>
      <c r="R34" s="326"/>
      <c r="S34" s="322"/>
      <c r="T34" s="312"/>
      <c r="U34" s="315"/>
      <c r="V34" s="322"/>
      <c r="W34" s="312"/>
      <c r="X34" s="315"/>
      <c r="Y34" s="315"/>
      <c r="Z34" s="315"/>
      <c r="AA34" s="318"/>
      <c r="AD34" s="58" t="e">
        <f>BIN2DEC($AA32)*3</f>
        <v>#NUM!</v>
      </c>
      <c r="AE34" s="58">
        <f>ABS(BIN2DEC($U33)*3-1)</f>
        <v>1</v>
      </c>
      <c r="AF34" s="58">
        <f>ABS( BIN2DEC(V32)*3-BIN2DEC(Z32))</f>
        <v>0</v>
      </c>
      <c r="AG34" s="58">
        <f>BIN2DEC(X32&amp;Y32)+BIN2DEC(W32)*3</f>
        <v>0</v>
      </c>
      <c r="AH34" t="e">
        <f t="shared" ref="AH34:AH36" si="6">AD34+AE34*4+AF34*16</f>
        <v>#NUM!</v>
      </c>
    </row>
    <row r="35" spans="1:34">
      <c r="A35" s="47" t="s">
        <v>71</v>
      </c>
      <c r="B35" s="47">
        <v>1</v>
      </c>
      <c r="C35" s="51" t="s">
        <v>141</v>
      </c>
      <c r="D35" s="49" t="s">
        <v>7</v>
      </c>
      <c r="E35" s="49" t="s">
        <v>73</v>
      </c>
      <c r="F35" s="49" t="s">
        <v>68</v>
      </c>
      <c r="G35" s="49" t="s">
        <v>36</v>
      </c>
      <c r="H35" s="49" t="s">
        <v>6</v>
      </c>
      <c r="I35" s="50"/>
      <c r="Q35" s="52"/>
      <c r="R35" s="326"/>
      <c r="S35" s="322"/>
      <c r="T35" s="312"/>
      <c r="U35" s="315"/>
      <c r="V35" s="322"/>
      <c r="W35" s="312"/>
      <c r="X35" s="315"/>
      <c r="Y35" s="315"/>
      <c r="Z35" s="315"/>
      <c r="AA35" s="318"/>
      <c r="AD35" s="58" t="e">
        <f>ABS(BIN2DEC($AA32)*3-2)</f>
        <v>#NUM!</v>
      </c>
      <c r="AE35" s="58">
        <f>ABS(BIN2DEC($U32)*3)</f>
        <v>0</v>
      </c>
      <c r="AF35" s="58">
        <f>ABS( BIN2DEC(V32)*3-BIN2DEC(Z32))</f>
        <v>0</v>
      </c>
      <c r="AG35" s="58">
        <f>BIN2DEC(X32&amp;Y32)+BIN2DEC(W32)*3</f>
        <v>0</v>
      </c>
      <c r="AH35" t="e">
        <f t="shared" si="6"/>
        <v>#NUM!</v>
      </c>
    </row>
    <row r="36" spans="1:34" ht="15" thickBot="1">
      <c r="A36" s="47" t="s">
        <v>72</v>
      </c>
      <c r="B36" s="47">
        <v>1</v>
      </c>
      <c r="C36" s="51" t="s">
        <v>141</v>
      </c>
      <c r="D36" s="49" t="s">
        <v>7</v>
      </c>
      <c r="E36" s="49" t="s">
        <v>74</v>
      </c>
      <c r="F36" s="49" t="s">
        <v>68</v>
      </c>
      <c r="G36" s="49" t="s">
        <v>36</v>
      </c>
      <c r="H36" s="49" t="s">
        <v>6</v>
      </c>
      <c r="I36" s="50"/>
      <c r="Q36" s="52"/>
      <c r="R36" s="326"/>
      <c r="S36" s="323"/>
      <c r="T36" s="313"/>
      <c r="U36" s="316"/>
      <c r="V36" s="323"/>
      <c r="W36" s="313"/>
      <c r="X36" s="316"/>
      <c r="Y36" s="316"/>
      <c r="Z36" s="316"/>
      <c r="AA36" s="319"/>
      <c r="AD36" s="58" t="e">
        <f>ABS(BIN2DEC($AA32)*3-2)</f>
        <v>#NUM!</v>
      </c>
      <c r="AE36" s="58">
        <f>ABS(BIN2DEC($U32)*3-1)</f>
        <v>1</v>
      </c>
      <c r="AF36" s="58">
        <f>ABS( BIN2DEC(V32)*3-BIN2DEC(Z32))</f>
        <v>0</v>
      </c>
      <c r="AG36" s="58">
        <f>BIN2DEC(X32&amp;Y32)+BIN2DEC(W32)*3</f>
        <v>0</v>
      </c>
      <c r="AH36" t="e">
        <f t="shared" si="6"/>
        <v>#NUM!</v>
      </c>
    </row>
    <row r="37" spans="1:34">
      <c r="A37" s="47" t="str">
        <f>AA37</f>
        <v>vofc_dom0_quad0_quad2_sar0_slc0</v>
      </c>
      <c r="B37" s="47">
        <v>5</v>
      </c>
      <c r="C37" s="48" t="str">
        <f>IF(B37&gt;1,(23)&amp;":"&amp;(23-B37+1),(23-B37+1)&amp;":"&amp;(23-B37+1))</f>
        <v>23:19</v>
      </c>
      <c r="D37" s="49" t="s">
        <v>78</v>
      </c>
      <c r="E37" s="49" t="s">
        <v>69</v>
      </c>
      <c r="F37" s="49" t="s">
        <v>68</v>
      </c>
      <c r="G37" s="49" t="s">
        <v>36</v>
      </c>
      <c r="H37" s="49" t="s">
        <v>6</v>
      </c>
      <c r="I37" s="50"/>
      <c r="L37" t="str">
        <f>DEC2HEX(_xlfn.BITLSHIFT(HEX2DEC(P37),2))</f>
        <v>0</v>
      </c>
      <c r="N37">
        <v>0</v>
      </c>
      <c r="P37" t="str">
        <f>Z37</f>
        <v>0</v>
      </c>
      <c r="Q37" s="52" t="e">
        <f>BIN2HEX(LEFT(RIGHT(C37,32),4))&amp;BIN2HEX(LEFT(RIGHT(C37,28),4))&amp;BIN2HEX(LEFT(RIGHT(C37,24),4))&amp;BIN2HEX(LEFT(RIGHT(C37,20),4))&amp;BIN2HEX(LEFT(RIGHT(C37,16),4))&amp;BIN2HEX(LEFT(RIGHT(C37,12),4))&amp;BIN2HEX(LEFT(RIGHT(C37,8),4))&amp;BIN2HEX(LEFT(RIGHT(C37,4),4))</f>
        <v>#NUM!</v>
      </c>
      <c r="R37" s="326">
        <v>7</v>
      </c>
      <c r="S37" s="321"/>
      <c r="T37" s="311"/>
      <c r="U37" s="314"/>
      <c r="V37" s="321"/>
      <c r="W37" s="311"/>
      <c r="X37" s="314"/>
      <c r="Y37" s="314"/>
      <c r="Z37" s="314" t="str">
        <f>BIN2HEX(S37&amp;T37&amp;U37&amp;V37&amp;W37&amp;X37&amp;Y37)</f>
        <v>0</v>
      </c>
      <c r="AA37" s="317" t="str">
        <f>CONCATENATE("vofc_dom",BIN2DEC(S37&amp;T37),"_quad",BIN2DEC(Y37),"_quad",BIN2DEC(Y37)+2,"_sar",ABS( BIN2DEC(T37)*3-BIN2DEC(X37)),"_slc",BIN2DEC(V37&amp;W37)+BIN2DEC(U37)*3)</f>
        <v>vofc_dom0_quad0_quad2_sar0_slc0</v>
      </c>
      <c r="AD37" s="58"/>
      <c r="AE37" s="58"/>
      <c r="AF37" s="58"/>
      <c r="AG37" s="58"/>
    </row>
    <row r="38" spans="1:34">
      <c r="A38" s="47" t="s">
        <v>77</v>
      </c>
      <c r="B38" s="47">
        <v>1</v>
      </c>
      <c r="C38" s="51" t="s">
        <v>141</v>
      </c>
      <c r="D38" s="49" t="s">
        <v>7</v>
      </c>
      <c r="E38" s="49" t="s">
        <v>77</v>
      </c>
      <c r="F38" s="49" t="s">
        <v>68</v>
      </c>
      <c r="G38" s="49" t="s">
        <v>36</v>
      </c>
      <c r="H38" s="49" t="s">
        <v>6</v>
      </c>
      <c r="I38" s="50"/>
      <c r="Q38" s="52"/>
      <c r="R38" s="326"/>
      <c r="S38" s="322"/>
      <c r="T38" s="312"/>
      <c r="U38" s="315"/>
      <c r="V38" s="322"/>
      <c r="W38" s="312"/>
      <c r="X38" s="315"/>
      <c r="Y38" s="315"/>
      <c r="Z38" s="315"/>
      <c r="AA38" s="318"/>
      <c r="AD38" s="58" t="e">
        <f>BIN2DEC($AA37)*3</f>
        <v>#NUM!</v>
      </c>
      <c r="AE38" s="58">
        <f>ABS(BIN2DEC($U37)*3)</f>
        <v>0</v>
      </c>
      <c r="AF38" s="58">
        <f>ABS( BIN2DEC(V37)*3-BIN2DEC(Z37))</f>
        <v>0</v>
      </c>
      <c r="AG38" s="58">
        <f>BIN2DEC(X37&amp;Y37)+BIN2DEC(W37)*3</f>
        <v>0</v>
      </c>
      <c r="AH38" t="e">
        <f>AD38+AE38*4+AF38*16</f>
        <v>#NUM!</v>
      </c>
    </row>
    <row r="39" spans="1:34" ht="129.6">
      <c r="A39" s="47" t="s">
        <v>70</v>
      </c>
      <c r="B39" s="47">
        <v>3</v>
      </c>
      <c r="C39" s="51" t="s">
        <v>141</v>
      </c>
      <c r="D39" s="49" t="s">
        <v>81</v>
      </c>
      <c r="E39" s="49" t="s">
        <v>80</v>
      </c>
      <c r="F39" s="49" t="s">
        <v>68</v>
      </c>
      <c r="G39" s="49" t="s">
        <v>36</v>
      </c>
      <c r="H39" s="49" t="s">
        <v>6</v>
      </c>
      <c r="I39" s="50"/>
      <c r="Q39" s="52"/>
      <c r="R39" s="326"/>
      <c r="S39" s="322"/>
      <c r="T39" s="312"/>
      <c r="U39" s="315"/>
      <c r="V39" s="322"/>
      <c r="W39" s="312"/>
      <c r="X39" s="315"/>
      <c r="Y39" s="315"/>
      <c r="Z39" s="315"/>
      <c r="AA39" s="318"/>
      <c r="AD39" s="58" t="e">
        <f>BIN2DEC($AA37)*3</f>
        <v>#NUM!</v>
      </c>
      <c r="AE39" s="58">
        <f>ABS(BIN2DEC($U38)*3-1)</f>
        <v>1</v>
      </c>
      <c r="AF39" s="58">
        <f>ABS( BIN2DEC(V37)*3-BIN2DEC(Z37))</f>
        <v>0</v>
      </c>
      <c r="AG39" s="58">
        <f>BIN2DEC(X37&amp;Y37)+BIN2DEC(W37)*3</f>
        <v>0</v>
      </c>
      <c r="AH39" t="e">
        <f t="shared" ref="AH39:AH41" si="7">AD39+AE39*4+AF39*16</f>
        <v>#NUM!</v>
      </c>
    </row>
    <row r="40" spans="1:34">
      <c r="A40" s="47" t="s">
        <v>71</v>
      </c>
      <c r="B40" s="47">
        <v>1</v>
      </c>
      <c r="C40" s="51" t="s">
        <v>141</v>
      </c>
      <c r="D40" s="49" t="s">
        <v>7</v>
      </c>
      <c r="E40" s="49" t="s">
        <v>73</v>
      </c>
      <c r="F40" s="49" t="s">
        <v>68</v>
      </c>
      <c r="G40" s="49" t="s">
        <v>36</v>
      </c>
      <c r="H40" s="49" t="s">
        <v>6</v>
      </c>
      <c r="I40" s="50"/>
      <c r="Q40" s="52"/>
      <c r="R40" s="326"/>
      <c r="S40" s="322"/>
      <c r="T40" s="312"/>
      <c r="U40" s="315"/>
      <c r="V40" s="322"/>
      <c r="W40" s="312"/>
      <c r="X40" s="315"/>
      <c r="Y40" s="315"/>
      <c r="Z40" s="315"/>
      <c r="AA40" s="318"/>
      <c r="AD40" s="58" t="e">
        <f>ABS(BIN2DEC($AA37)*3-2)</f>
        <v>#NUM!</v>
      </c>
      <c r="AE40" s="58">
        <f>ABS(BIN2DEC($U37)*3)</f>
        <v>0</v>
      </c>
      <c r="AF40" s="58">
        <f>ABS( BIN2DEC(V37)*3-BIN2DEC(Z37))</f>
        <v>0</v>
      </c>
      <c r="AG40" s="58">
        <f>BIN2DEC(X37&amp;Y37)+BIN2DEC(W37)*3</f>
        <v>0</v>
      </c>
      <c r="AH40" t="e">
        <f t="shared" si="7"/>
        <v>#NUM!</v>
      </c>
    </row>
    <row r="41" spans="1:34" ht="15" thickBot="1">
      <c r="A41" s="47" t="s">
        <v>72</v>
      </c>
      <c r="B41" s="47">
        <v>1</v>
      </c>
      <c r="C41" s="51" t="s">
        <v>141</v>
      </c>
      <c r="D41" s="49" t="s">
        <v>7</v>
      </c>
      <c r="E41" s="49" t="s">
        <v>74</v>
      </c>
      <c r="F41" s="49" t="s">
        <v>68</v>
      </c>
      <c r="G41" s="49" t="s">
        <v>36</v>
      </c>
      <c r="H41" s="49" t="s">
        <v>6</v>
      </c>
      <c r="I41" s="50"/>
      <c r="Q41" s="52"/>
      <c r="R41" s="326"/>
      <c r="S41" s="323"/>
      <c r="T41" s="313"/>
      <c r="U41" s="316"/>
      <c r="V41" s="323"/>
      <c r="W41" s="313"/>
      <c r="X41" s="316"/>
      <c r="Y41" s="316"/>
      <c r="Z41" s="316"/>
      <c r="AA41" s="319"/>
      <c r="AD41" s="58" t="e">
        <f>ABS(BIN2DEC($AA37)*3-2)</f>
        <v>#NUM!</v>
      </c>
      <c r="AE41" s="58">
        <f>ABS(BIN2DEC($U37)*3-1)</f>
        <v>1</v>
      </c>
      <c r="AF41" s="58">
        <f>ABS( BIN2DEC(V37)*3-BIN2DEC(Z37))</f>
        <v>0</v>
      </c>
      <c r="AG41" s="58">
        <f>BIN2DEC(X37&amp;Y37)+BIN2DEC(W37)*3</f>
        <v>0</v>
      </c>
      <c r="AH41" t="e">
        <f t="shared" si="7"/>
        <v>#NUM!</v>
      </c>
    </row>
    <row r="42" spans="1:34">
      <c r="A42" s="47" t="str">
        <f>AA42</f>
        <v>vofc_dom0_quad0_quad2_sar0_slc0</v>
      </c>
      <c r="B42" s="47">
        <v>5</v>
      </c>
      <c r="C42" s="48" t="str">
        <f>IF(B42&gt;1,(23)&amp;":"&amp;(23-B42+1),(23-B42+1)&amp;":"&amp;(23-B42+1))</f>
        <v>23:19</v>
      </c>
      <c r="D42" s="49" t="s">
        <v>78</v>
      </c>
      <c r="E42" s="49" t="s">
        <v>69</v>
      </c>
      <c r="F42" s="49" t="s">
        <v>68</v>
      </c>
      <c r="G42" s="49" t="s">
        <v>36</v>
      </c>
      <c r="H42" s="49" t="s">
        <v>6</v>
      </c>
      <c r="I42" s="50"/>
      <c r="L42" t="str">
        <f>DEC2HEX(_xlfn.BITLSHIFT(HEX2DEC(P42),2))</f>
        <v>0</v>
      </c>
      <c r="N42">
        <v>0</v>
      </c>
      <c r="P42" t="str">
        <f>Z42</f>
        <v>0</v>
      </c>
      <c r="Q42" s="52" t="e">
        <f>BIN2HEX(LEFT(RIGHT(C42,32),4))&amp;BIN2HEX(LEFT(RIGHT(C42,28),4))&amp;BIN2HEX(LEFT(RIGHT(C42,24),4))&amp;BIN2HEX(LEFT(RIGHT(C42,20),4))&amp;BIN2HEX(LEFT(RIGHT(C42,16),4))&amp;BIN2HEX(LEFT(RIGHT(C42,12),4))&amp;BIN2HEX(LEFT(RIGHT(C42,8),4))&amp;BIN2HEX(LEFT(RIGHT(C42,4),4))</f>
        <v>#NUM!</v>
      </c>
      <c r="R42" s="326">
        <v>8</v>
      </c>
      <c r="S42" s="321"/>
      <c r="T42" s="311"/>
      <c r="U42" s="314"/>
      <c r="V42" s="321"/>
      <c r="W42" s="311"/>
      <c r="X42" s="314"/>
      <c r="Y42" s="314"/>
      <c r="Z42" s="314" t="str">
        <f>BIN2HEX(S42&amp;T42&amp;U42&amp;V42&amp;W42&amp;X42&amp;Y42)</f>
        <v>0</v>
      </c>
      <c r="AA42" s="317" t="str">
        <f>CONCATENATE("vofc_dom",BIN2DEC(S42&amp;T42),"_quad",BIN2DEC(Y42),"_quad",BIN2DEC(Y42)+2,"_sar",ABS( BIN2DEC(T42)*3-BIN2DEC(X42)),"_slc",BIN2DEC(V42&amp;W42)+BIN2DEC(U42)*3)</f>
        <v>vofc_dom0_quad0_quad2_sar0_slc0</v>
      </c>
      <c r="AD42" s="58"/>
      <c r="AE42" s="58"/>
      <c r="AF42" s="58"/>
      <c r="AG42" s="58"/>
    </row>
    <row r="43" spans="1:34">
      <c r="A43" s="47" t="s">
        <v>77</v>
      </c>
      <c r="B43" s="47">
        <v>1</v>
      </c>
      <c r="C43" s="51" t="s">
        <v>141</v>
      </c>
      <c r="D43" s="49" t="s">
        <v>7</v>
      </c>
      <c r="E43" s="49" t="s">
        <v>77</v>
      </c>
      <c r="F43" s="49" t="s">
        <v>68</v>
      </c>
      <c r="G43" s="49" t="s">
        <v>36</v>
      </c>
      <c r="H43" s="49" t="s">
        <v>6</v>
      </c>
      <c r="I43" s="50"/>
      <c r="Q43" s="52"/>
      <c r="R43" s="326"/>
      <c r="S43" s="322"/>
      <c r="T43" s="312"/>
      <c r="U43" s="315"/>
      <c r="V43" s="322"/>
      <c r="W43" s="312"/>
      <c r="X43" s="315"/>
      <c r="Y43" s="315"/>
      <c r="Z43" s="315"/>
      <c r="AA43" s="318"/>
      <c r="AD43" s="58" t="e">
        <f>BIN2DEC($AA42)*3</f>
        <v>#NUM!</v>
      </c>
      <c r="AE43" s="58">
        <f>ABS(BIN2DEC($U42)*3)</f>
        <v>0</v>
      </c>
      <c r="AF43" s="58">
        <f>ABS( BIN2DEC(V42)*3-BIN2DEC(Z42))</f>
        <v>0</v>
      </c>
      <c r="AG43" s="58">
        <f>BIN2DEC(X42&amp;Y42)+BIN2DEC(W42)*3</f>
        <v>0</v>
      </c>
      <c r="AH43" t="e">
        <f>AD43+AE43*4+AF43*16</f>
        <v>#NUM!</v>
      </c>
    </row>
    <row r="44" spans="1:34" ht="129.6">
      <c r="A44" s="47" t="s">
        <v>70</v>
      </c>
      <c r="B44" s="47">
        <v>3</v>
      </c>
      <c r="C44" s="51" t="s">
        <v>141</v>
      </c>
      <c r="D44" s="49" t="s">
        <v>81</v>
      </c>
      <c r="E44" s="49" t="s">
        <v>80</v>
      </c>
      <c r="F44" s="49" t="s">
        <v>68</v>
      </c>
      <c r="G44" s="49" t="s">
        <v>36</v>
      </c>
      <c r="H44" s="49" t="s">
        <v>6</v>
      </c>
      <c r="I44" s="50"/>
      <c r="Q44" s="52"/>
      <c r="R44" s="326"/>
      <c r="S44" s="322"/>
      <c r="T44" s="312"/>
      <c r="U44" s="315"/>
      <c r="V44" s="322"/>
      <c r="W44" s="312"/>
      <c r="X44" s="315"/>
      <c r="Y44" s="315"/>
      <c r="Z44" s="315"/>
      <c r="AA44" s="318"/>
      <c r="AD44" s="58" t="e">
        <f>BIN2DEC($AA42)*3</f>
        <v>#NUM!</v>
      </c>
      <c r="AE44" s="58">
        <f>ABS(BIN2DEC($U43)*3-1)</f>
        <v>1</v>
      </c>
      <c r="AF44" s="58">
        <f>ABS( BIN2DEC(V42)*3-BIN2DEC(Z42))</f>
        <v>0</v>
      </c>
      <c r="AG44" s="58">
        <f>BIN2DEC(X42&amp;Y42)+BIN2DEC(W42)*3</f>
        <v>0</v>
      </c>
      <c r="AH44" t="e">
        <f t="shared" ref="AH44:AH46" si="8">AD44+AE44*4+AF44*16</f>
        <v>#NUM!</v>
      </c>
    </row>
    <row r="45" spans="1:34">
      <c r="A45" s="47" t="s">
        <v>71</v>
      </c>
      <c r="B45" s="47">
        <v>1</v>
      </c>
      <c r="C45" s="51" t="s">
        <v>141</v>
      </c>
      <c r="D45" s="49" t="s">
        <v>7</v>
      </c>
      <c r="E45" s="49" t="s">
        <v>73</v>
      </c>
      <c r="F45" s="49" t="s">
        <v>68</v>
      </c>
      <c r="G45" s="49" t="s">
        <v>36</v>
      </c>
      <c r="H45" s="49" t="s">
        <v>6</v>
      </c>
      <c r="I45" s="50"/>
      <c r="Q45" s="52"/>
      <c r="R45" s="326"/>
      <c r="S45" s="322"/>
      <c r="T45" s="312"/>
      <c r="U45" s="315"/>
      <c r="V45" s="322"/>
      <c r="W45" s="312"/>
      <c r="X45" s="315"/>
      <c r="Y45" s="315"/>
      <c r="Z45" s="315"/>
      <c r="AA45" s="318"/>
      <c r="AD45" s="58" t="e">
        <f>ABS(BIN2DEC($AA42)*3-2)</f>
        <v>#NUM!</v>
      </c>
      <c r="AE45" s="58">
        <f>ABS(BIN2DEC($U42)*3)</f>
        <v>0</v>
      </c>
      <c r="AF45" s="58">
        <f>ABS( BIN2DEC(V42)*3-BIN2DEC(Z42))</f>
        <v>0</v>
      </c>
      <c r="AG45" s="58">
        <f>BIN2DEC(X42&amp;Y42)+BIN2DEC(W42)*3</f>
        <v>0</v>
      </c>
      <c r="AH45" t="e">
        <f t="shared" si="8"/>
        <v>#NUM!</v>
      </c>
    </row>
    <row r="46" spans="1:34" ht="15" thickBot="1">
      <c r="A46" s="47" t="s">
        <v>72</v>
      </c>
      <c r="B46" s="47">
        <v>1</v>
      </c>
      <c r="C46" s="51" t="s">
        <v>141</v>
      </c>
      <c r="D46" s="49" t="s">
        <v>7</v>
      </c>
      <c r="E46" s="49" t="s">
        <v>74</v>
      </c>
      <c r="F46" s="49" t="s">
        <v>68</v>
      </c>
      <c r="G46" s="49" t="s">
        <v>36</v>
      </c>
      <c r="H46" s="49" t="s">
        <v>6</v>
      </c>
      <c r="I46" s="50"/>
      <c r="Q46" s="52"/>
      <c r="R46" s="326"/>
      <c r="S46" s="323"/>
      <c r="T46" s="313"/>
      <c r="U46" s="316"/>
      <c r="V46" s="323"/>
      <c r="W46" s="313"/>
      <c r="X46" s="316"/>
      <c r="Y46" s="316"/>
      <c r="Z46" s="316"/>
      <c r="AA46" s="319"/>
      <c r="AD46" s="58" t="e">
        <f>ABS(BIN2DEC($AA42)*3-2)</f>
        <v>#NUM!</v>
      </c>
      <c r="AE46" s="58">
        <f>ABS(BIN2DEC($U42)*3-1)</f>
        <v>1</v>
      </c>
      <c r="AF46" s="58">
        <f>ABS( BIN2DEC(V42)*3-BIN2DEC(Z42))</f>
        <v>0</v>
      </c>
      <c r="AG46" s="58">
        <f>BIN2DEC(X42&amp;Y42)+BIN2DEC(W42)*3</f>
        <v>0</v>
      </c>
      <c r="AH46" t="e">
        <f t="shared" si="8"/>
        <v>#NUM!</v>
      </c>
    </row>
    <row r="47" spans="1:34">
      <c r="A47" s="47">
        <f>AA47</f>
        <v>0</v>
      </c>
      <c r="B47" s="47">
        <v>5</v>
      </c>
      <c r="C47" s="48" t="str">
        <f>IF(B47&gt;1,(23)&amp;":"&amp;(23-B47+1),(23-B47+1)&amp;":"&amp;(23-B47+1))</f>
        <v>23:19</v>
      </c>
      <c r="D47" s="49" t="s">
        <v>78</v>
      </c>
      <c r="E47" s="49" t="s">
        <v>69</v>
      </c>
      <c r="F47" s="49" t="s">
        <v>68</v>
      </c>
      <c r="G47" s="49" t="s">
        <v>36</v>
      </c>
      <c r="H47" s="49" t="s">
        <v>6</v>
      </c>
      <c r="I47" s="50"/>
      <c r="L47" t="str">
        <f>DEC2HEX(_xlfn.BITLSHIFT(HEX2DEC(P47),2))</f>
        <v>0</v>
      </c>
      <c r="N47">
        <v>0</v>
      </c>
      <c r="P47" t="str">
        <f>Z47</f>
        <v>0</v>
      </c>
      <c r="Q47" s="52" t="e">
        <f>BIN2HEX(LEFT(RIGHT(C47,32),4))&amp;BIN2HEX(LEFT(RIGHT(C47,28),4))&amp;BIN2HEX(LEFT(RIGHT(C47,24),4))&amp;BIN2HEX(LEFT(RIGHT(C47,20),4))&amp;BIN2HEX(LEFT(RIGHT(C47,16),4))&amp;BIN2HEX(LEFT(RIGHT(C47,12),4))&amp;BIN2HEX(LEFT(RIGHT(C47,8),4))&amp;BIN2HEX(LEFT(RIGHT(C47,4),4))</f>
        <v>#NUM!</v>
      </c>
      <c r="R47" s="326">
        <v>9</v>
      </c>
      <c r="S47" s="321"/>
      <c r="T47" s="311"/>
      <c r="U47" s="314"/>
      <c r="V47" s="321"/>
      <c r="W47" s="311"/>
      <c r="X47" s="314"/>
      <c r="Y47" s="314"/>
      <c r="Z47" s="314" t="str">
        <f>BIN2HEX(S47&amp;T47&amp;U47&amp;V47&amp;W47&amp;X47&amp;Y47)</f>
        <v>0</v>
      </c>
      <c r="AA47" s="317"/>
      <c r="AD47" s="58"/>
      <c r="AE47" s="58"/>
      <c r="AF47" s="58"/>
      <c r="AG47" s="58"/>
    </row>
    <row r="48" spans="1:34">
      <c r="A48" s="47" t="s">
        <v>77</v>
      </c>
      <c r="B48" s="47">
        <v>1</v>
      </c>
      <c r="C48" s="51" t="s">
        <v>141</v>
      </c>
      <c r="D48" s="49" t="s">
        <v>7</v>
      </c>
      <c r="E48" s="49" t="s">
        <v>77</v>
      </c>
      <c r="F48" s="49" t="s">
        <v>68</v>
      </c>
      <c r="G48" s="49" t="s">
        <v>36</v>
      </c>
      <c r="H48" s="49" t="s">
        <v>6</v>
      </c>
      <c r="I48" s="50"/>
      <c r="Q48" s="52"/>
      <c r="R48" s="326"/>
      <c r="S48" s="322"/>
      <c r="T48" s="312"/>
      <c r="U48" s="315"/>
      <c r="V48" s="322"/>
      <c r="W48" s="312"/>
      <c r="X48" s="315"/>
      <c r="Y48" s="315"/>
      <c r="Z48" s="315"/>
      <c r="AA48" s="318"/>
      <c r="AD48" s="58">
        <f>BIN2DEC($AA47)*3</f>
        <v>0</v>
      </c>
      <c r="AE48" s="58">
        <f>ABS(BIN2DEC($U47)*3)</f>
        <v>0</v>
      </c>
      <c r="AF48" s="58">
        <f>ABS( BIN2DEC(V47)*3-BIN2DEC(Z47))</f>
        <v>0</v>
      </c>
      <c r="AG48" s="58">
        <f>BIN2DEC(X47&amp;Y47)+BIN2DEC(W47)*3</f>
        <v>0</v>
      </c>
      <c r="AH48">
        <f>AD48+AE48*4+AF48*16</f>
        <v>0</v>
      </c>
    </row>
    <row r="49" spans="1:34" ht="129.6">
      <c r="A49" s="47" t="s">
        <v>70</v>
      </c>
      <c r="B49" s="47">
        <v>3</v>
      </c>
      <c r="C49" s="51" t="s">
        <v>141</v>
      </c>
      <c r="D49" s="49" t="s">
        <v>81</v>
      </c>
      <c r="E49" s="49" t="s">
        <v>80</v>
      </c>
      <c r="F49" s="49" t="s">
        <v>68</v>
      </c>
      <c r="G49" s="49" t="s">
        <v>36</v>
      </c>
      <c r="H49" s="49" t="s">
        <v>6</v>
      </c>
      <c r="I49" s="50"/>
      <c r="Q49" s="52"/>
      <c r="R49" s="326"/>
      <c r="S49" s="322"/>
      <c r="T49" s="312"/>
      <c r="U49" s="315"/>
      <c r="V49" s="322"/>
      <c r="W49" s="312"/>
      <c r="X49" s="315"/>
      <c r="Y49" s="315"/>
      <c r="Z49" s="315"/>
      <c r="AA49" s="318"/>
      <c r="AD49" s="58">
        <f>BIN2DEC($AA47)*3</f>
        <v>0</v>
      </c>
      <c r="AE49" s="58">
        <f>ABS(BIN2DEC($U48)*3-1)</f>
        <v>1</v>
      </c>
      <c r="AF49" s="58">
        <f>ABS( BIN2DEC(V47)*3-BIN2DEC(Z47))</f>
        <v>0</v>
      </c>
      <c r="AG49" s="58">
        <f>BIN2DEC(X47&amp;Y47)+BIN2DEC(W47)*3</f>
        <v>0</v>
      </c>
      <c r="AH49">
        <f t="shared" ref="AH49:AH51" si="9">AD49+AE49*4+AF49*16</f>
        <v>4</v>
      </c>
    </row>
    <row r="50" spans="1:34">
      <c r="A50" s="47" t="s">
        <v>71</v>
      </c>
      <c r="B50" s="47">
        <v>1</v>
      </c>
      <c r="C50" s="51" t="s">
        <v>141</v>
      </c>
      <c r="D50" s="49" t="s">
        <v>7</v>
      </c>
      <c r="E50" s="49" t="s">
        <v>73</v>
      </c>
      <c r="F50" s="49" t="s">
        <v>68</v>
      </c>
      <c r="G50" s="49" t="s">
        <v>36</v>
      </c>
      <c r="H50" s="49" t="s">
        <v>6</v>
      </c>
      <c r="I50" s="50"/>
      <c r="Q50" s="52"/>
      <c r="R50" s="326"/>
      <c r="S50" s="322"/>
      <c r="T50" s="312"/>
      <c r="U50" s="315"/>
      <c r="V50" s="322"/>
      <c r="W50" s="312"/>
      <c r="X50" s="315"/>
      <c r="Y50" s="315"/>
      <c r="Z50" s="315"/>
      <c r="AA50" s="318"/>
      <c r="AD50" s="58">
        <f>ABS(BIN2DEC($AA47)*3-2)</f>
        <v>2</v>
      </c>
      <c r="AE50" s="58">
        <f>ABS(BIN2DEC($U47)*3)</f>
        <v>0</v>
      </c>
      <c r="AF50" s="58">
        <f>ABS( BIN2DEC(V47)*3-BIN2DEC(Z47))</f>
        <v>0</v>
      </c>
      <c r="AG50" s="58">
        <f>BIN2DEC(X47&amp;Y47)+BIN2DEC(W47)*3</f>
        <v>0</v>
      </c>
      <c r="AH50">
        <f t="shared" si="9"/>
        <v>2</v>
      </c>
    </row>
    <row r="51" spans="1:34" ht="15" thickBot="1">
      <c r="A51" s="47" t="s">
        <v>72</v>
      </c>
      <c r="B51" s="47">
        <v>1</v>
      </c>
      <c r="C51" s="51" t="s">
        <v>141</v>
      </c>
      <c r="D51" s="49" t="s">
        <v>7</v>
      </c>
      <c r="E51" s="49" t="s">
        <v>74</v>
      </c>
      <c r="F51" s="49" t="s">
        <v>68</v>
      </c>
      <c r="G51" s="49" t="s">
        <v>36</v>
      </c>
      <c r="H51" s="49" t="s">
        <v>6</v>
      </c>
      <c r="I51" s="50"/>
      <c r="Q51" s="52"/>
      <c r="R51" s="326"/>
      <c r="S51" s="323"/>
      <c r="T51" s="313"/>
      <c r="U51" s="316"/>
      <c r="V51" s="323"/>
      <c r="W51" s="313"/>
      <c r="X51" s="316"/>
      <c r="Y51" s="316"/>
      <c r="Z51" s="316"/>
      <c r="AA51" s="319"/>
      <c r="AD51" s="58">
        <f>ABS(BIN2DEC($AA47)*3-2)</f>
        <v>2</v>
      </c>
      <c r="AE51" s="58">
        <f>ABS(BIN2DEC($U47)*3-1)</f>
        <v>1</v>
      </c>
      <c r="AF51" s="58">
        <f>ABS( BIN2DEC(V47)*3-BIN2DEC(Z47))</f>
        <v>0</v>
      </c>
      <c r="AG51" s="58">
        <f>BIN2DEC(X47&amp;Y47)+BIN2DEC(W47)*3</f>
        <v>0</v>
      </c>
      <c r="AH51">
        <f t="shared" si="9"/>
        <v>6</v>
      </c>
    </row>
    <row r="52" spans="1:34">
      <c r="A52" s="47">
        <f>AA52</f>
        <v>0</v>
      </c>
      <c r="B52" s="47">
        <v>5</v>
      </c>
      <c r="C52" s="48" t="str">
        <f>IF(B52&gt;1,(23)&amp;":"&amp;(23-B52+1),(23-B52+1)&amp;":"&amp;(23-B52+1))</f>
        <v>23:19</v>
      </c>
      <c r="D52" s="49" t="s">
        <v>78</v>
      </c>
      <c r="E52" s="49" t="s">
        <v>69</v>
      </c>
      <c r="F52" s="49" t="s">
        <v>68</v>
      </c>
      <c r="G52" s="49" t="s">
        <v>36</v>
      </c>
      <c r="H52" s="49" t="s">
        <v>6</v>
      </c>
      <c r="I52" s="50"/>
      <c r="L52" t="str">
        <f>DEC2HEX(_xlfn.BITLSHIFT(HEX2DEC(P52),2))</f>
        <v>0</v>
      </c>
      <c r="N52">
        <v>0</v>
      </c>
      <c r="P52" t="str">
        <f>Z52</f>
        <v>0</v>
      </c>
      <c r="Q52" s="52" t="e">
        <f>BIN2HEX(LEFT(RIGHT(C52,32),4))&amp;BIN2HEX(LEFT(RIGHT(C52,28),4))&amp;BIN2HEX(LEFT(RIGHT(C52,24),4))&amp;BIN2HEX(LEFT(RIGHT(C52,20),4))&amp;BIN2HEX(LEFT(RIGHT(C52,16),4))&amp;BIN2HEX(LEFT(RIGHT(C52,12),4))&amp;BIN2HEX(LEFT(RIGHT(C52,8),4))&amp;BIN2HEX(LEFT(RIGHT(C52,4),4))</f>
        <v>#NUM!</v>
      </c>
      <c r="R52" s="326">
        <v>10</v>
      </c>
      <c r="S52" s="321"/>
      <c r="T52" s="311"/>
      <c r="U52" s="314"/>
      <c r="V52" s="321"/>
      <c r="W52" s="311"/>
      <c r="X52" s="314"/>
      <c r="Y52" s="314"/>
      <c r="Z52" s="314" t="str">
        <f>BIN2HEX(S52&amp;T52&amp;U52&amp;V52&amp;W52&amp;X52&amp;Y52)</f>
        <v>0</v>
      </c>
      <c r="AA52" s="317"/>
      <c r="AD52" s="58"/>
      <c r="AE52" s="58"/>
      <c r="AF52" s="58"/>
      <c r="AG52" s="58"/>
    </row>
    <row r="53" spans="1:34">
      <c r="A53" s="47" t="s">
        <v>77</v>
      </c>
      <c r="B53" s="47">
        <v>1</v>
      </c>
      <c r="C53" s="51" t="s">
        <v>141</v>
      </c>
      <c r="D53" s="49" t="s">
        <v>7</v>
      </c>
      <c r="E53" s="49" t="s">
        <v>77</v>
      </c>
      <c r="F53" s="49" t="s">
        <v>68</v>
      </c>
      <c r="G53" s="49" t="s">
        <v>36</v>
      </c>
      <c r="H53" s="49" t="s">
        <v>6</v>
      </c>
      <c r="I53" s="50"/>
      <c r="Q53" s="52"/>
      <c r="R53" s="326"/>
      <c r="S53" s="322"/>
      <c r="T53" s="312"/>
      <c r="U53" s="315"/>
      <c r="V53" s="322"/>
      <c r="W53" s="312"/>
      <c r="X53" s="315"/>
      <c r="Y53" s="315"/>
      <c r="Z53" s="315"/>
      <c r="AA53" s="318"/>
      <c r="AD53" s="58">
        <f>BIN2DEC($AA52)*3</f>
        <v>0</v>
      </c>
      <c r="AE53" s="58">
        <f>ABS(BIN2DEC($U52)*3)</f>
        <v>0</v>
      </c>
      <c r="AF53" s="58">
        <f>ABS( BIN2DEC(V52)*3-BIN2DEC(Z52))</f>
        <v>0</v>
      </c>
      <c r="AG53" s="58">
        <f>BIN2DEC(X52&amp;Y52)+BIN2DEC(W52)*3</f>
        <v>0</v>
      </c>
      <c r="AH53">
        <f>AD53+AE53*4+AF53*16</f>
        <v>0</v>
      </c>
    </row>
    <row r="54" spans="1:34" ht="129.6">
      <c r="A54" s="47" t="s">
        <v>70</v>
      </c>
      <c r="B54" s="47">
        <v>3</v>
      </c>
      <c r="C54" s="51" t="s">
        <v>141</v>
      </c>
      <c r="D54" s="49" t="s">
        <v>81</v>
      </c>
      <c r="E54" s="49" t="s">
        <v>80</v>
      </c>
      <c r="F54" s="49" t="s">
        <v>68</v>
      </c>
      <c r="G54" s="49" t="s">
        <v>36</v>
      </c>
      <c r="H54" s="49" t="s">
        <v>6</v>
      </c>
      <c r="I54" s="50"/>
      <c r="Q54" s="52"/>
      <c r="R54" s="326"/>
      <c r="S54" s="322"/>
      <c r="T54" s="312"/>
      <c r="U54" s="315"/>
      <c r="V54" s="322"/>
      <c r="W54" s="312"/>
      <c r="X54" s="315"/>
      <c r="Y54" s="315"/>
      <c r="Z54" s="315"/>
      <c r="AA54" s="318"/>
      <c r="AD54" s="58">
        <f>BIN2DEC($AA52)*3</f>
        <v>0</v>
      </c>
      <c r="AE54" s="58">
        <f>ABS(BIN2DEC($U53)*3-1)</f>
        <v>1</v>
      </c>
      <c r="AF54" s="58">
        <f>ABS( BIN2DEC(V52)*3-BIN2DEC(Z52))</f>
        <v>0</v>
      </c>
      <c r="AG54" s="58">
        <f>BIN2DEC(X52&amp;Y52)+BIN2DEC(W52)*3</f>
        <v>0</v>
      </c>
      <c r="AH54">
        <f t="shared" ref="AH54:AH56" si="10">AD54+AE54*4+AF54*16</f>
        <v>4</v>
      </c>
    </row>
    <row r="55" spans="1:34">
      <c r="A55" s="47" t="s">
        <v>71</v>
      </c>
      <c r="B55" s="47">
        <v>1</v>
      </c>
      <c r="C55" s="51" t="s">
        <v>141</v>
      </c>
      <c r="D55" s="49" t="s">
        <v>7</v>
      </c>
      <c r="E55" s="49" t="s">
        <v>73</v>
      </c>
      <c r="F55" s="49" t="s">
        <v>68</v>
      </c>
      <c r="G55" s="49" t="s">
        <v>36</v>
      </c>
      <c r="H55" s="49" t="s">
        <v>6</v>
      </c>
      <c r="I55" s="50"/>
      <c r="Q55" s="52"/>
      <c r="R55" s="326"/>
      <c r="S55" s="322"/>
      <c r="T55" s="312"/>
      <c r="U55" s="315"/>
      <c r="V55" s="322"/>
      <c r="W55" s="312"/>
      <c r="X55" s="315"/>
      <c r="Y55" s="315"/>
      <c r="Z55" s="315"/>
      <c r="AA55" s="318"/>
      <c r="AD55" s="58">
        <f>ABS(BIN2DEC($AA52)*3-2)</f>
        <v>2</v>
      </c>
      <c r="AE55" s="58">
        <f>ABS(BIN2DEC($U52)*3)</f>
        <v>0</v>
      </c>
      <c r="AF55" s="58">
        <f>ABS( BIN2DEC(V52)*3-BIN2DEC(Z52))</f>
        <v>0</v>
      </c>
      <c r="AG55" s="58">
        <f>BIN2DEC(X52&amp;Y52)+BIN2DEC(W52)*3</f>
        <v>0</v>
      </c>
      <c r="AH55">
        <f t="shared" si="10"/>
        <v>2</v>
      </c>
    </row>
    <row r="56" spans="1:34" ht="15" thickBot="1">
      <c r="A56" s="47" t="s">
        <v>72</v>
      </c>
      <c r="B56" s="47">
        <v>1</v>
      </c>
      <c r="C56" s="51" t="s">
        <v>141</v>
      </c>
      <c r="D56" s="49" t="s">
        <v>7</v>
      </c>
      <c r="E56" s="49" t="s">
        <v>74</v>
      </c>
      <c r="F56" s="49" t="s">
        <v>68</v>
      </c>
      <c r="G56" s="49" t="s">
        <v>36</v>
      </c>
      <c r="H56" s="49" t="s">
        <v>6</v>
      </c>
      <c r="I56" s="50"/>
      <c r="Q56" s="52"/>
      <c r="R56" s="326"/>
      <c r="S56" s="323"/>
      <c r="T56" s="313"/>
      <c r="U56" s="316"/>
      <c r="V56" s="323"/>
      <c r="W56" s="313"/>
      <c r="X56" s="316"/>
      <c r="Y56" s="316"/>
      <c r="Z56" s="316"/>
      <c r="AA56" s="319"/>
      <c r="AD56" s="58">
        <f>ABS(BIN2DEC($AA52)*3-2)</f>
        <v>2</v>
      </c>
      <c r="AE56" s="58">
        <f>ABS(BIN2DEC($U52)*3-1)</f>
        <v>1</v>
      </c>
      <c r="AF56" s="58">
        <f>ABS( BIN2DEC(V52)*3-BIN2DEC(Z52))</f>
        <v>0</v>
      </c>
      <c r="AG56" s="58">
        <f>BIN2DEC(X52&amp;Y52)+BIN2DEC(W52)*3</f>
        <v>0</v>
      </c>
      <c r="AH56">
        <f t="shared" si="10"/>
        <v>6</v>
      </c>
    </row>
    <row r="57" spans="1:34">
      <c r="A57" s="47">
        <f>AA57</f>
        <v>0</v>
      </c>
      <c r="B57" s="47">
        <v>5</v>
      </c>
      <c r="C57" s="48" t="str">
        <f>IF(B57&gt;1,(23)&amp;":"&amp;(23-B57+1),(23-B57+1)&amp;":"&amp;(23-B57+1))</f>
        <v>23:19</v>
      </c>
      <c r="D57" s="49" t="s">
        <v>78</v>
      </c>
      <c r="E57" s="49" t="s">
        <v>69</v>
      </c>
      <c r="F57" s="49" t="s">
        <v>68</v>
      </c>
      <c r="G57" s="49" t="s">
        <v>36</v>
      </c>
      <c r="H57" s="49" t="s">
        <v>6</v>
      </c>
      <c r="I57" s="50"/>
      <c r="L57" t="str">
        <f>DEC2HEX(_xlfn.BITLSHIFT(HEX2DEC(P57),2))</f>
        <v>0</v>
      </c>
      <c r="N57">
        <v>0</v>
      </c>
      <c r="P57" t="str">
        <f>Z57</f>
        <v>0</v>
      </c>
      <c r="Q57" s="52" t="e">
        <f>BIN2HEX(LEFT(RIGHT(C57,32),4))&amp;BIN2HEX(LEFT(RIGHT(C57,28),4))&amp;BIN2HEX(LEFT(RIGHT(C57,24),4))&amp;BIN2HEX(LEFT(RIGHT(C57,20),4))&amp;BIN2HEX(LEFT(RIGHT(C57,16),4))&amp;BIN2HEX(LEFT(RIGHT(C57,12),4))&amp;BIN2HEX(LEFT(RIGHT(C57,8),4))&amp;BIN2HEX(LEFT(RIGHT(C57,4),4))</f>
        <v>#NUM!</v>
      </c>
      <c r="R57" s="326">
        <v>11</v>
      </c>
      <c r="S57" s="321"/>
      <c r="T57" s="311"/>
      <c r="U57" s="314"/>
      <c r="V57" s="321"/>
      <c r="W57" s="311"/>
      <c r="X57" s="314"/>
      <c r="Y57" s="314"/>
      <c r="Z57" s="314" t="str">
        <f>BIN2HEX(S57&amp;T57&amp;U57&amp;V57&amp;W57&amp;X57&amp;Y57)</f>
        <v>0</v>
      </c>
      <c r="AA57" s="317"/>
      <c r="AD57" s="58"/>
      <c r="AE57" s="58"/>
      <c r="AF57" s="58"/>
      <c r="AG57" s="58"/>
    </row>
    <row r="58" spans="1:34">
      <c r="A58" s="47" t="s">
        <v>77</v>
      </c>
      <c r="B58" s="47">
        <v>1</v>
      </c>
      <c r="C58" s="51" t="s">
        <v>141</v>
      </c>
      <c r="D58" s="49" t="s">
        <v>7</v>
      </c>
      <c r="E58" s="49" t="s">
        <v>77</v>
      </c>
      <c r="F58" s="49" t="s">
        <v>68</v>
      </c>
      <c r="G58" s="49" t="s">
        <v>36</v>
      </c>
      <c r="H58" s="49" t="s">
        <v>6</v>
      </c>
      <c r="I58" s="50"/>
      <c r="Q58" s="52"/>
      <c r="R58" s="326"/>
      <c r="S58" s="322"/>
      <c r="T58" s="312"/>
      <c r="U58" s="315"/>
      <c r="V58" s="322"/>
      <c r="W58" s="312"/>
      <c r="X58" s="315"/>
      <c r="Y58" s="315"/>
      <c r="Z58" s="315"/>
      <c r="AA58" s="318"/>
      <c r="AD58" s="58">
        <f>BIN2DEC($AA57)*3</f>
        <v>0</v>
      </c>
      <c r="AE58" s="58">
        <f>ABS(BIN2DEC($U57)*3)</f>
        <v>0</v>
      </c>
      <c r="AF58" s="58">
        <f>ABS( BIN2DEC(V57)*3-BIN2DEC(Z57))</f>
        <v>0</v>
      </c>
      <c r="AG58" s="58">
        <f>BIN2DEC(X57&amp;Y57)+BIN2DEC(W57)*3</f>
        <v>0</v>
      </c>
      <c r="AH58">
        <f>AD58+AE58*4+AF58*16</f>
        <v>0</v>
      </c>
    </row>
    <row r="59" spans="1:34" ht="129.6">
      <c r="A59" s="47" t="s">
        <v>70</v>
      </c>
      <c r="B59" s="47">
        <v>3</v>
      </c>
      <c r="C59" s="51" t="s">
        <v>141</v>
      </c>
      <c r="D59" s="49" t="s">
        <v>81</v>
      </c>
      <c r="E59" s="49" t="s">
        <v>80</v>
      </c>
      <c r="F59" s="49" t="s">
        <v>68</v>
      </c>
      <c r="G59" s="49" t="s">
        <v>36</v>
      </c>
      <c r="H59" s="49" t="s">
        <v>6</v>
      </c>
      <c r="I59" s="50"/>
      <c r="Q59" s="52"/>
      <c r="R59" s="326"/>
      <c r="S59" s="322"/>
      <c r="T59" s="312"/>
      <c r="U59" s="315"/>
      <c r="V59" s="322"/>
      <c r="W59" s="312"/>
      <c r="X59" s="315"/>
      <c r="Y59" s="315"/>
      <c r="Z59" s="315"/>
      <c r="AA59" s="318"/>
      <c r="AD59" s="58">
        <f>BIN2DEC($AA57)*3</f>
        <v>0</v>
      </c>
      <c r="AE59" s="58">
        <f>ABS(BIN2DEC($U58)*3-1)</f>
        <v>1</v>
      </c>
      <c r="AF59" s="58">
        <f>ABS( BIN2DEC(V57)*3-BIN2DEC(Z57))</f>
        <v>0</v>
      </c>
      <c r="AG59" s="58">
        <f>BIN2DEC(X57&amp;Y57)+BIN2DEC(W57)*3</f>
        <v>0</v>
      </c>
      <c r="AH59">
        <f t="shared" ref="AH59:AH61" si="11">AD59+AE59*4+AF59*16</f>
        <v>4</v>
      </c>
    </row>
    <row r="60" spans="1:34">
      <c r="A60" s="47" t="s">
        <v>71</v>
      </c>
      <c r="B60" s="47">
        <v>1</v>
      </c>
      <c r="C60" s="51" t="s">
        <v>141</v>
      </c>
      <c r="D60" s="49" t="s">
        <v>7</v>
      </c>
      <c r="E60" s="49" t="s">
        <v>73</v>
      </c>
      <c r="F60" s="49" t="s">
        <v>68</v>
      </c>
      <c r="G60" s="49" t="s">
        <v>36</v>
      </c>
      <c r="H60" s="49" t="s">
        <v>6</v>
      </c>
      <c r="I60" s="50"/>
      <c r="Q60" s="52"/>
      <c r="R60" s="326"/>
      <c r="S60" s="322"/>
      <c r="T60" s="312"/>
      <c r="U60" s="315"/>
      <c r="V60" s="322"/>
      <c r="W60" s="312"/>
      <c r="X60" s="315"/>
      <c r="Y60" s="315"/>
      <c r="Z60" s="315"/>
      <c r="AA60" s="318"/>
      <c r="AD60" s="58">
        <f>ABS(BIN2DEC($AA57)*3-2)</f>
        <v>2</v>
      </c>
      <c r="AE60" s="58">
        <f>ABS(BIN2DEC($U57)*3)</f>
        <v>0</v>
      </c>
      <c r="AF60" s="58">
        <f>ABS( BIN2DEC(V57)*3-BIN2DEC(Z57))</f>
        <v>0</v>
      </c>
      <c r="AG60" s="58">
        <f>BIN2DEC(X57&amp;Y57)+BIN2DEC(W57)*3</f>
        <v>0</v>
      </c>
      <c r="AH60">
        <f t="shared" si="11"/>
        <v>2</v>
      </c>
    </row>
    <row r="61" spans="1:34" ht="15" thickBot="1">
      <c r="A61" s="47" t="s">
        <v>72</v>
      </c>
      <c r="B61" s="47">
        <v>1</v>
      </c>
      <c r="C61" s="51" t="s">
        <v>141</v>
      </c>
      <c r="D61" s="49" t="s">
        <v>7</v>
      </c>
      <c r="E61" s="49" t="s">
        <v>74</v>
      </c>
      <c r="F61" s="49" t="s">
        <v>68</v>
      </c>
      <c r="G61" s="49" t="s">
        <v>36</v>
      </c>
      <c r="H61" s="49" t="s">
        <v>6</v>
      </c>
      <c r="I61" s="50"/>
      <c r="Q61" s="52"/>
      <c r="R61" s="326"/>
      <c r="S61" s="323"/>
      <c r="T61" s="313"/>
      <c r="U61" s="316"/>
      <c r="V61" s="323"/>
      <c r="W61" s="313"/>
      <c r="X61" s="316"/>
      <c r="Y61" s="316"/>
      <c r="Z61" s="316"/>
      <c r="AA61" s="319"/>
      <c r="AD61" s="58">
        <f>ABS(BIN2DEC($AA57)*3-2)</f>
        <v>2</v>
      </c>
      <c r="AE61" s="58">
        <f>ABS(BIN2DEC($U57)*3-1)</f>
        <v>1</v>
      </c>
      <c r="AF61" s="58">
        <f>ABS( BIN2DEC(V57)*3-BIN2DEC(Z57))</f>
        <v>0</v>
      </c>
      <c r="AG61" s="58">
        <f>BIN2DEC(X57&amp;Y57)+BIN2DEC(W57)*3</f>
        <v>0</v>
      </c>
      <c r="AH61">
        <f t="shared" si="11"/>
        <v>6</v>
      </c>
    </row>
    <row r="62" spans="1:34">
      <c r="A62" s="47">
        <f>AA62</f>
        <v>0</v>
      </c>
      <c r="B62" s="47">
        <v>5</v>
      </c>
      <c r="C62" s="48" t="str">
        <f>IF(B62&gt;1,(23)&amp;":"&amp;(23-B62+1),(23-B62+1)&amp;":"&amp;(23-B62+1))</f>
        <v>23:19</v>
      </c>
      <c r="D62" s="49" t="s">
        <v>78</v>
      </c>
      <c r="E62" s="49" t="s">
        <v>69</v>
      </c>
      <c r="F62" s="49" t="s">
        <v>68</v>
      </c>
      <c r="G62" s="49" t="s">
        <v>36</v>
      </c>
      <c r="H62" s="49" t="s">
        <v>6</v>
      </c>
      <c r="I62" s="50"/>
      <c r="L62" t="str">
        <f>DEC2HEX(_xlfn.BITLSHIFT(HEX2DEC(P62),2))</f>
        <v>0</v>
      </c>
      <c r="N62">
        <v>0</v>
      </c>
      <c r="P62" t="str">
        <f>Z62</f>
        <v>0</v>
      </c>
      <c r="Q62" s="52" t="e">
        <f>BIN2HEX(LEFT(RIGHT(C62,32),4))&amp;BIN2HEX(LEFT(RIGHT(C62,28),4))&amp;BIN2HEX(LEFT(RIGHT(C62,24),4))&amp;BIN2HEX(LEFT(RIGHT(C62,20),4))&amp;BIN2HEX(LEFT(RIGHT(C62,16),4))&amp;BIN2HEX(LEFT(RIGHT(C62,12),4))&amp;BIN2HEX(LEFT(RIGHT(C62,8),4))&amp;BIN2HEX(LEFT(RIGHT(C62,4),4))</f>
        <v>#NUM!</v>
      </c>
      <c r="R62" s="326">
        <v>12</v>
      </c>
      <c r="S62" s="321"/>
      <c r="T62" s="311"/>
      <c r="U62" s="314"/>
      <c r="V62" s="321"/>
      <c r="W62" s="311"/>
      <c r="X62" s="314"/>
      <c r="Y62" s="314"/>
      <c r="Z62" s="314" t="str">
        <f>BIN2HEX(S62&amp;T62&amp;U62&amp;V62&amp;W62&amp;X62&amp;Y62)</f>
        <v>0</v>
      </c>
      <c r="AA62" s="317"/>
      <c r="AD62" s="58"/>
      <c r="AE62" s="58"/>
      <c r="AF62" s="58"/>
      <c r="AG62" s="58"/>
    </row>
    <row r="63" spans="1:34">
      <c r="A63" s="47" t="s">
        <v>77</v>
      </c>
      <c r="B63" s="47">
        <v>1</v>
      </c>
      <c r="C63" s="51" t="s">
        <v>141</v>
      </c>
      <c r="D63" s="49" t="s">
        <v>7</v>
      </c>
      <c r="E63" s="49" t="s">
        <v>77</v>
      </c>
      <c r="F63" s="49" t="s">
        <v>68</v>
      </c>
      <c r="G63" s="49" t="s">
        <v>36</v>
      </c>
      <c r="H63" s="49" t="s">
        <v>6</v>
      </c>
      <c r="I63" s="50"/>
      <c r="Q63" s="52"/>
      <c r="R63" s="326"/>
      <c r="S63" s="322"/>
      <c r="T63" s="312"/>
      <c r="U63" s="315"/>
      <c r="V63" s="322"/>
      <c r="W63" s="312"/>
      <c r="X63" s="315"/>
      <c r="Y63" s="315"/>
      <c r="Z63" s="315"/>
      <c r="AA63" s="318"/>
      <c r="AD63" s="58">
        <f>BIN2DEC($AA62)*3</f>
        <v>0</v>
      </c>
      <c r="AE63" s="58">
        <f>ABS(BIN2DEC($U62)*3)</f>
        <v>0</v>
      </c>
      <c r="AF63" s="58">
        <f>ABS( BIN2DEC(V62)*3-BIN2DEC(Z62))</f>
        <v>0</v>
      </c>
      <c r="AG63" s="58">
        <f>BIN2DEC(X62&amp;Y62)+BIN2DEC(W62)*3</f>
        <v>0</v>
      </c>
      <c r="AH63">
        <f>AD63+AE63*4+AF63*16</f>
        <v>0</v>
      </c>
    </row>
    <row r="64" spans="1:34" ht="129.6">
      <c r="A64" s="47" t="s">
        <v>70</v>
      </c>
      <c r="B64" s="47">
        <v>3</v>
      </c>
      <c r="C64" s="51" t="s">
        <v>141</v>
      </c>
      <c r="D64" s="49" t="s">
        <v>81</v>
      </c>
      <c r="E64" s="49" t="s">
        <v>80</v>
      </c>
      <c r="F64" s="49" t="s">
        <v>68</v>
      </c>
      <c r="G64" s="49" t="s">
        <v>36</v>
      </c>
      <c r="H64" s="49" t="s">
        <v>6</v>
      </c>
      <c r="I64" s="50"/>
      <c r="Q64" s="52"/>
      <c r="R64" s="326"/>
      <c r="S64" s="322"/>
      <c r="T64" s="312"/>
      <c r="U64" s="315"/>
      <c r="V64" s="322"/>
      <c r="W64" s="312"/>
      <c r="X64" s="315"/>
      <c r="Y64" s="315"/>
      <c r="Z64" s="315"/>
      <c r="AA64" s="318"/>
      <c r="AD64" s="58">
        <f>BIN2DEC($AA62)*3</f>
        <v>0</v>
      </c>
      <c r="AE64" s="58">
        <f>ABS(BIN2DEC($U63)*3-1)</f>
        <v>1</v>
      </c>
      <c r="AF64" s="58">
        <f>ABS( BIN2DEC(V62)*3-BIN2DEC(Z62))</f>
        <v>0</v>
      </c>
      <c r="AG64" s="58">
        <f>BIN2DEC(X62&amp;Y62)+BIN2DEC(W62)*3</f>
        <v>0</v>
      </c>
      <c r="AH64">
        <f t="shared" ref="AH64:AH66" si="12">AD64+AE64*4+AF64*16</f>
        <v>4</v>
      </c>
    </row>
    <row r="65" spans="1:34">
      <c r="A65" s="47" t="s">
        <v>71</v>
      </c>
      <c r="B65" s="47">
        <v>1</v>
      </c>
      <c r="C65" s="51" t="s">
        <v>141</v>
      </c>
      <c r="D65" s="49" t="s">
        <v>7</v>
      </c>
      <c r="E65" s="49" t="s">
        <v>73</v>
      </c>
      <c r="F65" s="49" t="s">
        <v>68</v>
      </c>
      <c r="G65" s="49" t="s">
        <v>36</v>
      </c>
      <c r="H65" s="49" t="s">
        <v>6</v>
      </c>
      <c r="I65" s="50"/>
      <c r="Q65" s="52"/>
      <c r="R65" s="326"/>
      <c r="S65" s="322"/>
      <c r="T65" s="312"/>
      <c r="U65" s="315"/>
      <c r="V65" s="322"/>
      <c r="W65" s="312"/>
      <c r="X65" s="315"/>
      <c r="Y65" s="315"/>
      <c r="Z65" s="315"/>
      <c r="AA65" s="318"/>
      <c r="AD65" s="58">
        <f>ABS(BIN2DEC($AA62)*3-2)</f>
        <v>2</v>
      </c>
      <c r="AE65" s="58">
        <f>ABS(BIN2DEC($U62)*3)</f>
        <v>0</v>
      </c>
      <c r="AF65" s="58">
        <f>ABS( BIN2DEC(V62)*3-BIN2DEC(Z62))</f>
        <v>0</v>
      </c>
      <c r="AG65" s="58">
        <f>BIN2DEC(X62&amp;Y62)+BIN2DEC(W62)*3</f>
        <v>0</v>
      </c>
      <c r="AH65">
        <f t="shared" si="12"/>
        <v>2</v>
      </c>
    </row>
    <row r="66" spans="1:34" ht="15" thickBot="1">
      <c r="A66" s="47" t="s">
        <v>72</v>
      </c>
      <c r="B66" s="47">
        <v>1</v>
      </c>
      <c r="C66" s="51" t="s">
        <v>141</v>
      </c>
      <c r="D66" s="49" t="s">
        <v>7</v>
      </c>
      <c r="E66" s="49" t="s">
        <v>74</v>
      </c>
      <c r="F66" s="49" t="s">
        <v>68</v>
      </c>
      <c r="G66" s="49" t="s">
        <v>36</v>
      </c>
      <c r="H66" s="49" t="s">
        <v>6</v>
      </c>
      <c r="I66" s="50"/>
      <c r="Q66" s="52"/>
      <c r="R66" s="326"/>
      <c r="S66" s="323"/>
      <c r="T66" s="313"/>
      <c r="U66" s="316"/>
      <c r="V66" s="323"/>
      <c r="W66" s="313"/>
      <c r="X66" s="316"/>
      <c r="Y66" s="316"/>
      <c r="Z66" s="316"/>
      <c r="AA66" s="319"/>
      <c r="AD66" s="58">
        <f>ABS(BIN2DEC($AA62)*3-2)</f>
        <v>2</v>
      </c>
      <c r="AE66" s="58">
        <f>ABS(BIN2DEC($U62)*3-1)</f>
        <v>1</v>
      </c>
      <c r="AF66" s="58">
        <f>ABS( BIN2DEC(V62)*3-BIN2DEC(Z62))</f>
        <v>0</v>
      </c>
      <c r="AG66" s="58">
        <f>BIN2DEC(X62&amp;Y62)+BIN2DEC(W62)*3</f>
        <v>0</v>
      </c>
      <c r="AH66">
        <f t="shared" si="12"/>
        <v>6</v>
      </c>
    </row>
    <row r="67" spans="1:34">
      <c r="A67" s="47">
        <f>AA67</f>
        <v>0</v>
      </c>
      <c r="B67" s="47">
        <v>5</v>
      </c>
      <c r="C67" s="48" t="str">
        <f>IF(B67&gt;1,(23)&amp;":"&amp;(23-B67+1),(23-B67+1)&amp;":"&amp;(23-B67+1))</f>
        <v>23:19</v>
      </c>
      <c r="D67" s="49" t="s">
        <v>78</v>
      </c>
      <c r="E67" s="49" t="s">
        <v>69</v>
      </c>
      <c r="F67" s="49" t="s">
        <v>68</v>
      </c>
      <c r="G67" s="49" t="s">
        <v>36</v>
      </c>
      <c r="H67" s="49" t="s">
        <v>6</v>
      </c>
      <c r="I67" s="50"/>
      <c r="L67" t="str">
        <f>DEC2HEX(_xlfn.BITLSHIFT(HEX2DEC(P67),2))</f>
        <v>0</v>
      </c>
      <c r="N67">
        <v>0</v>
      </c>
      <c r="P67" t="str">
        <f>Z67</f>
        <v>0</v>
      </c>
      <c r="Q67" s="52" t="e">
        <f>BIN2HEX(LEFT(RIGHT(C67,32),4))&amp;BIN2HEX(LEFT(RIGHT(C67,28),4))&amp;BIN2HEX(LEFT(RIGHT(C67,24),4))&amp;BIN2HEX(LEFT(RIGHT(C67,20),4))&amp;BIN2HEX(LEFT(RIGHT(C67,16),4))&amp;BIN2HEX(LEFT(RIGHT(C67,12),4))&amp;BIN2HEX(LEFT(RIGHT(C67,8),4))&amp;BIN2HEX(LEFT(RIGHT(C67,4),4))</f>
        <v>#NUM!</v>
      </c>
      <c r="R67" s="326">
        <v>13</v>
      </c>
      <c r="S67" s="321"/>
      <c r="T67" s="311"/>
      <c r="U67" s="314"/>
      <c r="V67" s="321"/>
      <c r="W67" s="311"/>
      <c r="X67" s="314"/>
      <c r="Y67" s="314"/>
      <c r="Z67" s="314" t="str">
        <f>BIN2HEX(S67&amp;T67&amp;U67&amp;V67&amp;W67&amp;X67&amp;Y67)</f>
        <v>0</v>
      </c>
      <c r="AA67" s="317"/>
      <c r="AD67" s="58"/>
      <c r="AE67" s="58"/>
      <c r="AF67" s="58"/>
      <c r="AG67" s="58"/>
    </row>
    <row r="68" spans="1:34">
      <c r="A68" s="47" t="s">
        <v>77</v>
      </c>
      <c r="B68" s="47">
        <v>1</v>
      </c>
      <c r="C68" s="51" t="s">
        <v>141</v>
      </c>
      <c r="D68" s="49" t="s">
        <v>7</v>
      </c>
      <c r="E68" s="49" t="s">
        <v>77</v>
      </c>
      <c r="F68" s="49" t="s">
        <v>68</v>
      </c>
      <c r="G68" s="49" t="s">
        <v>36</v>
      </c>
      <c r="H68" s="49" t="s">
        <v>6</v>
      </c>
      <c r="I68" s="50"/>
      <c r="Q68" s="52"/>
      <c r="R68" s="326"/>
      <c r="S68" s="322"/>
      <c r="T68" s="312"/>
      <c r="U68" s="315"/>
      <c r="V68" s="322"/>
      <c r="W68" s="312"/>
      <c r="X68" s="315"/>
      <c r="Y68" s="315"/>
      <c r="Z68" s="315"/>
      <c r="AA68" s="318"/>
      <c r="AD68" s="58">
        <f>BIN2DEC($AA67)*3</f>
        <v>0</v>
      </c>
      <c r="AE68" s="58">
        <f>ABS(BIN2DEC($U67)*3)</f>
        <v>0</v>
      </c>
      <c r="AF68" s="58">
        <f>ABS( BIN2DEC(V67)*3-BIN2DEC(Z67))</f>
        <v>0</v>
      </c>
      <c r="AG68" s="58">
        <f>BIN2DEC(X67&amp;Y67)+BIN2DEC(W67)*3</f>
        <v>0</v>
      </c>
      <c r="AH68">
        <f>AD68+AE68*4+AF68*16</f>
        <v>0</v>
      </c>
    </row>
    <row r="69" spans="1:34" ht="129.6">
      <c r="A69" s="47" t="s">
        <v>70</v>
      </c>
      <c r="B69" s="47">
        <v>3</v>
      </c>
      <c r="C69" s="51" t="s">
        <v>141</v>
      </c>
      <c r="D69" s="49" t="s">
        <v>81</v>
      </c>
      <c r="E69" s="49" t="s">
        <v>80</v>
      </c>
      <c r="F69" s="49" t="s">
        <v>68</v>
      </c>
      <c r="G69" s="49" t="s">
        <v>36</v>
      </c>
      <c r="H69" s="49" t="s">
        <v>6</v>
      </c>
      <c r="I69" s="50"/>
      <c r="Q69" s="52"/>
      <c r="R69" s="326"/>
      <c r="S69" s="322"/>
      <c r="T69" s="312"/>
      <c r="U69" s="315"/>
      <c r="V69" s="322"/>
      <c r="W69" s="312"/>
      <c r="X69" s="315"/>
      <c r="Y69" s="315"/>
      <c r="Z69" s="315"/>
      <c r="AA69" s="318"/>
      <c r="AD69" s="58">
        <f>BIN2DEC($AA67)*3</f>
        <v>0</v>
      </c>
      <c r="AE69" s="58">
        <f>ABS(BIN2DEC($U68)*3-1)</f>
        <v>1</v>
      </c>
      <c r="AF69" s="58">
        <f>ABS( BIN2DEC(V67)*3-BIN2DEC(Z67))</f>
        <v>0</v>
      </c>
      <c r="AG69" s="58">
        <f>BIN2DEC(X67&amp;Y67)+BIN2DEC(W67)*3</f>
        <v>0</v>
      </c>
      <c r="AH69">
        <f t="shared" ref="AH69:AH71" si="13">AD69+AE69*4+AF69*16</f>
        <v>4</v>
      </c>
    </row>
    <row r="70" spans="1:34">
      <c r="A70" s="47" t="s">
        <v>71</v>
      </c>
      <c r="B70" s="47">
        <v>1</v>
      </c>
      <c r="C70" s="51" t="s">
        <v>141</v>
      </c>
      <c r="D70" s="49" t="s">
        <v>7</v>
      </c>
      <c r="E70" s="49" t="s">
        <v>73</v>
      </c>
      <c r="F70" s="49" t="s">
        <v>68</v>
      </c>
      <c r="G70" s="49" t="s">
        <v>36</v>
      </c>
      <c r="H70" s="49" t="s">
        <v>6</v>
      </c>
      <c r="I70" s="50"/>
      <c r="Q70" s="52"/>
      <c r="R70" s="326"/>
      <c r="S70" s="322"/>
      <c r="T70" s="312"/>
      <c r="U70" s="315"/>
      <c r="V70" s="322"/>
      <c r="W70" s="312"/>
      <c r="X70" s="315"/>
      <c r="Y70" s="315"/>
      <c r="Z70" s="315"/>
      <c r="AA70" s="318"/>
      <c r="AD70" s="58">
        <f>ABS(BIN2DEC($AA67)*3-2)</f>
        <v>2</v>
      </c>
      <c r="AE70" s="58">
        <f>ABS(BIN2DEC($U67)*3)</f>
        <v>0</v>
      </c>
      <c r="AF70" s="58">
        <f>ABS( BIN2DEC(V67)*3-BIN2DEC(Z67))</f>
        <v>0</v>
      </c>
      <c r="AG70" s="58">
        <f>BIN2DEC(X67&amp;Y67)+BIN2DEC(W67)*3</f>
        <v>0</v>
      </c>
      <c r="AH70">
        <f t="shared" si="13"/>
        <v>2</v>
      </c>
    </row>
    <row r="71" spans="1:34" ht="15" thickBot="1">
      <c r="A71" s="47" t="s">
        <v>72</v>
      </c>
      <c r="B71" s="47">
        <v>1</v>
      </c>
      <c r="C71" s="51" t="s">
        <v>141</v>
      </c>
      <c r="D71" s="49" t="s">
        <v>7</v>
      </c>
      <c r="E71" s="49" t="s">
        <v>74</v>
      </c>
      <c r="F71" s="49" t="s">
        <v>68</v>
      </c>
      <c r="G71" s="49" t="s">
        <v>36</v>
      </c>
      <c r="H71" s="49" t="s">
        <v>6</v>
      </c>
      <c r="I71" s="50"/>
      <c r="Q71" s="52"/>
      <c r="R71" s="326"/>
      <c r="S71" s="323"/>
      <c r="T71" s="313"/>
      <c r="U71" s="316"/>
      <c r="V71" s="323"/>
      <c r="W71" s="313"/>
      <c r="X71" s="316"/>
      <c r="Y71" s="316"/>
      <c r="Z71" s="316"/>
      <c r="AA71" s="319"/>
      <c r="AD71" s="58">
        <f>ABS(BIN2DEC($AA67)*3-2)</f>
        <v>2</v>
      </c>
      <c r="AE71" s="58">
        <f>ABS(BIN2DEC($U67)*3-1)</f>
        <v>1</v>
      </c>
      <c r="AF71" s="58">
        <f>ABS( BIN2DEC(V67)*3-BIN2DEC(Z67))</f>
        <v>0</v>
      </c>
      <c r="AG71" s="58">
        <f>BIN2DEC(X67&amp;Y67)+BIN2DEC(W67)*3</f>
        <v>0</v>
      </c>
      <c r="AH71">
        <f t="shared" si="13"/>
        <v>6</v>
      </c>
    </row>
    <row r="72" spans="1:34">
      <c r="A72" s="47">
        <f>AA72</f>
        <v>0</v>
      </c>
      <c r="B72" s="47">
        <v>5</v>
      </c>
      <c r="C72" s="48" t="str">
        <f>IF(B72&gt;1,(23)&amp;":"&amp;(23-B72+1),(23-B72+1)&amp;":"&amp;(23-B72+1))</f>
        <v>23:19</v>
      </c>
      <c r="D72" s="49" t="s">
        <v>78</v>
      </c>
      <c r="E72" s="49" t="s">
        <v>69</v>
      </c>
      <c r="F72" s="49" t="s">
        <v>68</v>
      </c>
      <c r="G72" s="49" t="s">
        <v>36</v>
      </c>
      <c r="H72" s="49" t="s">
        <v>6</v>
      </c>
      <c r="I72" s="50"/>
      <c r="L72" t="str">
        <f>DEC2HEX(_xlfn.BITLSHIFT(HEX2DEC(P72),2))</f>
        <v>0</v>
      </c>
      <c r="N72">
        <v>0</v>
      </c>
      <c r="P72" t="str">
        <f>Z72</f>
        <v>0</v>
      </c>
      <c r="Q72" s="52" t="e">
        <f>BIN2HEX(LEFT(RIGHT(C72,32),4))&amp;BIN2HEX(LEFT(RIGHT(C72,28),4))&amp;BIN2HEX(LEFT(RIGHT(C72,24),4))&amp;BIN2HEX(LEFT(RIGHT(C72,20),4))&amp;BIN2HEX(LEFT(RIGHT(C72,16),4))&amp;BIN2HEX(LEFT(RIGHT(C72,12),4))&amp;BIN2HEX(LEFT(RIGHT(C72,8),4))&amp;BIN2HEX(LEFT(RIGHT(C72,4),4))</f>
        <v>#NUM!</v>
      </c>
      <c r="R72" s="326">
        <v>14</v>
      </c>
      <c r="S72" s="321"/>
      <c r="T72" s="311"/>
      <c r="U72" s="314"/>
      <c r="V72" s="321"/>
      <c r="W72" s="311"/>
      <c r="X72" s="314"/>
      <c r="Y72" s="314"/>
      <c r="Z72" s="314" t="str">
        <f>BIN2HEX(S72&amp;T72&amp;U72&amp;V72&amp;W72&amp;X72&amp;Y72)</f>
        <v>0</v>
      </c>
      <c r="AA72" s="317"/>
      <c r="AD72" s="58"/>
      <c r="AE72" s="58"/>
      <c r="AF72" s="58"/>
      <c r="AG72" s="58"/>
    </row>
    <row r="73" spans="1:34">
      <c r="A73" s="47" t="s">
        <v>77</v>
      </c>
      <c r="B73" s="47">
        <v>1</v>
      </c>
      <c r="C73" s="51" t="s">
        <v>141</v>
      </c>
      <c r="D73" s="49" t="s">
        <v>7</v>
      </c>
      <c r="E73" s="49" t="s">
        <v>77</v>
      </c>
      <c r="F73" s="49" t="s">
        <v>68</v>
      </c>
      <c r="G73" s="49" t="s">
        <v>36</v>
      </c>
      <c r="H73" s="49" t="s">
        <v>6</v>
      </c>
      <c r="I73" s="50"/>
      <c r="Q73" s="52"/>
      <c r="R73" s="326"/>
      <c r="S73" s="322"/>
      <c r="T73" s="312"/>
      <c r="U73" s="315"/>
      <c r="V73" s="322"/>
      <c r="W73" s="312"/>
      <c r="X73" s="315"/>
      <c r="Y73" s="315"/>
      <c r="Z73" s="315"/>
      <c r="AA73" s="318"/>
      <c r="AD73" s="58">
        <f>BIN2DEC($AA72)*3</f>
        <v>0</v>
      </c>
      <c r="AE73" s="58">
        <f>ABS(BIN2DEC($U72)*3)</f>
        <v>0</v>
      </c>
      <c r="AF73" s="58">
        <f>ABS( BIN2DEC(V72)*3-BIN2DEC(Z72))</f>
        <v>0</v>
      </c>
      <c r="AG73" s="58">
        <f>BIN2DEC(X72&amp;Y72)+BIN2DEC(W72)*3</f>
        <v>0</v>
      </c>
      <c r="AH73">
        <f>AD73+AE73*4+AF73*16</f>
        <v>0</v>
      </c>
    </row>
    <row r="74" spans="1:34" ht="129.6">
      <c r="A74" s="47" t="s">
        <v>70</v>
      </c>
      <c r="B74" s="47">
        <v>3</v>
      </c>
      <c r="C74" s="51" t="s">
        <v>141</v>
      </c>
      <c r="D74" s="49" t="s">
        <v>81</v>
      </c>
      <c r="E74" s="49" t="s">
        <v>80</v>
      </c>
      <c r="F74" s="49" t="s">
        <v>68</v>
      </c>
      <c r="G74" s="49" t="s">
        <v>36</v>
      </c>
      <c r="H74" s="49" t="s">
        <v>6</v>
      </c>
      <c r="I74" s="50"/>
      <c r="Q74" s="52"/>
      <c r="R74" s="326"/>
      <c r="S74" s="322"/>
      <c r="T74" s="312"/>
      <c r="U74" s="315"/>
      <c r="V74" s="322"/>
      <c r="W74" s="312"/>
      <c r="X74" s="315"/>
      <c r="Y74" s="315"/>
      <c r="Z74" s="315"/>
      <c r="AA74" s="318"/>
      <c r="AD74" s="58">
        <f>BIN2DEC($AA72)*3</f>
        <v>0</v>
      </c>
      <c r="AE74" s="58">
        <f>ABS(BIN2DEC($U73)*3-1)</f>
        <v>1</v>
      </c>
      <c r="AF74" s="58">
        <f>ABS( BIN2DEC(V72)*3-BIN2DEC(Z72))</f>
        <v>0</v>
      </c>
      <c r="AG74" s="58">
        <f>BIN2DEC(X72&amp;Y72)+BIN2DEC(W72)*3</f>
        <v>0</v>
      </c>
      <c r="AH74">
        <f t="shared" ref="AH74:AH76" si="14">AD74+AE74*4+AF74*16</f>
        <v>4</v>
      </c>
    </row>
    <row r="75" spans="1:34">
      <c r="A75" s="47" t="s">
        <v>71</v>
      </c>
      <c r="B75" s="47">
        <v>1</v>
      </c>
      <c r="C75" s="51" t="s">
        <v>141</v>
      </c>
      <c r="D75" s="49" t="s">
        <v>7</v>
      </c>
      <c r="E75" s="49" t="s">
        <v>73</v>
      </c>
      <c r="F75" s="49" t="s">
        <v>68</v>
      </c>
      <c r="G75" s="49" t="s">
        <v>36</v>
      </c>
      <c r="H75" s="49" t="s">
        <v>6</v>
      </c>
      <c r="I75" s="50"/>
      <c r="Q75" s="52"/>
      <c r="R75" s="326"/>
      <c r="S75" s="322"/>
      <c r="T75" s="312"/>
      <c r="U75" s="315"/>
      <c r="V75" s="322"/>
      <c r="W75" s="312"/>
      <c r="X75" s="315"/>
      <c r="Y75" s="315"/>
      <c r="Z75" s="315"/>
      <c r="AA75" s="318"/>
      <c r="AD75" s="58">
        <f>ABS(BIN2DEC($AA72)*3-2)</f>
        <v>2</v>
      </c>
      <c r="AE75" s="58">
        <f>ABS(BIN2DEC($U72)*3)</f>
        <v>0</v>
      </c>
      <c r="AF75" s="58">
        <f>ABS( BIN2DEC(V72)*3-BIN2DEC(Z72))</f>
        <v>0</v>
      </c>
      <c r="AG75" s="58">
        <f>BIN2DEC(X72&amp;Y72)+BIN2DEC(W72)*3</f>
        <v>0</v>
      </c>
      <c r="AH75">
        <f t="shared" si="14"/>
        <v>2</v>
      </c>
    </row>
    <row r="76" spans="1:34" ht="15" thickBot="1">
      <c r="A76" s="47" t="s">
        <v>72</v>
      </c>
      <c r="B76" s="47">
        <v>1</v>
      </c>
      <c r="C76" s="51" t="s">
        <v>141</v>
      </c>
      <c r="D76" s="49" t="s">
        <v>7</v>
      </c>
      <c r="E76" s="49" t="s">
        <v>74</v>
      </c>
      <c r="F76" s="49" t="s">
        <v>68</v>
      </c>
      <c r="G76" s="49" t="s">
        <v>36</v>
      </c>
      <c r="H76" s="49" t="s">
        <v>6</v>
      </c>
      <c r="I76" s="50"/>
      <c r="Q76" s="52"/>
      <c r="R76" s="326"/>
      <c r="S76" s="323"/>
      <c r="T76" s="313"/>
      <c r="U76" s="316"/>
      <c r="V76" s="323"/>
      <c r="W76" s="313"/>
      <c r="X76" s="316"/>
      <c r="Y76" s="316"/>
      <c r="Z76" s="316"/>
      <c r="AA76" s="319"/>
      <c r="AD76" s="58">
        <f>ABS(BIN2DEC($AA72)*3-2)</f>
        <v>2</v>
      </c>
      <c r="AE76" s="58">
        <f>ABS(BIN2DEC($U72)*3-1)</f>
        <v>1</v>
      </c>
      <c r="AF76" s="58">
        <f>ABS( BIN2DEC(V72)*3-BIN2DEC(Z72))</f>
        <v>0</v>
      </c>
      <c r="AG76" s="58">
        <f>BIN2DEC(X72&amp;Y72)+BIN2DEC(W72)*3</f>
        <v>0</v>
      </c>
      <c r="AH76">
        <f t="shared" si="14"/>
        <v>6</v>
      </c>
    </row>
    <row r="77" spans="1:34">
      <c r="A77" s="47">
        <f>AA77</f>
        <v>0</v>
      </c>
      <c r="B77" s="47">
        <v>5</v>
      </c>
      <c r="C77" s="48" t="str">
        <f>IF(B77&gt;1,(23)&amp;":"&amp;(23-B77+1),(23-B77+1)&amp;":"&amp;(23-B77+1))</f>
        <v>23:19</v>
      </c>
      <c r="D77" s="49" t="s">
        <v>78</v>
      </c>
      <c r="E77" s="49" t="s">
        <v>69</v>
      </c>
      <c r="F77" s="49" t="s">
        <v>68</v>
      </c>
      <c r="G77" s="49" t="s">
        <v>36</v>
      </c>
      <c r="H77" s="49" t="s">
        <v>6</v>
      </c>
      <c r="I77" s="50"/>
      <c r="L77" t="str">
        <f>DEC2HEX(_xlfn.BITLSHIFT(HEX2DEC(P77),2))</f>
        <v>0</v>
      </c>
      <c r="N77">
        <v>0</v>
      </c>
      <c r="P77" t="str">
        <f>Z77</f>
        <v>0</v>
      </c>
      <c r="Q77" s="52" t="e">
        <f>BIN2HEX(LEFT(RIGHT(C77,32),4))&amp;BIN2HEX(LEFT(RIGHT(C77,28),4))&amp;BIN2HEX(LEFT(RIGHT(C77,24),4))&amp;BIN2HEX(LEFT(RIGHT(C77,20),4))&amp;BIN2HEX(LEFT(RIGHT(C77,16),4))&amp;BIN2HEX(LEFT(RIGHT(C77,12),4))&amp;BIN2HEX(LEFT(RIGHT(C77,8),4))&amp;BIN2HEX(LEFT(RIGHT(C77,4),4))</f>
        <v>#NUM!</v>
      </c>
      <c r="R77" s="326">
        <v>15</v>
      </c>
      <c r="S77" s="321"/>
      <c r="T77" s="311"/>
      <c r="U77" s="314"/>
      <c r="V77" s="321"/>
      <c r="W77" s="311"/>
      <c r="X77" s="314"/>
      <c r="Y77" s="314"/>
      <c r="Z77" s="314" t="str">
        <f>BIN2HEX(S77&amp;T77&amp;U77&amp;V77&amp;W77&amp;X77&amp;Y77)</f>
        <v>0</v>
      </c>
      <c r="AA77" s="317"/>
      <c r="AD77" s="58"/>
      <c r="AE77" s="58"/>
      <c r="AF77" s="58"/>
      <c r="AG77" s="58"/>
    </row>
    <row r="78" spans="1:34">
      <c r="A78" s="47" t="s">
        <v>77</v>
      </c>
      <c r="B78" s="47">
        <v>1</v>
      </c>
      <c r="C78" s="51" t="s">
        <v>141</v>
      </c>
      <c r="D78" s="49" t="s">
        <v>7</v>
      </c>
      <c r="E78" s="49" t="s">
        <v>77</v>
      </c>
      <c r="F78" s="49" t="s">
        <v>68</v>
      </c>
      <c r="G78" s="49" t="s">
        <v>36</v>
      </c>
      <c r="H78" s="49" t="s">
        <v>6</v>
      </c>
      <c r="I78" s="50"/>
      <c r="Q78" s="52"/>
      <c r="R78" s="326"/>
      <c r="S78" s="322"/>
      <c r="T78" s="312"/>
      <c r="U78" s="315"/>
      <c r="V78" s="322"/>
      <c r="W78" s="312"/>
      <c r="X78" s="315"/>
      <c r="Y78" s="315"/>
      <c r="Z78" s="315"/>
      <c r="AA78" s="318"/>
      <c r="AD78" s="58">
        <f>BIN2DEC($AA77)*3</f>
        <v>0</v>
      </c>
      <c r="AE78" s="58">
        <f>ABS(BIN2DEC($U77)*3)</f>
        <v>0</v>
      </c>
      <c r="AF78" s="58">
        <f>ABS( BIN2DEC(V77)*3-BIN2DEC(Z77))</f>
        <v>0</v>
      </c>
      <c r="AG78" s="58">
        <f>BIN2DEC(X77&amp;Y77)+BIN2DEC(W77)*3</f>
        <v>0</v>
      </c>
      <c r="AH78">
        <f>AD78+AE78*4+AF78*16</f>
        <v>0</v>
      </c>
    </row>
    <row r="79" spans="1:34" ht="129.6">
      <c r="A79" s="47" t="s">
        <v>70</v>
      </c>
      <c r="B79" s="47">
        <v>3</v>
      </c>
      <c r="C79" s="51" t="s">
        <v>141</v>
      </c>
      <c r="D79" s="49" t="s">
        <v>81</v>
      </c>
      <c r="E79" s="49" t="s">
        <v>80</v>
      </c>
      <c r="F79" s="49" t="s">
        <v>68</v>
      </c>
      <c r="G79" s="49" t="s">
        <v>36</v>
      </c>
      <c r="H79" s="49" t="s">
        <v>6</v>
      </c>
      <c r="I79" s="50"/>
      <c r="Q79" s="52"/>
      <c r="R79" s="326"/>
      <c r="S79" s="322"/>
      <c r="T79" s="312"/>
      <c r="U79" s="315"/>
      <c r="V79" s="322"/>
      <c r="W79" s="312"/>
      <c r="X79" s="315"/>
      <c r="Y79" s="315"/>
      <c r="Z79" s="315"/>
      <c r="AA79" s="318"/>
      <c r="AD79" s="58">
        <f>BIN2DEC($AA77)*3</f>
        <v>0</v>
      </c>
      <c r="AE79" s="58">
        <f>ABS(BIN2DEC($U78)*3-1)</f>
        <v>1</v>
      </c>
      <c r="AF79" s="58">
        <f>ABS( BIN2DEC(V77)*3-BIN2DEC(Z77))</f>
        <v>0</v>
      </c>
      <c r="AG79" s="58">
        <f>BIN2DEC(X77&amp;Y77)+BIN2DEC(W77)*3</f>
        <v>0</v>
      </c>
      <c r="AH79">
        <f t="shared" ref="AH79:AH81" si="15">AD79+AE79*4+AF79*16</f>
        <v>4</v>
      </c>
    </row>
    <row r="80" spans="1:34">
      <c r="A80" s="47" t="s">
        <v>71</v>
      </c>
      <c r="B80" s="47">
        <v>1</v>
      </c>
      <c r="C80" s="51" t="s">
        <v>141</v>
      </c>
      <c r="D80" s="49" t="s">
        <v>7</v>
      </c>
      <c r="E80" s="49" t="s">
        <v>73</v>
      </c>
      <c r="F80" s="49" t="s">
        <v>68</v>
      </c>
      <c r="G80" s="49" t="s">
        <v>36</v>
      </c>
      <c r="H80" s="49" t="s">
        <v>6</v>
      </c>
      <c r="I80" s="50"/>
      <c r="Q80" s="52"/>
      <c r="R80" s="326"/>
      <c r="S80" s="322"/>
      <c r="T80" s="312"/>
      <c r="U80" s="315"/>
      <c r="V80" s="322"/>
      <c r="W80" s="312"/>
      <c r="X80" s="315"/>
      <c r="Y80" s="315"/>
      <c r="Z80" s="315"/>
      <c r="AA80" s="318"/>
      <c r="AD80" s="58">
        <f>ABS(BIN2DEC($AA77)*3-2)</f>
        <v>2</v>
      </c>
      <c r="AE80" s="58">
        <f>ABS(BIN2DEC($U77)*3)</f>
        <v>0</v>
      </c>
      <c r="AF80" s="58">
        <f>ABS( BIN2DEC(V77)*3-BIN2DEC(Z77))</f>
        <v>0</v>
      </c>
      <c r="AG80" s="58">
        <f>BIN2DEC(X77&amp;Y77)+BIN2DEC(W77)*3</f>
        <v>0</v>
      </c>
      <c r="AH80">
        <f t="shared" si="15"/>
        <v>2</v>
      </c>
    </row>
    <row r="81" spans="1:34" ht="15" thickBot="1">
      <c r="A81" s="47" t="s">
        <v>72</v>
      </c>
      <c r="B81" s="47">
        <v>1</v>
      </c>
      <c r="C81" s="51" t="s">
        <v>141</v>
      </c>
      <c r="D81" s="49" t="s">
        <v>7</v>
      </c>
      <c r="E81" s="49" t="s">
        <v>74</v>
      </c>
      <c r="F81" s="49" t="s">
        <v>68</v>
      </c>
      <c r="G81" s="49" t="s">
        <v>36</v>
      </c>
      <c r="H81" s="49" t="s">
        <v>6</v>
      </c>
      <c r="I81" s="50"/>
      <c r="Q81" s="52"/>
      <c r="R81" s="326"/>
      <c r="S81" s="323"/>
      <c r="T81" s="313"/>
      <c r="U81" s="316"/>
      <c r="V81" s="323"/>
      <c r="W81" s="313"/>
      <c r="X81" s="316"/>
      <c r="Y81" s="316"/>
      <c r="Z81" s="316"/>
      <c r="AA81" s="319"/>
      <c r="AD81" s="58">
        <f>ABS(BIN2DEC($AA77)*3-2)</f>
        <v>2</v>
      </c>
      <c r="AE81" s="58">
        <f>ABS(BIN2DEC($U77)*3-1)</f>
        <v>1</v>
      </c>
      <c r="AF81" s="58">
        <f>ABS( BIN2DEC(V77)*3-BIN2DEC(Z77))</f>
        <v>0</v>
      </c>
      <c r="AG81" s="58">
        <f>BIN2DEC(X77&amp;Y77)+BIN2DEC(W77)*3</f>
        <v>0</v>
      </c>
      <c r="AH81">
        <f t="shared" si="15"/>
        <v>6</v>
      </c>
    </row>
    <row r="82" spans="1:34">
      <c r="A82" s="47">
        <f>AA82</f>
        <v>0</v>
      </c>
      <c r="B82" s="47">
        <v>5</v>
      </c>
      <c r="C82" s="48" t="str">
        <f>IF(B82&gt;1,(23)&amp;":"&amp;(23-B82+1),(23-B82+1)&amp;":"&amp;(23-B82+1))</f>
        <v>23:19</v>
      </c>
      <c r="D82" s="49" t="s">
        <v>78</v>
      </c>
      <c r="E82" s="49" t="s">
        <v>69</v>
      </c>
      <c r="F82" s="49" t="s">
        <v>68</v>
      </c>
      <c r="G82" s="49" t="s">
        <v>36</v>
      </c>
      <c r="H82" s="49" t="s">
        <v>6</v>
      </c>
      <c r="I82" s="50"/>
      <c r="L82" t="str">
        <f>DEC2HEX(_xlfn.BITLSHIFT(HEX2DEC(P82),2))</f>
        <v>0</v>
      </c>
      <c r="N82">
        <v>0</v>
      </c>
      <c r="P82" t="str">
        <f>Z82</f>
        <v>0</v>
      </c>
      <c r="Q82" s="52" t="e">
        <f>BIN2HEX(LEFT(RIGHT(C82,32),4))&amp;BIN2HEX(LEFT(RIGHT(C82,28),4))&amp;BIN2HEX(LEFT(RIGHT(C82,24),4))&amp;BIN2HEX(LEFT(RIGHT(C82,20),4))&amp;BIN2HEX(LEFT(RIGHT(C82,16),4))&amp;BIN2HEX(LEFT(RIGHT(C82,12),4))&amp;BIN2HEX(LEFT(RIGHT(C82,8),4))&amp;BIN2HEX(LEFT(RIGHT(C82,4),4))</f>
        <v>#NUM!</v>
      </c>
      <c r="R82" s="326">
        <v>16</v>
      </c>
      <c r="S82" s="321"/>
      <c r="T82" s="311"/>
      <c r="U82" s="314"/>
      <c r="V82" s="321"/>
      <c r="W82" s="311"/>
      <c r="X82" s="314"/>
      <c r="Y82" s="314"/>
      <c r="Z82" s="314" t="str">
        <f>BIN2HEX(S82&amp;T82&amp;U82&amp;V82&amp;W82&amp;X82&amp;Y82)</f>
        <v>0</v>
      </c>
      <c r="AA82" s="317"/>
      <c r="AD82" s="58"/>
      <c r="AE82" s="58"/>
      <c r="AF82" s="58"/>
      <c r="AG82" s="58"/>
    </row>
    <row r="83" spans="1:34">
      <c r="A83" s="47" t="s">
        <v>77</v>
      </c>
      <c r="B83" s="47">
        <v>1</v>
      </c>
      <c r="C83" s="51" t="s">
        <v>141</v>
      </c>
      <c r="D83" s="49" t="s">
        <v>7</v>
      </c>
      <c r="E83" s="49" t="s">
        <v>77</v>
      </c>
      <c r="F83" s="49" t="s">
        <v>68</v>
      </c>
      <c r="G83" s="49" t="s">
        <v>36</v>
      </c>
      <c r="H83" s="49" t="s">
        <v>6</v>
      </c>
      <c r="I83" s="50"/>
      <c r="Q83" s="52"/>
      <c r="R83" s="326"/>
      <c r="S83" s="322"/>
      <c r="T83" s="312"/>
      <c r="U83" s="315"/>
      <c r="V83" s="322"/>
      <c r="W83" s="312"/>
      <c r="X83" s="315"/>
      <c r="Y83" s="315"/>
      <c r="Z83" s="315"/>
      <c r="AA83" s="318"/>
      <c r="AD83" s="58">
        <f>BIN2DEC($AA82)*3</f>
        <v>0</v>
      </c>
      <c r="AE83" s="58">
        <f>ABS(BIN2DEC($U82)*3)</f>
        <v>0</v>
      </c>
      <c r="AF83" s="58">
        <f>ABS( BIN2DEC(V82)*3-BIN2DEC(Z82))</f>
        <v>0</v>
      </c>
      <c r="AG83" s="58">
        <f>BIN2DEC(X82&amp;Y82)+BIN2DEC(W82)*3</f>
        <v>0</v>
      </c>
      <c r="AH83">
        <f>AD83+AE83*4+AF83*16</f>
        <v>0</v>
      </c>
    </row>
    <row r="84" spans="1:34" ht="129.6">
      <c r="A84" s="47" t="s">
        <v>70</v>
      </c>
      <c r="B84" s="47">
        <v>3</v>
      </c>
      <c r="C84" s="51" t="s">
        <v>141</v>
      </c>
      <c r="D84" s="49" t="s">
        <v>81</v>
      </c>
      <c r="E84" s="49" t="s">
        <v>80</v>
      </c>
      <c r="F84" s="49" t="s">
        <v>68</v>
      </c>
      <c r="G84" s="49" t="s">
        <v>36</v>
      </c>
      <c r="H84" s="49" t="s">
        <v>6</v>
      </c>
      <c r="I84" s="50"/>
      <c r="Q84" s="52"/>
      <c r="R84" s="326"/>
      <c r="S84" s="322"/>
      <c r="T84" s="312"/>
      <c r="U84" s="315"/>
      <c r="V84" s="322"/>
      <c r="W84" s="312"/>
      <c r="X84" s="315"/>
      <c r="Y84" s="315"/>
      <c r="Z84" s="315"/>
      <c r="AA84" s="318"/>
      <c r="AD84" s="58">
        <f>BIN2DEC($AA82)*3</f>
        <v>0</v>
      </c>
      <c r="AE84" s="58">
        <f>ABS(BIN2DEC($U83)*3-1)</f>
        <v>1</v>
      </c>
      <c r="AF84" s="58">
        <f>ABS( BIN2DEC(V82)*3-BIN2DEC(Z82))</f>
        <v>0</v>
      </c>
      <c r="AG84" s="58">
        <f>BIN2DEC(X82&amp;Y82)+BIN2DEC(W82)*3</f>
        <v>0</v>
      </c>
      <c r="AH84">
        <f t="shared" ref="AH84:AH86" si="16">AD84+AE84*4+AF84*16</f>
        <v>4</v>
      </c>
    </row>
    <row r="85" spans="1:34">
      <c r="A85" s="47" t="s">
        <v>71</v>
      </c>
      <c r="B85" s="47">
        <v>1</v>
      </c>
      <c r="C85" s="51" t="s">
        <v>141</v>
      </c>
      <c r="D85" s="49" t="s">
        <v>7</v>
      </c>
      <c r="E85" s="49" t="s">
        <v>73</v>
      </c>
      <c r="F85" s="49" t="s">
        <v>68</v>
      </c>
      <c r="G85" s="49" t="s">
        <v>36</v>
      </c>
      <c r="H85" s="49" t="s">
        <v>6</v>
      </c>
      <c r="I85" s="50"/>
      <c r="Q85" s="52"/>
      <c r="R85" s="326"/>
      <c r="S85" s="322"/>
      <c r="T85" s="312"/>
      <c r="U85" s="315"/>
      <c r="V85" s="322"/>
      <c r="W85" s="312"/>
      <c r="X85" s="315"/>
      <c r="Y85" s="315"/>
      <c r="Z85" s="315"/>
      <c r="AA85" s="318"/>
      <c r="AD85" s="58">
        <f>ABS(BIN2DEC($AA82)*3-2)</f>
        <v>2</v>
      </c>
      <c r="AE85" s="58">
        <f>ABS(BIN2DEC($U82)*3)</f>
        <v>0</v>
      </c>
      <c r="AF85" s="58">
        <f>ABS( BIN2DEC(V82)*3-BIN2DEC(Z82))</f>
        <v>0</v>
      </c>
      <c r="AG85" s="58">
        <f>BIN2DEC(X82&amp;Y82)+BIN2DEC(W82)*3</f>
        <v>0</v>
      </c>
      <c r="AH85">
        <f t="shared" si="16"/>
        <v>2</v>
      </c>
    </row>
    <row r="86" spans="1:34" ht="15" thickBot="1">
      <c r="A86" s="47" t="s">
        <v>72</v>
      </c>
      <c r="B86" s="47">
        <v>1</v>
      </c>
      <c r="C86" s="51" t="s">
        <v>141</v>
      </c>
      <c r="D86" s="49" t="s">
        <v>7</v>
      </c>
      <c r="E86" s="49" t="s">
        <v>74</v>
      </c>
      <c r="F86" s="49" t="s">
        <v>68</v>
      </c>
      <c r="G86" s="49" t="s">
        <v>36</v>
      </c>
      <c r="H86" s="49" t="s">
        <v>6</v>
      </c>
      <c r="I86" s="50"/>
      <c r="Q86" s="52"/>
      <c r="R86" s="326"/>
      <c r="S86" s="323"/>
      <c r="T86" s="313"/>
      <c r="U86" s="316"/>
      <c r="V86" s="323"/>
      <c r="W86" s="313"/>
      <c r="X86" s="316"/>
      <c r="Y86" s="316"/>
      <c r="Z86" s="316"/>
      <c r="AA86" s="319"/>
      <c r="AD86" s="58">
        <f>ABS(BIN2DEC($AA82)*3-2)</f>
        <v>2</v>
      </c>
      <c r="AE86" s="58">
        <f>ABS(BIN2DEC($U82)*3-1)</f>
        <v>1</v>
      </c>
      <c r="AF86" s="58">
        <f>ABS( BIN2DEC(V82)*3-BIN2DEC(Z82))</f>
        <v>0</v>
      </c>
      <c r="AG86" s="58">
        <f>BIN2DEC(X82&amp;Y82)+BIN2DEC(W82)*3</f>
        <v>0</v>
      </c>
      <c r="AH86">
        <f t="shared" si="16"/>
        <v>6</v>
      </c>
    </row>
    <row r="87" spans="1:34">
      <c r="A87" s="47">
        <f>AA87</f>
        <v>0</v>
      </c>
      <c r="B87" s="47">
        <v>5</v>
      </c>
      <c r="C87" s="48" t="str">
        <f>IF(B87&gt;1,(23)&amp;":"&amp;(23-B87+1),(23-B87+1)&amp;":"&amp;(23-B87+1))</f>
        <v>23:19</v>
      </c>
      <c r="D87" s="49" t="s">
        <v>78</v>
      </c>
      <c r="E87" s="49" t="s">
        <v>69</v>
      </c>
      <c r="F87" s="49" t="s">
        <v>68</v>
      </c>
      <c r="G87" s="49" t="s">
        <v>36</v>
      </c>
      <c r="H87" s="49" t="s">
        <v>6</v>
      </c>
      <c r="I87" s="50"/>
      <c r="L87" t="str">
        <f>DEC2HEX(_xlfn.BITLSHIFT(HEX2DEC(P87),2))</f>
        <v>0</v>
      </c>
      <c r="N87">
        <v>0</v>
      </c>
      <c r="P87" t="str">
        <f>Z87</f>
        <v>0</v>
      </c>
      <c r="Q87" s="52" t="e">
        <f>BIN2HEX(LEFT(RIGHT(C87,32),4))&amp;BIN2HEX(LEFT(RIGHT(C87,28),4))&amp;BIN2HEX(LEFT(RIGHT(C87,24),4))&amp;BIN2HEX(LEFT(RIGHT(C87,20),4))&amp;BIN2HEX(LEFT(RIGHT(C87,16),4))&amp;BIN2HEX(LEFT(RIGHT(C87,12),4))&amp;BIN2HEX(LEFT(RIGHT(C87,8),4))&amp;BIN2HEX(LEFT(RIGHT(C87,4),4))</f>
        <v>#NUM!</v>
      </c>
      <c r="R87" s="326">
        <v>17</v>
      </c>
      <c r="S87" s="321"/>
      <c r="T87" s="311"/>
      <c r="U87" s="314"/>
      <c r="V87" s="321"/>
      <c r="W87" s="311"/>
      <c r="X87" s="314"/>
      <c r="Y87" s="314"/>
      <c r="Z87" s="314" t="str">
        <f>BIN2HEX(S87&amp;T87&amp;U87&amp;V87&amp;W87&amp;X87&amp;Y87)</f>
        <v>0</v>
      </c>
      <c r="AA87" s="317"/>
      <c r="AD87" s="58"/>
      <c r="AE87" s="58"/>
      <c r="AF87" s="58"/>
      <c r="AG87" s="58"/>
    </row>
    <row r="88" spans="1:34">
      <c r="A88" s="47" t="s">
        <v>77</v>
      </c>
      <c r="B88" s="47">
        <v>1</v>
      </c>
      <c r="C88" s="51" t="s">
        <v>141</v>
      </c>
      <c r="D88" s="49" t="s">
        <v>7</v>
      </c>
      <c r="E88" s="49" t="s">
        <v>77</v>
      </c>
      <c r="F88" s="49" t="s">
        <v>68</v>
      </c>
      <c r="G88" s="49" t="s">
        <v>36</v>
      </c>
      <c r="H88" s="49" t="s">
        <v>6</v>
      </c>
      <c r="I88" s="50"/>
      <c r="Q88" s="52"/>
      <c r="R88" s="326"/>
      <c r="S88" s="322"/>
      <c r="T88" s="312"/>
      <c r="U88" s="315"/>
      <c r="V88" s="322"/>
      <c r="W88" s="312"/>
      <c r="X88" s="315"/>
      <c r="Y88" s="315"/>
      <c r="Z88" s="315"/>
      <c r="AA88" s="318"/>
      <c r="AD88" s="58">
        <f>BIN2DEC($AA87)*3</f>
        <v>0</v>
      </c>
      <c r="AE88" s="58">
        <f>ABS(BIN2DEC($U87)*3)</f>
        <v>0</v>
      </c>
      <c r="AF88" s="58">
        <f>ABS( BIN2DEC(V87)*3-BIN2DEC(Z87))</f>
        <v>0</v>
      </c>
      <c r="AG88" s="58">
        <f>BIN2DEC(X87&amp;Y87)+BIN2DEC(W87)*3</f>
        <v>0</v>
      </c>
      <c r="AH88">
        <f>AD88+AE88*4+AF88*16</f>
        <v>0</v>
      </c>
    </row>
    <row r="89" spans="1:34" ht="129.6">
      <c r="A89" s="47" t="s">
        <v>70</v>
      </c>
      <c r="B89" s="47">
        <v>3</v>
      </c>
      <c r="C89" s="51" t="s">
        <v>141</v>
      </c>
      <c r="D89" s="49" t="s">
        <v>81</v>
      </c>
      <c r="E89" s="49" t="s">
        <v>80</v>
      </c>
      <c r="F89" s="49" t="s">
        <v>68</v>
      </c>
      <c r="G89" s="49" t="s">
        <v>36</v>
      </c>
      <c r="H89" s="49" t="s">
        <v>6</v>
      </c>
      <c r="I89" s="50"/>
      <c r="Q89" s="52"/>
      <c r="R89" s="326"/>
      <c r="S89" s="322"/>
      <c r="T89" s="312"/>
      <c r="U89" s="315"/>
      <c r="V89" s="322"/>
      <c r="W89" s="312"/>
      <c r="X89" s="315"/>
      <c r="Y89" s="315"/>
      <c r="Z89" s="315"/>
      <c r="AA89" s="318"/>
      <c r="AD89" s="58">
        <f>BIN2DEC($AA87)*3</f>
        <v>0</v>
      </c>
      <c r="AE89" s="58">
        <f>ABS(BIN2DEC($U88)*3-1)</f>
        <v>1</v>
      </c>
      <c r="AF89" s="58">
        <f>ABS( BIN2DEC(V87)*3-BIN2DEC(Z87))</f>
        <v>0</v>
      </c>
      <c r="AG89" s="58">
        <f>BIN2DEC(X87&amp;Y87)+BIN2DEC(W87)*3</f>
        <v>0</v>
      </c>
      <c r="AH89">
        <f t="shared" ref="AH89:AH91" si="17">AD89+AE89*4+AF89*16</f>
        <v>4</v>
      </c>
    </row>
    <row r="90" spans="1:34">
      <c r="A90" s="47" t="s">
        <v>71</v>
      </c>
      <c r="B90" s="47">
        <v>1</v>
      </c>
      <c r="C90" s="51" t="s">
        <v>141</v>
      </c>
      <c r="D90" s="49" t="s">
        <v>7</v>
      </c>
      <c r="E90" s="49" t="s">
        <v>73</v>
      </c>
      <c r="F90" s="49" t="s">
        <v>68</v>
      </c>
      <c r="G90" s="49" t="s">
        <v>36</v>
      </c>
      <c r="H90" s="49" t="s">
        <v>6</v>
      </c>
      <c r="I90" s="50"/>
      <c r="Q90" s="52"/>
      <c r="R90" s="326"/>
      <c r="S90" s="322"/>
      <c r="T90" s="312"/>
      <c r="U90" s="315"/>
      <c r="V90" s="322"/>
      <c r="W90" s="312"/>
      <c r="X90" s="315"/>
      <c r="Y90" s="315"/>
      <c r="Z90" s="315"/>
      <c r="AA90" s="318"/>
      <c r="AD90" s="58">
        <f>ABS(BIN2DEC($AA87)*3-2)</f>
        <v>2</v>
      </c>
      <c r="AE90" s="58">
        <f>ABS(BIN2DEC($U87)*3)</f>
        <v>0</v>
      </c>
      <c r="AF90" s="58">
        <f>ABS( BIN2DEC(V87)*3-BIN2DEC(Z87))</f>
        <v>0</v>
      </c>
      <c r="AG90" s="58">
        <f>BIN2DEC(X87&amp;Y87)+BIN2DEC(W87)*3</f>
        <v>0</v>
      </c>
      <c r="AH90">
        <f t="shared" si="17"/>
        <v>2</v>
      </c>
    </row>
    <row r="91" spans="1:34" ht="15" thickBot="1">
      <c r="A91" s="47" t="s">
        <v>72</v>
      </c>
      <c r="B91" s="47">
        <v>1</v>
      </c>
      <c r="C91" s="51" t="s">
        <v>141</v>
      </c>
      <c r="D91" s="49" t="s">
        <v>7</v>
      </c>
      <c r="E91" s="49" t="s">
        <v>74</v>
      </c>
      <c r="F91" s="49" t="s">
        <v>68</v>
      </c>
      <c r="G91" s="49" t="s">
        <v>36</v>
      </c>
      <c r="H91" s="49" t="s">
        <v>6</v>
      </c>
      <c r="I91" s="50"/>
      <c r="Q91" s="52"/>
      <c r="R91" s="326"/>
      <c r="S91" s="323"/>
      <c r="T91" s="313"/>
      <c r="U91" s="316"/>
      <c r="V91" s="323"/>
      <c r="W91" s="313"/>
      <c r="X91" s="316"/>
      <c r="Y91" s="316"/>
      <c r="Z91" s="316"/>
      <c r="AA91" s="319"/>
      <c r="AD91" s="58">
        <f>ABS(BIN2DEC($AA87)*3-2)</f>
        <v>2</v>
      </c>
      <c r="AE91" s="58">
        <f>ABS(BIN2DEC($U87)*3-1)</f>
        <v>1</v>
      </c>
      <c r="AF91" s="58">
        <f>ABS( BIN2DEC(V87)*3-BIN2DEC(Z87))</f>
        <v>0</v>
      </c>
      <c r="AG91" s="58">
        <f>BIN2DEC(X87&amp;Y87)+BIN2DEC(W87)*3</f>
        <v>0</v>
      </c>
      <c r="AH91">
        <f t="shared" si="17"/>
        <v>6</v>
      </c>
    </row>
    <row r="92" spans="1:34">
      <c r="A92" s="47">
        <f>AA92</f>
        <v>0</v>
      </c>
      <c r="B92" s="47">
        <v>5</v>
      </c>
      <c r="C92" s="48" t="str">
        <f>IF(B92&gt;1,(23)&amp;":"&amp;(23-B92+1),(23-B92+1)&amp;":"&amp;(23-B92+1))</f>
        <v>23:19</v>
      </c>
      <c r="D92" s="49" t="s">
        <v>78</v>
      </c>
      <c r="E92" s="49" t="s">
        <v>69</v>
      </c>
      <c r="F92" s="49" t="s">
        <v>68</v>
      </c>
      <c r="G92" s="49" t="s">
        <v>36</v>
      </c>
      <c r="H92" s="49" t="s">
        <v>6</v>
      </c>
      <c r="I92" s="50"/>
      <c r="L92" t="str">
        <f>DEC2HEX(_xlfn.BITLSHIFT(HEX2DEC(P92),2))</f>
        <v>0</v>
      </c>
      <c r="N92">
        <v>0</v>
      </c>
      <c r="P92" t="str">
        <f>Z92</f>
        <v>0</v>
      </c>
      <c r="Q92" s="52" t="e">
        <f>BIN2HEX(LEFT(RIGHT(C92,32),4))&amp;BIN2HEX(LEFT(RIGHT(C92,28),4))&amp;BIN2HEX(LEFT(RIGHT(C92,24),4))&amp;BIN2HEX(LEFT(RIGHT(C92,20),4))&amp;BIN2HEX(LEFT(RIGHT(C92,16),4))&amp;BIN2HEX(LEFT(RIGHT(C92,12),4))&amp;BIN2HEX(LEFT(RIGHT(C92,8),4))&amp;BIN2HEX(LEFT(RIGHT(C92,4),4))</f>
        <v>#NUM!</v>
      </c>
      <c r="R92" s="326">
        <v>18</v>
      </c>
      <c r="S92" s="321"/>
      <c r="T92" s="311"/>
      <c r="U92" s="314"/>
      <c r="V92" s="321"/>
      <c r="W92" s="311"/>
      <c r="X92" s="314"/>
      <c r="Y92" s="314"/>
      <c r="Z92" s="314" t="str">
        <f>BIN2HEX(S92&amp;T92&amp;U92&amp;V92&amp;W92&amp;X92&amp;Y92)</f>
        <v>0</v>
      </c>
      <c r="AA92" s="317"/>
      <c r="AD92" s="58"/>
      <c r="AE92" s="58"/>
      <c r="AF92" s="58"/>
      <c r="AG92" s="58"/>
    </row>
    <row r="93" spans="1:34">
      <c r="A93" s="47" t="s">
        <v>77</v>
      </c>
      <c r="B93" s="47">
        <v>1</v>
      </c>
      <c r="C93" s="51" t="s">
        <v>141</v>
      </c>
      <c r="D93" s="49" t="s">
        <v>7</v>
      </c>
      <c r="E93" s="49" t="s">
        <v>77</v>
      </c>
      <c r="F93" s="49" t="s">
        <v>68</v>
      </c>
      <c r="G93" s="49" t="s">
        <v>36</v>
      </c>
      <c r="H93" s="49" t="s">
        <v>6</v>
      </c>
      <c r="I93" s="50"/>
      <c r="Q93" s="52"/>
      <c r="R93" s="326"/>
      <c r="S93" s="322"/>
      <c r="T93" s="312"/>
      <c r="U93" s="315"/>
      <c r="V93" s="322"/>
      <c r="W93" s="312"/>
      <c r="X93" s="315"/>
      <c r="Y93" s="315"/>
      <c r="Z93" s="315"/>
      <c r="AA93" s="318"/>
      <c r="AD93" s="58">
        <f>BIN2DEC($AA92)*3</f>
        <v>0</v>
      </c>
      <c r="AE93" s="58">
        <f>ABS(BIN2DEC($U92)*3)</f>
        <v>0</v>
      </c>
      <c r="AF93" s="58">
        <f>ABS( BIN2DEC(V92)*3-BIN2DEC(Z92))</f>
        <v>0</v>
      </c>
      <c r="AG93" s="58">
        <f>BIN2DEC(X92&amp;Y92)+BIN2DEC(W92)*3</f>
        <v>0</v>
      </c>
      <c r="AH93">
        <f>AD93+AE93*4+AF93*16</f>
        <v>0</v>
      </c>
    </row>
    <row r="94" spans="1:34" ht="129.6">
      <c r="A94" s="47" t="s">
        <v>70</v>
      </c>
      <c r="B94" s="47">
        <v>3</v>
      </c>
      <c r="C94" s="51" t="s">
        <v>141</v>
      </c>
      <c r="D94" s="49" t="s">
        <v>81</v>
      </c>
      <c r="E94" s="49" t="s">
        <v>80</v>
      </c>
      <c r="F94" s="49" t="s">
        <v>68</v>
      </c>
      <c r="G94" s="49" t="s">
        <v>36</v>
      </c>
      <c r="H94" s="49" t="s">
        <v>6</v>
      </c>
      <c r="I94" s="50"/>
      <c r="Q94" s="52"/>
      <c r="R94" s="326"/>
      <c r="S94" s="322"/>
      <c r="T94" s="312"/>
      <c r="U94" s="315"/>
      <c r="V94" s="322"/>
      <c r="W94" s="312"/>
      <c r="X94" s="315"/>
      <c r="Y94" s="315"/>
      <c r="Z94" s="315"/>
      <c r="AA94" s="318"/>
      <c r="AD94" s="58">
        <f>BIN2DEC($AA92)*3</f>
        <v>0</v>
      </c>
      <c r="AE94" s="58">
        <f>ABS(BIN2DEC($U93)*3-1)</f>
        <v>1</v>
      </c>
      <c r="AF94" s="58">
        <f>ABS( BIN2DEC(V92)*3-BIN2DEC(Z92))</f>
        <v>0</v>
      </c>
      <c r="AG94" s="58">
        <f>BIN2DEC(X92&amp;Y92)+BIN2DEC(W92)*3</f>
        <v>0</v>
      </c>
      <c r="AH94">
        <f t="shared" ref="AH94:AH96" si="18">AD94+AE94*4+AF94*16</f>
        <v>4</v>
      </c>
    </row>
    <row r="95" spans="1:34">
      <c r="A95" s="47" t="s">
        <v>71</v>
      </c>
      <c r="B95" s="47">
        <v>1</v>
      </c>
      <c r="C95" s="51" t="s">
        <v>141</v>
      </c>
      <c r="D95" s="49" t="s">
        <v>7</v>
      </c>
      <c r="E95" s="49" t="s">
        <v>73</v>
      </c>
      <c r="F95" s="49" t="s">
        <v>68</v>
      </c>
      <c r="G95" s="49" t="s">
        <v>36</v>
      </c>
      <c r="H95" s="49" t="s">
        <v>6</v>
      </c>
      <c r="I95" s="50"/>
      <c r="Q95" s="52"/>
      <c r="R95" s="326"/>
      <c r="S95" s="322"/>
      <c r="T95" s="312"/>
      <c r="U95" s="315"/>
      <c r="V95" s="322"/>
      <c r="W95" s="312"/>
      <c r="X95" s="315"/>
      <c r="Y95" s="315"/>
      <c r="Z95" s="315"/>
      <c r="AA95" s="318"/>
      <c r="AD95" s="58">
        <f>ABS(BIN2DEC($AA92)*3-2)</f>
        <v>2</v>
      </c>
      <c r="AE95" s="58">
        <f>ABS(BIN2DEC($U92)*3)</f>
        <v>0</v>
      </c>
      <c r="AF95" s="58">
        <f>ABS( BIN2DEC(V92)*3-BIN2DEC(Z92))</f>
        <v>0</v>
      </c>
      <c r="AG95" s="58">
        <f>BIN2DEC(X92&amp;Y92)+BIN2DEC(W92)*3</f>
        <v>0</v>
      </c>
      <c r="AH95">
        <f t="shared" si="18"/>
        <v>2</v>
      </c>
    </row>
    <row r="96" spans="1:34" ht="15" thickBot="1">
      <c r="A96" s="47" t="s">
        <v>72</v>
      </c>
      <c r="B96" s="47">
        <v>1</v>
      </c>
      <c r="C96" s="51" t="s">
        <v>141</v>
      </c>
      <c r="D96" s="49" t="s">
        <v>7</v>
      </c>
      <c r="E96" s="49" t="s">
        <v>74</v>
      </c>
      <c r="F96" s="49" t="s">
        <v>68</v>
      </c>
      <c r="G96" s="49" t="s">
        <v>36</v>
      </c>
      <c r="H96" s="49" t="s">
        <v>6</v>
      </c>
      <c r="I96" s="50"/>
      <c r="Q96" s="52"/>
      <c r="R96" s="326"/>
      <c r="S96" s="323"/>
      <c r="T96" s="313"/>
      <c r="U96" s="316"/>
      <c r="V96" s="323"/>
      <c r="W96" s="313"/>
      <c r="X96" s="316"/>
      <c r="Y96" s="316"/>
      <c r="Z96" s="316"/>
      <c r="AA96" s="319"/>
      <c r="AD96" s="58">
        <f>ABS(BIN2DEC($AA92)*3-2)</f>
        <v>2</v>
      </c>
      <c r="AE96" s="58">
        <f>ABS(BIN2DEC($U92)*3-1)</f>
        <v>1</v>
      </c>
      <c r="AF96" s="58">
        <f>ABS( BIN2DEC(V92)*3-BIN2DEC(Z92))</f>
        <v>0</v>
      </c>
      <c r="AG96" s="58">
        <f>BIN2DEC(X92&amp;Y92)+BIN2DEC(W92)*3</f>
        <v>0</v>
      </c>
      <c r="AH96">
        <f t="shared" si="18"/>
        <v>6</v>
      </c>
    </row>
    <row r="97" spans="1:34">
      <c r="A97" s="47">
        <f>AA97</f>
        <v>0</v>
      </c>
      <c r="B97" s="47">
        <v>5</v>
      </c>
      <c r="C97" s="48" t="str">
        <f>IF(B97&gt;1,(23)&amp;":"&amp;(23-B97+1),(23-B97+1)&amp;":"&amp;(23-B97+1))</f>
        <v>23:19</v>
      </c>
      <c r="D97" s="49" t="s">
        <v>78</v>
      </c>
      <c r="E97" s="49" t="s">
        <v>69</v>
      </c>
      <c r="F97" s="49" t="s">
        <v>68</v>
      </c>
      <c r="G97" s="49" t="s">
        <v>36</v>
      </c>
      <c r="H97" s="49" t="s">
        <v>6</v>
      </c>
      <c r="I97" s="50"/>
      <c r="L97" t="str">
        <f>DEC2HEX(_xlfn.BITLSHIFT(HEX2DEC(P97),2))</f>
        <v>0</v>
      </c>
      <c r="N97">
        <v>0</v>
      </c>
      <c r="P97" t="str">
        <f>Z97</f>
        <v>0</v>
      </c>
      <c r="Q97" s="52" t="e">
        <f>BIN2HEX(LEFT(RIGHT(C97,32),4))&amp;BIN2HEX(LEFT(RIGHT(C97,28),4))&amp;BIN2HEX(LEFT(RIGHT(C97,24),4))&amp;BIN2HEX(LEFT(RIGHT(C97,20),4))&amp;BIN2HEX(LEFT(RIGHT(C97,16),4))&amp;BIN2HEX(LEFT(RIGHT(C97,12),4))&amp;BIN2HEX(LEFT(RIGHT(C97,8),4))&amp;BIN2HEX(LEFT(RIGHT(C97,4),4))</f>
        <v>#NUM!</v>
      </c>
      <c r="R97" s="326">
        <v>19</v>
      </c>
      <c r="S97" s="321"/>
      <c r="T97" s="311"/>
      <c r="U97" s="314"/>
      <c r="V97" s="321"/>
      <c r="W97" s="311"/>
      <c r="X97" s="314"/>
      <c r="Y97" s="314"/>
      <c r="Z97" s="314" t="str">
        <f>BIN2HEX(S97&amp;T97&amp;U97&amp;V97&amp;W97&amp;X97&amp;Y97)</f>
        <v>0</v>
      </c>
      <c r="AA97" s="317"/>
      <c r="AD97" s="58"/>
      <c r="AE97" s="58"/>
      <c r="AF97" s="58"/>
      <c r="AG97" s="58"/>
    </row>
    <row r="98" spans="1:34">
      <c r="A98" s="47" t="s">
        <v>77</v>
      </c>
      <c r="B98" s="47">
        <v>1</v>
      </c>
      <c r="C98" s="51" t="s">
        <v>141</v>
      </c>
      <c r="D98" s="49" t="s">
        <v>7</v>
      </c>
      <c r="E98" s="49" t="s">
        <v>77</v>
      </c>
      <c r="F98" s="49" t="s">
        <v>68</v>
      </c>
      <c r="G98" s="49" t="s">
        <v>36</v>
      </c>
      <c r="H98" s="49" t="s">
        <v>6</v>
      </c>
      <c r="I98" s="50"/>
      <c r="Q98" s="52"/>
      <c r="R98" s="326"/>
      <c r="S98" s="322"/>
      <c r="T98" s="312"/>
      <c r="U98" s="315"/>
      <c r="V98" s="322"/>
      <c r="W98" s="312"/>
      <c r="X98" s="315"/>
      <c r="Y98" s="315"/>
      <c r="Z98" s="315"/>
      <c r="AA98" s="318"/>
      <c r="AD98" s="58">
        <f>BIN2DEC($AA97)*3</f>
        <v>0</v>
      </c>
      <c r="AE98" s="58">
        <f>ABS(BIN2DEC($U97)*3)</f>
        <v>0</v>
      </c>
      <c r="AF98" s="58">
        <f>ABS( BIN2DEC(V97)*3-BIN2DEC(Z97))</f>
        <v>0</v>
      </c>
      <c r="AG98" s="58">
        <f>BIN2DEC(X97&amp;Y97)+BIN2DEC(W97)*3</f>
        <v>0</v>
      </c>
      <c r="AH98">
        <f>AD98+AE98*4+AF98*16</f>
        <v>0</v>
      </c>
    </row>
    <row r="99" spans="1:34" ht="129.6">
      <c r="A99" s="47" t="s">
        <v>70</v>
      </c>
      <c r="B99" s="47">
        <v>3</v>
      </c>
      <c r="C99" s="51" t="s">
        <v>141</v>
      </c>
      <c r="D99" s="49" t="s">
        <v>81</v>
      </c>
      <c r="E99" s="49" t="s">
        <v>80</v>
      </c>
      <c r="F99" s="49" t="s">
        <v>68</v>
      </c>
      <c r="G99" s="49" t="s">
        <v>36</v>
      </c>
      <c r="H99" s="49" t="s">
        <v>6</v>
      </c>
      <c r="I99" s="50"/>
      <c r="Q99" s="52"/>
      <c r="R99" s="326"/>
      <c r="S99" s="322"/>
      <c r="T99" s="312"/>
      <c r="U99" s="315"/>
      <c r="V99" s="322"/>
      <c r="W99" s="312"/>
      <c r="X99" s="315"/>
      <c r="Y99" s="315"/>
      <c r="Z99" s="315"/>
      <c r="AA99" s="318"/>
      <c r="AD99" s="58">
        <f>BIN2DEC($AA97)*3</f>
        <v>0</v>
      </c>
      <c r="AE99" s="58">
        <f>ABS(BIN2DEC($U98)*3-1)</f>
        <v>1</v>
      </c>
      <c r="AF99" s="58">
        <f>ABS( BIN2DEC(V97)*3-BIN2DEC(Z97))</f>
        <v>0</v>
      </c>
      <c r="AG99" s="58">
        <f>BIN2DEC(X97&amp;Y97)+BIN2DEC(W97)*3</f>
        <v>0</v>
      </c>
      <c r="AH99">
        <f t="shared" ref="AH99:AH101" si="19">AD99+AE99*4+AF99*16</f>
        <v>4</v>
      </c>
    </row>
    <row r="100" spans="1:34">
      <c r="A100" s="47" t="s">
        <v>71</v>
      </c>
      <c r="B100" s="47">
        <v>1</v>
      </c>
      <c r="C100" s="51" t="s">
        <v>141</v>
      </c>
      <c r="D100" s="49" t="s">
        <v>7</v>
      </c>
      <c r="E100" s="49" t="s">
        <v>73</v>
      </c>
      <c r="F100" s="49" t="s">
        <v>68</v>
      </c>
      <c r="G100" s="49" t="s">
        <v>36</v>
      </c>
      <c r="H100" s="49" t="s">
        <v>6</v>
      </c>
      <c r="I100" s="50"/>
      <c r="Q100" s="52"/>
      <c r="R100" s="326"/>
      <c r="S100" s="322"/>
      <c r="T100" s="312"/>
      <c r="U100" s="315"/>
      <c r="V100" s="322"/>
      <c r="W100" s="312"/>
      <c r="X100" s="315"/>
      <c r="Y100" s="315"/>
      <c r="Z100" s="315"/>
      <c r="AA100" s="318"/>
      <c r="AD100" s="58">
        <f>ABS(BIN2DEC($AA97)*3-2)</f>
        <v>2</v>
      </c>
      <c r="AE100" s="58">
        <f>ABS(BIN2DEC($U97)*3)</f>
        <v>0</v>
      </c>
      <c r="AF100" s="58">
        <f>ABS( BIN2DEC(V97)*3-BIN2DEC(Z97))</f>
        <v>0</v>
      </c>
      <c r="AG100" s="58">
        <f>BIN2DEC(X97&amp;Y97)+BIN2DEC(W97)*3</f>
        <v>0</v>
      </c>
      <c r="AH100">
        <f t="shared" si="19"/>
        <v>2</v>
      </c>
    </row>
    <row r="101" spans="1:34" ht="15" thickBot="1">
      <c r="A101" s="47" t="s">
        <v>72</v>
      </c>
      <c r="B101" s="47">
        <v>1</v>
      </c>
      <c r="C101" s="51" t="s">
        <v>141</v>
      </c>
      <c r="D101" s="49" t="s">
        <v>7</v>
      </c>
      <c r="E101" s="49" t="s">
        <v>74</v>
      </c>
      <c r="F101" s="49" t="s">
        <v>68</v>
      </c>
      <c r="G101" s="49" t="s">
        <v>36</v>
      </c>
      <c r="H101" s="49" t="s">
        <v>6</v>
      </c>
      <c r="I101" s="50"/>
      <c r="Q101" s="52"/>
      <c r="R101" s="326"/>
      <c r="S101" s="323"/>
      <c r="T101" s="313"/>
      <c r="U101" s="316"/>
      <c r="V101" s="323"/>
      <c r="W101" s="313"/>
      <c r="X101" s="316"/>
      <c r="Y101" s="316"/>
      <c r="Z101" s="316"/>
      <c r="AA101" s="319"/>
      <c r="AD101" s="58">
        <f>ABS(BIN2DEC($AA97)*3-2)</f>
        <v>2</v>
      </c>
      <c r="AE101" s="58">
        <f>ABS(BIN2DEC($U97)*3-1)</f>
        <v>1</v>
      </c>
      <c r="AF101" s="58">
        <f>ABS( BIN2DEC(V97)*3-BIN2DEC(Z97))</f>
        <v>0</v>
      </c>
      <c r="AG101" s="58">
        <f>BIN2DEC(X97&amp;Y97)+BIN2DEC(W97)*3</f>
        <v>0</v>
      </c>
      <c r="AH101">
        <f t="shared" si="19"/>
        <v>6</v>
      </c>
    </row>
    <row r="102" spans="1:34">
      <c r="A102" s="47">
        <f>AA102</f>
        <v>0</v>
      </c>
      <c r="B102" s="47">
        <v>5</v>
      </c>
      <c r="C102" s="48" t="str">
        <f>IF(B102&gt;1,(23)&amp;":"&amp;(23-B102+1),(23-B102+1)&amp;":"&amp;(23-B102+1))</f>
        <v>23:19</v>
      </c>
      <c r="D102" s="49" t="s">
        <v>78</v>
      </c>
      <c r="E102" s="49" t="s">
        <v>69</v>
      </c>
      <c r="F102" s="49" t="s">
        <v>68</v>
      </c>
      <c r="G102" s="49" t="s">
        <v>36</v>
      </c>
      <c r="H102" s="49" t="s">
        <v>6</v>
      </c>
      <c r="I102" s="50"/>
      <c r="L102" t="str">
        <f>DEC2HEX(_xlfn.BITLSHIFT(HEX2DEC(P102),2))</f>
        <v>0</v>
      </c>
      <c r="N102">
        <v>0</v>
      </c>
      <c r="P102" t="str">
        <f>Z102</f>
        <v>0</v>
      </c>
      <c r="Q102" s="52" t="e">
        <f>BIN2HEX(LEFT(RIGHT(C102,32),4))&amp;BIN2HEX(LEFT(RIGHT(C102,28),4))&amp;BIN2HEX(LEFT(RIGHT(C102,24),4))&amp;BIN2HEX(LEFT(RIGHT(C102,20),4))&amp;BIN2HEX(LEFT(RIGHT(C102,16),4))&amp;BIN2HEX(LEFT(RIGHT(C102,12),4))&amp;BIN2HEX(LEFT(RIGHT(C102,8),4))&amp;BIN2HEX(LEFT(RIGHT(C102,4),4))</f>
        <v>#NUM!</v>
      </c>
      <c r="R102" s="326">
        <v>20</v>
      </c>
      <c r="S102" s="321"/>
      <c r="T102" s="311"/>
      <c r="U102" s="314"/>
      <c r="V102" s="321"/>
      <c r="W102" s="311"/>
      <c r="X102" s="314"/>
      <c r="Y102" s="314"/>
      <c r="Z102" s="314" t="str">
        <f>BIN2HEX(S102&amp;T102&amp;U102&amp;V102&amp;W102&amp;X102&amp;Y102)</f>
        <v>0</v>
      </c>
      <c r="AA102" s="317"/>
      <c r="AD102" s="58"/>
      <c r="AE102" s="58"/>
      <c r="AF102" s="58"/>
      <c r="AG102" s="58"/>
    </row>
    <row r="103" spans="1:34">
      <c r="A103" s="47" t="s">
        <v>77</v>
      </c>
      <c r="B103" s="47">
        <v>1</v>
      </c>
      <c r="C103" s="51" t="s">
        <v>141</v>
      </c>
      <c r="D103" s="49" t="s">
        <v>7</v>
      </c>
      <c r="E103" s="49" t="s">
        <v>77</v>
      </c>
      <c r="F103" s="49" t="s">
        <v>68</v>
      </c>
      <c r="G103" s="49" t="s">
        <v>36</v>
      </c>
      <c r="H103" s="49" t="s">
        <v>6</v>
      </c>
      <c r="I103" s="50"/>
      <c r="Q103" s="52"/>
      <c r="R103" s="326"/>
      <c r="S103" s="322"/>
      <c r="T103" s="312"/>
      <c r="U103" s="315"/>
      <c r="V103" s="322"/>
      <c r="W103" s="312"/>
      <c r="X103" s="315"/>
      <c r="Y103" s="315"/>
      <c r="Z103" s="315"/>
      <c r="AA103" s="318"/>
      <c r="AD103" s="58">
        <f>BIN2DEC($AA102)*3</f>
        <v>0</v>
      </c>
      <c r="AE103" s="58">
        <f>ABS(BIN2DEC($U102)*3)</f>
        <v>0</v>
      </c>
      <c r="AF103" s="58">
        <f>ABS( BIN2DEC(V102)*3-BIN2DEC(Z102))</f>
        <v>0</v>
      </c>
      <c r="AG103" s="58">
        <f>BIN2DEC(X102&amp;Y102)+BIN2DEC(W102)*3</f>
        <v>0</v>
      </c>
      <c r="AH103">
        <f>AD103+AE103*4+AF103*16</f>
        <v>0</v>
      </c>
    </row>
    <row r="104" spans="1:34" ht="129.6">
      <c r="A104" s="47" t="s">
        <v>70</v>
      </c>
      <c r="B104" s="47">
        <v>3</v>
      </c>
      <c r="C104" s="51" t="s">
        <v>141</v>
      </c>
      <c r="D104" s="49" t="s">
        <v>81</v>
      </c>
      <c r="E104" s="49" t="s">
        <v>80</v>
      </c>
      <c r="F104" s="49" t="s">
        <v>68</v>
      </c>
      <c r="G104" s="49" t="s">
        <v>36</v>
      </c>
      <c r="H104" s="49" t="s">
        <v>6</v>
      </c>
      <c r="I104" s="50"/>
      <c r="Q104" s="52"/>
      <c r="R104" s="326"/>
      <c r="S104" s="322"/>
      <c r="T104" s="312"/>
      <c r="U104" s="315"/>
      <c r="V104" s="322"/>
      <c r="W104" s="312"/>
      <c r="X104" s="315"/>
      <c r="Y104" s="315"/>
      <c r="Z104" s="315"/>
      <c r="AA104" s="318"/>
      <c r="AD104" s="58">
        <f>BIN2DEC($AA102)*3</f>
        <v>0</v>
      </c>
      <c r="AE104" s="58">
        <f>ABS(BIN2DEC($U103)*3-1)</f>
        <v>1</v>
      </c>
      <c r="AF104" s="58">
        <f>ABS( BIN2DEC(V102)*3-BIN2DEC(Z102))</f>
        <v>0</v>
      </c>
      <c r="AG104" s="58">
        <f>BIN2DEC(X102&amp;Y102)+BIN2DEC(W102)*3</f>
        <v>0</v>
      </c>
      <c r="AH104">
        <f t="shared" ref="AH104:AH106" si="20">AD104+AE104*4+AF104*16</f>
        <v>4</v>
      </c>
    </row>
    <row r="105" spans="1:34">
      <c r="A105" s="47" t="s">
        <v>71</v>
      </c>
      <c r="B105" s="47">
        <v>1</v>
      </c>
      <c r="C105" s="51" t="s">
        <v>141</v>
      </c>
      <c r="D105" s="49" t="s">
        <v>7</v>
      </c>
      <c r="E105" s="49" t="s">
        <v>73</v>
      </c>
      <c r="F105" s="49" t="s">
        <v>68</v>
      </c>
      <c r="G105" s="49" t="s">
        <v>36</v>
      </c>
      <c r="H105" s="49" t="s">
        <v>6</v>
      </c>
      <c r="I105" s="50"/>
      <c r="Q105" s="52"/>
      <c r="R105" s="326"/>
      <c r="S105" s="322"/>
      <c r="T105" s="312"/>
      <c r="U105" s="315"/>
      <c r="V105" s="322"/>
      <c r="W105" s="312"/>
      <c r="X105" s="315"/>
      <c r="Y105" s="315"/>
      <c r="Z105" s="315"/>
      <c r="AA105" s="318"/>
      <c r="AD105" s="58">
        <f>ABS(BIN2DEC($AA102)*3-2)</f>
        <v>2</v>
      </c>
      <c r="AE105" s="58">
        <f>ABS(BIN2DEC($U102)*3)</f>
        <v>0</v>
      </c>
      <c r="AF105" s="58">
        <f>ABS( BIN2DEC(V102)*3-BIN2DEC(Z102))</f>
        <v>0</v>
      </c>
      <c r="AG105" s="58">
        <f>BIN2DEC(X102&amp;Y102)+BIN2DEC(W102)*3</f>
        <v>0</v>
      </c>
      <c r="AH105">
        <f t="shared" si="20"/>
        <v>2</v>
      </c>
    </row>
    <row r="106" spans="1:34" ht="15" thickBot="1">
      <c r="A106" s="47" t="s">
        <v>72</v>
      </c>
      <c r="B106" s="47">
        <v>1</v>
      </c>
      <c r="C106" s="51" t="s">
        <v>141</v>
      </c>
      <c r="D106" s="49" t="s">
        <v>7</v>
      </c>
      <c r="E106" s="49" t="s">
        <v>74</v>
      </c>
      <c r="F106" s="49" t="s">
        <v>68</v>
      </c>
      <c r="G106" s="49" t="s">
        <v>36</v>
      </c>
      <c r="H106" s="49" t="s">
        <v>6</v>
      </c>
      <c r="I106" s="50"/>
      <c r="Q106" s="52"/>
      <c r="R106" s="326"/>
      <c r="S106" s="323"/>
      <c r="T106" s="313"/>
      <c r="U106" s="316"/>
      <c r="V106" s="323"/>
      <c r="W106" s="313"/>
      <c r="X106" s="316"/>
      <c r="Y106" s="316"/>
      <c r="Z106" s="316"/>
      <c r="AA106" s="319"/>
      <c r="AD106" s="58">
        <f>ABS(BIN2DEC($AA102)*3-2)</f>
        <v>2</v>
      </c>
      <c r="AE106" s="58">
        <f>ABS(BIN2DEC($U102)*3-1)</f>
        <v>1</v>
      </c>
      <c r="AF106" s="58">
        <f>ABS( BIN2DEC(V102)*3-BIN2DEC(Z102))</f>
        <v>0</v>
      </c>
      <c r="AG106" s="58">
        <f>BIN2DEC(X102&amp;Y102)+BIN2DEC(W102)*3</f>
        <v>0</v>
      </c>
      <c r="AH106">
        <f t="shared" si="20"/>
        <v>6</v>
      </c>
    </row>
    <row r="107" spans="1:34">
      <c r="A107" s="47">
        <f>AA107</f>
        <v>0</v>
      </c>
      <c r="B107" s="47">
        <v>5</v>
      </c>
      <c r="C107" s="48" t="str">
        <f>IF(B107&gt;1,(23)&amp;":"&amp;(23-B107+1),(23-B107+1)&amp;":"&amp;(23-B107+1))</f>
        <v>23:19</v>
      </c>
      <c r="D107" s="49" t="s">
        <v>78</v>
      </c>
      <c r="E107" s="49" t="s">
        <v>69</v>
      </c>
      <c r="F107" s="49" t="s">
        <v>68</v>
      </c>
      <c r="G107" s="49" t="s">
        <v>36</v>
      </c>
      <c r="H107" s="49" t="s">
        <v>6</v>
      </c>
      <c r="I107" s="50"/>
      <c r="L107" t="str">
        <f>DEC2HEX(_xlfn.BITLSHIFT(HEX2DEC(P107),2))</f>
        <v>0</v>
      </c>
      <c r="N107">
        <v>0</v>
      </c>
      <c r="P107" t="str">
        <f>Z107</f>
        <v>0</v>
      </c>
      <c r="Q107" s="52" t="e">
        <f>BIN2HEX(LEFT(RIGHT(C107,32),4))&amp;BIN2HEX(LEFT(RIGHT(C107,28),4))&amp;BIN2HEX(LEFT(RIGHT(C107,24),4))&amp;BIN2HEX(LEFT(RIGHT(C107,20),4))&amp;BIN2HEX(LEFT(RIGHT(C107,16),4))&amp;BIN2HEX(LEFT(RIGHT(C107,12),4))&amp;BIN2HEX(LEFT(RIGHT(C107,8),4))&amp;BIN2HEX(LEFT(RIGHT(C107,4),4))</f>
        <v>#NUM!</v>
      </c>
      <c r="R107" s="326">
        <v>21</v>
      </c>
      <c r="S107" s="321"/>
      <c r="T107" s="311"/>
      <c r="U107" s="314"/>
      <c r="V107" s="321"/>
      <c r="W107" s="311"/>
      <c r="X107" s="314"/>
      <c r="Y107" s="314"/>
      <c r="Z107" s="314" t="str">
        <f>BIN2HEX(S107&amp;T107&amp;U107&amp;V107&amp;W107&amp;X107&amp;Y107)</f>
        <v>0</v>
      </c>
      <c r="AA107" s="317"/>
      <c r="AD107" s="58"/>
      <c r="AE107" s="58"/>
      <c r="AF107" s="58"/>
      <c r="AG107" s="58"/>
    </row>
    <row r="108" spans="1:34">
      <c r="A108" s="47" t="s">
        <v>77</v>
      </c>
      <c r="B108" s="47">
        <v>1</v>
      </c>
      <c r="C108" s="51" t="s">
        <v>141</v>
      </c>
      <c r="D108" s="49" t="s">
        <v>7</v>
      </c>
      <c r="E108" s="49" t="s">
        <v>77</v>
      </c>
      <c r="F108" s="49" t="s">
        <v>68</v>
      </c>
      <c r="G108" s="49" t="s">
        <v>36</v>
      </c>
      <c r="H108" s="49" t="s">
        <v>6</v>
      </c>
      <c r="I108" s="50"/>
      <c r="Q108" s="52"/>
      <c r="R108" s="326"/>
      <c r="S108" s="322"/>
      <c r="T108" s="312"/>
      <c r="U108" s="315"/>
      <c r="V108" s="322"/>
      <c r="W108" s="312"/>
      <c r="X108" s="315"/>
      <c r="Y108" s="315"/>
      <c r="Z108" s="315"/>
      <c r="AA108" s="318"/>
      <c r="AD108" s="58">
        <f>BIN2DEC($AA107)*3</f>
        <v>0</v>
      </c>
      <c r="AE108" s="58">
        <f>ABS(BIN2DEC($U107)*3)</f>
        <v>0</v>
      </c>
      <c r="AF108" s="58">
        <f>ABS( BIN2DEC(V107)*3-BIN2DEC(Z107))</f>
        <v>0</v>
      </c>
      <c r="AG108" s="58">
        <f>BIN2DEC(X107&amp;Y107)+BIN2DEC(W107)*3</f>
        <v>0</v>
      </c>
      <c r="AH108">
        <f>AD108+AE108*4+AF108*16</f>
        <v>0</v>
      </c>
    </row>
    <row r="109" spans="1:34" ht="129.6">
      <c r="A109" s="47" t="s">
        <v>70</v>
      </c>
      <c r="B109" s="47">
        <v>3</v>
      </c>
      <c r="C109" s="51" t="s">
        <v>141</v>
      </c>
      <c r="D109" s="49" t="s">
        <v>81</v>
      </c>
      <c r="E109" s="49" t="s">
        <v>80</v>
      </c>
      <c r="F109" s="49" t="s">
        <v>68</v>
      </c>
      <c r="G109" s="49" t="s">
        <v>36</v>
      </c>
      <c r="H109" s="49" t="s">
        <v>6</v>
      </c>
      <c r="I109" s="50"/>
      <c r="Q109" s="52"/>
      <c r="R109" s="326"/>
      <c r="S109" s="322"/>
      <c r="T109" s="312"/>
      <c r="U109" s="315"/>
      <c r="V109" s="322"/>
      <c r="W109" s="312"/>
      <c r="X109" s="315"/>
      <c r="Y109" s="315"/>
      <c r="Z109" s="315"/>
      <c r="AA109" s="318"/>
      <c r="AD109" s="58">
        <f>BIN2DEC($AA107)*3</f>
        <v>0</v>
      </c>
      <c r="AE109" s="58">
        <f>ABS(BIN2DEC($U108)*3-1)</f>
        <v>1</v>
      </c>
      <c r="AF109" s="58">
        <f>ABS( BIN2DEC(V107)*3-BIN2DEC(Z107))</f>
        <v>0</v>
      </c>
      <c r="AG109" s="58">
        <f>BIN2DEC(X107&amp;Y107)+BIN2DEC(W107)*3</f>
        <v>0</v>
      </c>
      <c r="AH109">
        <f t="shared" ref="AH109:AH111" si="21">AD109+AE109*4+AF109*16</f>
        <v>4</v>
      </c>
    </row>
    <row r="110" spans="1:34">
      <c r="A110" s="47" t="s">
        <v>71</v>
      </c>
      <c r="B110" s="47">
        <v>1</v>
      </c>
      <c r="C110" s="51" t="s">
        <v>141</v>
      </c>
      <c r="D110" s="49" t="s">
        <v>7</v>
      </c>
      <c r="E110" s="49" t="s">
        <v>73</v>
      </c>
      <c r="F110" s="49" t="s">
        <v>68</v>
      </c>
      <c r="G110" s="49" t="s">
        <v>36</v>
      </c>
      <c r="H110" s="49" t="s">
        <v>6</v>
      </c>
      <c r="I110" s="50"/>
      <c r="Q110" s="52"/>
      <c r="R110" s="326"/>
      <c r="S110" s="322"/>
      <c r="T110" s="312"/>
      <c r="U110" s="315"/>
      <c r="V110" s="322"/>
      <c r="W110" s="312"/>
      <c r="X110" s="315"/>
      <c r="Y110" s="315"/>
      <c r="Z110" s="315"/>
      <c r="AA110" s="318"/>
      <c r="AD110" s="58">
        <f>ABS(BIN2DEC($AA107)*3-2)</f>
        <v>2</v>
      </c>
      <c r="AE110" s="58">
        <f>ABS(BIN2DEC($U107)*3)</f>
        <v>0</v>
      </c>
      <c r="AF110" s="58">
        <f>ABS( BIN2DEC(V107)*3-BIN2DEC(Z107))</f>
        <v>0</v>
      </c>
      <c r="AG110" s="58">
        <f>BIN2DEC(X107&amp;Y107)+BIN2DEC(W107)*3</f>
        <v>0</v>
      </c>
      <c r="AH110">
        <f t="shared" si="21"/>
        <v>2</v>
      </c>
    </row>
    <row r="111" spans="1:34" ht="15" thickBot="1">
      <c r="A111" s="47" t="s">
        <v>72</v>
      </c>
      <c r="B111" s="47">
        <v>1</v>
      </c>
      <c r="C111" s="51" t="s">
        <v>141</v>
      </c>
      <c r="D111" s="49" t="s">
        <v>7</v>
      </c>
      <c r="E111" s="49" t="s">
        <v>74</v>
      </c>
      <c r="F111" s="49" t="s">
        <v>68</v>
      </c>
      <c r="G111" s="49" t="s">
        <v>36</v>
      </c>
      <c r="H111" s="49" t="s">
        <v>6</v>
      </c>
      <c r="I111" s="50"/>
      <c r="Q111" s="52"/>
      <c r="R111" s="326"/>
      <c r="S111" s="323"/>
      <c r="T111" s="313"/>
      <c r="U111" s="316"/>
      <c r="V111" s="323"/>
      <c r="W111" s="313"/>
      <c r="X111" s="316"/>
      <c r="Y111" s="316"/>
      <c r="Z111" s="316"/>
      <c r="AA111" s="319"/>
      <c r="AD111" s="58">
        <f>ABS(BIN2DEC($AA107)*3-2)</f>
        <v>2</v>
      </c>
      <c r="AE111" s="58">
        <f>ABS(BIN2DEC($U107)*3-1)</f>
        <v>1</v>
      </c>
      <c r="AF111" s="58">
        <f>ABS( BIN2DEC(V107)*3-BIN2DEC(Z107))</f>
        <v>0</v>
      </c>
      <c r="AG111" s="58">
        <f>BIN2DEC(X107&amp;Y107)+BIN2DEC(W107)*3</f>
        <v>0</v>
      </c>
      <c r="AH111">
        <f t="shared" si="21"/>
        <v>6</v>
      </c>
    </row>
    <row r="112" spans="1:34">
      <c r="A112" s="47">
        <f>AA112</f>
        <v>0</v>
      </c>
      <c r="B112" s="47">
        <v>5</v>
      </c>
      <c r="C112" s="48" t="str">
        <f>IF(B112&gt;1,(23)&amp;":"&amp;(23-B112+1),(23-B112+1)&amp;":"&amp;(23-B112+1))</f>
        <v>23:19</v>
      </c>
      <c r="D112" s="49" t="s">
        <v>78</v>
      </c>
      <c r="E112" s="49" t="s">
        <v>69</v>
      </c>
      <c r="F112" s="49" t="s">
        <v>68</v>
      </c>
      <c r="G112" s="49" t="s">
        <v>36</v>
      </c>
      <c r="H112" s="49" t="s">
        <v>6</v>
      </c>
      <c r="I112" s="50"/>
      <c r="L112" t="str">
        <f>DEC2HEX(_xlfn.BITLSHIFT(HEX2DEC(P112),2))</f>
        <v>0</v>
      </c>
      <c r="N112">
        <v>0</v>
      </c>
      <c r="P112" t="str">
        <f>Z112</f>
        <v>0</v>
      </c>
      <c r="Q112" s="52" t="e">
        <f>BIN2HEX(LEFT(RIGHT(C112,32),4))&amp;BIN2HEX(LEFT(RIGHT(C112,28),4))&amp;BIN2HEX(LEFT(RIGHT(C112,24),4))&amp;BIN2HEX(LEFT(RIGHT(C112,20),4))&amp;BIN2HEX(LEFT(RIGHT(C112,16),4))&amp;BIN2HEX(LEFT(RIGHT(C112,12),4))&amp;BIN2HEX(LEFT(RIGHT(C112,8),4))&amp;BIN2HEX(LEFT(RIGHT(C112,4),4))</f>
        <v>#NUM!</v>
      </c>
      <c r="R112" s="326">
        <v>22</v>
      </c>
      <c r="S112" s="321"/>
      <c r="T112" s="311"/>
      <c r="U112" s="314"/>
      <c r="V112" s="321"/>
      <c r="W112" s="311"/>
      <c r="X112" s="314"/>
      <c r="Y112" s="314"/>
      <c r="Z112" s="314" t="str">
        <f>BIN2HEX(S112&amp;T112&amp;U112&amp;V112&amp;W112&amp;X112&amp;Y112)</f>
        <v>0</v>
      </c>
      <c r="AA112" s="317"/>
      <c r="AD112" s="58"/>
      <c r="AE112" s="58"/>
      <c r="AF112" s="58"/>
      <c r="AG112" s="58"/>
    </row>
    <row r="113" spans="1:34">
      <c r="A113" s="47" t="s">
        <v>77</v>
      </c>
      <c r="B113" s="47">
        <v>1</v>
      </c>
      <c r="C113" s="51" t="s">
        <v>141</v>
      </c>
      <c r="D113" s="49" t="s">
        <v>7</v>
      </c>
      <c r="E113" s="49" t="s">
        <v>77</v>
      </c>
      <c r="F113" s="49" t="s">
        <v>68</v>
      </c>
      <c r="G113" s="49" t="s">
        <v>36</v>
      </c>
      <c r="H113" s="49" t="s">
        <v>6</v>
      </c>
      <c r="I113" s="50"/>
      <c r="Q113" s="52"/>
      <c r="R113" s="326"/>
      <c r="S113" s="322"/>
      <c r="T113" s="312"/>
      <c r="U113" s="315"/>
      <c r="V113" s="322"/>
      <c r="W113" s="312"/>
      <c r="X113" s="315"/>
      <c r="Y113" s="315"/>
      <c r="Z113" s="315"/>
      <c r="AA113" s="318"/>
      <c r="AD113" s="58">
        <f>BIN2DEC($AA112)*3</f>
        <v>0</v>
      </c>
      <c r="AE113" s="58">
        <f>ABS(BIN2DEC($U112)*3)</f>
        <v>0</v>
      </c>
      <c r="AF113" s="58">
        <f>ABS( BIN2DEC(V112)*3-BIN2DEC(Z112))</f>
        <v>0</v>
      </c>
      <c r="AG113" s="58">
        <f>BIN2DEC(X112&amp;Y112)+BIN2DEC(W112)*3</f>
        <v>0</v>
      </c>
      <c r="AH113">
        <f>AD113+AE113*4+AF113*16</f>
        <v>0</v>
      </c>
    </row>
    <row r="114" spans="1:34" ht="129.6">
      <c r="A114" s="47" t="s">
        <v>70</v>
      </c>
      <c r="B114" s="47">
        <v>3</v>
      </c>
      <c r="C114" s="51" t="s">
        <v>141</v>
      </c>
      <c r="D114" s="49" t="s">
        <v>81</v>
      </c>
      <c r="E114" s="49" t="s">
        <v>80</v>
      </c>
      <c r="F114" s="49" t="s">
        <v>68</v>
      </c>
      <c r="G114" s="49" t="s">
        <v>36</v>
      </c>
      <c r="H114" s="49" t="s">
        <v>6</v>
      </c>
      <c r="I114" s="50"/>
      <c r="Q114" s="52"/>
      <c r="R114" s="326"/>
      <c r="S114" s="322"/>
      <c r="T114" s="312"/>
      <c r="U114" s="315"/>
      <c r="V114" s="322"/>
      <c r="W114" s="312"/>
      <c r="X114" s="315"/>
      <c r="Y114" s="315"/>
      <c r="Z114" s="315"/>
      <c r="AA114" s="318"/>
      <c r="AD114" s="58">
        <f>BIN2DEC($AA112)*3</f>
        <v>0</v>
      </c>
      <c r="AE114" s="58">
        <f>ABS(BIN2DEC($U113)*3-1)</f>
        <v>1</v>
      </c>
      <c r="AF114" s="58">
        <f>ABS( BIN2DEC(V112)*3-BIN2DEC(Z112))</f>
        <v>0</v>
      </c>
      <c r="AG114" s="58">
        <f>BIN2DEC(X112&amp;Y112)+BIN2DEC(W112)*3</f>
        <v>0</v>
      </c>
      <c r="AH114">
        <f t="shared" ref="AH114:AH116" si="22">AD114+AE114*4+AF114*16</f>
        <v>4</v>
      </c>
    </row>
    <row r="115" spans="1:34">
      <c r="A115" s="47" t="s">
        <v>71</v>
      </c>
      <c r="B115" s="47">
        <v>1</v>
      </c>
      <c r="C115" s="51" t="s">
        <v>141</v>
      </c>
      <c r="D115" s="49" t="s">
        <v>7</v>
      </c>
      <c r="E115" s="49" t="s">
        <v>73</v>
      </c>
      <c r="F115" s="49" t="s">
        <v>68</v>
      </c>
      <c r="G115" s="49" t="s">
        <v>36</v>
      </c>
      <c r="H115" s="49" t="s">
        <v>6</v>
      </c>
      <c r="I115" s="50"/>
      <c r="Q115" s="52"/>
      <c r="R115" s="326"/>
      <c r="S115" s="322"/>
      <c r="T115" s="312"/>
      <c r="U115" s="315"/>
      <c r="V115" s="322"/>
      <c r="W115" s="312"/>
      <c r="X115" s="315"/>
      <c r="Y115" s="315"/>
      <c r="Z115" s="315"/>
      <c r="AA115" s="318"/>
      <c r="AD115" s="58">
        <f>ABS(BIN2DEC($AA112)*3-2)</f>
        <v>2</v>
      </c>
      <c r="AE115" s="58">
        <f>ABS(BIN2DEC($U112)*3)</f>
        <v>0</v>
      </c>
      <c r="AF115" s="58">
        <f>ABS( BIN2DEC(V112)*3-BIN2DEC(Z112))</f>
        <v>0</v>
      </c>
      <c r="AG115" s="58">
        <f>BIN2DEC(X112&amp;Y112)+BIN2DEC(W112)*3</f>
        <v>0</v>
      </c>
      <c r="AH115">
        <f t="shared" si="22"/>
        <v>2</v>
      </c>
    </row>
    <row r="116" spans="1:34" ht="15" thickBot="1">
      <c r="A116" s="47" t="s">
        <v>72</v>
      </c>
      <c r="B116" s="47">
        <v>1</v>
      </c>
      <c r="C116" s="51" t="s">
        <v>141</v>
      </c>
      <c r="D116" s="49" t="s">
        <v>7</v>
      </c>
      <c r="E116" s="49" t="s">
        <v>74</v>
      </c>
      <c r="F116" s="49" t="s">
        <v>68</v>
      </c>
      <c r="G116" s="49" t="s">
        <v>36</v>
      </c>
      <c r="H116" s="49" t="s">
        <v>6</v>
      </c>
      <c r="I116" s="50"/>
      <c r="Q116" s="52"/>
      <c r="R116" s="326"/>
      <c r="S116" s="323"/>
      <c r="T116" s="313"/>
      <c r="U116" s="316"/>
      <c r="V116" s="323"/>
      <c r="W116" s="313"/>
      <c r="X116" s="316"/>
      <c r="Y116" s="316"/>
      <c r="Z116" s="316"/>
      <c r="AA116" s="319"/>
      <c r="AD116" s="58">
        <f>ABS(BIN2DEC($AA112)*3-2)</f>
        <v>2</v>
      </c>
      <c r="AE116" s="58">
        <f>ABS(BIN2DEC($U112)*3-1)</f>
        <v>1</v>
      </c>
      <c r="AF116" s="58">
        <f>ABS( BIN2DEC(V112)*3-BIN2DEC(Z112))</f>
        <v>0</v>
      </c>
      <c r="AG116" s="58">
        <f>BIN2DEC(X112&amp;Y112)+BIN2DEC(W112)*3</f>
        <v>0</v>
      </c>
      <c r="AH116">
        <f t="shared" si="22"/>
        <v>6</v>
      </c>
    </row>
    <row r="117" spans="1:34">
      <c r="A117" s="47">
        <f>AA117</f>
        <v>0</v>
      </c>
      <c r="B117" s="47">
        <v>5</v>
      </c>
      <c r="C117" s="48" t="str">
        <f>IF(B117&gt;1,(23)&amp;":"&amp;(23-B117+1),(23-B117+1)&amp;":"&amp;(23-B117+1))</f>
        <v>23:19</v>
      </c>
      <c r="D117" s="49" t="s">
        <v>78</v>
      </c>
      <c r="E117" s="49" t="s">
        <v>69</v>
      </c>
      <c r="F117" s="49" t="s">
        <v>68</v>
      </c>
      <c r="G117" s="49" t="s">
        <v>36</v>
      </c>
      <c r="H117" s="49" t="s">
        <v>6</v>
      </c>
      <c r="I117" s="50"/>
      <c r="L117" t="str">
        <f>DEC2HEX(_xlfn.BITLSHIFT(HEX2DEC(P117),2))</f>
        <v>0</v>
      </c>
      <c r="N117">
        <v>0</v>
      </c>
      <c r="P117" t="str">
        <f>Z117</f>
        <v>0</v>
      </c>
      <c r="Q117" s="52" t="e">
        <f>BIN2HEX(LEFT(RIGHT(C117,32),4))&amp;BIN2HEX(LEFT(RIGHT(C117,28),4))&amp;BIN2HEX(LEFT(RIGHT(C117,24),4))&amp;BIN2HEX(LEFT(RIGHT(C117,20),4))&amp;BIN2HEX(LEFT(RIGHT(C117,16),4))&amp;BIN2HEX(LEFT(RIGHT(C117,12),4))&amp;BIN2HEX(LEFT(RIGHT(C117,8),4))&amp;BIN2HEX(LEFT(RIGHT(C117,4),4))</f>
        <v>#NUM!</v>
      </c>
      <c r="R117" s="326">
        <v>23</v>
      </c>
      <c r="S117" s="321"/>
      <c r="T117" s="311"/>
      <c r="U117" s="314"/>
      <c r="V117" s="321"/>
      <c r="W117" s="311"/>
      <c r="X117" s="314"/>
      <c r="Y117" s="314"/>
      <c r="Z117" s="314" t="str">
        <f>BIN2HEX(S117&amp;T117&amp;U117&amp;V117&amp;W117&amp;X117&amp;Y117)</f>
        <v>0</v>
      </c>
      <c r="AA117" s="317"/>
      <c r="AD117" s="58"/>
      <c r="AE117" s="58"/>
      <c r="AF117" s="58"/>
      <c r="AG117" s="58"/>
    </row>
    <row r="118" spans="1:34">
      <c r="A118" s="47" t="s">
        <v>77</v>
      </c>
      <c r="B118" s="47">
        <v>1</v>
      </c>
      <c r="C118" s="51" t="s">
        <v>141</v>
      </c>
      <c r="D118" s="49" t="s">
        <v>7</v>
      </c>
      <c r="E118" s="49" t="s">
        <v>77</v>
      </c>
      <c r="F118" s="49" t="s">
        <v>68</v>
      </c>
      <c r="G118" s="49" t="s">
        <v>36</v>
      </c>
      <c r="H118" s="49" t="s">
        <v>6</v>
      </c>
      <c r="I118" s="50"/>
      <c r="Q118" s="52"/>
      <c r="R118" s="326"/>
      <c r="S118" s="322"/>
      <c r="T118" s="312"/>
      <c r="U118" s="315"/>
      <c r="V118" s="322"/>
      <c r="W118" s="312"/>
      <c r="X118" s="315"/>
      <c r="Y118" s="315"/>
      <c r="Z118" s="315"/>
      <c r="AA118" s="318"/>
      <c r="AD118" s="58">
        <f>BIN2DEC($AA117)*3</f>
        <v>0</v>
      </c>
      <c r="AE118" s="58">
        <f>ABS(BIN2DEC($U117)*3)</f>
        <v>0</v>
      </c>
      <c r="AF118" s="58">
        <f>ABS( BIN2DEC(V117)*3-BIN2DEC(Z117))</f>
        <v>0</v>
      </c>
      <c r="AG118" s="58">
        <f>BIN2DEC(X117&amp;Y117)+BIN2DEC(W117)*3</f>
        <v>0</v>
      </c>
      <c r="AH118">
        <f>AD118+AE118*4+AF118*16</f>
        <v>0</v>
      </c>
    </row>
    <row r="119" spans="1:34" ht="129.6">
      <c r="A119" s="47" t="s">
        <v>70</v>
      </c>
      <c r="B119" s="47">
        <v>3</v>
      </c>
      <c r="C119" s="51" t="s">
        <v>141</v>
      </c>
      <c r="D119" s="49" t="s">
        <v>81</v>
      </c>
      <c r="E119" s="49" t="s">
        <v>80</v>
      </c>
      <c r="F119" s="49" t="s">
        <v>68</v>
      </c>
      <c r="G119" s="49" t="s">
        <v>36</v>
      </c>
      <c r="H119" s="49" t="s">
        <v>6</v>
      </c>
      <c r="I119" s="50"/>
      <c r="Q119" s="52"/>
      <c r="R119" s="326"/>
      <c r="S119" s="322"/>
      <c r="T119" s="312"/>
      <c r="U119" s="315"/>
      <c r="V119" s="322"/>
      <c r="W119" s="312"/>
      <c r="X119" s="315"/>
      <c r="Y119" s="315"/>
      <c r="Z119" s="315"/>
      <c r="AA119" s="318"/>
      <c r="AD119" s="58">
        <f>BIN2DEC($AA117)*3</f>
        <v>0</v>
      </c>
      <c r="AE119" s="58">
        <f>ABS(BIN2DEC($U118)*3-1)</f>
        <v>1</v>
      </c>
      <c r="AF119" s="58">
        <f>ABS( BIN2DEC(V117)*3-BIN2DEC(Z117))</f>
        <v>0</v>
      </c>
      <c r="AG119" s="58">
        <f>BIN2DEC(X117&amp;Y117)+BIN2DEC(W117)*3</f>
        <v>0</v>
      </c>
      <c r="AH119">
        <f t="shared" ref="AH119:AH121" si="23">AD119+AE119*4+AF119*16</f>
        <v>4</v>
      </c>
    </row>
    <row r="120" spans="1:34">
      <c r="A120" s="47" t="s">
        <v>71</v>
      </c>
      <c r="B120" s="47">
        <v>1</v>
      </c>
      <c r="C120" s="51" t="s">
        <v>141</v>
      </c>
      <c r="D120" s="49" t="s">
        <v>7</v>
      </c>
      <c r="E120" s="49" t="s">
        <v>73</v>
      </c>
      <c r="F120" s="49" t="s">
        <v>68</v>
      </c>
      <c r="G120" s="49" t="s">
        <v>36</v>
      </c>
      <c r="H120" s="49" t="s">
        <v>6</v>
      </c>
      <c r="I120" s="50"/>
      <c r="Q120" s="52"/>
      <c r="R120" s="326"/>
      <c r="S120" s="322"/>
      <c r="T120" s="312"/>
      <c r="U120" s="315"/>
      <c r="V120" s="322"/>
      <c r="W120" s="312"/>
      <c r="X120" s="315"/>
      <c r="Y120" s="315"/>
      <c r="Z120" s="315"/>
      <c r="AA120" s="318"/>
      <c r="AD120" s="58">
        <f>ABS(BIN2DEC($AA117)*3-2)</f>
        <v>2</v>
      </c>
      <c r="AE120" s="58">
        <f>ABS(BIN2DEC($U117)*3)</f>
        <v>0</v>
      </c>
      <c r="AF120" s="58">
        <f>ABS( BIN2DEC(V117)*3-BIN2DEC(Z117))</f>
        <v>0</v>
      </c>
      <c r="AG120" s="58">
        <f>BIN2DEC(X117&amp;Y117)+BIN2DEC(W117)*3</f>
        <v>0</v>
      </c>
      <c r="AH120">
        <f t="shared" si="23"/>
        <v>2</v>
      </c>
    </row>
    <row r="121" spans="1:34" ht="15" thickBot="1">
      <c r="A121" s="47" t="s">
        <v>72</v>
      </c>
      <c r="B121" s="47">
        <v>1</v>
      </c>
      <c r="C121" s="51" t="s">
        <v>141</v>
      </c>
      <c r="D121" s="49" t="s">
        <v>7</v>
      </c>
      <c r="E121" s="49" t="s">
        <v>74</v>
      </c>
      <c r="F121" s="49" t="s">
        <v>68</v>
      </c>
      <c r="G121" s="49" t="s">
        <v>36</v>
      </c>
      <c r="H121" s="49" t="s">
        <v>6</v>
      </c>
      <c r="I121" s="50"/>
      <c r="Q121" s="52"/>
      <c r="R121" s="326"/>
      <c r="S121" s="323"/>
      <c r="T121" s="313"/>
      <c r="U121" s="316"/>
      <c r="V121" s="323"/>
      <c r="W121" s="313"/>
      <c r="X121" s="316"/>
      <c r="Y121" s="316"/>
      <c r="Z121" s="316"/>
      <c r="AA121" s="319"/>
      <c r="AD121" s="58">
        <f>ABS(BIN2DEC($AA117)*3-2)</f>
        <v>2</v>
      </c>
      <c r="AE121" s="58">
        <f>ABS(BIN2DEC($U117)*3-1)</f>
        <v>1</v>
      </c>
      <c r="AF121" s="58">
        <f>ABS( BIN2DEC(V117)*3-BIN2DEC(Z117))</f>
        <v>0</v>
      </c>
      <c r="AG121" s="58">
        <f>BIN2DEC(X117&amp;Y117)+BIN2DEC(W117)*3</f>
        <v>0</v>
      </c>
      <c r="AH121">
        <f t="shared" si="23"/>
        <v>6</v>
      </c>
    </row>
    <row r="122" spans="1:34">
      <c r="A122" s="53" t="str">
        <f>AA122</f>
        <v>vofc_dom0_quad0_quad2_sar0_slc0</v>
      </c>
      <c r="B122" s="53">
        <v>5</v>
      </c>
      <c r="C122" s="48" t="str">
        <f>IF(B122&gt;1,(23)&amp;":"&amp;(23-B122+1),(23-B122+1)&amp;":"&amp;(23-B122+1))</f>
        <v>23:19</v>
      </c>
      <c r="D122" s="49" t="s">
        <v>78</v>
      </c>
      <c r="E122" s="49" t="s">
        <v>69</v>
      </c>
      <c r="F122" s="49" t="s">
        <v>68</v>
      </c>
      <c r="G122" s="49" t="s">
        <v>36</v>
      </c>
      <c r="H122" s="49" t="s">
        <v>6</v>
      </c>
      <c r="I122" s="50"/>
      <c r="L122" t="str">
        <f>DEC2HEX(_xlfn.BITLSHIFT(HEX2DEC(P122),2))</f>
        <v>0</v>
      </c>
      <c r="N122">
        <v>1</v>
      </c>
      <c r="P122" t="str">
        <f>Z122</f>
        <v>0</v>
      </c>
      <c r="Q122" s="52" t="e">
        <f>BIN2HEX(LEFT(RIGHT(C122,32),4))&amp;BIN2HEX(LEFT(RIGHT(C122,28),4))&amp;BIN2HEX(LEFT(RIGHT(C122,24),4))&amp;BIN2HEX(LEFT(RIGHT(C122,20),4))&amp;BIN2HEX(LEFT(RIGHT(C122,16),4))&amp;BIN2HEX(LEFT(RIGHT(C122,12),4))&amp;BIN2HEX(LEFT(RIGHT(C122,8),4))&amp;BIN2HEX(LEFT(RIGHT(C122,4),4))</f>
        <v>#NUM!</v>
      </c>
      <c r="R122" s="325">
        <v>0</v>
      </c>
      <c r="S122" s="321"/>
      <c r="T122" s="311"/>
      <c r="U122" s="314"/>
      <c r="V122" s="321"/>
      <c r="W122" s="311"/>
      <c r="X122" s="314"/>
      <c r="Y122" s="314"/>
      <c r="Z122" s="314" t="str">
        <f>BIN2HEX(S122&amp;T122&amp;U122&amp;V122&amp;W122&amp;X122&amp;Y122)</f>
        <v>0</v>
      </c>
      <c r="AA122" s="317" t="str">
        <f>CONCATENATE("vofc_dom",BIN2DEC(S122&amp;T122),"_quad",BIN2DEC(Y122),"_quad",BIN2DEC(Y122)+2,"_sar",ABS( BIN2DEC(T122)*3-BIN2DEC(X122)),"_slc",BIN2DEC(V122&amp;W122)+BIN2DEC(U122)*3)</f>
        <v>vofc_dom0_quad0_quad2_sar0_slc0</v>
      </c>
      <c r="AD122" s="58"/>
      <c r="AE122" s="58"/>
      <c r="AF122" s="58"/>
      <c r="AG122" s="58"/>
    </row>
    <row r="123" spans="1:34">
      <c r="A123" s="53" t="s">
        <v>77</v>
      </c>
      <c r="B123" s="53">
        <v>1</v>
      </c>
      <c r="C123" s="51" t="s">
        <v>141</v>
      </c>
      <c r="D123" s="49" t="s">
        <v>7</v>
      </c>
      <c r="E123" s="49" t="s">
        <v>77</v>
      </c>
      <c r="F123" s="49" t="s">
        <v>68</v>
      </c>
      <c r="G123" s="49" t="s">
        <v>36</v>
      </c>
      <c r="H123" s="49" t="s">
        <v>6</v>
      </c>
      <c r="I123" s="50"/>
      <c r="Q123" s="52"/>
      <c r="R123" s="325"/>
      <c r="S123" s="322"/>
      <c r="T123" s="312"/>
      <c r="U123" s="315"/>
      <c r="V123" s="322"/>
      <c r="W123" s="312"/>
      <c r="X123" s="315"/>
      <c r="Y123" s="315"/>
      <c r="Z123" s="315"/>
      <c r="AA123" s="318"/>
      <c r="AD123" s="58" t="e">
        <f>BIN2DEC($AA122)*3</f>
        <v>#NUM!</v>
      </c>
      <c r="AE123" s="58">
        <f>ABS(BIN2DEC($U122)*3)</f>
        <v>0</v>
      </c>
      <c r="AF123" s="58">
        <f>ABS( BIN2DEC(V122)*3-BIN2DEC(Z122))</f>
        <v>0</v>
      </c>
      <c r="AG123" s="58">
        <f>BIN2DEC(X122&amp;Y122)+BIN2DEC(W122)*3</f>
        <v>0</v>
      </c>
      <c r="AH123" t="e">
        <f>AD123+AE123*4+AF123*16</f>
        <v>#NUM!</v>
      </c>
    </row>
    <row r="124" spans="1:34" ht="129.6">
      <c r="A124" s="53" t="s">
        <v>70</v>
      </c>
      <c r="B124" s="53">
        <v>3</v>
      </c>
      <c r="C124" s="51" t="s">
        <v>141</v>
      </c>
      <c r="D124" s="49" t="s">
        <v>81</v>
      </c>
      <c r="E124" s="49" t="s">
        <v>80</v>
      </c>
      <c r="F124" s="49" t="s">
        <v>68</v>
      </c>
      <c r="G124" s="49" t="s">
        <v>36</v>
      </c>
      <c r="H124" s="49" t="s">
        <v>6</v>
      </c>
      <c r="I124" s="50"/>
      <c r="Q124" s="52"/>
      <c r="R124" s="325"/>
      <c r="S124" s="322"/>
      <c r="T124" s="312"/>
      <c r="U124" s="315"/>
      <c r="V124" s="322"/>
      <c r="W124" s="312"/>
      <c r="X124" s="315"/>
      <c r="Y124" s="315"/>
      <c r="Z124" s="315"/>
      <c r="AA124" s="318"/>
      <c r="AD124" s="58" t="e">
        <f>BIN2DEC($AA122)*3</f>
        <v>#NUM!</v>
      </c>
      <c r="AE124" s="58">
        <f>ABS(BIN2DEC($U123)*3-1)</f>
        <v>1</v>
      </c>
      <c r="AF124" s="58">
        <f>ABS( BIN2DEC(V122)*3-BIN2DEC(Z122))</f>
        <v>0</v>
      </c>
      <c r="AG124" s="58">
        <f>BIN2DEC(X122&amp;Y122)+BIN2DEC(W122)*3</f>
        <v>0</v>
      </c>
      <c r="AH124" t="e">
        <f t="shared" ref="AH124:AH126" si="24">AD124+AE124*4+AF124*16</f>
        <v>#NUM!</v>
      </c>
    </row>
    <row r="125" spans="1:34">
      <c r="A125" s="53" t="s">
        <v>71</v>
      </c>
      <c r="B125" s="53">
        <v>1</v>
      </c>
      <c r="C125" s="51" t="s">
        <v>141</v>
      </c>
      <c r="D125" s="49" t="s">
        <v>7</v>
      </c>
      <c r="E125" s="49" t="s">
        <v>73</v>
      </c>
      <c r="F125" s="49" t="s">
        <v>68</v>
      </c>
      <c r="G125" s="49" t="s">
        <v>36</v>
      </c>
      <c r="H125" s="49" t="s">
        <v>6</v>
      </c>
      <c r="I125" s="50"/>
      <c r="Q125" s="52"/>
      <c r="R125" s="325"/>
      <c r="S125" s="322"/>
      <c r="T125" s="312"/>
      <c r="U125" s="315"/>
      <c r="V125" s="322"/>
      <c r="W125" s="312"/>
      <c r="X125" s="315"/>
      <c r="Y125" s="315"/>
      <c r="Z125" s="315"/>
      <c r="AA125" s="318"/>
      <c r="AD125" s="58" t="e">
        <f>ABS(BIN2DEC($AA122)*3-2)</f>
        <v>#NUM!</v>
      </c>
      <c r="AE125" s="58">
        <f>ABS(BIN2DEC($U122)*3)</f>
        <v>0</v>
      </c>
      <c r="AF125" s="58">
        <f>ABS( BIN2DEC(V122)*3-BIN2DEC(Z122))</f>
        <v>0</v>
      </c>
      <c r="AG125" s="58">
        <f>BIN2DEC(X122&amp;Y122)+BIN2DEC(W122)*3</f>
        <v>0</v>
      </c>
      <c r="AH125" t="e">
        <f t="shared" si="24"/>
        <v>#NUM!</v>
      </c>
    </row>
    <row r="126" spans="1:34" ht="15" thickBot="1">
      <c r="A126" s="53" t="s">
        <v>72</v>
      </c>
      <c r="B126" s="53">
        <v>1</v>
      </c>
      <c r="C126" s="51" t="s">
        <v>141</v>
      </c>
      <c r="D126" s="49" t="s">
        <v>7</v>
      </c>
      <c r="E126" s="49" t="s">
        <v>74</v>
      </c>
      <c r="F126" s="49" t="s">
        <v>68</v>
      </c>
      <c r="G126" s="49" t="s">
        <v>36</v>
      </c>
      <c r="H126" s="49" t="s">
        <v>6</v>
      </c>
      <c r="I126" s="50"/>
      <c r="Q126" s="52"/>
      <c r="R126" s="325"/>
      <c r="S126" s="323"/>
      <c r="T126" s="313"/>
      <c r="U126" s="316"/>
      <c r="V126" s="323"/>
      <c r="W126" s="313"/>
      <c r="X126" s="316"/>
      <c r="Y126" s="316"/>
      <c r="Z126" s="316"/>
      <c r="AA126" s="319"/>
      <c r="AD126" s="58" t="e">
        <f>ABS(BIN2DEC($AA122)*3-2)</f>
        <v>#NUM!</v>
      </c>
      <c r="AE126" s="58">
        <f>ABS(BIN2DEC($U122)*3-1)</f>
        <v>1</v>
      </c>
      <c r="AF126" s="58">
        <f>ABS( BIN2DEC(V122)*3-BIN2DEC(Z122))</f>
        <v>0</v>
      </c>
      <c r="AG126" s="58">
        <f>BIN2DEC(X122&amp;Y122)+BIN2DEC(W122)*3</f>
        <v>0</v>
      </c>
      <c r="AH126" t="e">
        <f t="shared" si="24"/>
        <v>#NUM!</v>
      </c>
    </row>
    <row r="127" spans="1:34">
      <c r="A127" s="53">
        <f>AA127</f>
        <v>0</v>
      </c>
      <c r="B127" s="53">
        <v>5</v>
      </c>
      <c r="C127" s="48" t="str">
        <f>IF(B127&gt;1,(23)&amp;":"&amp;(23-B127+1),(23-B127+1)&amp;":"&amp;(23-B127+1))</f>
        <v>23:19</v>
      </c>
      <c r="D127" s="49" t="s">
        <v>78</v>
      </c>
      <c r="E127" s="49" t="s">
        <v>69</v>
      </c>
      <c r="F127" s="49" t="s">
        <v>68</v>
      </c>
      <c r="G127" s="49" t="s">
        <v>36</v>
      </c>
      <c r="H127" s="49" t="s">
        <v>6</v>
      </c>
      <c r="I127" s="50"/>
      <c r="L127" t="str">
        <f>DEC2HEX(_xlfn.BITLSHIFT(HEX2DEC(P127),2))</f>
        <v>0</v>
      </c>
      <c r="N127">
        <v>1</v>
      </c>
      <c r="P127" t="str">
        <f>Z127</f>
        <v>0</v>
      </c>
      <c r="Q127" s="52" t="e">
        <f>BIN2HEX(LEFT(RIGHT(C127,32),4))&amp;BIN2HEX(LEFT(RIGHT(C127,28),4))&amp;BIN2HEX(LEFT(RIGHT(C127,24),4))&amp;BIN2HEX(LEFT(RIGHT(C127,20),4))&amp;BIN2HEX(LEFT(RIGHT(C127,16),4))&amp;BIN2HEX(LEFT(RIGHT(C127,12),4))&amp;BIN2HEX(LEFT(RIGHT(C127,8),4))&amp;BIN2HEX(LEFT(RIGHT(C127,4),4))</f>
        <v>#NUM!</v>
      </c>
      <c r="R127" s="325">
        <v>1</v>
      </c>
      <c r="S127" s="321"/>
      <c r="T127" s="311"/>
      <c r="U127" s="314"/>
      <c r="V127" s="321"/>
      <c r="W127" s="311"/>
      <c r="X127" s="314"/>
      <c r="Y127" s="314"/>
      <c r="Z127" s="314" t="str">
        <f t="shared" ref="Z127" si="25">BIN2HEX(S127&amp;T127&amp;U127&amp;V127&amp;W127&amp;X127&amp;Y127)</f>
        <v>0</v>
      </c>
      <c r="AA127" s="317"/>
      <c r="AD127" s="58"/>
      <c r="AE127" s="58"/>
      <c r="AF127" s="58"/>
      <c r="AG127" s="58"/>
    </row>
    <row r="128" spans="1:34">
      <c r="A128" s="53" t="s">
        <v>77</v>
      </c>
      <c r="B128" s="53">
        <v>1</v>
      </c>
      <c r="C128" s="51" t="s">
        <v>141</v>
      </c>
      <c r="D128" s="49" t="s">
        <v>7</v>
      </c>
      <c r="E128" s="49" t="s">
        <v>77</v>
      </c>
      <c r="F128" s="49" t="s">
        <v>68</v>
      </c>
      <c r="G128" s="49" t="s">
        <v>36</v>
      </c>
      <c r="H128" s="49" t="s">
        <v>6</v>
      </c>
      <c r="I128" s="50"/>
      <c r="Q128" s="52"/>
      <c r="R128" s="325"/>
      <c r="S128" s="322"/>
      <c r="T128" s="312"/>
      <c r="U128" s="315"/>
      <c r="V128" s="322"/>
      <c r="W128" s="312"/>
      <c r="X128" s="315"/>
      <c r="Y128" s="315"/>
      <c r="Z128" s="315"/>
      <c r="AA128" s="318"/>
      <c r="AD128" s="58">
        <f>BIN2DEC($AA127)*3</f>
        <v>0</v>
      </c>
      <c r="AE128" s="58">
        <f>ABS(BIN2DEC($U127)*3)</f>
        <v>0</v>
      </c>
      <c r="AF128" s="58">
        <f>ABS( BIN2DEC(V127)*3-BIN2DEC(Z127))</f>
        <v>0</v>
      </c>
      <c r="AG128" s="58">
        <f>BIN2DEC(X127&amp;Y127)+BIN2DEC(W127)*3</f>
        <v>0</v>
      </c>
      <c r="AH128">
        <f>AD128+AE128*4+AF128*16</f>
        <v>0</v>
      </c>
    </row>
    <row r="129" spans="1:34" ht="129.6">
      <c r="A129" s="53" t="s">
        <v>70</v>
      </c>
      <c r="B129" s="53">
        <v>3</v>
      </c>
      <c r="C129" s="51" t="s">
        <v>141</v>
      </c>
      <c r="D129" s="49" t="s">
        <v>81</v>
      </c>
      <c r="E129" s="49" t="s">
        <v>80</v>
      </c>
      <c r="F129" s="49" t="s">
        <v>68</v>
      </c>
      <c r="G129" s="49" t="s">
        <v>36</v>
      </c>
      <c r="H129" s="49" t="s">
        <v>6</v>
      </c>
      <c r="I129" s="50"/>
      <c r="Q129" s="52"/>
      <c r="R129" s="325"/>
      <c r="S129" s="322"/>
      <c r="T129" s="312"/>
      <c r="U129" s="315"/>
      <c r="V129" s="322"/>
      <c r="W129" s="312"/>
      <c r="X129" s="315"/>
      <c r="Y129" s="315"/>
      <c r="Z129" s="315"/>
      <c r="AA129" s="318"/>
      <c r="AD129" s="58">
        <f>BIN2DEC($AA127)*3</f>
        <v>0</v>
      </c>
      <c r="AE129" s="58">
        <f>ABS(BIN2DEC($U128)*3-1)</f>
        <v>1</v>
      </c>
      <c r="AF129" s="58">
        <f>ABS( BIN2DEC(V127)*3-BIN2DEC(Z127))</f>
        <v>0</v>
      </c>
      <c r="AG129" s="58">
        <f>BIN2DEC(X127&amp;Y127)+BIN2DEC(W127)*3</f>
        <v>0</v>
      </c>
      <c r="AH129">
        <f t="shared" ref="AH129:AH131" si="26">AD129+AE129*4+AF129*16</f>
        <v>4</v>
      </c>
    </row>
    <row r="130" spans="1:34">
      <c r="A130" s="53" t="s">
        <v>71</v>
      </c>
      <c r="B130" s="53">
        <v>1</v>
      </c>
      <c r="C130" s="51" t="s">
        <v>141</v>
      </c>
      <c r="D130" s="49" t="s">
        <v>7</v>
      </c>
      <c r="E130" s="49" t="s">
        <v>73</v>
      </c>
      <c r="F130" s="49" t="s">
        <v>68</v>
      </c>
      <c r="G130" s="49" t="s">
        <v>36</v>
      </c>
      <c r="H130" s="49" t="s">
        <v>6</v>
      </c>
      <c r="I130" s="50"/>
      <c r="Q130" s="52"/>
      <c r="R130" s="325"/>
      <c r="S130" s="322"/>
      <c r="T130" s="312"/>
      <c r="U130" s="315"/>
      <c r="V130" s="322"/>
      <c r="W130" s="312"/>
      <c r="X130" s="315"/>
      <c r="Y130" s="315"/>
      <c r="Z130" s="315"/>
      <c r="AA130" s="318"/>
      <c r="AD130" s="58">
        <f>ABS(BIN2DEC($AA127)*3-2)</f>
        <v>2</v>
      </c>
      <c r="AE130" s="58">
        <f>ABS(BIN2DEC($U127)*3)</f>
        <v>0</v>
      </c>
      <c r="AF130" s="58">
        <f>ABS( BIN2DEC(V127)*3-BIN2DEC(Z127))</f>
        <v>0</v>
      </c>
      <c r="AG130" s="58">
        <f>BIN2DEC(X127&amp;Y127)+BIN2DEC(W127)*3</f>
        <v>0</v>
      </c>
      <c r="AH130">
        <f t="shared" si="26"/>
        <v>2</v>
      </c>
    </row>
    <row r="131" spans="1:34" ht="15" thickBot="1">
      <c r="A131" s="53" t="s">
        <v>72</v>
      </c>
      <c r="B131" s="53">
        <v>1</v>
      </c>
      <c r="C131" s="51" t="s">
        <v>141</v>
      </c>
      <c r="D131" s="49" t="s">
        <v>7</v>
      </c>
      <c r="E131" s="49" t="s">
        <v>74</v>
      </c>
      <c r="F131" s="49" t="s">
        <v>68</v>
      </c>
      <c r="G131" s="49" t="s">
        <v>36</v>
      </c>
      <c r="H131" s="49" t="s">
        <v>6</v>
      </c>
      <c r="I131" s="50"/>
      <c r="Q131" s="52"/>
      <c r="R131" s="325"/>
      <c r="S131" s="323"/>
      <c r="T131" s="313"/>
      <c r="U131" s="316"/>
      <c r="V131" s="323"/>
      <c r="W131" s="313"/>
      <c r="X131" s="316"/>
      <c r="Y131" s="316"/>
      <c r="Z131" s="316"/>
      <c r="AA131" s="319"/>
      <c r="AD131" s="58">
        <f>ABS(BIN2DEC($AA127)*3-2)</f>
        <v>2</v>
      </c>
      <c r="AE131" s="58">
        <f>ABS(BIN2DEC($U127)*3-1)</f>
        <v>1</v>
      </c>
      <c r="AF131" s="58">
        <f>ABS( BIN2DEC(V127)*3-BIN2DEC(Z127))</f>
        <v>0</v>
      </c>
      <c r="AG131" s="58">
        <f>BIN2DEC(X127&amp;Y127)+BIN2DEC(W127)*3</f>
        <v>0</v>
      </c>
      <c r="AH131">
        <f t="shared" si="26"/>
        <v>6</v>
      </c>
    </row>
    <row r="132" spans="1:34">
      <c r="A132" s="53">
        <f>AA132</f>
        <v>0</v>
      </c>
      <c r="B132" s="53">
        <v>5</v>
      </c>
      <c r="C132" s="48" t="str">
        <f>IF(B132&gt;1,(23)&amp;":"&amp;(23-B132+1),(23-B132+1)&amp;":"&amp;(23-B132+1))</f>
        <v>23:19</v>
      </c>
      <c r="D132" s="49" t="s">
        <v>78</v>
      </c>
      <c r="E132" s="49" t="s">
        <v>69</v>
      </c>
      <c r="F132" s="49" t="s">
        <v>68</v>
      </c>
      <c r="G132" s="49" t="s">
        <v>36</v>
      </c>
      <c r="H132" s="49" t="s">
        <v>6</v>
      </c>
      <c r="I132" s="50"/>
      <c r="L132" t="str">
        <f>DEC2HEX(_xlfn.BITLSHIFT(HEX2DEC(P132),2))</f>
        <v>0</v>
      </c>
      <c r="N132">
        <v>1</v>
      </c>
      <c r="P132" t="str">
        <f>Z132</f>
        <v>0</v>
      </c>
      <c r="Q132" s="52" t="e">
        <f>BIN2HEX(LEFT(RIGHT(C132,32),4))&amp;BIN2HEX(LEFT(RIGHT(C132,28),4))&amp;BIN2HEX(LEFT(RIGHT(C132,24),4))&amp;BIN2HEX(LEFT(RIGHT(C132,20),4))&amp;BIN2HEX(LEFT(RIGHT(C132,16),4))&amp;BIN2HEX(LEFT(RIGHT(C132,12),4))&amp;BIN2HEX(LEFT(RIGHT(C132,8),4))&amp;BIN2HEX(LEFT(RIGHT(C132,4),4))</f>
        <v>#NUM!</v>
      </c>
      <c r="R132" s="325">
        <v>2</v>
      </c>
      <c r="S132" s="321"/>
      <c r="T132" s="311"/>
      <c r="U132" s="314"/>
      <c r="V132" s="321"/>
      <c r="W132" s="311"/>
      <c r="X132" s="314"/>
      <c r="Y132" s="314"/>
      <c r="Z132" s="314" t="str">
        <f t="shared" ref="Z132" si="27">BIN2HEX(S132&amp;T132&amp;U132&amp;V132&amp;W132&amp;X132&amp;Y132)</f>
        <v>0</v>
      </c>
      <c r="AA132" s="317"/>
      <c r="AD132" s="58"/>
      <c r="AE132" s="58"/>
      <c r="AF132" s="58"/>
      <c r="AG132" s="58"/>
    </row>
    <row r="133" spans="1:34">
      <c r="A133" s="53" t="s">
        <v>77</v>
      </c>
      <c r="B133" s="53">
        <v>1</v>
      </c>
      <c r="C133" s="51" t="s">
        <v>141</v>
      </c>
      <c r="D133" s="49" t="s">
        <v>7</v>
      </c>
      <c r="E133" s="49" t="s">
        <v>77</v>
      </c>
      <c r="F133" s="49" t="s">
        <v>68</v>
      </c>
      <c r="G133" s="49" t="s">
        <v>36</v>
      </c>
      <c r="H133" s="49" t="s">
        <v>6</v>
      </c>
      <c r="I133" s="50"/>
      <c r="Q133" s="52"/>
      <c r="R133" s="325"/>
      <c r="S133" s="322"/>
      <c r="T133" s="312"/>
      <c r="U133" s="315"/>
      <c r="V133" s="322"/>
      <c r="W133" s="312"/>
      <c r="X133" s="315"/>
      <c r="Y133" s="315"/>
      <c r="Z133" s="315"/>
      <c r="AA133" s="318"/>
      <c r="AD133" s="58">
        <f>BIN2DEC($AA132)*3</f>
        <v>0</v>
      </c>
      <c r="AE133" s="58">
        <f>ABS(BIN2DEC($U132)*3)</f>
        <v>0</v>
      </c>
      <c r="AF133" s="58">
        <f>ABS( BIN2DEC(V132)*3-BIN2DEC(Z132))</f>
        <v>0</v>
      </c>
      <c r="AG133" s="58">
        <f>BIN2DEC(X132&amp;Y132)+BIN2DEC(W132)*3</f>
        <v>0</v>
      </c>
      <c r="AH133">
        <f>AD133+AE133*4+AF133*16</f>
        <v>0</v>
      </c>
    </row>
    <row r="134" spans="1:34" ht="129.6">
      <c r="A134" s="53" t="s">
        <v>70</v>
      </c>
      <c r="B134" s="53">
        <v>3</v>
      </c>
      <c r="C134" s="51" t="s">
        <v>141</v>
      </c>
      <c r="D134" s="49" t="s">
        <v>81</v>
      </c>
      <c r="E134" s="49" t="s">
        <v>80</v>
      </c>
      <c r="F134" s="49" t="s">
        <v>68</v>
      </c>
      <c r="G134" s="49" t="s">
        <v>36</v>
      </c>
      <c r="H134" s="49" t="s">
        <v>6</v>
      </c>
      <c r="I134" s="50"/>
      <c r="Q134" s="52"/>
      <c r="R134" s="325"/>
      <c r="S134" s="322"/>
      <c r="T134" s="312"/>
      <c r="U134" s="315"/>
      <c r="V134" s="322"/>
      <c r="W134" s="312"/>
      <c r="X134" s="315"/>
      <c r="Y134" s="315"/>
      <c r="Z134" s="315"/>
      <c r="AA134" s="318"/>
      <c r="AD134" s="58">
        <f>BIN2DEC($AA132)*3</f>
        <v>0</v>
      </c>
      <c r="AE134" s="58">
        <f>ABS(BIN2DEC($U133)*3-1)</f>
        <v>1</v>
      </c>
      <c r="AF134" s="58">
        <f>ABS( BIN2DEC(V132)*3-BIN2DEC(Z132))</f>
        <v>0</v>
      </c>
      <c r="AG134" s="58">
        <f>BIN2DEC(X132&amp;Y132)+BIN2DEC(W132)*3</f>
        <v>0</v>
      </c>
      <c r="AH134">
        <f t="shared" ref="AH134:AH136" si="28">AD134+AE134*4+AF134*16</f>
        <v>4</v>
      </c>
    </row>
    <row r="135" spans="1:34">
      <c r="A135" s="53" t="s">
        <v>71</v>
      </c>
      <c r="B135" s="53">
        <v>1</v>
      </c>
      <c r="C135" s="51" t="s">
        <v>141</v>
      </c>
      <c r="D135" s="49" t="s">
        <v>7</v>
      </c>
      <c r="E135" s="49" t="s">
        <v>73</v>
      </c>
      <c r="F135" s="49" t="s">
        <v>68</v>
      </c>
      <c r="G135" s="49" t="s">
        <v>36</v>
      </c>
      <c r="H135" s="49" t="s">
        <v>6</v>
      </c>
      <c r="I135" s="50"/>
      <c r="Q135" s="52"/>
      <c r="R135" s="325"/>
      <c r="S135" s="322"/>
      <c r="T135" s="312"/>
      <c r="U135" s="315"/>
      <c r="V135" s="322"/>
      <c r="W135" s="312"/>
      <c r="X135" s="315"/>
      <c r="Y135" s="315"/>
      <c r="Z135" s="315"/>
      <c r="AA135" s="318"/>
      <c r="AD135" s="58">
        <f>ABS(BIN2DEC($AA132)*3-2)</f>
        <v>2</v>
      </c>
      <c r="AE135" s="58">
        <f>ABS(BIN2DEC($U132)*3)</f>
        <v>0</v>
      </c>
      <c r="AF135" s="58">
        <f>ABS( BIN2DEC(V132)*3-BIN2DEC(Z132))</f>
        <v>0</v>
      </c>
      <c r="AG135" s="58">
        <f>BIN2DEC(X132&amp;Y132)+BIN2DEC(W132)*3</f>
        <v>0</v>
      </c>
      <c r="AH135">
        <f t="shared" si="28"/>
        <v>2</v>
      </c>
    </row>
    <row r="136" spans="1:34" ht="15" thickBot="1">
      <c r="A136" s="53" t="s">
        <v>72</v>
      </c>
      <c r="B136" s="53">
        <v>1</v>
      </c>
      <c r="C136" s="51" t="s">
        <v>141</v>
      </c>
      <c r="D136" s="49" t="s">
        <v>7</v>
      </c>
      <c r="E136" s="49" t="s">
        <v>74</v>
      </c>
      <c r="F136" s="49" t="s">
        <v>68</v>
      </c>
      <c r="G136" s="49" t="s">
        <v>36</v>
      </c>
      <c r="H136" s="49" t="s">
        <v>6</v>
      </c>
      <c r="I136" s="50"/>
      <c r="Q136" s="52"/>
      <c r="R136" s="325"/>
      <c r="S136" s="323"/>
      <c r="T136" s="313"/>
      <c r="U136" s="316"/>
      <c r="V136" s="323"/>
      <c r="W136" s="313"/>
      <c r="X136" s="316"/>
      <c r="Y136" s="316"/>
      <c r="Z136" s="316"/>
      <c r="AA136" s="319"/>
      <c r="AD136" s="58">
        <f>ABS(BIN2DEC($AA132)*3-2)</f>
        <v>2</v>
      </c>
      <c r="AE136" s="58">
        <f>ABS(BIN2DEC($U132)*3-1)</f>
        <v>1</v>
      </c>
      <c r="AF136" s="58">
        <f>ABS( BIN2DEC(V132)*3-BIN2DEC(Z132))</f>
        <v>0</v>
      </c>
      <c r="AG136" s="58">
        <f>BIN2DEC(X132&amp;Y132)+BIN2DEC(W132)*3</f>
        <v>0</v>
      </c>
      <c r="AH136">
        <f t="shared" si="28"/>
        <v>6</v>
      </c>
    </row>
    <row r="137" spans="1:34">
      <c r="A137" s="53">
        <f>AA137</f>
        <v>0</v>
      </c>
      <c r="B137" s="53">
        <v>5</v>
      </c>
      <c r="C137" s="48" t="str">
        <f>IF(B137&gt;1,(23)&amp;":"&amp;(23-B137+1),(23-B137+1)&amp;":"&amp;(23-B137+1))</f>
        <v>23:19</v>
      </c>
      <c r="D137" s="49" t="s">
        <v>78</v>
      </c>
      <c r="E137" s="49" t="s">
        <v>69</v>
      </c>
      <c r="F137" s="49" t="s">
        <v>68</v>
      </c>
      <c r="G137" s="49" t="s">
        <v>36</v>
      </c>
      <c r="H137" s="49" t="s">
        <v>6</v>
      </c>
      <c r="I137" s="50"/>
      <c r="L137" t="str">
        <f>DEC2HEX(_xlfn.BITLSHIFT(HEX2DEC(P137),2))</f>
        <v>0</v>
      </c>
      <c r="N137">
        <v>1</v>
      </c>
      <c r="P137" t="str">
        <f>Z137</f>
        <v>0</v>
      </c>
      <c r="Q137" s="52" t="e">
        <f>BIN2HEX(LEFT(RIGHT(C137,32),4))&amp;BIN2HEX(LEFT(RIGHT(C137,28),4))&amp;BIN2HEX(LEFT(RIGHT(C137,24),4))&amp;BIN2HEX(LEFT(RIGHT(C137,20),4))&amp;BIN2HEX(LEFT(RIGHT(C137,16),4))&amp;BIN2HEX(LEFT(RIGHT(C137,12),4))&amp;BIN2HEX(LEFT(RIGHT(C137,8),4))&amp;BIN2HEX(LEFT(RIGHT(C137,4),4))</f>
        <v>#NUM!</v>
      </c>
      <c r="R137" s="325">
        <v>3</v>
      </c>
      <c r="S137" s="321"/>
      <c r="T137" s="311"/>
      <c r="U137" s="314"/>
      <c r="V137" s="321"/>
      <c r="W137" s="311"/>
      <c r="X137" s="314"/>
      <c r="Y137" s="314"/>
      <c r="Z137" s="314" t="str">
        <f t="shared" ref="Z137" si="29">BIN2HEX(S137&amp;T137&amp;U137&amp;V137&amp;W137&amp;X137&amp;Y137)</f>
        <v>0</v>
      </c>
      <c r="AA137" s="317"/>
      <c r="AD137" s="58"/>
      <c r="AE137" s="58"/>
      <c r="AF137" s="58"/>
      <c r="AG137" s="58"/>
    </row>
    <row r="138" spans="1:34">
      <c r="A138" s="53" t="s">
        <v>77</v>
      </c>
      <c r="B138" s="53">
        <v>1</v>
      </c>
      <c r="C138" s="51" t="s">
        <v>141</v>
      </c>
      <c r="D138" s="49" t="s">
        <v>7</v>
      </c>
      <c r="E138" s="49" t="s">
        <v>77</v>
      </c>
      <c r="F138" s="49" t="s">
        <v>68</v>
      </c>
      <c r="G138" s="49" t="s">
        <v>36</v>
      </c>
      <c r="H138" s="49" t="s">
        <v>6</v>
      </c>
      <c r="I138" s="50"/>
      <c r="Q138" s="52"/>
      <c r="R138" s="325"/>
      <c r="S138" s="322"/>
      <c r="T138" s="312"/>
      <c r="U138" s="315"/>
      <c r="V138" s="322"/>
      <c r="W138" s="312"/>
      <c r="X138" s="315"/>
      <c r="Y138" s="315"/>
      <c r="Z138" s="315"/>
      <c r="AA138" s="318"/>
      <c r="AD138" s="58">
        <f>BIN2DEC($AA137)*3</f>
        <v>0</v>
      </c>
      <c r="AE138" s="58">
        <f>ABS(BIN2DEC($U137)*3)</f>
        <v>0</v>
      </c>
      <c r="AF138" s="58">
        <f>ABS( BIN2DEC(V137)*3-BIN2DEC(Z137))</f>
        <v>0</v>
      </c>
      <c r="AG138" s="58">
        <f>BIN2DEC(X137&amp;Y137)+BIN2DEC(W137)*3</f>
        <v>0</v>
      </c>
      <c r="AH138">
        <f>AD138+AE138*4+AF138*16</f>
        <v>0</v>
      </c>
    </row>
    <row r="139" spans="1:34" ht="129.6">
      <c r="A139" s="53" t="s">
        <v>70</v>
      </c>
      <c r="B139" s="53">
        <v>3</v>
      </c>
      <c r="C139" s="51" t="s">
        <v>141</v>
      </c>
      <c r="D139" s="49" t="s">
        <v>81</v>
      </c>
      <c r="E139" s="49" t="s">
        <v>80</v>
      </c>
      <c r="F139" s="49" t="s">
        <v>68</v>
      </c>
      <c r="G139" s="49" t="s">
        <v>36</v>
      </c>
      <c r="H139" s="49" t="s">
        <v>6</v>
      </c>
      <c r="I139" s="50"/>
      <c r="Q139" s="52"/>
      <c r="R139" s="325"/>
      <c r="S139" s="322"/>
      <c r="T139" s="312"/>
      <c r="U139" s="315"/>
      <c r="V139" s="322"/>
      <c r="W139" s="312"/>
      <c r="X139" s="315"/>
      <c r="Y139" s="315"/>
      <c r="Z139" s="315"/>
      <c r="AA139" s="318"/>
      <c r="AD139" s="58">
        <f>BIN2DEC($AA137)*3</f>
        <v>0</v>
      </c>
      <c r="AE139" s="58">
        <f>ABS(BIN2DEC($U138)*3-1)</f>
        <v>1</v>
      </c>
      <c r="AF139" s="58">
        <f>ABS( BIN2DEC(V137)*3-BIN2DEC(Z137))</f>
        <v>0</v>
      </c>
      <c r="AG139" s="58">
        <f>BIN2DEC(X137&amp;Y137)+BIN2DEC(W137)*3</f>
        <v>0</v>
      </c>
      <c r="AH139">
        <f t="shared" ref="AH139:AH141" si="30">AD139+AE139*4+AF139*16</f>
        <v>4</v>
      </c>
    </row>
    <row r="140" spans="1:34">
      <c r="A140" s="53" t="s">
        <v>71</v>
      </c>
      <c r="B140" s="53">
        <v>1</v>
      </c>
      <c r="C140" s="51" t="s">
        <v>141</v>
      </c>
      <c r="D140" s="49" t="s">
        <v>7</v>
      </c>
      <c r="E140" s="49" t="s">
        <v>73</v>
      </c>
      <c r="F140" s="49" t="s">
        <v>68</v>
      </c>
      <c r="G140" s="49" t="s">
        <v>36</v>
      </c>
      <c r="H140" s="49" t="s">
        <v>6</v>
      </c>
      <c r="I140" s="50"/>
      <c r="Q140" s="52"/>
      <c r="R140" s="325"/>
      <c r="S140" s="322"/>
      <c r="T140" s="312"/>
      <c r="U140" s="315"/>
      <c r="V140" s="322"/>
      <c r="W140" s="312"/>
      <c r="X140" s="315"/>
      <c r="Y140" s="315"/>
      <c r="Z140" s="315"/>
      <c r="AA140" s="318"/>
      <c r="AD140" s="58">
        <f>ABS(BIN2DEC($AA137)*3-2)</f>
        <v>2</v>
      </c>
      <c r="AE140" s="58">
        <f>ABS(BIN2DEC($U137)*3)</f>
        <v>0</v>
      </c>
      <c r="AF140" s="58">
        <f>ABS( BIN2DEC(V137)*3-BIN2DEC(Z137))</f>
        <v>0</v>
      </c>
      <c r="AG140" s="58">
        <f>BIN2DEC(X137&amp;Y137)+BIN2DEC(W137)*3</f>
        <v>0</v>
      </c>
      <c r="AH140">
        <f t="shared" si="30"/>
        <v>2</v>
      </c>
    </row>
    <row r="141" spans="1:34" ht="15" thickBot="1">
      <c r="A141" s="53" t="s">
        <v>72</v>
      </c>
      <c r="B141" s="53">
        <v>1</v>
      </c>
      <c r="C141" s="51" t="s">
        <v>141</v>
      </c>
      <c r="D141" s="49" t="s">
        <v>7</v>
      </c>
      <c r="E141" s="49" t="s">
        <v>74</v>
      </c>
      <c r="F141" s="49" t="s">
        <v>68</v>
      </c>
      <c r="G141" s="49" t="s">
        <v>36</v>
      </c>
      <c r="H141" s="49" t="s">
        <v>6</v>
      </c>
      <c r="I141" s="50"/>
      <c r="Q141" s="52"/>
      <c r="R141" s="325"/>
      <c r="S141" s="323"/>
      <c r="T141" s="313"/>
      <c r="U141" s="316"/>
      <c r="V141" s="323"/>
      <c r="W141" s="313"/>
      <c r="X141" s="316"/>
      <c r="Y141" s="316"/>
      <c r="Z141" s="316"/>
      <c r="AA141" s="319"/>
      <c r="AD141" s="58">
        <f>ABS(BIN2DEC($AA137)*3-2)</f>
        <v>2</v>
      </c>
      <c r="AE141" s="58">
        <f>ABS(BIN2DEC($U137)*3-1)</f>
        <v>1</v>
      </c>
      <c r="AF141" s="58">
        <f>ABS( BIN2DEC(V137)*3-BIN2DEC(Z137))</f>
        <v>0</v>
      </c>
      <c r="AG141" s="58">
        <f>BIN2DEC(X137&amp;Y137)+BIN2DEC(W137)*3</f>
        <v>0</v>
      </c>
      <c r="AH141">
        <f t="shared" si="30"/>
        <v>6</v>
      </c>
    </row>
    <row r="142" spans="1:34">
      <c r="A142" s="53">
        <f>AA142</f>
        <v>0</v>
      </c>
      <c r="B142" s="53">
        <v>5</v>
      </c>
      <c r="C142" s="48" t="str">
        <f>IF(B142&gt;1,(23)&amp;":"&amp;(23-B142+1),(23-B142+1)&amp;":"&amp;(23-B142+1))</f>
        <v>23:19</v>
      </c>
      <c r="D142" s="49" t="s">
        <v>78</v>
      </c>
      <c r="E142" s="49" t="s">
        <v>69</v>
      </c>
      <c r="F142" s="49" t="s">
        <v>68</v>
      </c>
      <c r="G142" s="49" t="s">
        <v>36</v>
      </c>
      <c r="H142" s="49" t="s">
        <v>6</v>
      </c>
      <c r="I142" s="50"/>
      <c r="L142" t="str">
        <f>DEC2HEX(_xlfn.BITLSHIFT(HEX2DEC(P142),2))</f>
        <v>0</v>
      </c>
      <c r="N142">
        <v>1</v>
      </c>
      <c r="P142" t="str">
        <f>Z142</f>
        <v>0</v>
      </c>
      <c r="Q142" s="52" t="e">
        <f>BIN2HEX(LEFT(RIGHT(C142,32),4))&amp;BIN2HEX(LEFT(RIGHT(C142,28),4))&amp;BIN2HEX(LEFT(RIGHT(C142,24),4))&amp;BIN2HEX(LEFT(RIGHT(C142,20),4))&amp;BIN2HEX(LEFT(RIGHT(C142,16),4))&amp;BIN2HEX(LEFT(RIGHT(C142,12),4))&amp;BIN2HEX(LEFT(RIGHT(C142,8),4))&amp;BIN2HEX(LEFT(RIGHT(C142,4),4))</f>
        <v>#NUM!</v>
      </c>
      <c r="R142" s="325">
        <v>4</v>
      </c>
      <c r="S142" s="321"/>
      <c r="T142" s="311"/>
      <c r="U142" s="314"/>
      <c r="V142" s="321"/>
      <c r="W142" s="311"/>
      <c r="X142" s="314"/>
      <c r="Y142" s="314"/>
      <c r="Z142" s="314" t="str">
        <f t="shared" ref="Z142" si="31">BIN2HEX(S142&amp;T142&amp;U142&amp;V142&amp;W142&amp;X142&amp;Y142)</f>
        <v>0</v>
      </c>
      <c r="AA142" s="317"/>
      <c r="AD142" s="58"/>
      <c r="AE142" s="58"/>
      <c r="AF142" s="58"/>
      <c r="AG142" s="58"/>
    </row>
    <row r="143" spans="1:34">
      <c r="A143" s="53" t="s">
        <v>77</v>
      </c>
      <c r="B143" s="53">
        <v>1</v>
      </c>
      <c r="C143" s="51" t="s">
        <v>141</v>
      </c>
      <c r="D143" s="49" t="s">
        <v>7</v>
      </c>
      <c r="E143" s="49" t="s">
        <v>77</v>
      </c>
      <c r="F143" s="49" t="s">
        <v>68</v>
      </c>
      <c r="G143" s="49" t="s">
        <v>36</v>
      </c>
      <c r="H143" s="49" t="s">
        <v>6</v>
      </c>
      <c r="I143" s="50"/>
      <c r="Q143" s="52"/>
      <c r="R143" s="325"/>
      <c r="S143" s="322"/>
      <c r="T143" s="312"/>
      <c r="U143" s="315"/>
      <c r="V143" s="322"/>
      <c r="W143" s="312"/>
      <c r="X143" s="315"/>
      <c r="Y143" s="315"/>
      <c r="Z143" s="315"/>
      <c r="AA143" s="318"/>
      <c r="AD143" s="58">
        <f>BIN2DEC($AA142)*3</f>
        <v>0</v>
      </c>
      <c r="AE143" s="58">
        <f>ABS(BIN2DEC($U142)*3)</f>
        <v>0</v>
      </c>
      <c r="AF143" s="58">
        <f>ABS( BIN2DEC(V142)*3-BIN2DEC(Z142))</f>
        <v>0</v>
      </c>
      <c r="AG143" s="58">
        <f>BIN2DEC(X142&amp;Y142)+BIN2DEC(W142)*3</f>
        <v>0</v>
      </c>
      <c r="AH143">
        <f>AD143+AE143*4+AF143*16</f>
        <v>0</v>
      </c>
    </row>
    <row r="144" spans="1:34" ht="129.6">
      <c r="A144" s="53" t="s">
        <v>70</v>
      </c>
      <c r="B144" s="53">
        <v>3</v>
      </c>
      <c r="C144" s="51" t="s">
        <v>141</v>
      </c>
      <c r="D144" s="49" t="s">
        <v>81</v>
      </c>
      <c r="E144" s="49" t="s">
        <v>80</v>
      </c>
      <c r="F144" s="49" t="s">
        <v>68</v>
      </c>
      <c r="G144" s="49" t="s">
        <v>36</v>
      </c>
      <c r="H144" s="49" t="s">
        <v>6</v>
      </c>
      <c r="I144" s="50"/>
      <c r="Q144" s="52"/>
      <c r="R144" s="325"/>
      <c r="S144" s="322"/>
      <c r="T144" s="312"/>
      <c r="U144" s="315"/>
      <c r="V144" s="322"/>
      <c r="W144" s="312"/>
      <c r="X144" s="315"/>
      <c r="Y144" s="315"/>
      <c r="Z144" s="315"/>
      <c r="AA144" s="318"/>
      <c r="AD144" s="58">
        <f>BIN2DEC($AA142)*3</f>
        <v>0</v>
      </c>
      <c r="AE144" s="58">
        <f>ABS(BIN2DEC($U143)*3-1)</f>
        <v>1</v>
      </c>
      <c r="AF144" s="58">
        <f>ABS( BIN2DEC(V142)*3-BIN2DEC(Z142))</f>
        <v>0</v>
      </c>
      <c r="AG144" s="58">
        <f>BIN2DEC(X142&amp;Y142)+BIN2DEC(W142)*3</f>
        <v>0</v>
      </c>
      <c r="AH144">
        <f t="shared" ref="AH144:AH146" si="32">AD144+AE144*4+AF144*16</f>
        <v>4</v>
      </c>
    </row>
    <row r="145" spans="1:34">
      <c r="A145" s="53" t="s">
        <v>71</v>
      </c>
      <c r="B145" s="53">
        <v>1</v>
      </c>
      <c r="C145" s="51" t="s">
        <v>141</v>
      </c>
      <c r="D145" s="49" t="s">
        <v>7</v>
      </c>
      <c r="E145" s="49" t="s">
        <v>73</v>
      </c>
      <c r="F145" s="49" t="s">
        <v>68</v>
      </c>
      <c r="G145" s="49" t="s">
        <v>36</v>
      </c>
      <c r="H145" s="49" t="s">
        <v>6</v>
      </c>
      <c r="I145" s="50"/>
      <c r="Q145" s="52"/>
      <c r="R145" s="325"/>
      <c r="S145" s="322"/>
      <c r="T145" s="312"/>
      <c r="U145" s="315"/>
      <c r="V145" s="322"/>
      <c r="W145" s="312"/>
      <c r="X145" s="315"/>
      <c r="Y145" s="315"/>
      <c r="Z145" s="315"/>
      <c r="AA145" s="318"/>
      <c r="AD145" s="58">
        <f>ABS(BIN2DEC($AA142)*3-2)</f>
        <v>2</v>
      </c>
      <c r="AE145" s="58">
        <f>ABS(BIN2DEC($U142)*3)</f>
        <v>0</v>
      </c>
      <c r="AF145" s="58">
        <f>ABS( BIN2DEC(V142)*3-BIN2DEC(Z142))</f>
        <v>0</v>
      </c>
      <c r="AG145" s="58">
        <f>BIN2DEC(X142&amp;Y142)+BIN2DEC(W142)*3</f>
        <v>0</v>
      </c>
      <c r="AH145">
        <f t="shared" si="32"/>
        <v>2</v>
      </c>
    </row>
    <row r="146" spans="1:34" ht="15" thickBot="1">
      <c r="A146" s="53" t="s">
        <v>72</v>
      </c>
      <c r="B146" s="53">
        <v>1</v>
      </c>
      <c r="C146" s="51" t="s">
        <v>141</v>
      </c>
      <c r="D146" s="49" t="s">
        <v>7</v>
      </c>
      <c r="E146" s="49" t="s">
        <v>74</v>
      </c>
      <c r="F146" s="49" t="s">
        <v>68</v>
      </c>
      <c r="G146" s="49" t="s">
        <v>36</v>
      </c>
      <c r="H146" s="49" t="s">
        <v>6</v>
      </c>
      <c r="I146" s="50"/>
      <c r="Q146" s="52"/>
      <c r="R146" s="325"/>
      <c r="S146" s="323"/>
      <c r="T146" s="313"/>
      <c r="U146" s="316"/>
      <c r="V146" s="323"/>
      <c r="W146" s="313"/>
      <c r="X146" s="316"/>
      <c r="Y146" s="316"/>
      <c r="Z146" s="316"/>
      <c r="AA146" s="319"/>
      <c r="AD146" s="58">
        <f>ABS(BIN2DEC($AA142)*3-2)</f>
        <v>2</v>
      </c>
      <c r="AE146" s="58">
        <f>ABS(BIN2DEC($U142)*3-1)</f>
        <v>1</v>
      </c>
      <c r="AF146" s="58">
        <f>ABS( BIN2DEC(V142)*3-BIN2DEC(Z142))</f>
        <v>0</v>
      </c>
      <c r="AG146" s="58">
        <f>BIN2DEC(X142&amp;Y142)+BIN2DEC(W142)*3</f>
        <v>0</v>
      </c>
      <c r="AH146">
        <f t="shared" si="32"/>
        <v>6</v>
      </c>
    </row>
    <row r="147" spans="1:34">
      <c r="A147" s="53">
        <f>AA147</f>
        <v>0</v>
      </c>
      <c r="B147" s="53">
        <v>5</v>
      </c>
      <c r="C147" s="48" t="str">
        <f>IF(B147&gt;1,(23)&amp;":"&amp;(23-B147+1),(23-B147+1)&amp;":"&amp;(23-B147+1))</f>
        <v>23:19</v>
      </c>
      <c r="D147" s="49" t="s">
        <v>78</v>
      </c>
      <c r="E147" s="49" t="s">
        <v>69</v>
      </c>
      <c r="F147" s="49" t="s">
        <v>68</v>
      </c>
      <c r="G147" s="49" t="s">
        <v>36</v>
      </c>
      <c r="H147" s="49" t="s">
        <v>6</v>
      </c>
      <c r="I147" s="50"/>
      <c r="L147" t="str">
        <f>DEC2HEX(_xlfn.BITLSHIFT(HEX2DEC(P147),2))</f>
        <v>0</v>
      </c>
      <c r="N147">
        <v>1</v>
      </c>
      <c r="P147" t="str">
        <f>Z147</f>
        <v>0</v>
      </c>
      <c r="Q147" s="52" t="e">
        <f>BIN2HEX(LEFT(RIGHT(C147,32),4))&amp;BIN2HEX(LEFT(RIGHT(C147,28),4))&amp;BIN2HEX(LEFT(RIGHT(C147,24),4))&amp;BIN2HEX(LEFT(RIGHT(C147,20),4))&amp;BIN2HEX(LEFT(RIGHT(C147,16),4))&amp;BIN2HEX(LEFT(RIGHT(C147,12),4))&amp;BIN2HEX(LEFT(RIGHT(C147,8),4))&amp;BIN2HEX(LEFT(RIGHT(C147,4),4))</f>
        <v>#NUM!</v>
      </c>
      <c r="R147" s="325">
        <v>5</v>
      </c>
      <c r="S147" s="321"/>
      <c r="T147" s="311"/>
      <c r="U147" s="314"/>
      <c r="V147" s="321"/>
      <c r="W147" s="311"/>
      <c r="X147" s="314"/>
      <c r="Y147" s="314"/>
      <c r="Z147" s="314" t="str">
        <f t="shared" ref="Z147" si="33">BIN2HEX(S147&amp;T147&amp;U147&amp;V147&amp;W147&amp;X147&amp;Y147)</f>
        <v>0</v>
      </c>
      <c r="AA147" s="317"/>
      <c r="AD147" s="58"/>
      <c r="AE147" s="58"/>
      <c r="AF147" s="58"/>
      <c r="AG147" s="58"/>
    </row>
    <row r="148" spans="1:34">
      <c r="A148" s="53" t="s">
        <v>77</v>
      </c>
      <c r="B148" s="53">
        <v>1</v>
      </c>
      <c r="C148" s="51" t="s">
        <v>141</v>
      </c>
      <c r="D148" s="49" t="s">
        <v>7</v>
      </c>
      <c r="E148" s="49" t="s">
        <v>77</v>
      </c>
      <c r="F148" s="49" t="s">
        <v>68</v>
      </c>
      <c r="G148" s="49" t="s">
        <v>36</v>
      </c>
      <c r="H148" s="49" t="s">
        <v>6</v>
      </c>
      <c r="I148" s="50"/>
      <c r="Q148" s="52"/>
      <c r="R148" s="325"/>
      <c r="S148" s="322"/>
      <c r="T148" s="312"/>
      <c r="U148" s="315"/>
      <c r="V148" s="322"/>
      <c r="W148" s="312"/>
      <c r="X148" s="315"/>
      <c r="Y148" s="315"/>
      <c r="Z148" s="315"/>
      <c r="AA148" s="318"/>
      <c r="AD148" s="58">
        <f>BIN2DEC($AA147)*3</f>
        <v>0</v>
      </c>
      <c r="AE148" s="58">
        <f>ABS(BIN2DEC($U147)*3)</f>
        <v>0</v>
      </c>
      <c r="AF148" s="58">
        <f>ABS( BIN2DEC(V147)*3-BIN2DEC(Z147))</f>
        <v>0</v>
      </c>
      <c r="AG148" s="58">
        <f>BIN2DEC(X147&amp;Y147)+BIN2DEC(W147)*3</f>
        <v>0</v>
      </c>
      <c r="AH148">
        <f>AD148+AE148*4+AF148*16</f>
        <v>0</v>
      </c>
    </row>
    <row r="149" spans="1:34" ht="129.6">
      <c r="A149" s="53" t="s">
        <v>70</v>
      </c>
      <c r="B149" s="53">
        <v>3</v>
      </c>
      <c r="C149" s="51" t="s">
        <v>141</v>
      </c>
      <c r="D149" s="49" t="s">
        <v>81</v>
      </c>
      <c r="E149" s="49" t="s">
        <v>80</v>
      </c>
      <c r="F149" s="49" t="s">
        <v>68</v>
      </c>
      <c r="G149" s="49" t="s">
        <v>36</v>
      </c>
      <c r="H149" s="49" t="s">
        <v>6</v>
      </c>
      <c r="I149" s="50"/>
      <c r="Q149" s="52"/>
      <c r="R149" s="325"/>
      <c r="S149" s="322"/>
      <c r="T149" s="312"/>
      <c r="U149" s="315"/>
      <c r="V149" s="322"/>
      <c r="W149" s="312"/>
      <c r="X149" s="315"/>
      <c r="Y149" s="315"/>
      <c r="Z149" s="315"/>
      <c r="AA149" s="318"/>
      <c r="AD149" s="58">
        <f>BIN2DEC($AA147)*3</f>
        <v>0</v>
      </c>
      <c r="AE149" s="58">
        <f>ABS(BIN2DEC($U148)*3-1)</f>
        <v>1</v>
      </c>
      <c r="AF149" s="58">
        <f>ABS( BIN2DEC(V147)*3-BIN2DEC(Z147))</f>
        <v>0</v>
      </c>
      <c r="AG149" s="58">
        <f>BIN2DEC(X147&amp;Y147)+BIN2DEC(W147)*3</f>
        <v>0</v>
      </c>
      <c r="AH149">
        <f t="shared" ref="AH149:AH151" si="34">AD149+AE149*4+AF149*16</f>
        <v>4</v>
      </c>
    </row>
    <row r="150" spans="1:34">
      <c r="A150" s="53" t="s">
        <v>71</v>
      </c>
      <c r="B150" s="53">
        <v>1</v>
      </c>
      <c r="C150" s="51" t="s">
        <v>141</v>
      </c>
      <c r="D150" s="49" t="s">
        <v>7</v>
      </c>
      <c r="E150" s="49" t="s">
        <v>73</v>
      </c>
      <c r="F150" s="49" t="s">
        <v>68</v>
      </c>
      <c r="G150" s="49" t="s">
        <v>36</v>
      </c>
      <c r="H150" s="49" t="s">
        <v>6</v>
      </c>
      <c r="I150" s="50"/>
      <c r="Q150" s="52"/>
      <c r="R150" s="325"/>
      <c r="S150" s="322"/>
      <c r="T150" s="312"/>
      <c r="U150" s="315"/>
      <c r="V150" s="322"/>
      <c r="W150" s="312"/>
      <c r="X150" s="315"/>
      <c r="Y150" s="315"/>
      <c r="Z150" s="315"/>
      <c r="AA150" s="318"/>
      <c r="AD150" s="58">
        <f>ABS(BIN2DEC($AA147)*3-2)</f>
        <v>2</v>
      </c>
      <c r="AE150" s="58">
        <f>ABS(BIN2DEC($U147)*3)</f>
        <v>0</v>
      </c>
      <c r="AF150" s="58">
        <f>ABS( BIN2DEC(V147)*3-BIN2DEC(Z147))</f>
        <v>0</v>
      </c>
      <c r="AG150" s="58">
        <f>BIN2DEC(X147&amp;Y147)+BIN2DEC(W147)*3</f>
        <v>0</v>
      </c>
      <c r="AH150">
        <f t="shared" si="34"/>
        <v>2</v>
      </c>
    </row>
    <row r="151" spans="1:34" ht="15" thickBot="1">
      <c r="A151" s="53" t="s">
        <v>72</v>
      </c>
      <c r="B151" s="53">
        <v>1</v>
      </c>
      <c r="C151" s="51" t="s">
        <v>141</v>
      </c>
      <c r="D151" s="49" t="s">
        <v>7</v>
      </c>
      <c r="E151" s="49" t="s">
        <v>74</v>
      </c>
      <c r="F151" s="49" t="s">
        <v>68</v>
      </c>
      <c r="G151" s="49" t="s">
        <v>36</v>
      </c>
      <c r="H151" s="49" t="s">
        <v>6</v>
      </c>
      <c r="I151" s="50"/>
      <c r="Q151" s="52"/>
      <c r="R151" s="325"/>
      <c r="S151" s="323"/>
      <c r="T151" s="313"/>
      <c r="U151" s="316"/>
      <c r="V151" s="323"/>
      <c r="W151" s="313"/>
      <c r="X151" s="316"/>
      <c r="Y151" s="316"/>
      <c r="Z151" s="316"/>
      <c r="AA151" s="319"/>
      <c r="AD151" s="58">
        <f>ABS(BIN2DEC($AA147)*3-2)</f>
        <v>2</v>
      </c>
      <c r="AE151" s="58">
        <f>ABS(BIN2DEC($U147)*3-1)</f>
        <v>1</v>
      </c>
      <c r="AF151" s="58">
        <f>ABS( BIN2DEC(V147)*3-BIN2DEC(Z147))</f>
        <v>0</v>
      </c>
      <c r="AG151" s="58">
        <f>BIN2DEC(X147&amp;Y147)+BIN2DEC(W147)*3</f>
        <v>0</v>
      </c>
      <c r="AH151">
        <f t="shared" si="34"/>
        <v>6</v>
      </c>
    </row>
    <row r="152" spans="1:34">
      <c r="A152" s="53">
        <f>AA152</f>
        <v>0</v>
      </c>
      <c r="B152" s="53">
        <v>5</v>
      </c>
      <c r="C152" s="48" t="str">
        <f>IF(B152&gt;1,(23)&amp;":"&amp;(23-B152+1),(23-B152+1)&amp;":"&amp;(23-B152+1))</f>
        <v>23:19</v>
      </c>
      <c r="D152" s="49" t="s">
        <v>78</v>
      </c>
      <c r="E152" s="49" t="s">
        <v>69</v>
      </c>
      <c r="F152" s="49" t="s">
        <v>68</v>
      </c>
      <c r="G152" s="49" t="s">
        <v>36</v>
      </c>
      <c r="H152" s="49" t="s">
        <v>6</v>
      </c>
      <c r="I152" s="50"/>
      <c r="L152" t="str">
        <f>DEC2HEX(_xlfn.BITLSHIFT(HEX2DEC(P152),2))</f>
        <v>0</v>
      </c>
      <c r="N152">
        <v>1</v>
      </c>
      <c r="P152" t="str">
        <f>Z152</f>
        <v>0</v>
      </c>
      <c r="Q152" s="52" t="e">
        <f>BIN2HEX(LEFT(RIGHT(C152,32),4))&amp;BIN2HEX(LEFT(RIGHT(C152,28),4))&amp;BIN2HEX(LEFT(RIGHT(C152,24),4))&amp;BIN2HEX(LEFT(RIGHT(C152,20),4))&amp;BIN2HEX(LEFT(RIGHT(C152,16),4))&amp;BIN2HEX(LEFT(RIGHT(C152,12),4))&amp;BIN2HEX(LEFT(RIGHT(C152,8),4))&amp;BIN2HEX(LEFT(RIGHT(C152,4),4))</f>
        <v>#NUM!</v>
      </c>
      <c r="R152" s="325">
        <v>6</v>
      </c>
      <c r="S152" s="321"/>
      <c r="T152" s="311"/>
      <c r="U152" s="314"/>
      <c r="V152" s="321"/>
      <c r="W152" s="311"/>
      <c r="X152" s="314"/>
      <c r="Y152" s="314"/>
      <c r="Z152" s="314" t="str">
        <f t="shared" ref="Z152" si="35">BIN2HEX(S152&amp;T152&amp;U152&amp;V152&amp;W152&amp;X152&amp;Y152)</f>
        <v>0</v>
      </c>
      <c r="AA152" s="317"/>
      <c r="AD152" s="58"/>
      <c r="AE152" s="58"/>
      <c r="AF152" s="58"/>
      <c r="AG152" s="58"/>
    </row>
    <row r="153" spans="1:34">
      <c r="A153" s="53" t="s">
        <v>77</v>
      </c>
      <c r="B153" s="53">
        <v>1</v>
      </c>
      <c r="C153" s="51" t="s">
        <v>141</v>
      </c>
      <c r="D153" s="49" t="s">
        <v>7</v>
      </c>
      <c r="E153" s="49" t="s">
        <v>77</v>
      </c>
      <c r="F153" s="49" t="s">
        <v>68</v>
      </c>
      <c r="G153" s="49" t="s">
        <v>36</v>
      </c>
      <c r="H153" s="49" t="s">
        <v>6</v>
      </c>
      <c r="I153" s="50"/>
      <c r="Q153" s="52"/>
      <c r="R153" s="325"/>
      <c r="S153" s="322"/>
      <c r="T153" s="312"/>
      <c r="U153" s="315"/>
      <c r="V153" s="322"/>
      <c r="W153" s="312"/>
      <c r="X153" s="315"/>
      <c r="Y153" s="315"/>
      <c r="Z153" s="315"/>
      <c r="AA153" s="318"/>
      <c r="AD153" s="58">
        <f>BIN2DEC($AA152)*3</f>
        <v>0</v>
      </c>
      <c r="AE153" s="58">
        <f>ABS(BIN2DEC($U152)*3)</f>
        <v>0</v>
      </c>
      <c r="AF153" s="58">
        <f>ABS( BIN2DEC(V152)*3-BIN2DEC(Z152))</f>
        <v>0</v>
      </c>
      <c r="AG153" s="58">
        <f>BIN2DEC(X152&amp;Y152)+BIN2DEC(W152)*3</f>
        <v>0</v>
      </c>
      <c r="AH153">
        <f>AD153+AE153*4+AF153*16</f>
        <v>0</v>
      </c>
    </row>
    <row r="154" spans="1:34" ht="129.6">
      <c r="A154" s="53" t="s">
        <v>70</v>
      </c>
      <c r="B154" s="53">
        <v>3</v>
      </c>
      <c r="C154" s="51" t="s">
        <v>141</v>
      </c>
      <c r="D154" s="49" t="s">
        <v>81</v>
      </c>
      <c r="E154" s="49" t="s">
        <v>80</v>
      </c>
      <c r="F154" s="49" t="s">
        <v>68</v>
      </c>
      <c r="G154" s="49" t="s">
        <v>36</v>
      </c>
      <c r="H154" s="49" t="s">
        <v>6</v>
      </c>
      <c r="I154" s="50"/>
      <c r="Q154" s="52"/>
      <c r="R154" s="325"/>
      <c r="S154" s="322"/>
      <c r="T154" s="312"/>
      <c r="U154" s="315"/>
      <c r="V154" s="322"/>
      <c r="W154" s="312"/>
      <c r="X154" s="315"/>
      <c r="Y154" s="315"/>
      <c r="Z154" s="315"/>
      <c r="AA154" s="318"/>
      <c r="AD154" s="58">
        <f>BIN2DEC($AA152)*3</f>
        <v>0</v>
      </c>
      <c r="AE154" s="58">
        <f>ABS(BIN2DEC($U153)*3-1)</f>
        <v>1</v>
      </c>
      <c r="AF154" s="58">
        <f>ABS( BIN2DEC(V152)*3-BIN2DEC(Z152))</f>
        <v>0</v>
      </c>
      <c r="AG154" s="58">
        <f>BIN2DEC(X152&amp;Y152)+BIN2DEC(W152)*3</f>
        <v>0</v>
      </c>
      <c r="AH154">
        <f t="shared" ref="AH154:AH156" si="36">AD154+AE154*4+AF154*16</f>
        <v>4</v>
      </c>
    </row>
    <row r="155" spans="1:34">
      <c r="A155" s="53" t="s">
        <v>71</v>
      </c>
      <c r="B155" s="53">
        <v>1</v>
      </c>
      <c r="C155" s="51" t="s">
        <v>141</v>
      </c>
      <c r="D155" s="49" t="s">
        <v>7</v>
      </c>
      <c r="E155" s="49" t="s">
        <v>73</v>
      </c>
      <c r="F155" s="49" t="s">
        <v>68</v>
      </c>
      <c r="G155" s="49" t="s">
        <v>36</v>
      </c>
      <c r="H155" s="49" t="s">
        <v>6</v>
      </c>
      <c r="I155" s="50"/>
      <c r="Q155" s="52"/>
      <c r="R155" s="325"/>
      <c r="S155" s="322"/>
      <c r="T155" s="312"/>
      <c r="U155" s="315"/>
      <c r="V155" s="322"/>
      <c r="W155" s="312"/>
      <c r="X155" s="315"/>
      <c r="Y155" s="315"/>
      <c r="Z155" s="315"/>
      <c r="AA155" s="318"/>
      <c r="AD155" s="58">
        <f>ABS(BIN2DEC($AA152)*3-2)</f>
        <v>2</v>
      </c>
      <c r="AE155" s="58">
        <f>ABS(BIN2DEC($U152)*3)</f>
        <v>0</v>
      </c>
      <c r="AF155" s="58">
        <f>ABS( BIN2DEC(V152)*3-BIN2DEC(Z152))</f>
        <v>0</v>
      </c>
      <c r="AG155" s="58">
        <f>BIN2DEC(X152&amp;Y152)+BIN2DEC(W152)*3</f>
        <v>0</v>
      </c>
      <c r="AH155">
        <f t="shared" si="36"/>
        <v>2</v>
      </c>
    </row>
    <row r="156" spans="1:34" ht="15" thickBot="1">
      <c r="A156" s="53" t="s">
        <v>72</v>
      </c>
      <c r="B156" s="53">
        <v>1</v>
      </c>
      <c r="C156" s="51" t="s">
        <v>141</v>
      </c>
      <c r="D156" s="49" t="s">
        <v>7</v>
      </c>
      <c r="E156" s="49" t="s">
        <v>74</v>
      </c>
      <c r="F156" s="49" t="s">
        <v>68</v>
      </c>
      <c r="G156" s="49" t="s">
        <v>36</v>
      </c>
      <c r="H156" s="49" t="s">
        <v>6</v>
      </c>
      <c r="I156" s="50"/>
      <c r="Q156" s="52"/>
      <c r="R156" s="325"/>
      <c r="S156" s="323"/>
      <c r="T156" s="313"/>
      <c r="U156" s="316"/>
      <c r="V156" s="323"/>
      <c r="W156" s="313"/>
      <c r="X156" s="316"/>
      <c r="Y156" s="316"/>
      <c r="Z156" s="316"/>
      <c r="AA156" s="319"/>
      <c r="AD156" s="58">
        <f>ABS(BIN2DEC($AA152)*3-2)</f>
        <v>2</v>
      </c>
      <c r="AE156" s="58">
        <f>ABS(BIN2DEC($U152)*3-1)</f>
        <v>1</v>
      </c>
      <c r="AF156" s="58">
        <f>ABS( BIN2DEC(V152)*3-BIN2DEC(Z152))</f>
        <v>0</v>
      </c>
      <c r="AG156" s="58">
        <f>BIN2DEC(X152&amp;Y152)+BIN2DEC(W152)*3</f>
        <v>0</v>
      </c>
      <c r="AH156">
        <f t="shared" si="36"/>
        <v>6</v>
      </c>
    </row>
    <row r="157" spans="1:34">
      <c r="A157" s="53">
        <f>AA157</f>
        <v>0</v>
      </c>
      <c r="B157" s="53">
        <v>5</v>
      </c>
      <c r="C157" s="48" t="str">
        <f>IF(B157&gt;1,(23)&amp;":"&amp;(23-B157+1),(23-B157+1)&amp;":"&amp;(23-B157+1))</f>
        <v>23:19</v>
      </c>
      <c r="D157" s="49" t="s">
        <v>78</v>
      </c>
      <c r="E157" s="49" t="s">
        <v>69</v>
      </c>
      <c r="F157" s="49" t="s">
        <v>68</v>
      </c>
      <c r="G157" s="49" t="s">
        <v>36</v>
      </c>
      <c r="H157" s="49" t="s">
        <v>6</v>
      </c>
      <c r="I157" s="50"/>
      <c r="L157" t="str">
        <f>DEC2HEX(_xlfn.BITLSHIFT(HEX2DEC(P157),2))</f>
        <v>0</v>
      </c>
      <c r="N157">
        <v>1</v>
      </c>
      <c r="P157" t="str">
        <f>Z157</f>
        <v>0</v>
      </c>
      <c r="Q157" s="52" t="e">
        <f>BIN2HEX(LEFT(RIGHT(C157,32),4))&amp;BIN2HEX(LEFT(RIGHT(C157,28),4))&amp;BIN2HEX(LEFT(RIGHT(C157,24),4))&amp;BIN2HEX(LEFT(RIGHT(C157,20),4))&amp;BIN2HEX(LEFT(RIGHT(C157,16),4))&amp;BIN2HEX(LEFT(RIGHT(C157,12),4))&amp;BIN2HEX(LEFT(RIGHT(C157,8),4))&amp;BIN2HEX(LEFT(RIGHT(C157,4),4))</f>
        <v>#NUM!</v>
      </c>
      <c r="R157" s="325">
        <v>7</v>
      </c>
      <c r="S157" s="321"/>
      <c r="T157" s="311"/>
      <c r="U157" s="314"/>
      <c r="V157" s="321"/>
      <c r="W157" s="311"/>
      <c r="X157" s="314"/>
      <c r="Y157" s="314"/>
      <c r="Z157" s="314" t="str">
        <f t="shared" ref="Z157" si="37">BIN2HEX(S157&amp;T157&amp;U157&amp;V157&amp;W157&amp;X157&amp;Y157)</f>
        <v>0</v>
      </c>
      <c r="AA157" s="317"/>
      <c r="AD157" s="58"/>
      <c r="AE157" s="58"/>
      <c r="AF157" s="58"/>
      <c r="AG157" s="58"/>
    </row>
    <row r="158" spans="1:34">
      <c r="A158" s="53" t="s">
        <v>77</v>
      </c>
      <c r="B158" s="53">
        <v>1</v>
      </c>
      <c r="C158" s="51" t="s">
        <v>141</v>
      </c>
      <c r="D158" s="49" t="s">
        <v>7</v>
      </c>
      <c r="E158" s="49" t="s">
        <v>77</v>
      </c>
      <c r="F158" s="49" t="s">
        <v>68</v>
      </c>
      <c r="G158" s="49" t="s">
        <v>36</v>
      </c>
      <c r="H158" s="49" t="s">
        <v>6</v>
      </c>
      <c r="I158" s="50"/>
      <c r="Q158" s="52"/>
      <c r="R158" s="325"/>
      <c r="S158" s="322"/>
      <c r="T158" s="312"/>
      <c r="U158" s="315"/>
      <c r="V158" s="322"/>
      <c r="W158" s="312"/>
      <c r="X158" s="315"/>
      <c r="Y158" s="315"/>
      <c r="Z158" s="315"/>
      <c r="AA158" s="318"/>
      <c r="AD158" s="58">
        <f>BIN2DEC($AA157)*3</f>
        <v>0</v>
      </c>
      <c r="AE158" s="58">
        <f>ABS(BIN2DEC($U157)*3)</f>
        <v>0</v>
      </c>
      <c r="AF158" s="58">
        <f>ABS( BIN2DEC(V157)*3-BIN2DEC(Z157))</f>
        <v>0</v>
      </c>
      <c r="AG158" s="58">
        <f>BIN2DEC(X157&amp;Y157)+BIN2DEC(W157)*3</f>
        <v>0</v>
      </c>
      <c r="AH158">
        <f>AD158+AE158*4+AF158*16</f>
        <v>0</v>
      </c>
    </row>
    <row r="159" spans="1:34" ht="129.6">
      <c r="A159" s="53" t="s">
        <v>70</v>
      </c>
      <c r="B159" s="53">
        <v>3</v>
      </c>
      <c r="C159" s="51" t="s">
        <v>141</v>
      </c>
      <c r="D159" s="49" t="s">
        <v>81</v>
      </c>
      <c r="E159" s="49" t="s">
        <v>80</v>
      </c>
      <c r="F159" s="49" t="s">
        <v>68</v>
      </c>
      <c r="G159" s="49" t="s">
        <v>36</v>
      </c>
      <c r="H159" s="49" t="s">
        <v>6</v>
      </c>
      <c r="I159" s="50"/>
      <c r="Q159" s="52"/>
      <c r="R159" s="325"/>
      <c r="S159" s="322"/>
      <c r="T159" s="312"/>
      <c r="U159" s="315"/>
      <c r="V159" s="322"/>
      <c r="W159" s="312"/>
      <c r="X159" s="315"/>
      <c r="Y159" s="315"/>
      <c r="Z159" s="315"/>
      <c r="AA159" s="318"/>
      <c r="AD159" s="58">
        <f>BIN2DEC($AA157)*3</f>
        <v>0</v>
      </c>
      <c r="AE159" s="58">
        <f>ABS(BIN2DEC($U158)*3-1)</f>
        <v>1</v>
      </c>
      <c r="AF159" s="58">
        <f>ABS( BIN2DEC(V157)*3-BIN2DEC(Z157))</f>
        <v>0</v>
      </c>
      <c r="AG159" s="58">
        <f>BIN2DEC(X157&amp;Y157)+BIN2DEC(W157)*3</f>
        <v>0</v>
      </c>
      <c r="AH159">
        <f t="shared" ref="AH159:AH161" si="38">AD159+AE159*4+AF159*16</f>
        <v>4</v>
      </c>
    </row>
    <row r="160" spans="1:34">
      <c r="A160" s="53" t="s">
        <v>71</v>
      </c>
      <c r="B160" s="53">
        <v>1</v>
      </c>
      <c r="C160" s="51" t="s">
        <v>141</v>
      </c>
      <c r="D160" s="49" t="s">
        <v>7</v>
      </c>
      <c r="E160" s="49" t="s">
        <v>73</v>
      </c>
      <c r="F160" s="49" t="s">
        <v>68</v>
      </c>
      <c r="G160" s="49" t="s">
        <v>36</v>
      </c>
      <c r="H160" s="49" t="s">
        <v>6</v>
      </c>
      <c r="I160" s="50"/>
      <c r="Q160" s="52"/>
      <c r="R160" s="325"/>
      <c r="S160" s="322"/>
      <c r="T160" s="312"/>
      <c r="U160" s="315"/>
      <c r="V160" s="322"/>
      <c r="W160" s="312"/>
      <c r="X160" s="315"/>
      <c r="Y160" s="315"/>
      <c r="Z160" s="315"/>
      <c r="AA160" s="318"/>
      <c r="AD160" s="58">
        <f>ABS(BIN2DEC($AA157)*3-2)</f>
        <v>2</v>
      </c>
      <c r="AE160" s="58">
        <f>ABS(BIN2DEC($U157)*3)</f>
        <v>0</v>
      </c>
      <c r="AF160" s="58">
        <f>ABS( BIN2DEC(V157)*3-BIN2DEC(Z157))</f>
        <v>0</v>
      </c>
      <c r="AG160" s="58">
        <f>BIN2DEC(X157&amp;Y157)+BIN2DEC(W157)*3</f>
        <v>0</v>
      </c>
      <c r="AH160">
        <f t="shared" si="38"/>
        <v>2</v>
      </c>
    </row>
    <row r="161" spans="1:34" ht="15" thickBot="1">
      <c r="A161" s="53" t="s">
        <v>72</v>
      </c>
      <c r="B161" s="53">
        <v>1</v>
      </c>
      <c r="C161" s="51" t="s">
        <v>141</v>
      </c>
      <c r="D161" s="49" t="s">
        <v>7</v>
      </c>
      <c r="E161" s="49" t="s">
        <v>74</v>
      </c>
      <c r="F161" s="49" t="s">
        <v>68</v>
      </c>
      <c r="G161" s="49" t="s">
        <v>36</v>
      </c>
      <c r="H161" s="49" t="s">
        <v>6</v>
      </c>
      <c r="I161" s="50"/>
      <c r="Q161" s="52"/>
      <c r="R161" s="325"/>
      <c r="S161" s="323"/>
      <c r="T161" s="313"/>
      <c r="U161" s="316"/>
      <c r="V161" s="323"/>
      <c r="W161" s="313"/>
      <c r="X161" s="316"/>
      <c r="Y161" s="316"/>
      <c r="Z161" s="316"/>
      <c r="AA161" s="319"/>
      <c r="AD161" s="58">
        <f>ABS(BIN2DEC($AA157)*3-2)</f>
        <v>2</v>
      </c>
      <c r="AE161" s="58">
        <f>ABS(BIN2DEC($U157)*3-1)</f>
        <v>1</v>
      </c>
      <c r="AF161" s="58">
        <f>ABS( BIN2DEC(V157)*3-BIN2DEC(Z157))</f>
        <v>0</v>
      </c>
      <c r="AG161" s="58">
        <f>BIN2DEC(X157&amp;Y157)+BIN2DEC(W157)*3</f>
        <v>0</v>
      </c>
      <c r="AH161">
        <f t="shared" si="38"/>
        <v>6</v>
      </c>
    </row>
    <row r="162" spans="1:34">
      <c r="A162" s="53">
        <f>AA162</f>
        <v>0</v>
      </c>
      <c r="B162" s="53">
        <v>5</v>
      </c>
      <c r="C162" s="48" t="str">
        <f>IF(B162&gt;1,(23)&amp;":"&amp;(23-B162+1),(23-B162+1)&amp;":"&amp;(23-B162+1))</f>
        <v>23:19</v>
      </c>
      <c r="D162" s="49" t="s">
        <v>78</v>
      </c>
      <c r="E162" s="49" t="s">
        <v>69</v>
      </c>
      <c r="F162" s="49" t="s">
        <v>68</v>
      </c>
      <c r="G162" s="49" t="s">
        <v>36</v>
      </c>
      <c r="H162" s="49" t="s">
        <v>6</v>
      </c>
      <c r="I162" s="50"/>
      <c r="L162" t="str">
        <f>DEC2HEX(_xlfn.BITLSHIFT(HEX2DEC(P162),2))</f>
        <v>0</v>
      </c>
      <c r="N162">
        <v>1</v>
      </c>
      <c r="P162" t="str">
        <f>Z162</f>
        <v>0</v>
      </c>
      <c r="Q162" s="52" t="e">
        <f>BIN2HEX(LEFT(RIGHT(C162,32),4))&amp;BIN2HEX(LEFT(RIGHT(C162,28),4))&amp;BIN2HEX(LEFT(RIGHT(C162,24),4))&amp;BIN2HEX(LEFT(RIGHT(C162,20),4))&amp;BIN2HEX(LEFT(RIGHT(C162,16),4))&amp;BIN2HEX(LEFT(RIGHT(C162,12),4))&amp;BIN2HEX(LEFT(RIGHT(C162,8),4))&amp;BIN2HEX(LEFT(RIGHT(C162,4),4))</f>
        <v>#NUM!</v>
      </c>
      <c r="R162" s="325">
        <v>8</v>
      </c>
      <c r="S162" s="321"/>
      <c r="T162" s="311"/>
      <c r="U162" s="314"/>
      <c r="V162" s="321"/>
      <c r="W162" s="311"/>
      <c r="X162" s="314"/>
      <c r="Y162" s="314"/>
      <c r="Z162" s="314" t="str">
        <f t="shared" ref="Z162" si="39">BIN2HEX(S162&amp;T162&amp;U162&amp;V162&amp;W162&amp;X162&amp;Y162)</f>
        <v>0</v>
      </c>
      <c r="AA162" s="317"/>
      <c r="AD162" s="58"/>
      <c r="AE162" s="58"/>
      <c r="AF162" s="58"/>
      <c r="AG162" s="58"/>
    </row>
    <row r="163" spans="1:34">
      <c r="A163" s="53" t="s">
        <v>77</v>
      </c>
      <c r="B163" s="53">
        <v>1</v>
      </c>
      <c r="C163" s="51" t="s">
        <v>141</v>
      </c>
      <c r="D163" s="49" t="s">
        <v>7</v>
      </c>
      <c r="E163" s="49" t="s">
        <v>77</v>
      </c>
      <c r="F163" s="49" t="s">
        <v>68</v>
      </c>
      <c r="G163" s="49" t="s">
        <v>36</v>
      </c>
      <c r="H163" s="49" t="s">
        <v>6</v>
      </c>
      <c r="I163" s="50"/>
      <c r="Q163" s="52"/>
      <c r="R163" s="325"/>
      <c r="S163" s="322"/>
      <c r="T163" s="312"/>
      <c r="U163" s="315"/>
      <c r="V163" s="322"/>
      <c r="W163" s="312"/>
      <c r="X163" s="315"/>
      <c r="Y163" s="315"/>
      <c r="Z163" s="315"/>
      <c r="AA163" s="318"/>
      <c r="AD163" s="58">
        <f>BIN2DEC($AA162)*3</f>
        <v>0</v>
      </c>
      <c r="AE163" s="58">
        <f>ABS(BIN2DEC($U162)*3)</f>
        <v>0</v>
      </c>
      <c r="AF163" s="58">
        <f>ABS( BIN2DEC(V162)*3-BIN2DEC(Z162))</f>
        <v>0</v>
      </c>
      <c r="AG163" s="58">
        <f>BIN2DEC(X162&amp;Y162)+BIN2DEC(W162)*3</f>
        <v>0</v>
      </c>
      <c r="AH163">
        <f>AD163+AE163*4+AF163*16</f>
        <v>0</v>
      </c>
    </row>
    <row r="164" spans="1:34" ht="129.6">
      <c r="A164" s="53" t="s">
        <v>70</v>
      </c>
      <c r="B164" s="53">
        <v>3</v>
      </c>
      <c r="C164" s="51" t="s">
        <v>141</v>
      </c>
      <c r="D164" s="49" t="s">
        <v>81</v>
      </c>
      <c r="E164" s="49" t="s">
        <v>80</v>
      </c>
      <c r="F164" s="49" t="s">
        <v>68</v>
      </c>
      <c r="G164" s="49" t="s">
        <v>36</v>
      </c>
      <c r="H164" s="49" t="s">
        <v>6</v>
      </c>
      <c r="I164" s="50"/>
      <c r="Q164" s="52"/>
      <c r="R164" s="325"/>
      <c r="S164" s="322"/>
      <c r="T164" s="312"/>
      <c r="U164" s="315"/>
      <c r="V164" s="322"/>
      <c r="W164" s="312"/>
      <c r="X164" s="315"/>
      <c r="Y164" s="315"/>
      <c r="Z164" s="315"/>
      <c r="AA164" s="318"/>
      <c r="AD164" s="58">
        <f>BIN2DEC($AA162)*3</f>
        <v>0</v>
      </c>
      <c r="AE164" s="58">
        <f>ABS(BIN2DEC($U163)*3-1)</f>
        <v>1</v>
      </c>
      <c r="AF164" s="58">
        <f>ABS( BIN2DEC(V162)*3-BIN2DEC(Z162))</f>
        <v>0</v>
      </c>
      <c r="AG164" s="58">
        <f>BIN2DEC(X162&amp;Y162)+BIN2DEC(W162)*3</f>
        <v>0</v>
      </c>
      <c r="AH164">
        <f t="shared" ref="AH164:AH166" si="40">AD164+AE164*4+AF164*16</f>
        <v>4</v>
      </c>
    </row>
    <row r="165" spans="1:34">
      <c r="A165" s="53" t="s">
        <v>71</v>
      </c>
      <c r="B165" s="53">
        <v>1</v>
      </c>
      <c r="C165" s="51" t="s">
        <v>141</v>
      </c>
      <c r="D165" s="49" t="s">
        <v>7</v>
      </c>
      <c r="E165" s="49" t="s">
        <v>73</v>
      </c>
      <c r="F165" s="49" t="s">
        <v>68</v>
      </c>
      <c r="G165" s="49" t="s">
        <v>36</v>
      </c>
      <c r="H165" s="49" t="s">
        <v>6</v>
      </c>
      <c r="I165" s="50"/>
      <c r="Q165" s="52"/>
      <c r="R165" s="325"/>
      <c r="S165" s="322"/>
      <c r="T165" s="312"/>
      <c r="U165" s="315"/>
      <c r="V165" s="322"/>
      <c r="W165" s="312"/>
      <c r="X165" s="315"/>
      <c r="Y165" s="315"/>
      <c r="Z165" s="315"/>
      <c r="AA165" s="318"/>
      <c r="AD165" s="58">
        <f>ABS(BIN2DEC($AA162)*3-2)</f>
        <v>2</v>
      </c>
      <c r="AE165" s="58">
        <f>ABS(BIN2DEC($U162)*3)</f>
        <v>0</v>
      </c>
      <c r="AF165" s="58">
        <f>ABS( BIN2DEC(V162)*3-BIN2DEC(Z162))</f>
        <v>0</v>
      </c>
      <c r="AG165" s="58">
        <f>BIN2DEC(X162&amp;Y162)+BIN2DEC(W162)*3</f>
        <v>0</v>
      </c>
      <c r="AH165">
        <f t="shared" si="40"/>
        <v>2</v>
      </c>
    </row>
    <row r="166" spans="1:34" ht="15" thickBot="1">
      <c r="A166" s="53" t="s">
        <v>72</v>
      </c>
      <c r="B166" s="53">
        <v>1</v>
      </c>
      <c r="C166" s="51" t="s">
        <v>141</v>
      </c>
      <c r="D166" s="49" t="s">
        <v>7</v>
      </c>
      <c r="E166" s="49" t="s">
        <v>74</v>
      </c>
      <c r="F166" s="49" t="s">
        <v>68</v>
      </c>
      <c r="G166" s="49" t="s">
        <v>36</v>
      </c>
      <c r="H166" s="49" t="s">
        <v>6</v>
      </c>
      <c r="I166" s="50"/>
      <c r="Q166" s="52"/>
      <c r="R166" s="325"/>
      <c r="S166" s="323"/>
      <c r="T166" s="313"/>
      <c r="U166" s="316"/>
      <c r="V166" s="323"/>
      <c r="W166" s="313"/>
      <c r="X166" s="316"/>
      <c r="Y166" s="316"/>
      <c r="Z166" s="316"/>
      <c r="AA166" s="319"/>
      <c r="AD166" s="58">
        <f>ABS(BIN2DEC($AA162)*3-2)</f>
        <v>2</v>
      </c>
      <c r="AE166" s="58">
        <f>ABS(BIN2DEC($U162)*3-1)</f>
        <v>1</v>
      </c>
      <c r="AF166" s="58">
        <f>ABS( BIN2DEC(V162)*3-BIN2DEC(Z162))</f>
        <v>0</v>
      </c>
      <c r="AG166" s="58">
        <f>BIN2DEC(X162&amp;Y162)+BIN2DEC(W162)*3</f>
        <v>0</v>
      </c>
      <c r="AH166">
        <f t="shared" si="40"/>
        <v>6</v>
      </c>
    </row>
    <row r="167" spans="1:34">
      <c r="A167" s="53">
        <f>AA167</f>
        <v>0</v>
      </c>
      <c r="B167" s="53">
        <v>5</v>
      </c>
      <c r="C167" s="48" t="str">
        <f>IF(B167&gt;1,(23)&amp;":"&amp;(23-B167+1),(23-B167+1)&amp;":"&amp;(23-B167+1))</f>
        <v>23:19</v>
      </c>
      <c r="D167" s="49" t="s">
        <v>78</v>
      </c>
      <c r="E167" s="49" t="s">
        <v>69</v>
      </c>
      <c r="F167" s="49" t="s">
        <v>68</v>
      </c>
      <c r="G167" s="49" t="s">
        <v>36</v>
      </c>
      <c r="H167" s="49" t="s">
        <v>6</v>
      </c>
      <c r="I167" s="50"/>
      <c r="L167" t="str">
        <f>DEC2HEX(_xlfn.BITLSHIFT(HEX2DEC(P167),2))</f>
        <v>0</v>
      </c>
      <c r="N167">
        <v>1</v>
      </c>
      <c r="P167" t="str">
        <f>Z167</f>
        <v>0</v>
      </c>
      <c r="Q167" s="52" t="e">
        <f>BIN2HEX(LEFT(RIGHT(C167,32),4))&amp;BIN2HEX(LEFT(RIGHT(C167,28),4))&amp;BIN2HEX(LEFT(RIGHT(C167,24),4))&amp;BIN2HEX(LEFT(RIGHT(C167,20),4))&amp;BIN2HEX(LEFT(RIGHT(C167,16),4))&amp;BIN2HEX(LEFT(RIGHT(C167,12),4))&amp;BIN2HEX(LEFT(RIGHT(C167,8),4))&amp;BIN2HEX(LEFT(RIGHT(C167,4),4))</f>
        <v>#NUM!</v>
      </c>
      <c r="R167" s="325">
        <v>9</v>
      </c>
      <c r="S167" s="321"/>
      <c r="T167" s="311"/>
      <c r="U167" s="314"/>
      <c r="V167" s="321"/>
      <c r="W167" s="311"/>
      <c r="X167" s="314"/>
      <c r="Y167" s="314"/>
      <c r="Z167" s="314" t="str">
        <f t="shared" ref="Z167" si="41">BIN2HEX(S167&amp;T167&amp;U167&amp;V167&amp;W167&amp;X167&amp;Y167)</f>
        <v>0</v>
      </c>
      <c r="AA167" s="317"/>
      <c r="AD167" s="58"/>
      <c r="AE167" s="58"/>
      <c r="AF167" s="58"/>
      <c r="AG167" s="58"/>
    </row>
    <row r="168" spans="1:34">
      <c r="A168" s="53" t="s">
        <v>77</v>
      </c>
      <c r="B168" s="53">
        <v>1</v>
      </c>
      <c r="C168" s="51" t="s">
        <v>141</v>
      </c>
      <c r="D168" s="49" t="s">
        <v>7</v>
      </c>
      <c r="E168" s="49" t="s">
        <v>77</v>
      </c>
      <c r="F168" s="49" t="s">
        <v>68</v>
      </c>
      <c r="G168" s="49" t="s">
        <v>36</v>
      </c>
      <c r="H168" s="49" t="s">
        <v>6</v>
      </c>
      <c r="I168" s="50"/>
      <c r="Q168" s="52"/>
      <c r="R168" s="325"/>
      <c r="S168" s="322"/>
      <c r="T168" s="312"/>
      <c r="U168" s="315"/>
      <c r="V168" s="322"/>
      <c r="W168" s="312"/>
      <c r="X168" s="315"/>
      <c r="Y168" s="315"/>
      <c r="Z168" s="315"/>
      <c r="AA168" s="318"/>
      <c r="AD168" s="58">
        <f>BIN2DEC($AA167)*3</f>
        <v>0</v>
      </c>
      <c r="AE168" s="58">
        <f>ABS(BIN2DEC($U167)*3)</f>
        <v>0</v>
      </c>
      <c r="AF168" s="58">
        <f>ABS( BIN2DEC(V167)*3-BIN2DEC(Z167))</f>
        <v>0</v>
      </c>
      <c r="AG168" s="58">
        <f>BIN2DEC(X167&amp;Y167)+BIN2DEC(W167)*3</f>
        <v>0</v>
      </c>
      <c r="AH168">
        <f>AD168+AE168*4+AF168*16</f>
        <v>0</v>
      </c>
    </row>
    <row r="169" spans="1:34" ht="129.6">
      <c r="A169" s="53" t="s">
        <v>70</v>
      </c>
      <c r="B169" s="53">
        <v>3</v>
      </c>
      <c r="C169" s="51" t="s">
        <v>141</v>
      </c>
      <c r="D169" s="49" t="s">
        <v>81</v>
      </c>
      <c r="E169" s="49" t="s">
        <v>80</v>
      </c>
      <c r="F169" s="49" t="s">
        <v>68</v>
      </c>
      <c r="G169" s="49" t="s">
        <v>36</v>
      </c>
      <c r="H169" s="49" t="s">
        <v>6</v>
      </c>
      <c r="I169" s="50"/>
      <c r="Q169" s="52"/>
      <c r="R169" s="325"/>
      <c r="S169" s="322"/>
      <c r="T169" s="312"/>
      <c r="U169" s="315"/>
      <c r="V169" s="322"/>
      <c r="W169" s="312"/>
      <c r="X169" s="315"/>
      <c r="Y169" s="315"/>
      <c r="Z169" s="315"/>
      <c r="AA169" s="318"/>
      <c r="AD169" s="58">
        <f>BIN2DEC($AA167)*3</f>
        <v>0</v>
      </c>
      <c r="AE169" s="58">
        <f>ABS(BIN2DEC($U168)*3-1)</f>
        <v>1</v>
      </c>
      <c r="AF169" s="58">
        <f>ABS( BIN2DEC(V167)*3-BIN2DEC(Z167))</f>
        <v>0</v>
      </c>
      <c r="AG169" s="58">
        <f>BIN2DEC(X167&amp;Y167)+BIN2DEC(W167)*3</f>
        <v>0</v>
      </c>
      <c r="AH169">
        <f t="shared" ref="AH169:AH171" si="42">AD169+AE169*4+AF169*16</f>
        <v>4</v>
      </c>
    </row>
    <row r="170" spans="1:34">
      <c r="A170" s="53" t="s">
        <v>71</v>
      </c>
      <c r="B170" s="53">
        <v>1</v>
      </c>
      <c r="C170" s="51" t="s">
        <v>141</v>
      </c>
      <c r="D170" s="49" t="s">
        <v>7</v>
      </c>
      <c r="E170" s="49" t="s">
        <v>73</v>
      </c>
      <c r="F170" s="49" t="s">
        <v>68</v>
      </c>
      <c r="G170" s="49" t="s">
        <v>36</v>
      </c>
      <c r="H170" s="49" t="s">
        <v>6</v>
      </c>
      <c r="I170" s="50"/>
      <c r="Q170" s="52"/>
      <c r="R170" s="325"/>
      <c r="S170" s="322"/>
      <c r="T170" s="312"/>
      <c r="U170" s="315"/>
      <c r="V170" s="322"/>
      <c r="W170" s="312"/>
      <c r="X170" s="315"/>
      <c r="Y170" s="315"/>
      <c r="Z170" s="315"/>
      <c r="AA170" s="318"/>
      <c r="AD170" s="58">
        <f>ABS(BIN2DEC($AA167)*3-2)</f>
        <v>2</v>
      </c>
      <c r="AE170" s="58">
        <f>ABS(BIN2DEC($U167)*3)</f>
        <v>0</v>
      </c>
      <c r="AF170" s="58">
        <f>ABS( BIN2DEC(V167)*3-BIN2DEC(Z167))</f>
        <v>0</v>
      </c>
      <c r="AG170" s="58">
        <f>BIN2DEC(X167&amp;Y167)+BIN2DEC(W167)*3</f>
        <v>0</v>
      </c>
      <c r="AH170">
        <f t="shared" si="42"/>
        <v>2</v>
      </c>
    </row>
    <row r="171" spans="1:34" ht="15" thickBot="1">
      <c r="A171" s="53" t="s">
        <v>72</v>
      </c>
      <c r="B171" s="53">
        <v>1</v>
      </c>
      <c r="C171" s="51" t="s">
        <v>141</v>
      </c>
      <c r="D171" s="49" t="s">
        <v>7</v>
      </c>
      <c r="E171" s="49" t="s">
        <v>74</v>
      </c>
      <c r="F171" s="49" t="s">
        <v>68</v>
      </c>
      <c r="G171" s="49" t="s">
        <v>36</v>
      </c>
      <c r="H171" s="49" t="s">
        <v>6</v>
      </c>
      <c r="I171" s="50"/>
      <c r="Q171" s="52"/>
      <c r="R171" s="325"/>
      <c r="S171" s="323"/>
      <c r="T171" s="313"/>
      <c r="U171" s="316"/>
      <c r="V171" s="323"/>
      <c r="W171" s="313"/>
      <c r="X171" s="316"/>
      <c r="Y171" s="316"/>
      <c r="Z171" s="316"/>
      <c r="AA171" s="319"/>
      <c r="AD171" s="58">
        <f>ABS(BIN2DEC($AA167)*3-2)</f>
        <v>2</v>
      </c>
      <c r="AE171" s="58">
        <f>ABS(BIN2DEC($U167)*3-1)</f>
        <v>1</v>
      </c>
      <c r="AF171" s="58">
        <f>ABS( BIN2DEC(V167)*3-BIN2DEC(Z167))</f>
        <v>0</v>
      </c>
      <c r="AG171" s="58">
        <f>BIN2DEC(X167&amp;Y167)+BIN2DEC(W167)*3</f>
        <v>0</v>
      </c>
      <c r="AH171">
        <f t="shared" si="42"/>
        <v>6</v>
      </c>
    </row>
    <row r="172" spans="1:34">
      <c r="A172" s="53">
        <f>AA172</f>
        <v>0</v>
      </c>
      <c r="B172" s="53">
        <v>5</v>
      </c>
      <c r="C172" s="48" t="str">
        <f>IF(B172&gt;1,(23)&amp;":"&amp;(23-B172+1),(23-B172+1)&amp;":"&amp;(23-B172+1))</f>
        <v>23:19</v>
      </c>
      <c r="D172" s="49" t="s">
        <v>78</v>
      </c>
      <c r="E172" s="49" t="s">
        <v>69</v>
      </c>
      <c r="F172" s="49" t="s">
        <v>68</v>
      </c>
      <c r="G172" s="49" t="s">
        <v>36</v>
      </c>
      <c r="H172" s="49" t="s">
        <v>6</v>
      </c>
      <c r="I172" s="50"/>
      <c r="L172" t="str">
        <f>DEC2HEX(_xlfn.BITLSHIFT(HEX2DEC(P172),2))</f>
        <v>0</v>
      </c>
      <c r="N172">
        <v>1</v>
      </c>
      <c r="P172" t="str">
        <f>Z172</f>
        <v>0</v>
      </c>
      <c r="Q172" s="52" t="e">
        <f>BIN2HEX(LEFT(RIGHT(C172,32),4))&amp;BIN2HEX(LEFT(RIGHT(C172,28),4))&amp;BIN2HEX(LEFT(RIGHT(C172,24),4))&amp;BIN2HEX(LEFT(RIGHT(C172,20),4))&amp;BIN2HEX(LEFT(RIGHT(C172,16),4))&amp;BIN2HEX(LEFT(RIGHT(C172,12),4))&amp;BIN2HEX(LEFT(RIGHT(C172,8),4))&amp;BIN2HEX(LEFT(RIGHT(C172,4),4))</f>
        <v>#NUM!</v>
      </c>
      <c r="R172" s="325">
        <v>10</v>
      </c>
      <c r="S172" s="321"/>
      <c r="T172" s="311"/>
      <c r="U172" s="314"/>
      <c r="V172" s="321"/>
      <c r="W172" s="311"/>
      <c r="X172" s="314"/>
      <c r="Y172" s="314"/>
      <c r="Z172" s="314" t="str">
        <f t="shared" ref="Z172" si="43">BIN2HEX(S172&amp;T172&amp;U172&amp;V172&amp;W172&amp;X172&amp;Y172)</f>
        <v>0</v>
      </c>
      <c r="AA172" s="317"/>
      <c r="AD172" s="58"/>
      <c r="AE172" s="58"/>
      <c r="AF172" s="58"/>
      <c r="AG172" s="58"/>
    </row>
    <row r="173" spans="1:34">
      <c r="A173" s="53" t="s">
        <v>77</v>
      </c>
      <c r="B173" s="53">
        <v>1</v>
      </c>
      <c r="C173" s="51" t="s">
        <v>141</v>
      </c>
      <c r="D173" s="49" t="s">
        <v>7</v>
      </c>
      <c r="E173" s="49" t="s">
        <v>77</v>
      </c>
      <c r="F173" s="49" t="s">
        <v>68</v>
      </c>
      <c r="G173" s="49" t="s">
        <v>36</v>
      </c>
      <c r="H173" s="49" t="s">
        <v>6</v>
      </c>
      <c r="I173" s="50"/>
      <c r="Q173" s="52"/>
      <c r="R173" s="325"/>
      <c r="S173" s="322"/>
      <c r="T173" s="312"/>
      <c r="U173" s="315"/>
      <c r="V173" s="322"/>
      <c r="W173" s="312"/>
      <c r="X173" s="315"/>
      <c r="Y173" s="315"/>
      <c r="Z173" s="315"/>
      <c r="AA173" s="318"/>
      <c r="AD173" s="58">
        <f>BIN2DEC($AA172)*3</f>
        <v>0</v>
      </c>
      <c r="AE173" s="58">
        <f>ABS(BIN2DEC($U172)*3)</f>
        <v>0</v>
      </c>
      <c r="AF173" s="58">
        <f>ABS( BIN2DEC(V172)*3-BIN2DEC(Z172))</f>
        <v>0</v>
      </c>
      <c r="AG173" s="58">
        <f>BIN2DEC(X172&amp;Y172)+BIN2DEC(W172)*3</f>
        <v>0</v>
      </c>
      <c r="AH173">
        <f>AD173+AE173*4+AF173*16</f>
        <v>0</v>
      </c>
    </row>
    <row r="174" spans="1:34" ht="129.6">
      <c r="A174" s="53" t="s">
        <v>70</v>
      </c>
      <c r="B174" s="53">
        <v>3</v>
      </c>
      <c r="C174" s="51" t="s">
        <v>141</v>
      </c>
      <c r="D174" s="49" t="s">
        <v>81</v>
      </c>
      <c r="E174" s="49" t="s">
        <v>80</v>
      </c>
      <c r="F174" s="49" t="s">
        <v>68</v>
      </c>
      <c r="G174" s="49" t="s">
        <v>36</v>
      </c>
      <c r="H174" s="49" t="s">
        <v>6</v>
      </c>
      <c r="I174" s="50"/>
      <c r="Q174" s="52"/>
      <c r="R174" s="325"/>
      <c r="S174" s="322"/>
      <c r="T174" s="312"/>
      <c r="U174" s="315"/>
      <c r="V174" s="322"/>
      <c r="W174" s="312"/>
      <c r="X174" s="315"/>
      <c r="Y174" s="315"/>
      <c r="Z174" s="315"/>
      <c r="AA174" s="318"/>
      <c r="AD174" s="58">
        <f>BIN2DEC($AA172)*3</f>
        <v>0</v>
      </c>
      <c r="AE174" s="58">
        <f>ABS(BIN2DEC($U173)*3-1)</f>
        <v>1</v>
      </c>
      <c r="AF174" s="58">
        <f>ABS( BIN2DEC(V172)*3-BIN2DEC(Z172))</f>
        <v>0</v>
      </c>
      <c r="AG174" s="58">
        <f>BIN2DEC(X172&amp;Y172)+BIN2DEC(W172)*3</f>
        <v>0</v>
      </c>
      <c r="AH174">
        <f t="shared" ref="AH174:AH176" si="44">AD174+AE174*4+AF174*16</f>
        <v>4</v>
      </c>
    </row>
    <row r="175" spans="1:34">
      <c r="A175" s="53" t="s">
        <v>71</v>
      </c>
      <c r="B175" s="53">
        <v>1</v>
      </c>
      <c r="C175" s="51" t="s">
        <v>141</v>
      </c>
      <c r="D175" s="49" t="s">
        <v>7</v>
      </c>
      <c r="E175" s="49" t="s">
        <v>73</v>
      </c>
      <c r="F175" s="49" t="s">
        <v>68</v>
      </c>
      <c r="G175" s="49" t="s">
        <v>36</v>
      </c>
      <c r="H175" s="49" t="s">
        <v>6</v>
      </c>
      <c r="I175" s="50"/>
      <c r="Q175" s="52"/>
      <c r="R175" s="325"/>
      <c r="S175" s="322"/>
      <c r="T175" s="312"/>
      <c r="U175" s="315"/>
      <c r="V175" s="322"/>
      <c r="W175" s="312"/>
      <c r="X175" s="315"/>
      <c r="Y175" s="315"/>
      <c r="Z175" s="315"/>
      <c r="AA175" s="318"/>
      <c r="AD175" s="58">
        <f>ABS(BIN2DEC($AA172)*3-2)</f>
        <v>2</v>
      </c>
      <c r="AE175" s="58">
        <f>ABS(BIN2DEC($U172)*3)</f>
        <v>0</v>
      </c>
      <c r="AF175" s="58">
        <f>ABS( BIN2DEC(V172)*3-BIN2DEC(Z172))</f>
        <v>0</v>
      </c>
      <c r="AG175" s="58">
        <f>BIN2DEC(X172&amp;Y172)+BIN2DEC(W172)*3</f>
        <v>0</v>
      </c>
      <c r="AH175">
        <f t="shared" si="44"/>
        <v>2</v>
      </c>
    </row>
    <row r="176" spans="1:34" ht="15" thickBot="1">
      <c r="A176" s="53" t="s">
        <v>72</v>
      </c>
      <c r="B176" s="53">
        <v>1</v>
      </c>
      <c r="C176" s="51" t="s">
        <v>141</v>
      </c>
      <c r="D176" s="49" t="s">
        <v>7</v>
      </c>
      <c r="E176" s="49" t="s">
        <v>74</v>
      </c>
      <c r="F176" s="49" t="s">
        <v>68</v>
      </c>
      <c r="G176" s="49" t="s">
        <v>36</v>
      </c>
      <c r="H176" s="49" t="s">
        <v>6</v>
      </c>
      <c r="I176" s="50"/>
      <c r="Q176" s="52"/>
      <c r="R176" s="325"/>
      <c r="S176" s="323"/>
      <c r="T176" s="313"/>
      <c r="U176" s="316"/>
      <c r="V176" s="323"/>
      <c r="W176" s="313"/>
      <c r="X176" s="316"/>
      <c r="Y176" s="316"/>
      <c r="Z176" s="316"/>
      <c r="AA176" s="319"/>
      <c r="AD176" s="58">
        <f>ABS(BIN2DEC($AA172)*3-2)</f>
        <v>2</v>
      </c>
      <c r="AE176" s="58">
        <f>ABS(BIN2DEC($U172)*3-1)</f>
        <v>1</v>
      </c>
      <c r="AF176" s="58">
        <f>ABS( BIN2DEC(V172)*3-BIN2DEC(Z172))</f>
        <v>0</v>
      </c>
      <c r="AG176" s="58">
        <f>BIN2DEC(X172&amp;Y172)+BIN2DEC(W172)*3</f>
        <v>0</v>
      </c>
      <c r="AH176">
        <f t="shared" si="44"/>
        <v>6</v>
      </c>
    </row>
    <row r="177" spans="1:34">
      <c r="A177" s="53">
        <f>AA177</f>
        <v>0</v>
      </c>
      <c r="B177" s="53">
        <v>5</v>
      </c>
      <c r="C177" s="48" t="str">
        <f>IF(B177&gt;1,(23)&amp;":"&amp;(23-B177+1),(23-B177+1)&amp;":"&amp;(23-B177+1))</f>
        <v>23:19</v>
      </c>
      <c r="D177" s="49" t="s">
        <v>78</v>
      </c>
      <c r="E177" s="49" t="s">
        <v>69</v>
      </c>
      <c r="F177" s="49" t="s">
        <v>68</v>
      </c>
      <c r="G177" s="49" t="s">
        <v>36</v>
      </c>
      <c r="H177" s="49" t="s">
        <v>6</v>
      </c>
      <c r="I177" s="50"/>
      <c r="L177" t="str">
        <f>DEC2HEX(_xlfn.BITLSHIFT(HEX2DEC(P177),2))</f>
        <v>0</v>
      </c>
      <c r="N177">
        <v>1</v>
      </c>
      <c r="P177" t="str">
        <f>Z177</f>
        <v>0</v>
      </c>
      <c r="Q177" s="52" t="e">
        <f>BIN2HEX(LEFT(RIGHT(C177,32),4))&amp;BIN2HEX(LEFT(RIGHT(C177,28),4))&amp;BIN2HEX(LEFT(RIGHT(C177,24),4))&amp;BIN2HEX(LEFT(RIGHT(C177,20),4))&amp;BIN2HEX(LEFT(RIGHT(C177,16),4))&amp;BIN2HEX(LEFT(RIGHT(C177,12),4))&amp;BIN2HEX(LEFT(RIGHT(C177,8),4))&amp;BIN2HEX(LEFT(RIGHT(C177,4),4))</f>
        <v>#NUM!</v>
      </c>
      <c r="R177" s="325">
        <v>11</v>
      </c>
      <c r="S177" s="321"/>
      <c r="T177" s="311"/>
      <c r="U177" s="314"/>
      <c r="V177" s="321"/>
      <c r="W177" s="311"/>
      <c r="X177" s="314"/>
      <c r="Y177" s="314"/>
      <c r="Z177" s="314" t="str">
        <f t="shared" ref="Z177" si="45">BIN2HEX(S177&amp;T177&amp;U177&amp;V177&amp;W177&amp;X177&amp;Y177)</f>
        <v>0</v>
      </c>
      <c r="AA177" s="317"/>
      <c r="AD177" s="58"/>
      <c r="AE177" s="58"/>
      <c r="AF177" s="58"/>
      <c r="AG177" s="58"/>
    </row>
    <row r="178" spans="1:34">
      <c r="A178" s="53" t="s">
        <v>77</v>
      </c>
      <c r="B178" s="53">
        <v>1</v>
      </c>
      <c r="C178" s="51" t="s">
        <v>141</v>
      </c>
      <c r="D178" s="49" t="s">
        <v>7</v>
      </c>
      <c r="E178" s="49" t="s">
        <v>77</v>
      </c>
      <c r="F178" s="49" t="s">
        <v>68</v>
      </c>
      <c r="G178" s="49" t="s">
        <v>36</v>
      </c>
      <c r="H178" s="49" t="s">
        <v>6</v>
      </c>
      <c r="I178" s="50"/>
      <c r="Q178" s="52"/>
      <c r="R178" s="325"/>
      <c r="S178" s="322"/>
      <c r="T178" s="312"/>
      <c r="U178" s="315"/>
      <c r="V178" s="322"/>
      <c r="W178" s="312"/>
      <c r="X178" s="315"/>
      <c r="Y178" s="315"/>
      <c r="Z178" s="315"/>
      <c r="AA178" s="318"/>
      <c r="AD178" s="58">
        <f>BIN2DEC($AA177)*3</f>
        <v>0</v>
      </c>
      <c r="AE178" s="58">
        <f>ABS(BIN2DEC($U177)*3)</f>
        <v>0</v>
      </c>
      <c r="AF178" s="58">
        <f>ABS( BIN2DEC(V177)*3-BIN2DEC(Z177))</f>
        <v>0</v>
      </c>
      <c r="AG178" s="58">
        <f>BIN2DEC(X177&amp;Y177)+BIN2DEC(W177)*3</f>
        <v>0</v>
      </c>
      <c r="AH178">
        <f>AD178+AE178*4+AF178*16</f>
        <v>0</v>
      </c>
    </row>
    <row r="179" spans="1:34" ht="129.6">
      <c r="A179" s="53" t="s">
        <v>70</v>
      </c>
      <c r="B179" s="53">
        <v>3</v>
      </c>
      <c r="C179" s="51" t="s">
        <v>141</v>
      </c>
      <c r="D179" s="49" t="s">
        <v>81</v>
      </c>
      <c r="E179" s="49" t="s">
        <v>80</v>
      </c>
      <c r="F179" s="49" t="s">
        <v>68</v>
      </c>
      <c r="G179" s="49" t="s">
        <v>36</v>
      </c>
      <c r="H179" s="49" t="s">
        <v>6</v>
      </c>
      <c r="I179" s="50"/>
      <c r="Q179" s="52"/>
      <c r="R179" s="325"/>
      <c r="S179" s="322"/>
      <c r="T179" s="312"/>
      <c r="U179" s="315"/>
      <c r="V179" s="322"/>
      <c r="W179" s="312"/>
      <c r="X179" s="315"/>
      <c r="Y179" s="315"/>
      <c r="Z179" s="315"/>
      <c r="AA179" s="318"/>
      <c r="AD179" s="58">
        <f>BIN2DEC($AA177)*3</f>
        <v>0</v>
      </c>
      <c r="AE179" s="58">
        <f>ABS(BIN2DEC($U178)*3-1)</f>
        <v>1</v>
      </c>
      <c r="AF179" s="58">
        <f>ABS( BIN2DEC(V177)*3-BIN2DEC(Z177))</f>
        <v>0</v>
      </c>
      <c r="AG179" s="58">
        <f>BIN2DEC(X177&amp;Y177)+BIN2DEC(W177)*3</f>
        <v>0</v>
      </c>
      <c r="AH179">
        <f t="shared" ref="AH179:AH181" si="46">AD179+AE179*4+AF179*16</f>
        <v>4</v>
      </c>
    </row>
    <row r="180" spans="1:34">
      <c r="A180" s="53" t="s">
        <v>71</v>
      </c>
      <c r="B180" s="53">
        <v>1</v>
      </c>
      <c r="C180" s="51" t="s">
        <v>141</v>
      </c>
      <c r="D180" s="49" t="s">
        <v>7</v>
      </c>
      <c r="E180" s="49" t="s">
        <v>73</v>
      </c>
      <c r="F180" s="49" t="s">
        <v>68</v>
      </c>
      <c r="G180" s="49" t="s">
        <v>36</v>
      </c>
      <c r="H180" s="49" t="s">
        <v>6</v>
      </c>
      <c r="I180" s="50"/>
      <c r="Q180" s="52"/>
      <c r="R180" s="325"/>
      <c r="S180" s="322"/>
      <c r="T180" s="312"/>
      <c r="U180" s="315"/>
      <c r="V180" s="322"/>
      <c r="W180" s="312"/>
      <c r="X180" s="315"/>
      <c r="Y180" s="315"/>
      <c r="Z180" s="315"/>
      <c r="AA180" s="318"/>
      <c r="AD180" s="58">
        <f>ABS(BIN2DEC($AA177)*3-2)</f>
        <v>2</v>
      </c>
      <c r="AE180" s="58">
        <f>ABS(BIN2DEC($U177)*3)</f>
        <v>0</v>
      </c>
      <c r="AF180" s="58">
        <f>ABS( BIN2DEC(V177)*3-BIN2DEC(Z177))</f>
        <v>0</v>
      </c>
      <c r="AG180" s="58">
        <f>BIN2DEC(X177&amp;Y177)+BIN2DEC(W177)*3</f>
        <v>0</v>
      </c>
      <c r="AH180">
        <f t="shared" si="46"/>
        <v>2</v>
      </c>
    </row>
    <row r="181" spans="1:34" ht="15" thickBot="1">
      <c r="A181" s="53" t="s">
        <v>72</v>
      </c>
      <c r="B181" s="53">
        <v>1</v>
      </c>
      <c r="C181" s="51" t="s">
        <v>141</v>
      </c>
      <c r="D181" s="49" t="s">
        <v>7</v>
      </c>
      <c r="E181" s="49" t="s">
        <v>74</v>
      </c>
      <c r="F181" s="49" t="s">
        <v>68</v>
      </c>
      <c r="G181" s="49" t="s">
        <v>36</v>
      </c>
      <c r="H181" s="49" t="s">
        <v>6</v>
      </c>
      <c r="I181" s="50"/>
      <c r="Q181" s="52"/>
      <c r="R181" s="325"/>
      <c r="S181" s="323"/>
      <c r="T181" s="313"/>
      <c r="U181" s="316"/>
      <c r="V181" s="323"/>
      <c r="W181" s="313"/>
      <c r="X181" s="316"/>
      <c r="Y181" s="316"/>
      <c r="Z181" s="316"/>
      <c r="AA181" s="319"/>
      <c r="AD181" s="58">
        <f>ABS(BIN2DEC($AA177)*3-2)</f>
        <v>2</v>
      </c>
      <c r="AE181" s="58">
        <f>ABS(BIN2DEC($U177)*3-1)</f>
        <v>1</v>
      </c>
      <c r="AF181" s="58">
        <f>ABS( BIN2DEC(V177)*3-BIN2DEC(Z177))</f>
        <v>0</v>
      </c>
      <c r="AG181" s="58">
        <f>BIN2DEC(X177&amp;Y177)+BIN2DEC(W177)*3</f>
        <v>0</v>
      </c>
      <c r="AH181">
        <f t="shared" si="46"/>
        <v>6</v>
      </c>
    </row>
    <row r="182" spans="1:34">
      <c r="A182" s="53">
        <f>AA182</f>
        <v>0</v>
      </c>
      <c r="B182" s="53">
        <v>5</v>
      </c>
      <c r="C182" s="48" t="str">
        <f>IF(B182&gt;1,(23)&amp;":"&amp;(23-B182+1),(23-B182+1)&amp;":"&amp;(23-B182+1))</f>
        <v>23:19</v>
      </c>
      <c r="D182" s="49" t="s">
        <v>78</v>
      </c>
      <c r="E182" s="49" t="s">
        <v>69</v>
      </c>
      <c r="F182" s="49" t="s">
        <v>68</v>
      </c>
      <c r="G182" s="49" t="s">
        <v>36</v>
      </c>
      <c r="H182" s="49" t="s">
        <v>6</v>
      </c>
      <c r="I182" s="50"/>
      <c r="L182" t="str">
        <f>DEC2HEX(_xlfn.BITLSHIFT(HEX2DEC(P182),2))</f>
        <v>0</v>
      </c>
      <c r="N182">
        <v>1</v>
      </c>
      <c r="P182" t="str">
        <f>Z182</f>
        <v>0</v>
      </c>
      <c r="Q182" s="52" t="e">
        <f>BIN2HEX(LEFT(RIGHT(C182,32),4))&amp;BIN2HEX(LEFT(RIGHT(C182,28),4))&amp;BIN2HEX(LEFT(RIGHT(C182,24),4))&amp;BIN2HEX(LEFT(RIGHT(C182,20),4))&amp;BIN2HEX(LEFT(RIGHT(C182,16),4))&amp;BIN2HEX(LEFT(RIGHT(C182,12),4))&amp;BIN2HEX(LEFT(RIGHT(C182,8),4))&amp;BIN2HEX(LEFT(RIGHT(C182,4),4))</f>
        <v>#NUM!</v>
      </c>
      <c r="R182" s="325">
        <v>12</v>
      </c>
      <c r="S182" s="321"/>
      <c r="T182" s="311"/>
      <c r="U182" s="314"/>
      <c r="V182" s="321"/>
      <c r="W182" s="311"/>
      <c r="X182" s="314"/>
      <c r="Y182" s="314"/>
      <c r="Z182" s="314" t="str">
        <f>BIN2HEX(S182&amp;T182&amp;U182&amp;V182&amp;W182&amp;X182&amp;Y182)</f>
        <v>0</v>
      </c>
      <c r="AA182" s="317"/>
      <c r="AD182" s="58"/>
      <c r="AE182" s="58"/>
      <c r="AF182" s="58"/>
      <c r="AG182" s="58"/>
    </row>
    <row r="183" spans="1:34">
      <c r="A183" s="53" t="s">
        <v>77</v>
      </c>
      <c r="B183" s="53">
        <v>1</v>
      </c>
      <c r="C183" s="51" t="s">
        <v>141</v>
      </c>
      <c r="D183" s="49" t="s">
        <v>7</v>
      </c>
      <c r="E183" s="49" t="s">
        <v>77</v>
      </c>
      <c r="F183" s="49" t="s">
        <v>68</v>
      </c>
      <c r="G183" s="49" t="s">
        <v>36</v>
      </c>
      <c r="H183" s="49" t="s">
        <v>6</v>
      </c>
      <c r="I183" s="50"/>
      <c r="Q183" s="52"/>
      <c r="R183" s="325"/>
      <c r="S183" s="322"/>
      <c r="T183" s="312"/>
      <c r="U183" s="315"/>
      <c r="V183" s="322"/>
      <c r="W183" s="312"/>
      <c r="X183" s="315"/>
      <c r="Y183" s="315"/>
      <c r="Z183" s="315"/>
      <c r="AA183" s="318"/>
      <c r="AD183" s="58">
        <f>BIN2DEC($AA182)*3</f>
        <v>0</v>
      </c>
      <c r="AE183" s="58">
        <f>ABS(BIN2DEC($U182)*3)</f>
        <v>0</v>
      </c>
      <c r="AF183" s="58">
        <f>ABS( BIN2DEC(V182)*3-BIN2DEC(Z182))</f>
        <v>0</v>
      </c>
      <c r="AG183" s="58">
        <f>BIN2DEC(X182&amp;Y182)+BIN2DEC(W182)*3</f>
        <v>0</v>
      </c>
      <c r="AH183">
        <f>AD183+AE183*4+AF183*16</f>
        <v>0</v>
      </c>
    </row>
    <row r="184" spans="1:34" ht="129.6">
      <c r="A184" s="53" t="s">
        <v>70</v>
      </c>
      <c r="B184" s="53">
        <v>3</v>
      </c>
      <c r="C184" s="51" t="s">
        <v>141</v>
      </c>
      <c r="D184" s="49" t="s">
        <v>81</v>
      </c>
      <c r="E184" s="49" t="s">
        <v>80</v>
      </c>
      <c r="F184" s="49" t="s">
        <v>68</v>
      </c>
      <c r="G184" s="49" t="s">
        <v>36</v>
      </c>
      <c r="H184" s="49" t="s">
        <v>6</v>
      </c>
      <c r="I184" s="50"/>
      <c r="Q184" s="52"/>
      <c r="R184" s="325"/>
      <c r="S184" s="322"/>
      <c r="T184" s="312"/>
      <c r="U184" s="315"/>
      <c r="V184" s="322"/>
      <c r="W184" s="312"/>
      <c r="X184" s="315"/>
      <c r="Y184" s="315"/>
      <c r="Z184" s="315"/>
      <c r="AA184" s="318"/>
      <c r="AD184" s="58">
        <f>BIN2DEC($AA182)*3</f>
        <v>0</v>
      </c>
      <c r="AE184" s="58">
        <f>ABS(BIN2DEC($U183)*3-1)</f>
        <v>1</v>
      </c>
      <c r="AF184" s="58">
        <f>ABS( BIN2DEC(V182)*3-BIN2DEC(Z182))</f>
        <v>0</v>
      </c>
      <c r="AG184" s="58">
        <f>BIN2DEC(X182&amp;Y182)+BIN2DEC(W182)*3</f>
        <v>0</v>
      </c>
      <c r="AH184">
        <f t="shared" ref="AH184:AH186" si="47">AD184+AE184*4+AF184*16</f>
        <v>4</v>
      </c>
    </row>
    <row r="185" spans="1:34">
      <c r="A185" s="53" t="s">
        <v>71</v>
      </c>
      <c r="B185" s="53">
        <v>1</v>
      </c>
      <c r="C185" s="51" t="s">
        <v>141</v>
      </c>
      <c r="D185" s="49" t="s">
        <v>7</v>
      </c>
      <c r="E185" s="49" t="s">
        <v>73</v>
      </c>
      <c r="F185" s="49" t="s">
        <v>68</v>
      </c>
      <c r="G185" s="49" t="s">
        <v>36</v>
      </c>
      <c r="H185" s="49" t="s">
        <v>6</v>
      </c>
      <c r="I185" s="50"/>
      <c r="Q185" s="52"/>
      <c r="R185" s="325"/>
      <c r="S185" s="322"/>
      <c r="T185" s="312"/>
      <c r="U185" s="315"/>
      <c r="V185" s="322"/>
      <c r="W185" s="312"/>
      <c r="X185" s="315"/>
      <c r="Y185" s="315"/>
      <c r="Z185" s="315"/>
      <c r="AA185" s="318"/>
      <c r="AD185" s="58">
        <f>ABS(BIN2DEC($AA182)*3-2)</f>
        <v>2</v>
      </c>
      <c r="AE185" s="58">
        <f>ABS(BIN2DEC($U182)*3)</f>
        <v>0</v>
      </c>
      <c r="AF185" s="58">
        <f>ABS( BIN2DEC(V182)*3-BIN2DEC(Z182))</f>
        <v>0</v>
      </c>
      <c r="AG185" s="58">
        <f>BIN2DEC(X182&amp;Y182)+BIN2DEC(W182)*3</f>
        <v>0</v>
      </c>
      <c r="AH185">
        <f t="shared" si="47"/>
        <v>2</v>
      </c>
    </row>
    <row r="186" spans="1:34" ht="15" thickBot="1">
      <c r="A186" s="53" t="s">
        <v>72</v>
      </c>
      <c r="B186" s="53">
        <v>1</v>
      </c>
      <c r="C186" s="51" t="s">
        <v>141</v>
      </c>
      <c r="D186" s="49" t="s">
        <v>7</v>
      </c>
      <c r="E186" s="49" t="s">
        <v>74</v>
      </c>
      <c r="F186" s="49" t="s">
        <v>68</v>
      </c>
      <c r="G186" s="49" t="s">
        <v>36</v>
      </c>
      <c r="H186" s="49" t="s">
        <v>6</v>
      </c>
      <c r="I186" s="50"/>
      <c r="Q186" s="52"/>
      <c r="R186" s="325"/>
      <c r="S186" s="323"/>
      <c r="T186" s="313"/>
      <c r="U186" s="316"/>
      <c r="V186" s="323"/>
      <c r="W186" s="313"/>
      <c r="X186" s="316"/>
      <c r="Y186" s="316"/>
      <c r="Z186" s="316"/>
      <c r="AA186" s="319"/>
      <c r="AD186" s="58">
        <f>ABS(BIN2DEC($AA182)*3-2)</f>
        <v>2</v>
      </c>
      <c r="AE186" s="58">
        <f>ABS(BIN2DEC($U182)*3-1)</f>
        <v>1</v>
      </c>
      <c r="AF186" s="58">
        <f>ABS( BIN2DEC(V182)*3-BIN2DEC(Z182))</f>
        <v>0</v>
      </c>
      <c r="AG186" s="58">
        <f>BIN2DEC(X182&amp;Y182)+BIN2DEC(W182)*3</f>
        <v>0</v>
      </c>
      <c r="AH186">
        <f t="shared" si="47"/>
        <v>6</v>
      </c>
    </row>
    <row r="187" spans="1:34">
      <c r="A187" s="53">
        <f>AA187</f>
        <v>0</v>
      </c>
      <c r="B187" s="53">
        <v>5</v>
      </c>
      <c r="C187" s="48" t="str">
        <f>IF(B187&gt;1,(23)&amp;":"&amp;(23-B187+1),(23-B187+1)&amp;":"&amp;(23-B187+1))</f>
        <v>23:19</v>
      </c>
      <c r="D187" s="49" t="s">
        <v>78</v>
      </c>
      <c r="E187" s="49" t="s">
        <v>69</v>
      </c>
      <c r="F187" s="49" t="s">
        <v>68</v>
      </c>
      <c r="G187" s="49" t="s">
        <v>36</v>
      </c>
      <c r="H187" s="49" t="s">
        <v>6</v>
      </c>
      <c r="I187" s="50"/>
      <c r="L187" t="str">
        <f>DEC2HEX(_xlfn.BITLSHIFT(HEX2DEC(P187),2))</f>
        <v>0</v>
      </c>
      <c r="N187">
        <v>1</v>
      </c>
      <c r="P187" t="str">
        <f>Z187</f>
        <v>0</v>
      </c>
      <c r="Q187" s="52" t="e">
        <f>BIN2HEX(LEFT(RIGHT(C187,32),4))&amp;BIN2HEX(LEFT(RIGHT(C187,28),4))&amp;BIN2HEX(LEFT(RIGHT(C187,24),4))&amp;BIN2HEX(LEFT(RIGHT(C187,20),4))&amp;BIN2HEX(LEFT(RIGHT(C187,16),4))&amp;BIN2HEX(LEFT(RIGHT(C187,12),4))&amp;BIN2HEX(LEFT(RIGHT(C187,8),4))&amp;BIN2HEX(LEFT(RIGHT(C187,4),4))</f>
        <v>#NUM!</v>
      </c>
      <c r="R187" s="325">
        <v>13</v>
      </c>
      <c r="S187" s="321"/>
      <c r="T187" s="311"/>
      <c r="U187" s="314"/>
      <c r="V187" s="321"/>
      <c r="W187" s="311"/>
      <c r="X187" s="314"/>
      <c r="Y187" s="314"/>
      <c r="Z187" s="314" t="str">
        <f t="shared" ref="Z187" si="48">BIN2HEX(S187&amp;T187&amp;U187&amp;V187&amp;W187&amp;X187&amp;Y187)</f>
        <v>0</v>
      </c>
      <c r="AA187" s="317"/>
      <c r="AD187" s="58"/>
      <c r="AE187" s="58"/>
      <c r="AF187" s="58"/>
      <c r="AG187" s="58"/>
    </row>
    <row r="188" spans="1:34">
      <c r="A188" s="53" t="s">
        <v>77</v>
      </c>
      <c r="B188" s="53">
        <v>1</v>
      </c>
      <c r="C188" s="51" t="s">
        <v>141</v>
      </c>
      <c r="D188" s="49" t="s">
        <v>7</v>
      </c>
      <c r="E188" s="49" t="s">
        <v>77</v>
      </c>
      <c r="F188" s="49" t="s">
        <v>68</v>
      </c>
      <c r="G188" s="49" t="s">
        <v>36</v>
      </c>
      <c r="H188" s="49" t="s">
        <v>6</v>
      </c>
      <c r="I188" s="50"/>
      <c r="Q188" s="52"/>
      <c r="R188" s="325"/>
      <c r="S188" s="322"/>
      <c r="T188" s="312"/>
      <c r="U188" s="315"/>
      <c r="V188" s="322"/>
      <c r="W188" s="312"/>
      <c r="X188" s="315"/>
      <c r="Y188" s="315"/>
      <c r="Z188" s="315"/>
      <c r="AA188" s="318"/>
      <c r="AD188" s="58">
        <f>BIN2DEC($AA187)*3</f>
        <v>0</v>
      </c>
      <c r="AE188" s="58">
        <f>ABS(BIN2DEC($U187)*3)</f>
        <v>0</v>
      </c>
      <c r="AF188" s="58">
        <f>ABS( BIN2DEC(V187)*3-BIN2DEC(Z187))</f>
        <v>0</v>
      </c>
      <c r="AG188" s="58">
        <f>BIN2DEC(X187&amp;Y187)+BIN2DEC(W187)*3</f>
        <v>0</v>
      </c>
      <c r="AH188">
        <f>AD188+AE188*4+AF188*16</f>
        <v>0</v>
      </c>
    </row>
    <row r="189" spans="1:34" ht="129.6">
      <c r="A189" s="53" t="s">
        <v>70</v>
      </c>
      <c r="B189" s="53">
        <v>3</v>
      </c>
      <c r="C189" s="51" t="s">
        <v>141</v>
      </c>
      <c r="D189" s="49" t="s">
        <v>81</v>
      </c>
      <c r="E189" s="49" t="s">
        <v>80</v>
      </c>
      <c r="F189" s="49" t="s">
        <v>68</v>
      </c>
      <c r="G189" s="49" t="s">
        <v>36</v>
      </c>
      <c r="H189" s="49" t="s">
        <v>6</v>
      </c>
      <c r="I189" s="50"/>
      <c r="Q189" s="52"/>
      <c r="R189" s="325"/>
      <c r="S189" s="322"/>
      <c r="T189" s="312"/>
      <c r="U189" s="315"/>
      <c r="V189" s="322"/>
      <c r="W189" s="312"/>
      <c r="X189" s="315"/>
      <c r="Y189" s="315"/>
      <c r="Z189" s="315"/>
      <c r="AA189" s="318"/>
      <c r="AD189" s="58">
        <f>BIN2DEC($AA187)*3</f>
        <v>0</v>
      </c>
      <c r="AE189" s="58">
        <f>ABS(BIN2DEC($U188)*3-1)</f>
        <v>1</v>
      </c>
      <c r="AF189" s="58">
        <f>ABS( BIN2DEC(V187)*3-BIN2DEC(Z187))</f>
        <v>0</v>
      </c>
      <c r="AG189" s="58">
        <f>BIN2DEC(X187&amp;Y187)+BIN2DEC(W187)*3</f>
        <v>0</v>
      </c>
      <c r="AH189">
        <f t="shared" ref="AH189:AH191" si="49">AD189+AE189*4+AF189*16</f>
        <v>4</v>
      </c>
    </row>
    <row r="190" spans="1:34">
      <c r="A190" s="53" t="s">
        <v>71</v>
      </c>
      <c r="B190" s="53">
        <v>1</v>
      </c>
      <c r="C190" s="51" t="s">
        <v>141</v>
      </c>
      <c r="D190" s="49" t="s">
        <v>7</v>
      </c>
      <c r="E190" s="49" t="s">
        <v>73</v>
      </c>
      <c r="F190" s="49" t="s">
        <v>68</v>
      </c>
      <c r="G190" s="49" t="s">
        <v>36</v>
      </c>
      <c r="H190" s="49" t="s">
        <v>6</v>
      </c>
      <c r="I190" s="50"/>
      <c r="Q190" s="52"/>
      <c r="R190" s="325"/>
      <c r="S190" s="322"/>
      <c r="T190" s="312"/>
      <c r="U190" s="315"/>
      <c r="V190" s="322"/>
      <c r="W190" s="312"/>
      <c r="X190" s="315"/>
      <c r="Y190" s="315"/>
      <c r="Z190" s="315"/>
      <c r="AA190" s="318"/>
      <c r="AD190" s="58">
        <f>ABS(BIN2DEC($AA187)*3-2)</f>
        <v>2</v>
      </c>
      <c r="AE190" s="58">
        <f>ABS(BIN2DEC($U187)*3)</f>
        <v>0</v>
      </c>
      <c r="AF190" s="58">
        <f>ABS( BIN2DEC(V187)*3-BIN2DEC(Z187))</f>
        <v>0</v>
      </c>
      <c r="AG190" s="58">
        <f>BIN2DEC(X187&amp;Y187)+BIN2DEC(W187)*3</f>
        <v>0</v>
      </c>
      <c r="AH190">
        <f t="shared" si="49"/>
        <v>2</v>
      </c>
    </row>
    <row r="191" spans="1:34" ht="15" thickBot="1">
      <c r="A191" s="53" t="s">
        <v>72</v>
      </c>
      <c r="B191" s="53">
        <v>1</v>
      </c>
      <c r="C191" s="51" t="s">
        <v>141</v>
      </c>
      <c r="D191" s="49" t="s">
        <v>7</v>
      </c>
      <c r="E191" s="49" t="s">
        <v>74</v>
      </c>
      <c r="F191" s="49" t="s">
        <v>68</v>
      </c>
      <c r="G191" s="49" t="s">
        <v>36</v>
      </c>
      <c r="H191" s="49" t="s">
        <v>6</v>
      </c>
      <c r="I191" s="50"/>
      <c r="Q191" s="52"/>
      <c r="R191" s="325"/>
      <c r="S191" s="323"/>
      <c r="T191" s="313"/>
      <c r="U191" s="316"/>
      <c r="V191" s="323"/>
      <c r="W191" s="313"/>
      <c r="X191" s="316"/>
      <c r="Y191" s="316"/>
      <c r="Z191" s="316"/>
      <c r="AA191" s="319"/>
      <c r="AD191" s="58">
        <f>ABS(BIN2DEC($AA187)*3-2)</f>
        <v>2</v>
      </c>
      <c r="AE191" s="58">
        <f>ABS(BIN2DEC($U187)*3-1)</f>
        <v>1</v>
      </c>
      <c r="AF191" s="58">
        <f>ABS( BIN2DEC(V187)*3-BIN2DEC(Z187))</f>
        <v>0</v>
      </c>
      <c r="AG191" s="58">
        <f>BIN2DEC(X187&amp;Y187)+BIN2DEC(W187)*3</f>
        <v>0</v>
      </c>
      <c r="AH191">
        <f t="shared" si="49"/>
        <v>6</v>
      </c>
    </row>
    <row r="192" spans="1:34">
      <c r="A192" s="53">
        <f>AA192</f>
        <v>0</v>
      </c>
      <c r="B192" s="53">
        <v>5</v>
      </c>
      <c r="C192" s="48" t="str">
        <f>IF(B192&gt;1,(23)&amp;":"&amp;(23-B192+1),(23-B192+1)&amp;":"&amp;(23-B192+1))</f>
        <v>23:19</v>
      </c>
      <c r="D192" s="49" t="s">
        <v>78</v>
      </c>
      <c r="E192" s="49" t="s">
        <v>69</v>
      </c>
      <c r="F192" s="49" t="s">
        <v>68</v>
      </c>
      <c r="G192" s="49" t="s">
        <v>36</v>
      </c>
      <c r="H192" s="49" t="s">
        <v>6</v>
      </c>
      <c r="I192" s="50"/>
      <c r="L192" t="str">
        <f>DEC2HEX(_xlfn.BITLSHIFT(HEX2DEC(P192),2))</f>
        <v>0</v>
      </c>
      <c r="N192">
        <v>1</v>
      </c>
      <c r="P192" t="str">
        <f>Z192</f>
        <v>0</v>
      </c>
      <c r="Q192" s="52" t="e">
        <f>BIN2HEX(LEFT(RIGHT(C192,32),4))&amp;BIN2HEX(LEFT(RIGHT(C192,28),4))&amp;BIN2HEX(LEFT(RIGHT(C192,24),4))&amp;BIN2HEX(LEFT(RIGHT(C192,20),4))&amp;BIN2HEX(LEFT(RIGHT(C192,16),4))&amp;BIN2HEX(LEFT(RIGHT(C192,12),4))&amp;BIN2HEX(LEFT(RIGHT(C192,8),4))&amp;BIN2HEX(LEFT(RIGHT(C192,4),4))</f>
        <v>#NUM!</v>
      </c>
      <c r="R192" s="325">
        <v>14</v>
      </c>
      <c r="S192" s="321"/>
      <c r="T192" s="311"/>
      <c r="U192" s="314"/>
      <c r="V192" s="321"/>
      <c r="W192" s="311"/>
      <c r="X192" s="314"/>
      <c r="Y192" s="314"/>
      <c r="Z192" s="314" t="str">
        <f t="shared" ref="Z192" si="50">BIN2HEX(S192&amp;T192&amp;U192&amp;V192&amp;W192&amp;X192&amp;Y192)</f>
        <v>0</v>
      </c>
      <c r="AA192" s="317"/>
      <c r="AD192" s="58"/>
      <c r="AE192" s="58"/>
      <c r="AF192" s="58"/>
      <c r="AG192" s="58"/>
    </row>
    <row r="193" spans="1:34">
      <c r="A193" s="53" t="s">
        <v>77</v>
      </c>
      <c r="B193" s="53">
        <v>1</v>
      </c>
      <c r="C193" s="51" t="s">
        <v>141</v>
      </c>
      <c r="D193" s="49" t="s">
        <v>7</v>
      </c>
      <c r="E193" s="49" t="s">
        <v>77</v>
      </c>
      <c r="F193" s="49" t="s">
        <v>68</v>
      </c>
      <c r="G193" s="49" t="s">
        <v>36</v>
      </c>
      <c r="H193" s="49" t="s">
        <v>6</v>
      </c>
      <c r="I193" s="50"/>
      <c r="Q193" s="52"/>
      <c r="R193" s="325"/>
      <c r="S193" s="322"/>
      <c r="T193" s="312"/>
      <c r="U193" s="315"/>
      <c r="V193" s="322"/>
      <c r="W193" s="312"/>
      <c r="X193" s="315"/>
      <c r="Y193" s="315"/>
      <c r="Z193" s="315"/>
      <c r="AA193" s="318"/>
      <c r="AD193" s="58">
        <f>BIN2DEC($AA192)*3</f>
        <v>0</v>
      </c>
      <c r="AE193" s="58">
        <f>ABS(BIN2DEC($U192)*3)</f>
        <v>0</v>
      </c>
      <c r="AF193" s="58">
        <f>ABS( BIN2DEC(V192)*3-BIN2DEC(Z192))</f>
        <v>0</v>
      </c>
      <c r="AG193" s="58">
        <f>BIN2DEC(X192&amp;Y192)+BIN2DEC(W192)*3</f>
        <v>0</v>
      </c>
      <c r="AH193">
        <f>AD193+AE193*4+AF193*16</f>
        <v>0</v>
      </c>
    </row>
    <row r="194" spans="1:34" ht="129.6">
      <c r="A194" s="53" t="s">
        <v>70</v>
      </c>
      <c r="B194" s="53">
        <v>3</v>
      </c>
      <c r="C194" s="51" t="s">
        <v>141</v>
      </c>
      <c r="D194" s="49" t="s">
        <v>81</v>
      </c>
      <c r="E194" s="49" t="s">
        <v>80</v>
      </c>
      <c r="F194" s="49" t="s">
        <v>68</v>
      </c>
      <c r="G194" s="49" t="s">
        <v>36</v>
      </c>
      <c r="H194" s="49" t="s">
        <v>6</v>
      </c>
      <c r="I194" s="50"/>
      <c r="Q194" s="52"/>
      <c r="R194" s="325"/>
      <c r="S194" s="322"/>
      <c r="T194" s="312"/>
      <c r="U194" s="315"/>
      <c r="V194" s="322"/>
      <c r="W194" s="312"/>
      <c r="X194" s="315"/>
      <c r="Y194" s="315"/>
      <c r="Z194" s="315"/>
      <c r="AA194" s="318"/>
      <c r="AD194" s="58">
        <f>BIN2DEC($AA192)*3</f>
        <v>0</v>
      </c>
      <c r="AE194" s="58">
        <f>ABS(BIN2DEC($U193)*3-1)</f>
        <v>1</v>
      </c>
      <c r="AF194" s="58">
        <f>ABS( BIN2DEC(V192)*3-BIN2DEC(Z192))</f>
        <v>0</v>
      </c>
      <c r="AG194" s="58">
        <f>BIN2DEC(X192&amp;Y192)+BIN2DEC(W192)*3</f>
        <v>0</v>
      </c>
      <c r="AH194">
        <f t="shared" ref="AH194:AH196" si="51">AD194+AE194*4+AF194*16</f>
        <v>4</v>
      </c>
    </row>
    <row r="195" spans="1:34">
      <c r="A195" s="53" t="s">
        <v>71</v>
      </c>
      <c r="B195" s="53">
        <v>1</v>
      </c>
      <c r="C195" s="51" t="s">
        <v>141</v>
      </c>
      <c r="D195" s="49" t="s">
        <v>7</v>
      </c>
      <c r="E195" s="49" t="s">
        <v>73</v>
      </c>
      <c r="F195" s="49" t="s">
        <v>68</v>
      </c>
      <c r="G195" s="49" t="s">
        <v>36</v>
      </c>
      <c r="H195" s="49" t="s">
        <v>6</v>
      </c>
      <c r="I195" s="50"/>
      <c r="Q195" s="52"/>
      <c r="R195" s="325"/>
      <c r="S195" s="322"/>
      <c r="T195" s="312"/>
      <c r="U195" s="315"/>
      <c r="V195" s="322"/>
      <c r="W195" s="312"/>
      <c r="X195" s="315"/>
      <c r="Y195" s="315"/>
      <c r="Z195" s="315"/>
      <c r="AA195" s="318"/>
      <c r="AD195" s="58">
        <f>ABS(BIN2DEC($AA192)*3-2)</f>
        <v>2</v>
      </c>
      <c r="AE195" s="58">
        <f>ABS(BIN2DEC($U192)*3)</f>
        <v>0</v>
      </c>
      <c r="AF195" s="58">
        <f>ABS( BIN2DEC(V192)*3-BIN2DEC(Z192))</f>
        <v>0</v>
      </c>
      <c r="AG195" s="58">
        <f>BIN2DEC(X192&amp;Y192)+BIN2DEC(W192)*3</f>
        <v>0</v>
      </c>
      <c r="AH195">
        <f t="shared" si="51"/>
        <v>2</v>
      </c>
    </row>
    <row r="196" spans="1:34" ht="15" thickBot="1">
      <c r="A196" s="53" t="s">
        <v>72</v>
      </c>
      <c r="B196" s="53">
        <v>1</v>
      </c>
      <c r="C196" s="51" t="s">
        <v>141</v>
      </c>
      <c r="D196" s="49" t="s">
        <v>7</v>
      </c>
      <c r="E196" s="49" t="s">
        <v>74</v>
      </c>
      <c r="F196" s="49" t="s">
        <v>68</v>
      </c>
      <c r="G196" s="49" t="s">
        <v>36</v>
      </c>
      <c r="H196" s="49" t="s">
        <v>6</v>
      </c>
      <c r="I196" s="50"/>
      <c r="Q196" s="52"/>
      <c r="R196" s="325"/>
      <c r="S196" s="323"/>
      <c r="T196" s="313"/>
      <c r="U196" s="316"/>
      <c r="V196" s="323"/>
      <c r="W196" s="313"/>
      <c r="X196" s="316"/>
      <c r="Y196" s="316"/>
      <c r="Z196" s="316"/>
      <c r="AA196" s="319"/>
      <c r="AD196" s="58">
        <f>ABS(BIN2DEC($AA192)*3-2)</f>
        <v>2</v>
      </c>
      <c r="AE196" s="58">
        <f>ABS(BIN2DEC($U192)*3-1)</f>
        <v>1</v>
      </c>
      <c r="AF196" s="58">
        <f>ABS( BIN2DEC(V192)*3-BIN2DEC(Z192))</f>
        <v>0</v>
      </c>
      <c r="AG196" s="58">
        <f>BIN2DEC(X192&amp;Y192)+BIN2DEC(W192)*3</f>
        <v>0</v>
      </c>
      <c r="AH196">
        <f t="shared" si="51"/>
        <v>6</v>
      </c>
    </row>
    <row r="197" spans="1:34">
      <c r="A197" s="53">
        <f>AA197</f>
        <v>0</v>
      </c>
      <c r="B197" s="53">
        <v>5</v>
      </c>
      <c r="C197" s="48" t="str">
        <f>IF(B197&gt;1,(23)&amp;":"&amp;(23-B197+1),(23-B197+1)&amp;":"&amp;(23-B197+1))</f>
        <v>23:19</v>
      </c>
      <c r="D197" s="49" t="s">
        <v>78</v>
      </c>
      <c r="E197" s="49" t="s">
        <v>69</v>
      </c>
      <c r="F197" s="49" t="s">
        <v>68</v>
      </c>
      <c r="G197" s="49" t="s">
        <v>36</v>
      </c>
      <c r="H197" s="49" t="s">
        <v>6</v>
      </c>
      <c r="I197" s="50"/>
      <c r="L197" t="str">
        <f>DEC2HEX(_xlfn.BITLSHIFT(HEX2DEC(P197),2))</f>
        <v>0</v>
      </c>
      <c r="N197">
        <v>1</v>
      </c>
      <c r="P197" t="str">
        <f>Z197</f>
        <v>0</v>
      </c>
      <c r="Q197" s="52" t="e">
        <f>BIN2HEX(LEFT(RIGHT(C197,32),4))&amp;BIN2HEX(LEFT(RIGHT(C197,28),4))&amp;BIN2HEX(LEFT(RIGHT(C197,24),4))&amp;BIN2HEX(LEFT(RIGHT(C197,20),4))&amp;BIN2HEX(LEFT(RIGHT(C197,16),4))&amp;BIN2HEX(LEFT(RIGHT(C197,12),4))&amp;BIN2HEX(LEFT(RIGHT(C197,8),4))&amp;BIN2HEX(LEFT(RIGHT(C197,4),4))</f>
        <v>#NUM!</v>
      </c>
      <c r="R197" s="325">
        <v>15</v>
      </c>
      <c r="S197" s="321"/>
      <c r="T197" s="311"/>
      <c r="U197" s="314"/>
      <c r="V197" s="321"/>
      <c r="W197" s="311"/>
      <c r="X197" s="314"/>
      <c r="Y197" s="314"/>
      <c r="Z197" s="314" t="str">
        <f t="shared" ref="Z197" si="52">BIN2HEX(S197&amp;T197&amp;U197&amp;V197&amp;W197&amp;X197&amp;Y197)</f>
        <v>0</v>
      </c>
      <c r="AA197" s="317"/>
      <c r="AD197" s="58"/>
      <c r="AE197" s="58"/>
      <c r="AF197" s="58"/>
      <c r="AG197" s="58"/>
    </row>
    <row r="198" spans="1:34">
      <c r="A198" s="53" t="s">
        <v>77</v>
      </c>
      <c r="B198" s="53">
        <v>1</v>
      </c>
      <c r="C198" s="51" t="s">
        <v>141</v>
      </c>
      <c r="D198" s="49" t="s">
        <v>7</v>
      </c>
      <c r="E198" s="49" t="s">
        <v>77</v>
      </c>
      <c r="F198" s="49" t="s">
        <v>68</v>
      </c>
      <c r="G198" s="49" t="s">
        <v>36</v>
      </c>
      <c r="H198" s="49" t="s">
        <v>6</v>
      </c>
      <c r="I198" s="50"/>
      <c r="Q198" s="52"/>
      <c r="R198" s="325"/>
      <c r="S198" s="322"/>
      <c r="T198" s="312"/>
      <c r="U198" s="315"/>
      <c r="V198" s="322"/>
      <c r="W198" s="312"/>
      <c r="X198" s="315"/>
      <c r="Y198" s="315"/>
      <c r="Z198" s="315"/>
      <c r="AA198" s="318"/>
      <c r="AD198" s="58">
        <f>BIN2DEC($AA197)*3</f>
        <v>0</v>
      </c>
      <c r="AE198" s="58">
        <f>ABS(BIN2DEC($U197)*3)</f>
        <v>0</v>
      </c>
      <c r="AF198" s="58">
        <f>ABS( BIN2DEC(V197)*3-BIN2DEC(Z197))</f>
        <v>0</v>
      </c>
      <c r="AG198" s="58">
        <f>BIN2DEC(X197&amp;Y197)+BIN2DEC(W197)*3</f>
        <v>0</v>
      </c>
      <c r="AH198">
        <f>AD198+AE198*4+AF198*16</f>
        <v>0</v>
      </c>
    </row>
    <row r="199" spans="1:34" ht="129.6">
      <c r="A199" s="53" t="s">
        <v>70</v>
      </c>
      <c r="B199" s="53">
        <v>3</v>
      </c>
      <c r="C199" s="51" t="s">
        <v>141</v>
      </c>
      <c r="D199" s="49" t="s">
        <v>81</v>
      </c>
      <c r="E199" s="49" t="s">
        <v>80</v>
      </c>
      <c r="F199" s="49" t="s">
        <v>68</v>
      </c>
      <c r="G199" s="49" t="s">
        <v>36</v>
      </c>
      <c r="H199" s="49" t="s">
        <v>6</v>
      </c>
      <c r="I199" s="50"/>
      <c r="Q199" s="52"/>
      <c r="R199" s="325"/>
      <c r="S199" s="322"/>
      <c r="T199" s="312"/>
      <c r="U199" s="315"/>
      <c r="V199" s="322"/>
      <c r="W199" s="312"/>
      <c r="X199" s="315"/>
      <c r="Y199" s="315"/>
      <c r="Z199" s="315"/>
      <c r="AA199" s="318"/>
      <c r="AD199" s="58">
        <f>BIN2DEC($AA197)*3</f>
        <v>0</v>
      </c>
      <c r="AE199" s="58">
        <f>ABS(BIN2DEC($U198)*3-1)</f>
        <v>1</v>
      </c>
      <c r="AF199" s="58">
        <f>ABS( BIN2DEC(V197)*3-BIN2DEC(Z197))</f>
        <v>0</v>
      </c>
      <c r="AG199" s="58">
        <f>BIN2DEC(X197&amp;Y197)+BIN2DEC(W197)*3</f>
        <v>0</v>
      </c>
      <c r="AH199">
        <f t="shared" ref="AH199:AH201" si="53">AD199+AE199*4+AF199*16</f>
        <v>4</v>
      </c>
    </row>
    <row r="200" spans="1:34">
      <c r="A200" s="53" t="s">
        <v>71</v>
      </c>
      <c r="B200" s="53">
        <v>1</v>
      </c>
      <c r="C200" s="51" t="s">
        <v>141</v>
      </c>
      <c r="D200" s="49" t="s">
        <v>7</v>
      </c>
      <c r="E200" s="49" t="s">
        <v>73</v>
      </c>
      <c r="F200" s="49" t="s">
        <v>68</v>
      </c>
      <c r="G200" s="49" t="s">
        <v>36</v>
      </c>
      <c r="H200" s="49" t="s">
        <v>6</v>
      </c>
      <c r="I200" s="50"/>
      <c r="Q200" s="52"/>
      <c r="R200" s="325"/>
      <c r="S200" s="322"/>
      <c r="T200" s="312"/>
      <c r="U200" s="315"/>
      <c r="V200" s="322"/>
      <c r="W200" s="312"/>
      <c r="X200" s="315"/>
      <c r="Y200" s="315"/>
      <c r="Z200" s="315"/>
      <c r="AA200" s="318"/>
      <c r="AD200" s="58">
        <f>ABS(BIN2DEC($AA197)*3-2)</f>
        <v>2</v>
      </c>
      <c r="AE200" s="58">
        <f>ABS(BIN2DEC($U197)*3)</f>
        <v>0</v>
      </c>
      <c r="AF200" s="58">
        <f>ABS( BIN2DEC(V197)*3-BIN2DEC(Z197))</f>
        <v>0</v>
      </c>
      <c r="AG200" s="58">
        <f>BIN2DEC(X197&amp;Y197)+BIN2DEC(W197)*3</f>
        <v>0</v>
      </c>
      <c r="AH200">
        <f t="shared" si="53"/>
        <v>2</v>
      </c>
    </row>
    <row r="201" spans="1:34" ht="15" thickBot="1">
      <c r="A201" s="53" t="s">
        <v>72</v>
      </c>
      <c r="B201" s="53">
        <v>1</v>
      </c>
      <c r="C201" s="51" t="s">
        <v>141</v>
      </c>
      <c r="D201" s="49" t="s">
        <v>7</v>
      </c>
      <c r="E201" s="49" t="s">
        <v>74</v>
      </c>
      <c r="F201" s="49" t="s">
        <v>68</v>
      </c>
      <c r="G201" s="49" t="s">
        <v>36</v>
      </c>
      <c r="H201" s="49" t="s">
        <v>6</v>
      </c>
      <c r="I201" s="50"/>
      <c r="Q201" s="52"/>
      <c r="R201" s="325"/>
      <c r="S201" s="323"/>
      <c r="T201" s="313"/>
      <c r="U201" s="316"/>
      <c r="V201" s="323"/>
      <c r="W201" s="313"/>
      <c r="X201" s="316"/>
      <c r="Y201" s="316"/>
      <c r="Z201" s="316"/>
      <c r="AA201" s="319"/>
      <c r="AD201" s="58">
        <f>ABS(BIN2DEC($AA197)*3-2)</f>
        <v>2</v>
      </c>
      <c r="AE201" s="58">
        <f>ABS(BIN2DEC($U197)*3-1)</f>
        <v>1</v>
      </c>
      <c r="AF201" s="58">
        <f>ABS( BIN2DEC(V197)*3-BIN2DEC(Z197))</f>
        <v>0</v>
      </c>
      <c r="AG201" s="58">
        <f>BIN2DEC(X197&amp;Y197)+BIN2DEC(W197)*3</f>
        <v>0</v>
      </c>
      <c r="AH201">
        <f t="shared" si="53"/>
        <v>6</v>
      </c>
    </row>
    <row r="202" spans="1:34">
      <c r="A202" s="53">
        <f>AA202</f>
        <v>0</v>
      </c>
      <c r="B202" s="53">
        <v>5</v>
      </c>
      <c r="C202" s="48" t="str">
        <f>IF(B202&gt;1,(23)&amp;":"&amp;(23-B202+1),(23-B202+1)&amp;":"&amp;(23-B202+1))</f>
        <v>23:19</v>
      </c>
      <c r="D202" s="49" t="s">
        <v>78</v>
      </c>
      <c r="E202" s="49" t="s">
        <v>69</v>
      </c>
      <c r="F202" s="49" t="s">
        <v>68</v>
      </c>
      <c r="G202" s="49" t="s">
        <v>36</v>
      </c>
      <c r="H202" s="49" t="s">
        <v>6</v>
      </c>
      <c r="I202" s="50"/>
      <c r="L202" t="str">
        <f>DEC2HEX(_xlfn.BITLSHIFT(HEX2DEC(P202),2))</f>
        <v>0</v>
      </c>
      <c r="N202">
        <v>1</v>
      </c>
      <c r="P202" t="str">
        <f>Z202</f>
        <v>0</v>
      </c>
      <c r="Q202" s="52" t="e">
        <f>BIN2HEX(LEFT(RIGHT(C202,32),4))&amp;BIN2HEX(LEFT(RIGHT(C202,28),4))&amp;BIN2HEX(LEFT(RIGHT(C202,24),4))&amp;BIN2HEX(LEFT(RIGHT(C202,20),4))&amp;BIN2HEX(LEFT(RIGHT(C202,16),4))&amp;BIN2HEX(LEFT(RIGHT(C202,12),4))&amp;BIN2HEX(LEFT(RIGHT(C202,8),4))&amp;BIN2HEX(LEFT(RIGHT(C202,4),4))</f>
        <v>#NUM!</v>
      </c>
      <c r="R202" s="325">
        <v>16</v>
      </c>
      <c r="S202" s="321"/>
      <c r="T202" s="311"/>
      <c r="U202" s="314"/>
      <c r="V202" s="321"/>
      <c r="W202" s="311"/>
      <c r="X202" s="314"/>
      <c r="Y202" s="314"/>
      <c r="Z202" s="314" t="str">
        <f t="shared" ref="Z202" si="54">BIN2HEX(S202&amp;T202&amp;U202&amp;V202&amp;W202&amp;X202&amp;Y202)</f>
        <v>0</v>
      </c>
      <c r="AA202" s="317"/>
      <c r="AD202" s="58"/>
      <c r="AE202" s="58"/>
      <c r="AF202" s="58"/>
      <c r="AG202" s="58"/>
    </row>
    <row r="203" spans="1:34">
      <c r="A203" s="53" t="s">
        <v>77</v>
      </c>
      <c r="B203" s="53">
        <v>1</v>
      </c>
      <c r="C203" s="51" t="s">
        <v>141</v>
      </c>
      <c r="D203" s="49" t="s">
        <v>7</v>
      </c>
      <c r="E203" s="49" t="s">
        <v>77</v>
      </c>
      <c r="F203" s="49" t="s">
        <v>68</v>
      </c>
      <c r="G203" s="49" t="s">
        <v>36</v>
      </c>
      <c r="H203" s="49" t="s">
        <v>6</v>
      </c>
      <c r="I203" s="50"/>
      <c r="Q203" s="52"/>
      <c r="R203" s="325"/>
      <c r="S203" s="322"/>
      <c r="T203" s="312"/>
      <c r="U203" s="315"/>
      <c r="V203" s="322"/>
      <c r="W203" s="312"/>
      <c r="X203" s="315"/>
      <c r="Y203" s="315"/>
      <c r="Z203" s="315"/>
      <c r="AA203" s="318"/>
      <c r="AD203" s="58">
        <f>BIN2DEC($AA202)*3</f>
        <v>0</v>
      </c>
      <c r="AE203" s="58">
        <f>ABS(BIN2DEC($U202)*3)</f>
        <v>0</v>
      </c>
      <c r="AF203" s="58">
        <f>ABS( BIN2DEC(V202)*3-BIN2DEC(Z202))</f>
        <v>0</v>
      </c>
      <c r="AG203" s="58">
        <f>BIN2DEC(X202&amp;Y202)+BIN2DEC(W202)*3</f>
        <v>0</v>
      </c>
      <c r="AH203">
        <f>AD203+AE203*4+AF203*16</f>
        <v>0</v>
      </c>
    </row>
    <row r="204" spans="1:34" ht="129.6">
      <c r="A204" s="53" t="s">
        <v>70</v>
      </c>
      <c r="B204" s="53">
        <v>3</v>
      </c>
      <c r="C204" s="51" t="s">
        <v>141</v>
      </c>
      <c r="D204" s="49" t="s">
        <v>81</v>
      </c>
      <c r="E204" s="49" t="s">
        <v>80</v>
      </c>
      <c r="F204" s="49" t="s">
        <v>68</v>
      </c>
      <c r="G204" s="49" t="s">
        <v>36</v>
      </c>
      <c r="H204" s="49" t="s">
        <v>6</v>
      </c>
      <c r="I204" s="50"/>
      <c r="Q204" s="52"/>
      <c r="R204" s="325"/>
      <c r="S204" s="322"/>
      <c r="T204" s="312"/>
      <c r="U204" s="315"/>
      <c r="V204" s="322"/>
      <c r="W204" s="312"/>
      <c r="X204" s="315"/>
      <c r="Y204" s="315"/>
      <c r="Z204" s="315"/>
      <c r="AA204" s="318"/>
      <c r="AD204" s="58">
        <f>BIN2DEC($AA202)*3</f>
        <v>0</v>
      </c>
      <c r="AE204" s="58">
        <f>ABS(BIN2DEC($U203)*3-1)</f>
        <v>1</v>
      </c>
      <c r="AF204" s="58">
        <f>ABS( BIN2DEC(V202)*3-BIN2DEC(Z202))</f>
        <v>0</v>
      </c>
      <c r="AG204" s="58">
        <f>BIN2DEC(X202&amp;Y202)+BIN2DEC(W202)*3</f>
        <v>0</v>
      </c>
      <c r="AH204">
        <f t="shared" ref="AH204:AH206" si="55">AD204+AE204*4+AF204*16</f>
        <v>4</v>
      </c>
    </row>
    <row r="205" spans="1:34">
      <c r="A205" s="53" t="s">
        <v>71</v>
      </c>
      <c r="B205" s="53">
        <v>1</v>
      </c>
      <c r="C205" s="51" t="s">
        <v>141</v>
      </c>
      <c r="D205" s="49" t="s">
        <v>7</v>
      </c>
      <c r="E205" s="49" t="s">
        <v>73</v>
      </c>
      <c r="F205" s="49" t="s">
        <v>68</v>
      </c>
      <c r="G205" s="49" t="s">
        <v>36</v>
      </c>
      <c r="H205" s="49" t="s">
        <v>6</v>
      </c>
      <c r="I205" s="50"/>
      <c r="Q205" s="52"/>
      <c r="R205" s="325"/>
      <c r="S205" s="322"/>
      <c r="T205" s="312"/>
      <c r="U205" s="315"/>
      <c r="V205" s="322"/>
      <c r="W205" s="312"/>
      <c r="X205" s="315"/>
      <c r="Y205" s="315"/>
      <c r="Z205" s="315"/>
      <c r="AA205" s="318"/>
      <c r="AD205" s="58">
        <f>ABS(BIN2DEC($AA202)*3-2)</f>
        <v>2</v>
      </c>
      <c r="AE205" s="58">
        <f>ABS(BIN2DEC($U202)*3)</f>
        <v>0</v>
      </c>
      <c r="AF205" s="58">
        <f>ABS( BIN2DEC(V202)*3-BIN2DEC(Z202))</f>
        <v>0</v>
      </c>
      <c r="AG205" s="58">
        <f>BIN2DEC(X202&amp;Y202)+BIN2DEC(W202)*3</f>
        <v>0</v>
      </c>
      <c r="AH205">
        <f t="shared" si="55"/>
        <v>2</v>
      </c>
    </row>
    <row r="206" spans="1:34" ht="15" thickBot="1">
      <c r="A206" s="53" t="s">
        <v>72</v>
      </c>
      <c r="B206" s="53">
        <v>1</v>
      </c>
      <c r="C206" s="51" t="s">
        <v>141</v>
      </c>
      <c r="D206" s="49" t="s">
        <v>7</v>
      </c>
      <c r="E206" s="49" t="s">
        <v>74</v>
      </c>
      <c r="F206" s="49" t="s">
        <v>68</v>
      </c>
      <c r="G206" s="49" t="s">
        <v>36</v>
      </c>
      <c r="H206" s="49" t="s">
        <v>6</v>
      </c>
      <c r="I206" s="50"/>
      <c r="Q206" s="52"/>
      <c r="R206" s="325"/>
      <c r="S206" s="323"/>
      <c r="T206" s="313"/>
      <c r="U206" s="316"/>
      <c r="V206" s="323"/>
      <c r="W206" s="313"/>
      <c r="X206" s="316"/>
      <c r="Y206" s="316"/>
      <c r="Z206" s="316"/>
      <c r="AA206" s="319"/>
      <c r="AD206" s="58">
        <f>ABS(BIN2DEC($AA202)*3-2)</f>
        <v>2</v>
      </c>
      <c r="AE206" s="58">
        <f>ABS(BIN2DEC($U202)*3-1)</f>
        <v>1</v>
      </c>
      <c r="AF206" s="58">
        <f>ABS( BIN2DEC(V202)*3-BIN2DEC(Z202))</f>
        <v>0</v>
      </c>
      <c r="AG206" s="58">
        <f>BIN2DEC(X202&amp;Y202)+BIN2DEC(W202)*3</f>
        <v>0</v>
      </c>
      <c r="AH206">
        <f t="shared" si="55"/>
        <v>6</v>
      </c>
    </row>
    <row r="207" spans="1:34">
      <c r="A207" s="53">
        <f>AA207</f>
        <v>0</v>
      </c>
      <c r="B207" s="53">
        <v>5</v>
      </c>
      <c r="C207" s="48" t="str">
        <f>IF(B207&gt;1,(23)&amp;":"&amp;(23-B207+1),(23-B207+1)&amp;":"&amp;(23-B207+1))</f>
        <v>23:19</v>
      </c>
      <c r="D207" s="49" t="s">
        <v>78</v>
      </c>
      <c r="E207" s="49" t="s">
        <v>69</v>
      </c>
      <c r="F207" s="49" t="s">
        <v>68</v>
      </c>
      <c r="G207" s="49" t="s">
        <v>36</v>
      </c>
      <c r="H207" s="49" t="s">
        <v>6</v>
      </c>
      <c r="I207" s="50"/>
      <c r="L207" t="str">
        <f>DEC2HEX(_xlfn.BITLSHIFT(HEX2DEC(P207),2))</f>
        <v>0</v>
      </c>
      <c r="N207">
        <v>1</v>
      </c>
      <c r="P207" t="str">
        <f>Z207</f>
        <v>0</v>
      </c>
      <c r="Q207" s="52" t="e">
        <f>BIN2HEX(LEFT(RIGHT(C207,32),4))&amp;BIN2HEX(LEFT(RIGHT(C207,28),4))&amp;BIN2HEX(LEFT(RIGHT(C207,24),4))&amp;BIN2HEX(LEFT(RIGHT(C207,20),4))&amp;BIN2HEX(LEFT(RIGHT(C207,16),4))&amp;BIN2HEX(LEFT(RIGHT(C207,12),4))&amp;BIN2HEX(LEFT(RIGHT(C207,8),4))&amp;BIN2HEX(LEFT(RIGHT(C207,4),4))</f>
        <v>#NUM!</v>
      </c>
      <c r="R207" s="325">
        <v>17</v>
      </c>
      <c r="S207" s="321"/>
      <c r="T207" s="311"/>
      <c r="U207" s="314"/>
      <c r="V207" s="321"/>
      <c r="W207" s="311"/>
      <c r="X207" s="314"/>
      <c r="Y207" s="314"/>
      <c r="Z207" s="314" t="str">
        <f t="shared" ref="Z207" si="56">BIN2HEX(S207&amp;T207&amp;U207&amp;V207&amp;W207&amp;X207&amp;Y207)</f>
        <v>0</v>
      </c>
      <c r="AA207" s="317"/>
      <c r="AD207" s="58"/>
      <c r="AE207" s="58"/>
      <c r="AF207" s="58"/>
      <c r="AG207" s="58"/>
    </row>
    <row r="208" spans="1:34">
      <c r="A208" s="53" t="s">
        <v>77</v>
      </c>
      <c r="B208" s="53">
        <v>1</v>
      </c>
      <c r="C208" s="51" t="s">
        <v>141</v>
      </c>
      <c r="D208" s="49" t="s">
        <v>7</v>
      </c>
      <c r="E208" s="49" t="s">
        <v>77</v>
      </c>
      <c r="F208" s="49" t="s">
        <v>68</v>
      </c>
      <c r="G208" s="49" t="s">
        <v>36</v>
      </c>
      <c r="H208" s="49" t="s">
        <v>6</v>
      </c>
      <c r="I208" s="50"/>
      <c r="Q208" s="52"/>
      <c r="R208" s="325"/>
      <c r="S208" s="322"/>
      <c r="T208" s="312"/>
      <c r="U208" s="315"/>
      <c r="V208" s="322"/>
      <c r="W208" s="312"/>
      <c r="X208" s="315"/>
      <c r="Y208" s="315"/>
      <c r="Z208" s="315"/>
      <c r="AA208" s="318"/>
      <c r="AD208" s="58">
        <f>BIN2DEC($AA207)*3</f>
        <v>0</v>
      </c>
      <c r="AE208" s="58">
        <f>ABS(BIN2DEC($U207)*3)</f>
        <v>0</v>
      </c>
      <c r="AF208" s="58">
        <f>ABS( BIN2DEC(V207)*3-BIN2DEC(Z207))</f>
        <v>0</v>
      </c>
      <c r="AG208" s="58">
        <f>BIN2DEC(X207&amp;Y207)+BIN2DEC(W207)*3</f>
        <v>0</v>
      </c>
      <c r="AH208">
        <f>AD208+AE208*4+AF208*16</f>
        <v>0</v>
      </c>
    </row>
    <row r="209" spans="1:34" ht="129.6">
      <c r="A209" s="53" t="s">
        <v>70</v>
      </c>
      <c r="B209" s="53">
        <v>3</v>
      </c>
      <c r="C209" s="51" t="s">
        <v>141</v>
      </c>
      <c r="D209" s="49" t="s">
        <v>81</v>
      </c>
      <c r="E209" s="49" t="s">
        <v>80</v>
      </c>
      <c r="F209" s="49" t="s">
        <v>68</v>
      </c>
      <c r="G209" s="49" t="s">
        <v>36</v>
      </c>
      <c r="H209" s="49" t="s">
        <v>6</v>
      </c>
      <c r="I209" s="50"/>
      <c r="Q209" s="52"/>
      <c r="R209" s="325"/>
      <c r="S209" s="322"/>
      <c r="T209" s="312"/>
      <c r="U209" s="315"/>
      <c r="V209" s="322"/>
      <c r="W209" s="312"/>
      <c r="X209" s="315"/>
      <c r="Y209" s="315"/>
      <c r="Z209" s="315"/>
      <c r="AA209" s="318"/>
      <c r="AD209" s="58">
        <f>BIN2DEC($AA207)*3</f>
        <v>0</v>
      </c>
      <c r="AE209" s="58">
        <f>ABS(BIN2DEC($U208)*3-1)</f>
        <v>1</v>
      </c>
      <c r="AF209" s="58">
        <f>ABS( BIN2DEC(V207)*3-BIN2DEC(Z207))</f>
        <v>0</v>
      </c>
      <c r="AG209" s="58">
        <f>BIN2DEC(X207&amp;Y207)+BIN2DEC(W207)*3</f>
        <v>0</v>
      </c>
      <c r="AH209">
        <f t="shared" ref="AH209:AH211" si="57">AD209+AE209*4+AF209*16</f>
        <v>4</v>
      </c>
    </row>
    <row r="210" spans="1:34">
      <c r="A210" s="53" t="s">
        <v>71</v>
      </c>
      <c r="B210" s="53">
        <v>1</v>
      </c>
      <c r="C210" s="51" t="s">
        <v>141</v>
      </c>
      <c r="D210" s="49" t="s">
        <v>7</v>
      </c>
      <c r="E210" s="49" t="s">
        <v>73</v>
      </c>
      <c r="F210" s="49" t="s">
        <v>68</v>
      </c>
      <c r="G210" s="49" t="s">
        <v>36</v>
      </c>
      <c r="H210" s="49" t="s">
        <v>6</v>
      </c>
      <c r="I210" s="50"/>
      <c r="Q210" s="52"/>
      <c r="R210" s="325"/>
      <c r="S210" s="322"/>
      <c r="T210" s="312"/>
      <c r="U210" s="315"/>
      <c r="V210" s="322"/>
      <c r="W210" s="312"/>
      <c r="X210" s="315"/>
      <c r="Y210" s="315"/>
      <c r="Z210" s="315"/>
      <c r="AA210" s="318"/>
      <c r="AD210" s="58">
        <f>ABS(BIN2DEC($AA207)*3-2)</f>
        <v>2</v>
      </c>
      <c r="AE210" s="58">
        <f>ABS(BIN2DEC($U207)*3)</f>
        <v>0</v>
      </c>
      <c r="AF210" s="58">
        <f>ABS( BIN2DEC(V207)*3-BIN2DEC(Z207))</f>
        <v>0</v>
      </c>
      <c r="AG210" s="58">
        <f>BIN2DEC(X207&amp;Y207)+BIN2DEC(W207)*3</f>
        <v>0</v>
      </c>
      <c r="AH210">
        <f t="shared" si="57"/>
        <v>2</v>
      </c>
    </row>
    <row r="211" spans="1:34" ht="15" thickBot="1">
      <c r="A211" s="53" t="s">
        <v>72</v>
      </c>
      <c r="B211" s="53">
        <v>1</v>
      </c>
      <c r="C211" s="51" t="s">
        <v>141</v>
      </c>
      <c r="D211" s="49" t="s">
        <v>7</v>
      </c>
      <c r="E211" s="49" t="s">
        <v>74</v>
      </c>
      <c r="F211" s="49" t="s">
        <v>68</v>
      </c>
      <c r="G211" s="49" t="s">
        <v>36</v>
      </c>
      <c r="H211" s="49" t="s">
        <v>6</v>
      </c>
      <c r="I211" s="50"/>
      <c r="Q211" s="52"/>
      <c r="R211" s="325"/>
      <c r="S211" s="323"/>
      <c r="T211" s="313"/>
      <c r="U211" s="316"/>
      <c r="V211" s="323"/>
      <c r="W211" s="313"/>
      <c r="X211" s="316"/>
      <c r="Y211" s="316"/>
      <c r="Z211" s="316"/>
      <c r="AA211" s="319"/>
      <c r="AD211" s="58">
        <f>ABS(BIN2DEC($AA207)*3-2)</f>
        <v>2</v>
      </c>
      <c r="AE211" s="58">
        <f>ABS(BIN2DEC($U207)*3-1)</f>
        <v>1</v>
      </c>
      <c r="AF211" s="58">
        <f>ABS( BIN2DEC(V207)*3-BIN2DEC(Z207))</f>
        <v>0</v>
      </c>
      <c r="AG211" s="58">
        <f>BIN2DEC(X207&amp;Y207)+BIN2DEC(W207)*3</f>
        <v>0</v>
      </c>
      <c r="AH211">
        <f t="shared" si="57"/>
        <v>6</v>
      </c>
    </row>
    <row r="212" spans="1:34">
      <c r="A212" s="53">
        <f>AA212</f>
        <v>0</v>
      </c>
      <c r="B212" s="53">
        <v>5</v>
      </c>
      <c r="C212" s="48" t="str">
        <f>IF(B212&gt;1,(23)&amp;":"&amp;(23-B212+1),(23-B212+1)&amp;":"&amp;(23-B212+1))</f>
        <v>23:19</v>
      </c>
      <c r="D212" s="49" t="s">
        <v>78</v>
      </c>
      <c r="E212" s="49" t="s">
        <v>69</v>
      </c>
      <c r="F212" s="49" t="s">
        <v>68</v>
      </c>
      <c r="G212" s="49" t="s">
        <v>36</v>
      </c>
      <c r="H212" s="49" t="s">
        <v>6</v>
      </c>
      <c r="I212" s="50"/>
      <c r="L212" t="str">
        <f>DEC2HEX(_xlfn.BITLSHIFT(HEX2DEC(P212),2))</f>
        <v>0</v>
      </c>
      <c r="N212">
        <v>1</v>
      </c>
      <c r="P212" t="str">
        <f>Z212</f>
        <v>0</v>
      </c>
      <c r="Q212" s="52" t="e">
        <f>BIN2HEX(LEFT(RIGHT(C212,32),4))&amp;BIN2HEX(LEFT(RIGHT(C212,28),4))&amp;BIN2HEX(LEFT(RIGHT(C212,24),4))&amp;BIN2HEX(LEFT(RIGHT(C212,20),4))&amp;BIN2HEX(LEFT(RIGHT(C212,16),4))&amp;BIN2HEX(LEFT(RIGHT(C212,12),4))&amp;BIN2HEX(LEFT(RIGHT(C212,8),4))&amp;BIN2HEX(LEFT(RIGHT(C212,4),4))</f>
        <v>#NUM!</v>
      </c>
      <c r="R212" s="325">
        <v>18</v>
      </c>
      <c r="S212" s="321"/>
      <c r="T212" s="311"/>
      <c r="U212" s="314"/>
      <c r="V212" s="321"/>
      <c r="W212" s="311"/>
      <c r="X212" s="314"/>
      <c r="Y212" s="314"/>
      <c r="Z212" s="314" t="str">
        <f t="shared" ref="Z212" si="58">BIN2HEX(S212&amp;T212&amp;U212&amp;V212&amp;W212&amp;X212&amp;Y212)</f>
        <v>0</v>
      </c>
      <c r="AA212" s="317"/>
      <c r="AD212" s="58"/>
      <c r="AE212" s="58"/>
      <c r="AF212" s="58"/>
      <c r="AG212" s="58"/>
    </row>
    <row r="213" spans="1:34">
      <c r="A213" s="53" t="s">
        <v>77</v>
      </c>
      <c r="B213" s="53">
        <v>1</v>
      </c>
      <c r="C213" s="51" t="s">
        <v>141</v>
      </c>
      <c r="D213" s="49" t="s">
        <v>7</v>
      </c>
      <c r="E213" s="49" t="s">
        <v>77</v>
      </c>
      <c r="F213" s="49" t="s">
        <v>68</v>
      </c>
      <c r="G213" s="49" t="s">
        <v>36</v>
      </c>
      <c r="H213" s="49" t="s">
        <v>6</v>
      </c>
      <c r="I213" s="50"/>
      <c r="Q213" s="52"/>
      <c r="R213" s="325"/>
      <c r="S213" s="322"/>
      <c r="T213" s="312"/>
      <c r="U213" s="315"/>
      <c r="V213" s="322"/>
      <c r="W213" s="312"/>
      <c r="X213" s="315"/>
      <c r="Y213" s="315"/>
      <c r="Z213" s="315"/>
      <c r="AA213" s="318"/>
      <c r="AD213" s="58">
        <f>BIN2DEC($AA212)*3</f>
        <v>0</v>
      </c>
      <c r="AE213" s="58">
        <f>ABS(BIN2DEC($U212)*3)</f>
        <v>0</v>
      </c>
      <c r="AF213" s="58">
        <f>ABS( BIN2DEC(V212)*3-BIN2DEC(Z212))</f>
        <v>0</v>
      </c>
      <c r="AG213" s="58">
        <f>BIN2DEC(X212&amp;Y212)+BIN2DEC(W212)*3</f>
        <v>0</v>
      </c>
      <c r="AH213">
        <f>AD213+AE213*4+AF213*16</f>
        <v>0</v>
      </c>
    </row>
    <row r="214" spans="1:34" ht="129.6">
      <c r="A214" s="53" t="s">
        <v>70</v>
      </c>
      <c r="B214" s="53">
        <v>3</v>
      </c>
      <c r="C214" s="51" t="s">
        <v>141</v>
      </c>
      <c r="D214" s="49" t="s">
        <v>81</v>
      </c>
      <c r="E214" s="49" t="s">
        <v>80</v>
      </c>
      <c r="F214" s="49" t="s">
        <v>68</v>
      </c>
      <c r="G214" s="49" t="s">
        <v>36</v>
      </c>
      <c r="H214" s="49" t="s">
        <v>6</v>
      </c>
      <c r="I214" s="50"/>
      <c r="Q214" s="52"/>
      <c r="R214" s="325"/>
      <c r="S214" s="322"/>
      <c r="T214" s="312"/>
      <c r="U214" s="315"/>
      <c r="V214" s="322"/>
      <c r="W214" s="312"/>
      <c r="X214" s="315"/>
      <c r="Y214" s="315"/>
      <c r="Z214" s="315"/>
      <c r="AA214" s="318"/>
      <c r="AD214" s="58">
        <f>BIN2DEC($AA212)*3</f>
        <v>0</v>
      </c>
      <c r="AE214" s="58">
        <f>ABS(BIN2DEC($U213)*3-1)</f>
        <v>1</v>
      </c>
      <c r="AF214" s="58">
        <f>ABS( BIN2DEC(V212)*3-BIN2DEC(Z212))</f>
        <v>0</v>
      </c>
      <c r="AG214" s="58">
        <f>BIN2DEC(X212&amp;Y212)+BIN2DEC(W212)*3</f>
        <v>0</v>
      </c>
      <c r="AH214">
        <f t="shared" ref="AH214:AH216" si="59">AD214+AE214*4+AF214*16</f>
        <v>4</v>
      </c>
    </row>
    <row r="215" spans="1:34">
      <c r="A215" s="53" t="s">
        <v>71</v>
      </c>
      <c r="B215" s="53">
        <v>1</v>
      </c>
      <c r="C215" s="51" t="s">
        <v>141</v>
      </c>
      <c r="D215" s="49" t="s">
        <v>7</v>
      </c>
      <c r="E215" s="49" t="s">
        <v>73</v>
      </c>
      <c r="F215" s="49" t="s">
        <v>68</v>
      </c>
      <c r="G215" s="49" t="s">
        <v>36</v>
      </c>
      <c r="H215" s="49" t="s">
        <v>6</v>
      </c>
      <c r="I215" s="50"/>
      <c r="Q215" s="52"/>
      <c r="R215" s="325"/>
      <c r="S215" s="322"/>
      <c r="T215" s="312"/>
      <c r="U215" s="315"/>
      <c r="V215" s="322"/>
      <c r="W215" s="312"/>
      <c r="X215" s="315"/>
      <c r="Y215" s="315"/>
      <c r="Z215" s="315"/>
      <c r="AA215" s="318"/>
      <c r="AD215" s="58">
        <f>ABS(BIN2DEC($AA212)*3-2)</f>
        <v>2</v>
      </c>
      <c r="AE215" s="58">
        <f>ABS(BIN2DEC($U212)*3)</f>
        <v>0</v>
      </c>
      <c r="AF215" s="58">
        <f>ABS( BIN2DEC(V212)*3-BIN2DEC(Z212))</f>
        <v>0</v>
      </c>
      <c r="AG215" s="58">
        <f>BIN2DEC(X212&amp;Y212)+BIN2DEC(W212)*3</f>
        <v>0</v>
      </c>
      <c r="AH215">
        <f t="shared" si="59"/>
        <v>2</v>
      </c>
    </row>
    <row r="216" spans="1:34" ht="15" thickBot="1">
      <c r="A216" s="53" t="s">
        <v>72</v>
      </c>
      <c r="B216" s="53">
        <v>1</v>
      </c>
      <c r="C216" s="51" t="s">
        <v>141</v>
      </c>
      <c r="D216" s="49" t="s">
        <v>7</v>
      </c>
      <c r="E216" s="49" t="s">
        <v>74</v>
      </c>
      <c r="F216" s="49" t="s">
        <v>68</v>
      </c>
      <c r="G216" s="49" t="s">
        <v>36</v>
      </c>
      <c r="H216" s="49" t="s">
        <v>6</v>
      </c>
      <c r="I216" s="50"/>
      <c r="Q216" s="52"/>
      <c r="R216" s="325"/>
      <c r="S216" s="323"/>
      <c r="T216" s="313"/>
      <c r="U216" s="316"/>
      <c r="V216" s="323"/>
      <c r="W216" s="313"/>
      <c r="X216" s="316"/>
      <c r="Y216" s="316"/>
      <c r="Z216" s="316"/>
      <c r="AA216" s="319"/>
      <c r="AD216" s="58">
        <f>ABS(BIN2DEC($AA212)*3-2)</f>
        <v>2</v>
      </c>
      <c r="AE216" s="58">
        <f>ABS(BIN2DEC($U212)*3-1)</f>
        <v>1</v>
      </c>
      <c r="AF216" s="58">
        <f>ABS( BIN2DEC(V212)*3-BIN2DEC(Z212))</f>
        <v>0</v>
      </c>
      <c r="AG216" s="58">
        <f>BIN2DEC(X212&amp;Y212)+BIN2DEC(W212)*3</f>
        <v>0</v>
      </c>
      <c r="AH216">
        <f t="shared" si="59"/>
        <v>6</v>
      </c>
    </row>
    <row r="217" spans="1:34">
      <c r="A217" s="53">
        <f>AA217</f>
        <v>0</v>
      </c>
      <c r="B217" s="53">
        <v>5</v>
      </c>
      <c r="C217" s="48" t="str">
        <f>IF(B217&gt;1,(23)&amp;":"&amp;(23-B217+1),(23-B217+1)&amp;":"&amp;(23-B217+1))</f>
        <v>23:19</v>
      </c>
      <c r="D217" s="49" t="s">
        <v>78</v>
      </c>
      <c r="E217" s="49" t="s">
        <v>69</v>
      </c>
      <c r="F217" s="49" t="s">
        <v>68</v>
      </c>
      <c r="G217" s="49" t="s">
        <v>36</v>
      </c>
      <c r="H217" s="49" t="s">
        <v>6</v>
      </c>
      <c r="I217" s="50"/>
      <c r="L217" t="str">
        <f>DEC2HEX(_xlfn.BITLSHIFT(HEX2DEC(P217),2))</f>
        <v>0</v>
      </c>
      <c r="N217">
        <v>1</v>
      </c>
      <c r="P217" t="str">
        <f>Z217</f>
        <v>0</v>
      </c>
      <c r="Q217" s="52" t="e">
        <f>BIN2HEX(LEFT(RIGHT(C217,32),4))&amp;BIN2HEX(LEFT(RIGHT(C217,28),4))&amp;BIN2HEX(LEFT(RIGHT(C217,24),4))&amp;BIN2HEX(LEFT(RIGHT(C217,20),4))&amp;BIN2HEX(LEFT(RIGHT(C217,16),4))&amp;BIN2HEX(LEFT(RIGHT(C217,12),4))&amp;BIN2HEX(LEFT(RIGHT(C217,8),4))&amp;BIN2HEX(LEFT(RIGHT(C217,4),4))</f>
        <v>#NUM!</v>
      </c>
      <c r="R217" s="325">
        <v>19</v>
      </c>
      <c r="S217" s="321"/>
      <c r="T217" s="311"/>
      <c r="U217" s="314"/>
      <c r="V217" s="321"/>
      <c r="W217" s="311"/>
      <c r="X217" s="314"/>
      <c r="Y217" s="314"/>
      <c r="Z217" s="314" t="str">
        <f t="shared" ref="Z217" si="60">BIN2HEX(S217&amp;T217&amp;U217&amp;V217&amp;W217&amp;X217&amp;Y217)</f>
        <v>0</v>
      </c>
      <c r="AA217" s="317"/>
      <c r="AD217" s="58"/>
      <c r="AE217" s="58"/>
      <c r="AF217" s="58"/>
      <c r="AG217" s="58"/>
    </row>
    <row r="218" spans="1:34">
      <c r="A218" s="53" t="s">
        <v>77</v>
      </c>
      <c r="B218" s="53">
        <v>1</v>
      </c>
      <c r="C218" s="51" t="s">
        <v>141</v>
      </c>
      <c r="D218" s="49" t="s">
        <v>7</v>
      </c>
      <c r="E218" s="49" t="s">
        <v>77</v>
      </c>
      <c r="F218" s="49" t="s">
        <v>68</v>
      </c>
      <c r="G218" s="49" t="s">
        <v>36</v>
      </c>
      <c r="H218" s="49" t="s">
        <v>6</v>
      </c>
      <c r="I218" s="50"/>
      <c r="Q218" s="52"/>
      <c r="R218" s="325"/>
      <c r="S218" s="322"/>
      <c r="T218" s="312"/>
      <c r="U218" s="315"/>
      <c r="V218" s="322"/>
      <c r="W218" s="312"/>
      <c r="X218" s="315"/>
      <c r="Y218" s="315"/>
      <c r="Z218" s="315"/>
      <c r="AA218" s="318"/>
      <c r="AD218" s="58">
        <f>BIN2DEC($AA217)*3</f>
        <v>0</v>
      </c>
      <c r="AE218" s="58">
        <f>ABS(BIN2DEC($U217)*3)</f>
        <v>0</v>
      </c>
      <c r="AF218" s="58">
        <f>ABS( BIN2DEC(V217)*3-BIN2DEC(Z217))</f>
        <v>0</v>
      </c>
      <c r="AG218" s="58">
        <f>BIN2DEC(X217&amp;Y217)+BIN2DEC(W217)*3</f>
        <v>0</v>
      </c>
      <c r="AH218">
        <f>AD218+AE218*4+AF218*16</f>
        <v>0</v>
      </c>
    </row>
    <row r="219" spans="1:34" ht="129.6">
      <c r="A219" s="53" t="s">
        <v>70</v>
      </c>
      <c r="B219" s="53">
        <v>3</v>
      </c>
      <c r="C219" s="51" t="s">
        <v>141</v>
      </c>
      <c r="D219" s="49" t="s">
        <v>81</v>
      </c>
      <c r="E219" s="49" t="s">
        <v>80</v>
      </c>
      <c r="F219" s="49" t="s">
        <v>68</v>
      </c>
      <c r="G219" s="49" t="s">
        <v>36</v>
      </c>
      <c r="H219" s="49" t="s">
        <v>6</v>
      </c>
      <c r="I219" s="50"/>
      <c r="Q219" s="52"/>
      <c r="R219" s="325"/>
      <c r="S219" s="322"/>
      <c r="T219" s="312"/>
      <c r="U219" s="315"/>
      <c r="V219" s="322"/>
      <c r="W219" s="312"/>
      <c r="X219" s="315"/>
      <c r="Y219" s="315"/>
      <c r="Z219" s="315"/>
      <c r="AA219" s="318"/>
      <c r="AD219" s="58">
        <f>BIN2DEC($AA217)*3</f>
        <v>0</v>
      </c>
      <c r="AE219" s="58">
        <f>ABS(BIN2DEC($U218)*3-1)</f>
        <v>1</v>
      </c>
      <c r="AF219" s="58">
        <f>ABS( BIN2DEC(V217)*3-BIN2DEC(Z217))</f>
        <v>0</v>
      </c>
      <c r="AG219" s="58">
        <f>BIN2DEC(X217&amp;Y217)+BIN2DEC(W217)*3</f>
        <v>0</v>
      </c>
      <c r="AH219">
        <f t="shared" ref="AH219:AH221" si="61">AD219+AE219*4+AF219*16</f>
        <v>4</v>
      </c>
    </row>
    <row r="220" spans="1:34">
      <c r="A220" s="53" t="s">
        <v>71</v>
      </c>
      <c r="B220" s="53">
        <v>1</v>
      </c>
      <c r="C220" s="51" t="s">
        <v>141</v>
      </c>
      <c r="D220" s="49" t="s">
        <v>7</v>
      </c>
      <c r="E220" s="49" t="s">
        <v>73</v>
      </c>
      <c r="F220" s="49" t="s">
        <v>68</v>
      </c>
      <c r="G220" s="49" t="s">
        <v>36</v>
      </c>
      <c r="H220" s="49" t="s">
        <v>6</v>
      </c>
      <c r="I220" s="50"/>
      <c r="Q220" s="52"/>
      <c r="R220" s="325"/>
      <c r="S220" s="322"/>
      <c r="T220" s="312"/>
      <c r="U220" s="315"/>
      <c r="V220" s="322"/>
      <c r="W220" s="312"/>
      <c r="X220" s="315"/>
      <c r="Y220" s="315"/>
      <c r="Z220" s="315"/>
      <c r="AA220" s="318"/>
      <c r="AD220" s="58">
        <f>ABS(BIN2DEC($AA217)*3-2)</f>
        <v>2</v>
      </c>
      <c r="AE220" s="58">
        <f>ABS(BIN2DEC($U217)*3)</f>
        <v>0</v>
      </c>
      <c r="AF220" s="58">
        <f>ABS( BIN2DEC(V217)*3-BIN2DEC(Z217))</f>
        <v>0</v>
      </c>
      <c r="AG220" s="58">
        <f>BIN2DEC(X217&amp;Y217)+BIN2DEC(W217)*3</f>
        <v>0</v>
      </c>
      <c r="AH220">
        <f t="shared" si="61"/>
        <v>2</v>
      </c>
    </row>
    <row r="221" spans="1:34" ht="15" thickBot="1">
      <c r="A221" s="53" t="s">
        <v>72</v>
      </c>
      <c r="B221" s="53">
        <v>1</v>
      </c>
      <c r="C221" s="51" t="s">
        <v>141</v>
      </c>
      <c r="D221" s="49" t="s">
        <v>7</v>
      </c>
      <c r="E221" s="49" t="s">
        <v>74</v>
      </c>
      <c r="F221" s="49" t="s">
        <v>68</v>
      </c>
      <c r="G221" s="49" t="s">
        <v>36</v>
      </c>
      <c r="H221" s="49" t="s">
        <v>6</v>
      </c>
      <c r="I221" s="50"/>
      <c r="Q221" s="52"/>
      <c r="R221" s="325"/>
      <c r="S221" s="323"/>
      <c r="T221" s="313"/>
      <c r="U221" s="316"/>
      <c r="V221" s="323"/>
      <c r="W221" s="313"/>
      <c r="X221" s="316"/>
      <c r="Y221" s="316"/>
      <c r="Z221" s="316"/>
      <c r="AA221" s="319"/>
      <c r="AD221" s="58">
        <f>ABS(BIN2DEC($AA217)*3-2)</f>
        <v>2</v>
      </c>
      <c r="AE221" s="58">
        <f>ABS(BIN2DEC($U217)*3-1)</f>
        <v>1</v>
      </c>
      <c r="AF221" s="58">
        <f>ABS( BIN2DEC(V217)*3-BIN2DEC(Z217))</f>
        <v>0</v>
      </c>
      <c r="AG221" s="58">
        <f>BIN2DEC(X217&amp;Y217)+BIN2DEC(W217)*3</f>
        <v>0</v>
      </c>
      <c r="AH221">
        <f t="shared" si="61"/>
        <v>6</v>
      </c>
    </row>
    <row r="222" spans="1:34">
      <c r="A222" s="53">
        <f>AA222</f>
        <v>0</v>
      </c>
      <c r="B222" s="53">
        <v>5</v>
      </c>
      <c r="C222" s="48" t="str">
        <f>IF(B222&gt;1,(23)&amp;":"&amp;(23-B222+1),(23-B222+1)&amp;":"&amp;(23-B222+1))</f>
        <v>23:19</v>
      </c>
      <c r="D222" s="49" t="s">
        <v>78</v>
      </c>
      <c r="E222" s="49" t="s">
        <v>69</v>
      </c>
      <c r="F222" s="49" t="s">
        <v>68</v>
      </c>
      <c r="G222" s="49" t="s">
        <v>36</v>
      </c>
      <c r="H222" s="49" t="s">
        <v>6</v>
      </c>
      <c r="I222" s="50"/>
      <c r="L222" t="str">
        <f>DEC2HEX(_xlfn.BITLSHIFT(HEX2DEC(P222),2))</f>
        <v>0</v>
      </c>
      <c r="N222">
        <v>1</v>
      </c>
      <c r="P222" t="str">
        <f>Z222</f>
        <v>0</v>
      </c>
      <c r="Q222" s="52" t="e">
        <f>BIN2HEX(LEFT(RIGHT(C222,32),4))&amp;BIN2HEX(LEFT(RIGHT(C222,28),4))&amp;BIN2HEX(LEFT(RIGHT(C222,24),4))&amp;BIN2HEX(LEFT(RIGHT(C222,20),4))&amp;BIN2HEX(LEFT(RIGHT(C222,16),4))&amp;BIN2HEX(LEFT(RIGHT(C222,12),4))&amp;BIN2HEX(LEFT(RIGHT(C222,8),4))&amp;BIN2HEX(LEFT(RIGHT(C222,4),4))</f>
        <v>#NUM!</v>
      </c>
      <c r="R222" s="325">
        <v>20</v>
      </c>
      <c r="S222" s="321"/>
      <c r="T222" s="311"/>
      <c r="U222" s="314"/>
      <c r="V222" s="321"/>
      <c r="W222" s="311"/>
      <c r="X222" s="314"/>
      <c r="Y222" s="314"/>
      <c r="Z222" s="314" t="str">
        <f t="shared" ref="Z222" si="62">BIN2HEX(S222&amp;T222&amp;U222&amp;V222&amp;W222&amp;X222&amp;Y222)</f>
        <v>0</v>
      </c>
      <c r="AA222" s="317"/>
      <c r="AD222" s="58"/>
      <c r="AE222" s="58"/>
      <c r="AF222" s="58"/>
      <c r="AG222" s="58"/>
    </row>
    <row r="223" spans="1:34">
      <c r="A223" s="53" t="s">
        <v>77</v>
      </c>
      <c r="B223" s="53">
        <v>1</v>
      </c>
      <c r="C223" s="51" t="s">
        <v>141</v>
      </c>
      <c r="D223" s="49" t="s">
        <v>7</v>
      </c>
      <c r="E223" s="49" t="s">
        <v>77</v>
      </c>
      <c r="F223" s="49" t="s">
        <v>68</v>
      </c>
      <c r="G223" s="49" t="s">
        <v>36</v>
      </c>
      <c r="H223" s="49" t="s">
        <v>6</v>
      </c>
      <c r="I223" s="50"/>
      <c r="Q223" s="52"/>
      <c r="R223" s="325"/>
      <c r="S223" s="322"/>
      <c r="T223" s="312"/>
      <c r="U223" s="315"/>
      <c r="V223" s="322"/>
      <c r="W223" s="312"/>
      <c r="X223" s="315"/>
      <c r="Y223" s="315"/>
      <c r="Z223" s="315"/>
      <c r="AA223" s="318"/>
      <c r="AD223" s="58">
        <f>BIN2DEC($AA222)*3</f>
        <v>0</v>
      </c>
      <c r="AE223" s="58">
        <f>ABS(BIN2DEC($U222)*3)</f>
        <v>0</v>
      </c>
      <c r="AF223" s="58">
        <f>ABS( BIN2DEC(V222)*3-BIN2DEC(Z222))</f>
        <v>0</v>
      </c>
      <c r="AG223" s="58">
        <f>BIN2DEC(X222&amp;Y222)+BIN2DEC(W222)*3</f>
        <v>0</v>
      </c>
      <c r="AH223">
        <f>AD223+AE223*4+AF223*16</f>
        <v>0</v>
      </c>
    </row>
    <row r="224" spans="1:34" ht="129.6">
      <c r="A224" s="53" t="s">
        <v>70</v>
      </c>
      <c r="B224" s="53">
        <v>3</v>
      </c>
      <c r="C224" s="51" t="s">
        <v>141</v>
      </c>
      <c r="D224" s="49" t="s">
        <v>81</v>
      </c>
      <c r="E224" s="49" t="s">
        <v>80</v>
      </c>
      <c r="F224" s="49" t="s">
        <v>68</v>
      </c>
      <c r="G224" s="49" t="s">
        <v>36</v>
      </c>
      <c r="H224" s="49" t="s">
        <v>6</v>
      </c>
      <c r="I224" s="50"/>
      <c r="Q224" s="52"/>
      <c r="R224" s="325"/>
      <c r="S224" s="322"/>
      <c r="T224" s="312"/>
      <c r="U224" s="315"/>
      <c r="V224" s="322"/>
      <c r="W224" s="312"/>
      <c r="X224" s="315"/>
      <c r="Y224" s="315"/>
      <c r="Z224" s="315"/>
      <c r="AA224" s="318"/>
      <c r="AD224" s="58">
        <f>BIN2DEC($AA222)*3</f>
        <v>0</v>
      </c>
      <c r="AE224" s="58">
        <f>ABS(BIN2DEC($U223)*3-1)</f>
        <v>1</v>
      </c>
      <c r="AF224" s="58">
        <f>ABS( BIN2DEC(V222)*3-BIN2DEC(Z222))</f>
        <v>0</v>
      </c>
      <c r="AG224" s="58">
        <f>BIN2DEC(X222&amp;Y222)+BIN2DEC(W222)*3</f>
        <v>0</v>
      </c>
      <c r="AH224">
        <f t="shared" ref="AH224:AH226" si="63">AD224+AE224*4+AF224*16</f>
        <v>4</v>
      </c>
    </row>
    <row r="225" spans="1:34">
      <c r="A225" s="53" t="s">
        <v>71</v>
      </c>
      <c r="B225" s="53">
        <v>1</v>
      </c>
      <c r="C225" s="51" t="s">
        <v>141</v>
      </c>
      <c r="D225" s="49" t="s">
        <v>7</v>
      </c>
      <c r="E225" s="49" t="s">
        <v>73</v>
      </c>
      <c r="F225" s="49" t="s">
        <v>68</v>
      </c>
      <c r="G225" s="49" t="s">
        <v>36</v>
      </c>
      <c r="H225" s="49" t="s">
        <v>6</v>
      </c>
      <c r="I225" s="50"/>
      <c r="Q225" s="52"/>
      <c r="R225" s="325"/>
      <c r="S225" s="322"/>
      <c r="T225" s="312"/>
      <c r="U225" s="315"/>
      <c r="V225" s="322"/>
      <c r="W225" s="312"/>
      <c r="X225" s="315"/>
      <c r="Y225" s="315"/>
      <c r="Z225" s="315"/>
      <c r="AA225" s="318"/>
      <c r="AD225" s="58">
        <f>ABS(BIN2DEC($AA222)*3-2)</f>
        <v>2</v>
      </c>
      <c r="AE225" s="58">
        <f>ABS(BIN2DEC($U222)*3)</f>
        <v>0</v>
      </c>
      <c r="AF225" s="58">
        <f>ABS( BIN2DEC(V222)*3-BIN2DEC(Z222))</f>
        <v>0</v>
      </c>
      <c r="AG225" s="58">
        <f>BIN2DEC(X222&amp;Y222)+BIN2DEC(W222)*3</f>
        <v>0</v>
      </c>
      <c r="AH225">
        <f t="shared" si="63"/>
        <v>2</v>
      </c>
    </row>
    <row r="226" spans="1:34" ht="15" thickBot="1">
      <c r="A226" s="53" t="s">
        <v>72</v>
      </c>
      <c r="B226" s="53">
        <v>1</v>
      </c>
      <c r="C226" s="51" t="s">
        <v>141</v>
      </c>
      <c r="D226" s="49" t="s">
        <v>7</v>
      </c>
      <c r="E226" s="49" t="s">
        <v>74</v>
      </c>
      <c r="F226" s="49" t="s">
        <v>68</v>
      </c>
      <c r="G226" s="49" t="s">
        <v>36</v>
      </c>
      <c r="H226" s="49" t="s">
        <v>6</v>
      </c>
      <c r="I226" s="50"/>
      <c r="Q226" s="52"/>
      <c r="R226" s="325"/>
      <c r="S226" s="323"/>
      <c r="T226" s="313"/>
      <c r="U226" s="316"/>
      <c r="V226" s="323"/>
      <c r="W226" s="313"/>
      <c r="X226" s="316"/>
      <c r="Y226" s="316"/>
      <c r="Z226" s="316"/>
      <c r="AA226" s="319"/>
      <c r="AD226" s="58">
        <f>ABS(BIN2DEC($AA222)*3-2)</f>
        <v>2</v>
      </c>
      <c r="AE226" s="58">
        <f>ABS(BIN2DEC($U222)*3-1)</f>
        <v>1</v>
      </c>
      <c r="AF226" s="58">
        <f>ABS( BIN2DEC(V222)*3-BIN2DEC(Z222))</f>
        <v>0</v>
      </c>
      <c r="AG226" s="58">
        <f>BIN2DEC(X222&amp;Y222)+BIN2DEC(W222)*3</f>
        <v>0</v>
      </c>
      <c r="AH226">
        <f t="shared" si="63"/>
        <v>6</v>
      </c>
    </row>
    <row r="227" spans="1:34">
      <c r="A227" s="53">
        <f>AA227</f>
        <v>0</v>
      </c>
      <c r="B227" s="53">
        <v>5</v>
      </c>
      <c r="C227" s="48" t="str">
        <f>IF(B227&gt;1,(23)&amp;":"&amp;(23-B227+1),(23-B227+1)&amp;":"&amp;(23-B227+1))</f>
        <v>23:19</v>
      </c>
      <c r="D227" s="49" t="s">
        <v>78</v>
      </c>
      <c r="E227" s="49" t="s">
        <v>69</v>
      </c>
      <c r="F227" s="49" t="s">
        <v>68</v>
      </c>
      <c r="G227" s="49" t="s">
        <v>36</v>
      </c>
      <c r="H227" s="49" t="s">
        <v>6</v>
      </c>
      <c r="I227" s="50"/>
      <c r="L227" t="str">
        <f>DEC2HEX(_xlfn.BITLSHIFT(HEX2DEC(P227),2))</f>
        <v>0</v>
      </c>
      <c r="N227">
        <v>1</v>
      </c>
      <c r="P227" t="str">
        <f>Z227</f>
        <v>0</v>
      </c>
      <c r="Q227" s="52" t="e">
        <f>BIN2HEX(LEFT(RIGHT(C227,32),4))&amp;BIN2HEX(LEFT(RIGHT(C227,28),4))&amp;BIN2HEX(LEFT(RIGHT(C227,24),4))&amp;BIN2HEX(LEFT(RIGHT(C227,20),4))&amp;BIN2HEX(LEFT(RIGHT(C227,16),4))&amp;BIN2HEX(LEFT(RIGHT(C227,12),4))&amp;BIN2HEX(LEFT(RIGHT(C227,8),4))&amp;BIN2HEX(LEFT(RIGHT(C227,4),4))</f>
        <v>#NUM!</v>
      </c>
      <c r="R227" s="325">
        <v>21</v>
      </c>
      <c r="S227" s="321"/>
      <c r="T227" s="311"/>
      <c r="U227" s="314"/>
      <c r="V227" s="321"/>
      <c r="W227" s="311"/>
      <c r="X227" s="314"/>
      <c r="Y227" s="314"/>
      <c r="Z227" s="314" t="str">
        <f t="shared" ref="Z227" si="64">BIN2HEX(S227&amp;T227&amp;U227&amp;V227&amp;W227&amp;X227&amp;Y227)</f>
        <v>0</v>
      </c>
      <c r="AA227" s="317"/>
      <c r="AD227" s="58"/>
      <c r="AE227" s="58"/>
      <c r="AF227" s="58"/>
      <c r="AG227" s="58"/>
    </row>
    <row r="228" spans="1:34">
      <c r="A228" s="53" t="s">
        <v>77</v>
      </c>
      <c r="B228" s="53">
        <v>1</v>
      </c>
      <c r="C228" s="51" t="s">
        <v>141</v>
      </c>
      <c r="D228" s="49" t="s">
        <v>7</v>
      </c>
      <c r="E228" s="49" t="s">
        <v>77</v>
      </c>
      <c r="F228" s="49" t="s">
        <v>68</v>
      </c>
      <c r="G228" s="49" t="s">
        <v>36</v>
      </c>
      <c r="H228" s="49" t="s">
        <v>6</v>
      </c>
      <c r="I228" s="50"/>
      <c r="Q228" s="52"/>
      <c r="R228" s="325"/>
      <c r="S228" s="322"/>
      <c r="T228" s="312"/>
      <c r="U228" s="315"/>
      <c r="V228" s="322"/>
      <c r="W228" s="312"/>
      <c r="X228" s="315"/>
      <c r="Y228" s="315"/>
      <c r="Z228" s="315"/>
      <c r="AA228" s="318"/>
      <c r="AD228" s="58">
        <f>BIN2DEC($AA227)*3</f>
        <v>0</v>
      </c>
      <c r="AE228" s="58">
        <f>ABS(BIN2DEC($U227)*3)</f>
        <v>0</v>
      </c>
      <c r="AF228" s="58">
        <f>ABS( BIN2DEC(V227)*3-BIN2DEC(Z227))</f>
        <v>0</v>
      </c>
      <c r="AG228" s="58">
        <f>BIN2DEC(X227&amp;Y227)+BIN2DEC(W227)*3</f>
        <v>0</v>
      </c>
      <c r="AH228">
        <f>AD228+AE228*4+AF228*16</f>
        <v>0</v>
      </c>
    </row>
    <row r="229" spans="1:34" ht="129.6">
      <c r="A229" s="53" t="s">
        <v>70</v>
      </c>
      <c r="B229" s="53">
        <v>3</v>
      </c>
      <c r="C229" s="51" t="s">
        <v>141</v>
      </c>
      <c r="D229" s="49" t="s">
        <v>81</v>
      </c>
      <c r="E229" s="49" t="s">
        <v>80</v>
      </c>
      <c r="F229" s="49" t="s">
        <v>68</v>
      </c>
      <c r="G229" s="49" t="s">
        <v>36</v>
      </c>
      <c r="H229" s="49" t="s">
        <v>6</v>
      </c>
      <c r="I229" s="50"/>
      <c r="Q229" s="52"/>
      <c r="R229" s="325"/>
      <c r="S229" s="322"/>
      <c r="T229" s="312"/>
      <c r="U229" s="315"/>
      <c r="V229" s="322"/>
      <c r="W229" s="312"/>
      <c r="X229" s="315"/>
      <c r="Y229" s="315"/>
      <c r="Z229" s="315"/>
      <c r="AA229" s="318"/>
      <c r="AD229" s="58">
        <f>BIN2DEC($AA227)*3</f>
        <v>0</v>
      </c>
      <c r="AE229" s="58">
        <f>ABS(BIN2DEC($U228)*3-1)</f>
        <v>1</v>
      </c>
      <c r="AF229" s="58">
        <f>ABS( BIN2DEC(V227)*3-BIN2DEC(Z227))</f>
        <v>0</v>
      </c>
      <c r="AG229" s="58">
        <f>BIN2DEC(X227&amp;Y227)+BIN2DEC(W227)*3</f>
        <v>0</v>
      </c>
      <c r="AH229">
        <f t="shared" ref="AH229:AH231" si="65">AD229+AE229*4+AF229*16</f>
        <v>4</v>
      </c>
    </row>
    <row r="230" spans="1:34">
      <c r="A230" s="53" t="s">
        <v>71</v>
      </c>
      <c r="B230" s="53">
        <v>1</v>
      </c>
      <c r="C230" s="51" t="s">
        <v>141</v>
      </c>
      <c r="D230" s="49" t="s">
        <v>7</v>
      </c>
      <c r="E230" s="49" t="s">
        <v>73</v>
      </c>
      <c r="F230" s="49" t="s">
        <v>68</v>
      </c>
      <c r="G230" s="49" t="s">
        <v>36</v>
      </c>
      <c r="H230" s="49" t="s">
        <v>6</v>
      </c>
      <c r="I230" s="50"/>
      <c r="Q230" s="52"/>
      <c r="R230" s="325"/>
      <c r="S230" s="322"/>
      <c r="T230" s="312"/>
      <c r="U230" s="315"/>
      <c r="V230" s="322"/>
      <c r="W230" s="312"/>
      <c r="X230" s="315"/>
      <c r="Y230" s="315"/>
      <c r="Z230" s="315"/>
      <c r="AA230" s="318"/>
      <c r="AD230" s="58">
        <f>ABS(BIN2DEC($AA227)*3-2)</f>
        <v>2</v>
      </c>
      <c r="AE230" s="58">
        <f>ABS(BIN2DEC($U227)*3)</f>
        <v>0</v>
      </c>
      <c r="AF230" s="58">
        <f>ABS( BIN2DEC(V227)*3-BIN2DEC(Z227))</f>
        <v>0</v>
      </c>
      <c r="AG230" s="58">
        <f>BIN2DEC(X227&amp;Y227)+BIN2DEC(W227)*3</f>
        <v>0</v>
      </c>
      <c r="AH230">
        <f t="shared" si="65"/>
        <v>2</v>
      </c>
    </row>
    <row r="231" spans="1:34" ht="15" thickBot="1">
      <c r="A231" s="53" t="s">
        <v>72</v>
      </c>
      <c r="B231" s="53">
        <v>1</v>
      </c>
      <c r="C231" s="51" t="s">
        <v>141</v>
      </c>
      <c r="D231" s="49" t="s">
        <v>7</v>
      </c>
      <c r="E231" s="49" t="s">
        <v>74</v>
      </c>
      <c r="F231" s="49" t="s">
        <v>68</v>
      </c>
      <c r="G231" s="49" t="s">
        <v>36</v>
      </c>
      <c r="H231" s="49" t="s">
        <v>6</v>
      </c>
      <c r="I231" s="50"/>
      <c r="Q231" s="52"/>
      <c r="R231" s="325"/>
      <c r="S231" s="323"/>
      <c r="T231" s="313"/>
      <c r="U231" s="316"/>
      <c r="V231" s="323"/>
      <c r="W231" s="313"/>
      <c r="X231" s="316"/>
      <c r="Y231" s="316"/>
      <c r="Z231" s="316"/>
      <c r="AA231" s="319"/>
      <c r="AD231" s="58">
        <f>ABS(BIN2DEC($AA227)*3-2)</f>
        <v>2</v>
      </c>
      <c r="AE231" s="58">
        <f>ABS(BIN2DEC($U227)*3-1)</f>
        <v>1</v>
      </c>
      <c r="AF231" s="58">
        <f>ABS( BIN2DEC(V227)*3-BIN2DEC(Z227))</f>
        <v>0</v>
      </c>
      <c r="AG231" s="58">
        <f>BIN2DEC(X227&amp;Y227)+BIN2DEC(W227)*3</f>
        <v>0</v>
      </c>
      <c r="AH231">
        <f t="shared" si="65"/>
        <v>6</v>
      </c>
    </row>
    <row r="232" spans="1:34">
      <c r="A232" s="53">
        <f>AA232</f>
        <v>0</v>
      </c>
      <c r="B232" s="53">
        <v>5</v>
      </c>
      <c r="C232" s="48" t="str">
        <f>IF(B232&gt;1,(23)&amp;":"&amp;(23-B232+1),(23-B232+1)&amp;":"&amp;(23-B232+1))</f>
        <v>23:19</v>
      </c>
      <c r="D232" s="49" t="s">
        <v>78</v>
      </c>
      <c r="E232" s="49" t="s">
        <v>69</v>
      </c>
      <c r="F232" s="49" t="s">
        <v>68</v>
      </c>
      <c r="G232" s="49" t="s">
        <v>36</v>
      </c>
      <c r="H232" s="49" t="s">
        <v>6</v>
      </c>
      <c r="I232" s="50"/>
      <c r="L232" t="str">
        <f>DEC2HEX(_xlfn.BITLSHIFT(HEX2DEC(P232),2))</f>
        <v>0</v>
      </c>
      <c r="N232">
        <v>1</v>
      </c>
      <c r="P232" t="str">
        <f>Z232</f>
        <v>0</v>
      </c>
      <c r="Q232" s="52" t="e">
        <f>BIN2HEX(LEFT(RIGHT(C232,32),4))&amp;BIN2HEX(LEFT(RIGHT(C232,28),4))&amp;BIN2HEX(LEFT(RIGHT(C232,24),4))&amp;BIN2HEX(LEFT(RIGHT(C232,20),4))&amp;BIN2HEX(LEFT(RIGHT(C232,16),4))&amp;BIN2HEX(LEFT(RIGHT(C232,12),4))&amp;BIN2HEX(LEFT(RIGHT(C232,8),4))&amp;BIN2HEX(LEFT(RIGHT(C232,4),4))</f>
        <v>#NUM!</v>
      </c>
      <c r="R232" s="325">
        <v>22</v>
      </c>
      <c r="S232" s="321"/>
      <c r="T232" s="311"/>
      <c r="U232" s="314"/>
      <c r="V232" s="321"/>
      <c r="W232" s="311"/>
      <c r="X232" s="314"/>
      <c r="Y232" s="314"/>
      <c r="Z232" s="314" t="str">
        <f t="shared" ref="Z232" si="66">BIN2HEX(S232&amp;T232&amp;U232&amp;V232&amp;W232&amp;X232&amp;Y232)</f>
        <v>0</v>
      </c>
      <c r="AA232" s="317"/>
      <c r="AD232" s="58"/>
      <c r="AE232" s="58"/>
      <c r="AF232" s="58"/>
      <c r="AG232" s="58"/>
    </row>
    <row r="233" spans="1:34">
      <c r="A233" s="53" t="s">
        <v>77</v>
      </c>
      <c r="B233" s="53">
        <v>1</v>
      </c>
      <c r="C233" s="51" t="s">
        <v>141</v>
      </c>
      <c r="D233" s="49" t="s">
        <v>7</v>
      </c>
      <c r="E233" s="49" t="s">
        <v>77</v>
      </c>
      <c r="F233" s="49" t="s">
        <v>68</v>
      </c>
      <c r="G233" s="49" t="s">
        <v>36</v>
      </c>
      <c r="H233" s="49" t="s">
        <v>6</v>
      </c>
      <c r="I233" s="50"/>
      <c r="Q233" s="52"/>
      <c r="R233" s="325"/>
      <c r="S233" s="322"/>
      <c r="T233" s="312"/>
      <c r="U233" s="315"/>
      <c r="V233" s="322"/>
      <c r="W233" s="312"/>
      <c r="X233" s="315"/>
      <c r="Y233" s="315"/>
      <c r="Z233" s="315"/>
      <c r="AA233" s="318"/>
      <c r="AD233" s="58">
        <f>BIN2DEC($AA232)*3</f>
        <v>0</v>
      </c>
      <c r="AE233" s="58">
        <f>ABS(BIN2DEC($U232)*3)</f>
        <v>0</v>
      </c>
      <c r="AF233" s="58">
        <f>ABS( BIN2DEC(V232)*3-BIN2DEC(Z232))</f>
        <v>0</v>
      </c>
      <c r="AG233" s="58">
        <f>BIN2DEC(X232&amp;Y232)+BIN2DEC(W232)*3</f>
        <v>0</v>
      </c>
      <c r="AH233">
        <f>AD233+AE233*4+AF233*16</f>
        <v>0</v>
      </c>
    </row>
    <row r="234" spans="1:34" ht="129.6">
      <c r="A234" s="53" t="s">
        <v>70</v>
      </c>
      <c r="B234" s="53">
        <v>3</v>
      </c>
      <c r="C234" s="51" t="s">
        <v>141</v>
      </c>
      <c r="D234" s="49" t="s">
        <v>81</v>
      </c>
      <c r="E234" s="49" t="s">
        <v>80</v>
      </c>
      <c r="F234" s="49" t="s">
        <v>68</v>
      </c>
      <c r="G234" s="49" t="s">
        <v>36</v>
      </c>
      <c r="H234" s="49" t="s">
        <v>6</v>
      </c>
      <c r="I234" s="50"/>
      <c r="Q234" s="52"/>
      <c r="R234" s="325"/>
      <c r="S234" s="322"/>
      <c r="T234" s="312"/>
      <c r="U234" s="315"/>
      <c r="V234" s="322"/>
      <c r="W234" s="312"/>
      <c r="X234" s="315"/>
      <c r="Y234" s="315"/>
      <c r="Z234" s="315"/>
      <c r="AA234" s="318"/>
      <c r="AD234" s="58">
        <f>BIN2DEC($AA232)*3</f>
        <v>0</v>
      </c>
      <c r="AE234" s="58">
        <f>ABS(BIN2DEC($U233)*3-1)</f>
        <v>1</v>
      </c>
      <c r="AF234" s="58">
        <f>ABS( BIN2DEC(V232)*3-BIN2DEC(Z232))</f>
        <v>0</v>
      </c>
      <c r="AG234" s="58">
        <f>BIN2DEC(X232&amp;Y232)+BIN2DEC(W232)*3</f>
        <v>0</v>
      </c>
      <c r="AH234">
        <f t="shared" ref="AH234:AH236" si="67">AD234+AE234*4+AF234*16</f>
        <v>4</v>
      </c>
    </row>
    <row r="235" spans="1:34">
      <c r="A235" s="53" t="s">
        <v>71</v>
      </c>
      <c r="B235" s="53">
        <v>1</v>
      </c>
      <c r="C235" s="51" t="s">
        <v>141</v>
      </c>
      <c r="D235" s="49" t="s">
        <v>7</v>
      </c>
      <c r="E235" s="49" t="s">
        <v>73</v>
      </c>
      <c r="F235" s="49" t="s">
        <v>68</v>
      </c>
      <c r="G235" s="49" t="s">
        <v>36</v>
      </c>
      <c r="H235" s="49" t="s">
        <v>6</v>
      </c>
      <c r="I235" s="50"/>
      <c r="Q235" s="52"/>
      <c r="R235" s="325"/>
      <c r="S235" s="322"/>
      <c r="T235" s="312"/>
      <c r="U235" s="315"/>
      <c r="V235" s="322"/>
      <c r="W235" s="312"/>
      <c r="X235" s="315"/>
      <c r="Y235" s="315"/>
      <c r="Z235" s="315"/>
      <c r="AA235" s="318"/>
      <c r="AD235" s="58">
        <f>ABS(BIN2DEC($AA232)*3-2)</f>
        <v>2</v>
      </c>
      <c r="AE235" s="58">
        <f>ABS(BIN2DEC($U232)*3)</f>
        <v>0</v>
      </c>
      <c r="AF235" s="58">
        <f>ABS( BIN2DEC(V232)*3-BIN2DEC(Z232))</f>
        <v>0</v>
      </c>
      <c r="AG235" s="58">
        <f>BIN2DEC(X232&amp;Y232)+BIN2DEC(W232)*3</f>
        <v>0</v>
      </c>
      <c r="AH235">
        <f t="shared" si="67"/>
        <v>2</v>
      </c>
    </row>
    <row r="236" spans="1:34" ht="15" thickBot="1">
      <c r="A236" s="53" t="s">
        <v>72</v>
      </c>
      <c r="B236" s="53">
        <v>1</v>
      </c>
      <c r="C236" s="51" t="s">
        <v>141</v>
      </c>
      <c r="D236" s="49" t="s">
        <v>7</v>
      </c>
      <c r="E236" s="49" t="s">
        <v>74</v>
      </c>
      <c r="F236" s="49" t="s">
        <v>68</v>
      </c>
      <c r="G236" s="49" t="s">
        <v>36</v>
      </c>
      <c r="H236" s="49" t="s">
        <v>6</v>
      </c>
      <c r="I236" s="50"/>
      <c r="Q236" s="52"/>
      <c r="R236" s="325"/>
      <c r="S236" s="323"/>
      <c r="T236" s="313"/>
      <c r="U236" s="316"/>
      <c r="V236" s="323"/>
      <c r="W236" s="313"/>
      <c r="X236" s="316"/>
      <c r="Y236" s="316"/>
      <c r="Z236" s="316"/>
      <c r="AA236" s="319"/>
      <c r="AD236" s="58">
        <f>ABS(BIN2DEC($AA232)*3-2)</f>
        <v>2</v>
      </c>
      <c r="AE236" s="58">
        <f>ABS(BIN2DEC($U232)*3-1)</f>
        <v>1</v>
      </c>
      <c r="AF236" s="58">
        <f>ABS( BIN2DEC(V232)*3-BIN2DEC(Z232))</f>
        <v>0</v>
      </c>
      <c r="AG236" s="58">
        <f>BIN2DEC(X232&amp;Y232)+BIN2DEC(W232)*3</f>
        <v>0</v>
      </c>
      <c r="AH236">
        <f t="shared" si="67"/>
        <v>6</v>
      </c>
    </row>
    <row r="237" spans="1:34">
      <c r="A237" s="53">
        <f>AA237</f>
        <v>0</v>
      </c>
      <c r="B237" s="53">
        <v>5</v>
      </c>
      <c r="C237" s="48" t="str">
        <f>IF(B237&gt;1,(23)&amp;":"&amp;(23-B237+1),(23-B237+1)&amp;":"&amp;(23-B237+1))</f>
        <v>23:19</v>
      </c>
      <c r="D237" s="49" t="s">
        <v>78</v>
      </c>
      <c r="E237" s="49" t="s">
        <v>69</v>
      </c>
      <c r="F237" s="49" t="s">
        <v>68</v>
      </c>
      <c r="G237" s="49" t="s">
        <v>36</v>
      </c>
      <c r="H237" s="49" t="s">
        <v>6</v>
      </c>
      <c r="I237" s="50"/>
      <c r="L237" t="str">
        <f>DEC2HEX(_xlfn.BITLSHIFT(HEX2DEC(P237),2))</f>
        <v>0</v>
      </c>
      <c r="N237">
        <v>1</v>
      </c>
      <c r="P237" t="str">
        <f>Z237</f>
        <v>0</v>
      </c>
      <c r="Q237" s="52" t="e">
        <f>BIN2HEX(LEFT(RIGHT(C237,32),4))&amp;BIN2HEX(LEFT(RIGHT(C237,28),4))&amp;BIN2HEX(LEFT(RIGHT(C237,24),4))&amp;BIN2HEX(LEFT(RIGHT(C237,20),4))&amp;BIN2HEX(LEFT(RIGHT(C237,16),4))&amp;BIN2HEX(LEFT(RIGHT(C237,12),4))&amp;BIN2HEX(LEFT(RIGHT(C237,8),4))&amp;BIN2HEX(LEFT(RIGHT(C237,4),4))</f>
        <v>#NUM!</v>
      </c>
      <c r="R237" s="325">
        <v>23</v>
      </c>
      <c r="S237" s="321"/>
      <c r="T237" s="311"/>
      <c r="U237" s="314"/>
      <c r="V237" s="321"/>
      <c r="W237" s="311"/>
      <c r="X237" s="314"/>
      <c r="Y237" s="314"/>
      <c r="Z237" s="314" t="str">
        <f t="shared" ref="Z237" si="68">BIN2HEX(S237&amp;T237&amp;U237&amp;V237&amp;W237&amp;X237&amp;Y237)</f>
        <v>0</v>
      </c>
      <c r="AA237" s="317"/>
      <c r="AD237" s="58"/>
      <c r="AE237" s="58"/>
      <c r="AF237" s="58"/>
      <c r="AG237" s="58"/>
    </row>
    <row r="238" spans="1:34">
      <c r="A238" s="53" t="s">
        <v>77</v>
      </c>
      <c r="B238" s="53">
        <v>1</v>
      </c>
      <c r="C238" s="51" t="s">
        <v>141</v>
      </c>
      <c r="D238" s="49" t="s">
        <v>7</v>
      </c>
      <c r="E238" s="49" t="s">
        <v>77</v>
      </c>
      <c r="F238" s="49" t="s">
        <v>68</v>
      </c>
      <c r="G238" s="49" t="s">
        <v>36</v>
      </c>
      <c r="H238" s="49" t="s">
        <v>6</v>
      </c>
      <c r="I238" s="50"/>
      <c r="Q238" s="52"/>
      <c r="R238" s="325"/>
      <c r="S238" s="322"/>
      <c r="T238" s="312"/>
      <c r="U238" s="315"/>
      <c r="V238" s="322"/>
      <c r="W238" s="312"/>
      <c r="X238" s="315"/>
      <c r="Y238" s="315"/>
      <c r="Z238" s="315"/>
      <c r="AA238" s="318"/>
      <c r="AD238" s="58">
        <f>BIN2DEC($AA237)*3</f>
        <v>0</v>
      </c>
      <c r="AE238" s="58">
        <f>ABS(BIN2DEC($U237)*3)</f>
        <v>0</v>
      </c>
      <c r="AF238" s="58">
        <f>ABS( BIN2DEC(V237)*3-BIN2DEC(Z237))</f>
        <v>0</v>
      </c>
      <c r="AG238" s="58">
        <f>BIN2DEC(X237&amp;Y237)+BIN2DEC(W237)*3</f>
        <v>0</v>
      </c>
      <c r="AH238">
        <f>AD238+AE238*4+AF238*16</f>
        <v>0</v>
      </c>
    </row>
    <row r="239" spans="1:34" ht="129.6">
      <c r="A239" s="53" t="s">
        <v>70</v>
      </c>
      <c r="B239" s="53">
        <v>3</v>
      </c>
      <c r="C239" s="51" t="s">
        <v>141</v>
      </c>
      <c r="D239" s="49" t="s">
        <v>81</v>
      </c>
      <c r="E239" s="49" t="s">
        <v>80</v>
      </c>
      <c r="F239" s="49" t="s">
        <v>68</v>
      </c>
      <c r="G239" s="49" t="s">
        <v>36</v>
      </c>
      <c r="H239" s="49" t="s">
        <v>6</v>
      </c>
      <c r="I239" s="50"/>
      <c r="Q239" s="52"/>
      <c r="R239" s="325"/>
      <c r="S239" s="322"/>
      <c r="T239" s="312"/>
      <c r="U239" s="315"/>
      <c r="V239" s="322"/>
      <c r="W239" s="312"/>
      <c r="X239" s="315"/>
      <c r="Y239" s="315"/>
      <c r="Z239" s="315"/>
      <c r="AA239" s="318"/>
      <c r="AD239" s="58">
        <f>BIN2DEC($AA237)*3</f>
        <v>0</v>
      </c>
      <c r="AE239" s="58">
        <f>ABS(BIN2DEC($U238)*3-1)</f>
        <v>1</v>
      </c>
      <c r="AF239" s="58">
        <f>ABS( BIN2DEC(V237)*3-BIN2DEC(Z237))</f>
        <v>0</v>
      </c>
      <c r="AG239" s="58">
        <f>BIN2DEC(X237&amp;Y237)+BIN2DEC(W237)*3</f>
        <v>0</v>
      </c>
      <c r="AH239">
        <f t="shared" ref="AH239:AH241" si="69">AD239+AE239*4+AF239*16</f>
        <v>4</v>
      </c>
    </row>
    <row r="240" spans="1:34">
      <c r="A240" s="53" t="s">
        <v>71</v>
      </c>
      <c r="B240" s="53">
        <v>1</v>
      </c>
      <c r="C240" s="51" t="s">
        <v>141</v>
      </c>
      <c r="D240" s="49" t="s">
        <v>7</v>
      </c>
      <c r="E240" s="49" t="s">
        <v>73</v>
      </c>
      <c r="F240" s="49" t="s">
        <v>68</v>
      </c>
      <c r="G240" s="49" t="s">
        <v>36</v>
      </c>
      <c r="H240" s="49" t="s">
        <v>6</v>
      </c>
      <c r="I240" s="50"/>
      <c r="Q240" s="52"/>
      <c r="R240" s="325"/>
      <c r="S240" s="322"/>
      <c r="T240" s="312"/>
      <c r="U240" s="315"/>
      <c r="V240" s="322"/>
      <c r="W240" s="312"/>
      <c r="X240" s="315"/>
      <c r="Y240" s="315"/>
      <c r="Z240" s="315"/>
      <c r="AA240" s="318"/>
      <c r="AD240" s="58">
        <f>ABS(BIN2DEC($AA237)*3-2)</f>
        <v>2</v>
      </c>
      <c r="AE240" s="58">
        <f>ABS(BIN2DEC($U237)*3)</f>
        <v>0</v>
      </c>
      <c r="AF240" s="58">
        <f>ABS( BIN2DEC(V237)*3-BIN2DEC(Z237))</f>
        <v>0</v>
      </c>
      <c r="AG240" s="58">
        <f>BIN2DEC(X237&amp;Y237)+BIN2DEC(W237)*3</f>
        <v>0</v>
      </c>
      <c r="AH240">
        <f t="shared" si="69"/>
        <v>2</v>
      </c>
    </row>
    <row r="241" spans="1:34" ht="15" thickBot="1">
      <c r="A241" s="53" t="s">
        <v>72</v>
      </c>
      <c r="B241" s="53">
        <v>1</v>
      </c>
      <c r="C241" s="51" t="s">
        <v>141</v>
      </c>
      <c r="D241" s="49" t="s">
        <v>7</v>
      </c>
      <c r="E241" s="49" t="s">
        <v>74</v>
      </c>
      <c r="F241" s="49" t="s">
        <v>68</v>
      </c>
      <c r="G241" s="49" t="s">
        <v>36</v>
      </c>
      <c r="H241" s="49" t="s">
        <v>6</v>
      </c>
      <c r="I241" s="50"/>
      <c r="Q241" s="52"/>
      <c r="R241" s="325"/>
      <c r="S241" s="323"/>
      <c r="T241" s="313"/>
      <c r="U241" s="316"/>
      <c r="V241" s="323"/>
      <c r="W241" s="313"/>
      <c r="X241" s="316"/>
      <c r="Y241" s="316"/>
      <c r="Z241" s="316"/>
      <c r="AA241" s="319"/>
      <c r="AD241" s="58">
        <f>ABS(BIN2DEC($AA237)*3-2)</f>
        <v>2</v>
      </c>
      <c r="AE241" s="58">
        <f>ABS(BIN2DEC($U237)*3-1)</f>
        <v>1</v>
      </c>
      <c r="AF241" s="58">
        <f>ABS( BIN2DEC(V237)*3-BIN2DEC(Z237))</f>
        <v>0</v>
      </c>
      <c r="AG241" s="58">
        <f>BIN2DEC(X237&amp;Y237)+BIN2DEC(W237)*3</f>
        <v>0</v>
      </c>
      <c r="AH241">
        <f t="shared" si="69"/>
        <v>6</v>
      </c>
    </row>
    <row r="242" spans="1:34">
      <c r="A242" s="54">
        <f>AA242</f>
        <v>0</v>
      </c>
      <c r="B242" s="54">
        <v>5</v>
      </c>
      <c r="C242" s="48" t="str">
        <f>IF(B242&gt;1,(23)&amp;":"&amp;(23-B242+1),(23-B242+1)&amp;":"&amp;(23-B242+1))</f>
        <v>23:19</v>
      </c>
      <c r="D242" s="49" t="s">
        <v>78</v>
      </c>
      <c r="E242" s="49" t="s">
        <v>69</v>
      </c>
      <c r="F242" s="49" t="s">
        <v>68</v>
      </c>
      <c r="G242" s="49" t="s">
        <v>36</v>
      </c>
      <c r="H242" s="49" t="s">
        <v>6</v>
      </c>
      <c r="I242" s="50"/>
      <c r="L242" t="str">
        <f>DEC2HEX(_xlfn.BITLSHIFT(HEX2DEC(P242),2))</f>
        <v>0</v>
      </c>
      <c r="N242">
        <v>2</v>
      </c>
      <c r="P242" t="str">
        <f>Z242</f>
        <v>0</v>
      </c>
      <c r="Q242" s="52" t="e">
        <f>BIN2HEX(LEFT(RIGHT(C242,32),4))&amp;BIN2HEX(LEFT(RIGHT(C242,28),4))&amp;BIN2HEX(LEFT(RIGHT(C242,24),4))&amp;BIN2HEX(LEFT(RIGHT(C242,20),4))&amp;BIN2HEX(LEFT(RIGHT(C242,16),4))&amp;BIN2HEX(LEFT(RIGHT(C242,12),4))&amp;BIN2HEX(LEFT(RIGHT(C242,8),4))&amp;BIN2HEX(LEFT(RIGHT(C242,4),4))</f>
        <v>#NUM!</v>
      </c>
      <c r="R242" s="324">
        <v>0</v>
      </c>
      <c r="S242" s="321"/>
      <c r="T242" s="311"/>
      <c r="U242" s="314"/>
      <c r="V242" s="321"/>
      <c r="W242" s="311"/>
      <c r="X242" s="314"/>
      <c r="Y242" s="314"/>
      <c r="Z242" s="314" t="str">
        <f t="shared" ref="Z242" si="70">BIN2HEX(S242&amp;T242&amp;U242&amp;V242&amp;W242&amp;X242&amp;Y242)</f>
        <v>0</v>
      </c>
      <c r="AA242" s="317"/>
      <c r="AD242" s="58"/>
      <c r="AE242" s="58"/>
      <c r="AF242" s="58"/>
      <c r="AG242" s="58"/>
    </row>
    <row r="243" spans="1:34">
      <c r="A243" s="54" t="s">
        <v>77</v>
      </c>
      <c r="B243" s="54">
        <v>1</v>
      </c>
      <c r="C243" s="51" t="s">
        <v>141</v>
      </c>
      <c r="D243" s="49" t="s">
        <v>7</v>
      </c>
      <c r="E243" s="49" t="s">
        <v>77</v>
      </c>
      <c r="F243" s="49" t="s">
        <v>68</v>
      </c>
      <c r="G243" s="49" t="s">
        <v>36</v>
      </c>
      <c r="H243" s="49" t="s">
        <v>6</v>
      </c>
      <c r="I243" s="50"/>
      <c r="Q243" s="52"/>
      <c r="R243" s="324"/>
      <c r="S243" s="322"/>
      <c r="T243" s="312"/>
      <c r="U243" s="315"/>
      <c r="V243" s="322"/>
      <c r="W243" s="312"/>
      <c r="X243" s="315"/>
      <c r="Y243" s="315"/>
      <c r="Z243" s="315"/>
      <c r="AA243" s="318"/>
      <c r="AD243" s="58">
        <f>BIN2DEC($AA242)*3</f>
        <v>0</v>
      </c>
      <c r="AE243" s="58">
        <f>ABS(BIN2DEC($U242)*3)</f>
        <v>0</v>
      </c>
      <c r="AF243" s="58">
        <f>ABS( BIN2DEC(V242)*3-BIN2DEC(Z242))</f>
        <v>0</v>
      </c>
      <c r="AG243" s="58">
        <f>BIN2DEC(X242&amp;Y242)+BIN2DEC(W242)*3</f>
        <v>0</v>
      </c>
      <c r="AH243">
        <f>AD243+AE243*4+AF243*16</f>
        <v>0</v>
      </c>
    </row>
    <row r="244" spans="1:34" ht="129.6">
      <c r="A244" s="54" t="s">
        <v>70</v>
      </c>
      <c r="B244" s="54">
        <v>3</v>
      </c>
      <c r="C244" s="51" t="s">
        <v>141</v>
      </c>
      <c r="D244" s="49" t="s">
        <v>81</v>
      </c>
      <c r="E244" s="49" t="s">
        <v>80</v>
      </c>
      <c r="F244" s="49" t="s">
        <v>68</v>
      </c>
      <c r="G244" s="49" t="s">
        <v>36</v>
      </c>
      <c r="H244" s="49" t="s">
        <v>6</v>
      </c>
      <c r="I244" s="50"/>
      <c r="Q244" s="52"/>
      <c r="R244" s="324"/>
      <c r="S244" s="322"/>
      <c r="T244" s="312"/>
      <c r="U244" s="315"/>
      <c r="V244" s="322"/>
      <c r="W244" s="312"/>
      <c r="X244" s="315"/>
      <c r="Y244" s="315"/>
      <c r="Z244" s="315"/>
      <c r="AA244" s="318"/>
      <c r="AD244" s="58">
        <f>BIN2DEC($AA242)*3</f>
        <v>0</v>
      </c>
      <c r="AE244" s="58">
        <f>ABS(BIN2DEC($U242)*3-1)</f>
        <v>1</v>
      </c>
      <c r="AF244" s="58">
        <f>ABS( BIN2DEC(V242)*3-BIN2DEC(Z242))</f>
        <v>0</v>
      </c>
      <c r="AG244" s="58">
        <f>BIN2DEC(X242&amp;Y242)+BIN2DEC(W242)*3</f>
        <v>0</v>
      </c>
      <c r="AH244">
        <f t="shared" ref="AH244:AH246" si="71">AD244+AE244*4+AF244*16</f>
        <v>4</v>
      </c>
    </row>
    <row r="245" spans="1:34">
      <c r="A245" s="54" t="s">
        <v>71</v>
      </c>
      <c r="B245" s="54">
        <v>1</v>
      </c>
      <c r="C245" s="51" t="s">
        <v>141</v>
      </c>
      <c r="D245" s="49" t="s">
        <v>7</v>
      </c>
      <c r="E245" s="49" t="s">
        <v>73</v>
      </c>
      <c r="F245" s="49" t="s">
        <v>68</v>
      </c>
      <c r="G245" s="49" t="s">
        <v>36</v>
      </c>
      <c r="H245" s="49" t="s">
        <v>6</v>
      </c>
      <c r="I245" s="50"/>
      <c r="Q245" s="52"/>
      <c r="R245" s="324"/>
      <c r="S245" s="322"/>
      <c r="T245" s="312"/>
      <c r="U245" s="315"/>
      <c r="V245" s="322"/>
      <c r="W245" s="312"/>
      <c r="X245" s="315"/>
      <c r="Y245" s="315"/>
      <c r="Z245" s="315"/>
      <c r="AA245" s="318"/>
      <c r="AD245" s="58">
        <f>ABS(BIN2DEC($AA242)*3-2)</f>
        <v>2</v>
      </c>
      <c r="AE245" s="58">
        <f>ABS(BIN2DEC($U242)*3)</f>
        <v>0</v>
      </c>
      <c r="AF245" s="58">
        <f>ABS( BIN2DEC(V242)*3-BIN2DEC(Z242))</f>
        <v>0</v>
      </c>
      <c r="AG245" s="58">
        <f>BIN2DEC(X242&amp;Y242)+BIN2DEC(W242)*3</f>
        <v>0</v>
      </c>
      <c r="AH245">
        <f t="shared" si="71"/>
        <v>2</v>
      </c>
    </row>
    <row r="246" spans="1:34" ht="15" thickBot="1">
      <c r="A246" s="54" t="s">
        <v>72</v>
      </c>
      <c r="B246" s="54">
        <v>1</v>
      </c>
      <c r="C246" s="51" t="s">
        <v>141</v>
      </c>
      <c r="D246" s="49" t="s">
        <v>7</v>
      </c>
      <c r="E246" s="49" t="s">
        <v>74</v>
      </c>
      <c r="F246" s="49" t="s">
        <v>68</v>
      </c>
      <c r="G246" s="49" t="s">
        <v>36</v>
      </c>
      <c r="H246" s="49" t="s">
        <v>6</v>
      </c>
      <c r="I246" s="50"/>
      <c r="Q246" s="52"/>
      <c r="R246" s="324"/>
      <c r="S246" s="323"/>
      <c r="T246" s="313"/>
      <c r="U246" s="316"/>
      <c r="V246" s="323"/>
      <c r="W246" s="313"/>
      <c r="X246" s="316"/>
      <c r="Y246" s="316"/>
      <c r="Z246" s="316"/>
      <c r="AA246" s="319"/>
      <c r="AD246" s="58">
        <f>ABS(BIN2DEC($AA242)*3-2)</f>
        <v>2</v>
      </c>
      <c r="AE246" s="58">
        <f>ABS(BIN2DEC($U242)*3-1)</f>
        <v>1</v>
      </c>
      <c r="AF246" s="58">
        <f>ABS( BIN2DEC(V242)*3-BIN2DEC(Z242))</f>
        <v>0</v>
      </c>
      <c r="AG246" s="58">
        <f>BIN2DEC(X242&amp;Y242)+BIN2DEC(W242)*3</f>
        <v>0</v>
      </c>
      <c r="AH246">
        <f t="shared" si="71"/>
        <v>6</v>
      </c>
    </row>
    <row r="247" spans="1:34">
      <c r="A247" s="54" t="str">
        <f>AA247</f>
        <v>vofc_dom0_quad0_quad2_sar0_slc0</v>
      </c>
      <c r="B247" s="54">
        <v>5</v>
      </c>
      <c r="C247" s="48" t="str">
        <f>IF(B247&gt;1,(23)&amp;":"&amp;(23-B247+1),(23-B247+1)&amp;":"&amp;(23-B247+1))</f>
        <v>23:19</v>
      </c>
      <c r="D247" s="49" t="s">
        <v>78</v>
      </c>
      <c r="E247" s="49" t="s">
        <v>69</v>
      </c>
      <c r="F247" s="49" t="s">
        <v>68</v>
      </c>
      <c r="G247" s="49" t="s">
        <v>36</v>
      </c>
      <c r="H247" s="49" t="s">
        <v>6</v>
      </c>
      <c r="I247" s="50"/>
      <c r="L247" t="str">
        <f>DEC2HEX(_xlfn.BITLSHIFT(HEX2DEC(P247),2))</f>
        <v>0</v>
      </c>
      <c r="N247">
        <v>2</v>
      </c>
      <c r="P247" t="str">
        <f>Z247</f>
        <v>0</v>
      </c>
      <c r="Q247" s="52" t="e">
        <f>BIN2HEX(LEFT(RIGHT(C247,32),4))&amp;BIN2HEX(LEFT(RIGHT(C247,28),4))&amp;BIN2HEX(LEFT(RIGHT(C247,24),4))&amp;BIN2HEX(LEFT(RIGHT(C247,20),4))&amp;BIN2HEX(LEFT(RIGHT(C247,16),4))&amp;BIN2HEX(LEFT(RIGHT(C247,12),4))&amp;BIN2HEX(LEFT(RIGHT(C247,8),4))&amp;BIN2HEX(LEFT(RIGHT(C247,4),4))</f>
        <v>#NUM!</v>
      </c>
      <c r="R247" s="324">
        <v>1</v>
      </c>
      <c r="S247" s="321"/>
      <c r="T247" s="311"/>
      <c r="U247" s="314"/>
      <c r="V247" s="321"/>
      <c r="W247" s="311"/>
      <c r="X247" s="314"/>
      <c r="Y247" s="314"/>
      <c r="Z247" s="314" t="str">
        <f t="shared" ref="Z247" si="72">BIN2HEX(S247&amp;T247&amp;U247&amp;V247&amp;W247&amp;X247&amp;Y247)</f>
        <v>0</v>
      </c>
      <c r="AA247" s="317" t="str">
        <f>CONCATENATE("vofc_dom",BIN2DEC(S247&amp;T247),"_quad",BIN2DEC(Y247),"_quad",BIN2DEC(Y247)+2,"_sar",ABS( BIN2DEC(T247)*3-BIN2DEC(X247)),"_slc",BIN2DEC(V247&amp;W247)+BIN2DEC(U247)*3)</f>
        <v>vofc_dom0_quad0_quad2_sar0_slc0</v>
      </c>
      <c r="AD247" s="58"/>
      <c r="AE247" s="58"/>
      <c r="AF247" s="58"/>
      <c r="AG247" s="58"/>
    </row>
    <row r="248" spans="1:34">
      <c r="A248" s="54" t="s">
        <v>77</v>
      </c>
      <c r="B248" s="54">
        <v>1</v>
      </c>
      <c r="C248" s="51" t="s">
        <v>141</v>
      </c>
      <c r="D248" s="49" t="s">
        <v>7</v>
      </c>
      <c r="E248" s="49" t="s">
        <v>77</v>
      </c>
      <c r="F248" s="49" t="s">
        <v>68</v>
      </c>
      <c r="G248" s="49" t="s">
        <v>36</v>
      </c>
      <c r="H248" s="49" t="s">
        <v>6</v>
      </c>
      <c r="I248" s="50"/>
      <c r="Q248" s="52"/>
      <c r="R248" s="324"/>
      <c r="S248" s="322"/>
      <c r="T248" s="312"/>
      <c r="U248" s="315"/>
      <c r="V248" s="322"/>
      <c r="W248" s="312"/>
      <c r="X248" s="315"/>
      <c r="Y248" s="315"/>
      <c r="Z248" s="315"/>
      <c r="AA248" s="318"/>
      <c r="AD248" s="58" t="e">
        <f>BIN2DEC($AA247)*3</f>
        <v>#NUM!</v>
      </c>
      <c r="AE248" s="58">
        <f>ABS(BIN2DEC($U247)*3)</f>
        <v>0</v>
      </c>
      <c r="AF248" s="58">
        <f>ABS( BIN2DEC(V247)*3-BIN2DEC(Z247))</f>
        <v>0</v>
      </c>
      <c r="AG248" s="58">
        <f>BIN2DEC(X247&amp;Y247)+BIN2DEC(W247)*3</f>
        <v>0</v>
      </c>
      <c r="AH248" t="e">
        <f>AD248+AE248*4+AF248*16</f>
        <v>#NUM!</v>
      </c>
    </row>
    <row r="249" spans="1:34" ht="129.6">
      <c r="A249" s="54" t="s">
        <v>70</v>
      </c>
      <c r="B249" s="54">
        <v>3</v>
      </c>
      <c r="C249" s="51" t="s">
        <v>141</v>
      </c>
      <c r="D249" s="49" t="s">
        <v>81</v>
      </c>
      <c r="E249" s="49" t="s">
        <v>80</v>
      </c>
      <c r="F249" s="49" t="s">
        <v>68</v>
      </c>
      <c r="G249" s="49" t="s">
        <v>36</v>
      </c>
      <c r="H249" s="49" t="s">
        <v>6</v>
      </c>
      <c r="I249" s="50"/>
      <c r="Q249" s="52"/>
      <c r="R249" s="324"/>
      <c r="S249" s="322"/>
      <c r="T249" s="312"/>
      <c r="U249" s="315"/>
      <c r="V249" s="322"/>
      <c r="W249" s="312"/>
      <c r="X249" s="315"/>
      <c r="Y249" s="315"/>
      <c r="Z249" s="315"/>
      <c r="AA249" s="318"/>
      <c r="AD249" s="58" t="e">
        <f>BIN2DEC($AA247)*3</f>
        <v>#NUM!</v>
      </c>
      <c r="AE249" s="58">
        <f>ABS(BIN2DEC($U247)*3-1)</f>
        <v>1</v>
      </c>
      <c r="AF249" s="58">
        <f>ABS( BIN2DEC(V247)*3-BIN2DEC(Z247))</f>
        <v>0</v>
      </c>
      <c r="AG249" s="58">
        <f>BIN2DEC(X247&amp;Y247)+BIN2DEC(W247)*3</f>
        <v>0</v>
      </c>
      <c r="AH249" t="e">
        <f t="shared" ref="AH249:AH251" si="73">AD249+AE249*4+AF249*16</f>
        <v>#NUM!</v>
      </c>
    </row>
    <row r="250" spans="1:34">
      <c r="A250" s="54" t="s">
        <v>71</v>
      </c>
      <c r="B250" s="54">
        <v>1</v>
      </c>
      <c r="C250" s="51" t="s">
        <v>141</v>
      </c>
      <c r="D250" s="49" t="s">
        <v>7</v>
      </c>
      <c r="E250" s="49" t="s">
        <v>73</v>
      </c>
      <c r="F250" s="49" t="s">
        <v>68</v>
      </c>
      <c r="G250" s="49" t="s">
        <v>36</v>
      </c>
      <c r="H250" s="49" t="s">
        <v>6</v>
      </c>
      <c r="I250" s="50"/>
      <c r="Q250" s="52"/>
      <c r="R250" s="324"/>
      <c r="S250" s="322"/>
      <c r="T250" s="312"/>
      <c r="U250" s="315"/>
      <c r="V250" s="322"/>
      <c r="W250" s="312"/>
      <c r="X250" s="315"/>
      <c r="Y250" s="315"/>
      <c r="Z250" s="315"/>
      <c r="AA250" s="318"/>
      <c r="AD250" s="58" t="e">
        <f>ABS(BIN2DEC($AA247)*3-2)</f>
        <v>#NUM!</v>
      </c>
      <c r="AE250" s="58">
        <f>ABS(BIN2DEC($U247)*3)</f>
        <v>0</v>
      </c>
      <c r="AF250" s="58">
        <f>ABS( BIN2DEC(V247)*3-BIN2DEC(Z247))</f>
        <v>0</v>
      </c>
      <c r="AG250" s="58">
        <f>BIN2DEC(X247&amp;Y247)+BIN2DEC(W247)*3</f>
        <v>0</v>
      </c>
      <c r="AH250" t="e">
        <f t="shared" si="73"/>
        <v>#NUM!</v>
      </c>
    </row>
    <row r="251" spans="1:34" ht="15" thickBot="1">
      <c r="A251" s="54" t="s">
        <v>72</v>
      </c>
      <c r="B251" s="54">
        <v>1</v>
      </c>
      <c r="C251" s="51" t="s">
        <v>141</v>
      </c>
      <c r="D251" s="49" t="s">
        <v>7</v>
      </c>
      <c r="E251" s="49" t="s">
        <v>74</v>
      </c>
      <c r="F251" s="49" t="s">
        <v>68</v>
      </c>
      <c r="G251" s="49" t="s">
        <v>36</v>
      </c>
      <c r="H251" s="49" t="s">
        <v>6</v>
      </c>
      <c r="I251" s="50"/>
      <c r="Q251" s="52"/>
      <c r="R251" s="324"/>
      <c r="S251" s="323"/>
      <c r="T251" s="313"/>
      <c r="U251" s="316"/>
      <c r="V251" s="323"/>
      <c r="W251" s="313"/>
      <c r="X251" s="316"/>
      <c r="Y251" s="316"/>
      <c r="Z251" s="316"/>
      <c r="AA251" s="319"/>
      <c r="AD251" s="58" t="e">
        <f>ABS(BIN2DEC($AA247)*3-2)</f>
        <v>#NUM!</v>
      </c>
      <c r="AE251" s="58">
        <f>ABS(BIN2DEC($U247)*3-1)</f>
        <v>1</v>
      </c>
      <c r="AF251" s="58">
        <f>ABS( BIN2DEC(V247)*3-BIN2DEC(Z247))</f>
        <v>0</v>
      </c>
      <c r="AG251" s="58">
        <f>BIN2DEC(X247&amp;Y247)+BIN2DEC(W247)*3</f>
        <v>0</v>
      </c>
      <c r="AH251" t="e">
        <f t="shared" si="73"/>
        <v>#NUM!</v>
      </c>
    </row>
    <row r="252" spans="1:34">
      <c r="A252" s="54">
        <f>AA252</f>
        <v>0</v>
      </c>
      <c r="B252" s="54">
        <v>5</v>
      </c>
      <c r="C252" s="48" t="str">
        <f>IF(B252&gt;1,(23)&amp;":"&amp;(23-B252+1),(23-B252+1)&amp;":"&amp;(23-B252+1))</f>
        <v>23:19</v>
      </c>
      <c r="D252" s="49" t="s">
        <v>78</v>
      </c>
      <c r="E252" s="49" t="s">
        <v>69</v>
      </c>
      <c r="F252" s="49" t="s">
        <v>68</v>
      </c>
      <c r="G252" s="49" t="s">
        <v>36</v>
      </c>
      <c r="H252" s="49" t="s">
        <v>6</v>
      </c>
      <c r="I252" s="50"/>
      <c r="L252" t="str">
        <f>DEC2HEX(_xlfn.BITLSHIFT(HEX2DEC(P252),2))</f>
        <v>0</v>
      </c>
      <c r="N252">
        <v>2</v>
      </c>
      <c r="P252" t="str">
        <f>Z252</f>
        <v>0</v>
      </c>
      <c r="Q252" s="52" t="e">
        <f>BIN2HEX(LEFT(RIGHT(C252,32),4))&amp;BIN2HEX(LEFT(RIGHT(C252,28),4))&amp;BIN2HEX(LEFT(RIGHT(C252,24),4))&amp;BIN2HEX(LEFT(RIGHT(C252,20),4))&amp;BIN2HEX(LEFT(RIGHT(C252,16),4))&amp;BIN2HEX(LEFT(RIGHT(C252,12),4))&amp;BIN2HEX(LEFT(RIGHT(C252,8),4))&amp;BIN2HEX(LEFT(RIGHT(C252,4),4))</f>
        <v>#NUM!</v>
      </c>
      <c r="R252" s="324">
        <v>2</v>
      </c>
      <c r="S252" s="321"/>
      <c r="T252" s="311"/>
      <c r="U252" s="314"/>
      <c r="V252" s="321"/>
      <c r="W252" s="311"/>
      <c r="X252" s="314"/>
      <c r="Y252" s="314"/>
      <c r="Z252" s="314" t="str">
        <f t="shared" ref="Z252" si="74">BIN2HEX(S252&amp;T252&amp;U252&amp;V252&amp;W252&amp;X252&amp;Y252)</f>
        <v>0</v>
      </c>
      <c r="AA252" s="317"/>
      <c r="AD252" s="58"/>
      <c r="AE252" s="58"/>
      <c r="AF252" s="58"/>
      <c r="AG252" s="58"/>
    </row>
    <row r="253" spans="1:34">
      <c r="A253" s="54" t="s">
        <v>77</v>
      </c>
      <c r="B253" s="54">
        <v>1</v>
      </c>
      <c r="C253" s="51" t="s">
        <v>141</v>
      </c>
      <c r="D253" s="49" t="s">
        <v>7</v>
      </c>
      <c r="E253" s="49" t="s">
        <v>77</v>
      </c>
      <c r="F253" s="49" t="s">
        <v>68</v>
      </c>
      <c r="G253" s="49" t="s">
        <v>36</v>
      </c>
      <c r="H253" s="49" t="s">
        <v>6</v>
      </c>
      <c r="I253" s="50"/>
      <c r="Q253" s="52"/>
      <c r="R253" s="324"/>
      <c r="S253" s="322"/>
      <c r="T253" s="312"/>
      <c r="U253" s="315"/>
      <c r="V253" s="322"/>
      <c r="W253" s="312"/>
      <c r="X253" s="315"/>
      <c r="Y253" s="315"/>
      <c r="Z253" s="315"/>
      <c r="AA253" s="318"/>
      <c r="AD253" s="58">
        <f>BIN2DEC($AA252)*3</f>
        <v>0</v>
      </c>
      <c r="AE253" s="58">
        <f>ABS(BIN2DEC($U252)*3)</f>
        <v>0</v>
      </c>
      <c r="AF253" s="58">
        <f>ABS( BIN2DEC(V252)*3-BIN2DEC(Z252))</f>
        <v>0</v>
      </c>
      <c r="AG253" s="58">
        <f>BIN2DEC(X252&amp;Y252)+BIN2DEC(W252)*3</f>
        <v>0</v>
      </c>
      <c r="AH253">
        <f>AD253+AE253*4+AF253*16</f>
        <v>0</v>
      </c>
    </row>
    <row r="254" spans="1:34" ht="129.6">
      <c r="A254" s="54" t="s">
        <v>70</v>
      </c>
      <c r="B254" s="54">
        <v>3</v>
      </c>
      <c r="C254" s="51" t="s">
        <v>141</v>
      </c>
      <c r="D254" s="49" t="s">
        <v>81</v>
      </c>
      <c r="E254" s="49" t="s">
        <v>80</v>
      </c>
      <c r="F254" s="49" t="s">
        <v>68</v>
      </c>
      <c r="G254" s="49" t="s">
        <v>36</v>
      </c>
      <c r="H254" s="49" t="s">
        <v>6</v>
      </c>
      <c r="I254" s="50"/>
      <c r="Q254" s="52"/>
      <c r="R254" s="324"/>
      <c r="S254" s="322"/>
      <c r="T254" s="312"/>
      <c r="U254" s="315"/>
      <c r="V254" s="322"/>
      <c r="W254" s="312"/>
      <c r="X254" s="315"/>
      <c r="Y254" s="315"/>
      <c r="Z254" s="315"/>
      <c r="AA254" s="318"/>
      <c r="AD254" s="58">
        <f>BIN2DEC($AA252)*3</f>
        <v>0</v>
      </c>
      <c r="AE254" s="58">
        <f>ABS(BIN2DEC($U252)*3-1)</f>
        <v>1</v>
      </c>
      <c r="AF254" s="58">
        <f>ABS( BIN2DEC(V252)*3-BIN2DEC(Z252))</f>
        <v>0</v>
      </c>
      <c r="AG254" s="58">
        <f>BIN2DEC(X252&amp;Y252)+BIN2DEC(W252)*3</f>
        <v>0</v>
      </c>
      <c r="AH254">
        <f t="shared" ref="AH254:AH256" si="75">AD254+AE254*4+AF254*16</f>
        <v>4</v>
      </c>
    </row>
    <row r="255" spans="1:34">
      <c r="A255" s="54" t="s">
        <v>71</v>
      </c>
      <c r="B255" s="54">
        <v>1</v>
      </c>
      <c r="C255" s="51" t="s">
        <v>141</v>
      </c>
      <c r="D255" s="49" t="s">
        <v>7</v>
      </c>
      <c r="E255" s="49" t="s">
        <v>73</v>
      </c>
      <c r="F255" s="49" t="s">
        <v>68</v>
      </c>
      <c r="G255" s="49" t="s">
        <v>36</v>
      </c>
      <c r="H255" s="49" t="s">
        <v>6</v>
      </c>
      <c r="I255" s="50"/>
      <c r="Q255" s="52"/>
      <c r="R255" s="324"/>
      <c r="S255" s="322"/>
      <c r="T255" s="312"/>
      <c r="U255" s="315"/>
      <c r="V255" s="322"/>
      <c r="W255" s="312"/>
      <c r="X255" s="315"/>
      <c r="Y255" s="315"/>
      <c r="Z255" s="315"/>
      <c r="AA255" s="318"/>
      <c r="AD255" s="58">
        <f>ABS(BIN2DEC($AA252)*3-2)</f>
        <v>2</v>
      </c>
      <c r="AE255" s="58">
        <f>ABS(BIN2DEC($U252)*3)</f>
        <v>0</v>
      </c>
      <c r="AF255" s="58">
        <f>ABS( BIN2DEC(V252)*3-BIN2DEC(Z252))</f>
        <v>0</v>
      </c>
      <c r="AG255" s="58">
        <f>BIN2DEC(X252&amp;Y252)+BIN2DEC(W252)*3</f>
        <v>0</v>
      </c>
      <c r="AH255">
        <f t="shared" si="75"/>
        <v>2</v>
      </c>
    </row>
    <row r="256" spans="1:34" ht="15" thickBot="1">
      <c r="A256" s="54" t="s">
        <v>72</v>
      </c>
      <c r="B256" s="54">
        <v>1</v>
      </c>
      <c r="C256" s="51" t="s">
        <v>141</v>
      </c>
      <c r="D256" s="49" t="s">
        <v>7</v>
      </c>
      <c r="E256" s="49" t="s">
        <v>74</v>
      </c>
      <c r="F256" s="49" t="s">
        <v>68</v>
      </c>
      <c r="G256" s="49" t="s">
        <v>36</v>
      </c>
      <c r="H256" s="49" t="s">
        <v>6</v>
      </c>
      <c r="I256" s="50"/>
      <c r="Q256" s="52"/>
      <c r="R256" s="324"/>
      <c r="S256" s="323"/>
      <c r="T256" s="313"/>
      <c r="U256" s="316"/>
      <c r="V256" s="323"/>
      <c r="W256" s="313"/>
      <c r="X256" s="316"/>
      <c r="Y256" s="316"/>
      <c r="Z256" s="316"/>
      <c r="AA256" s="319"/>
      <c r="AD256" s="58">
        <f>ABS(BIN2DEC($AA252)*3-2)</f>
        <v>2</v>
      </c>
      <c r="AE256" s="58">
        <f>ABS(BIN2DEC($U252)*3-1)</f>
        <v>1</v>
      </c>
      <c r="AF256" s="58">
        <f>ABS( BIN2DEC(V252)*3-BIN2DEC(Z252))</f>
        <v>0</v>
      </c>
      <c r="AG256" s="58">
        <f>BIN2DEC(X252&amp;Y252)+BIN2DEC(W252)*3</f>
        <v>0</v>
      </c>
      <c r="AH256">
        <f t="shared" si="75"/>
        <v>6</v>
      </c>
    </row>
    <row r="257" spans="1:34">
      <c r="A257" s="54">
        <f>AA257</f>
        <v>0</v>
      </c>
      <c r="B257" s="54">
        <v>5</v>
      </c>
      <c r="C257" s="48" t="str">
        <f>IF(B257&gt;1,(23)&amp;":"&amp;(23-B257+1),(23-B257+1)&amp;":"&amp;(23-B257+1))</f>
        <v>23:19</v>
      </c>
      <c r="D257" s="49" t="s">
        <v>78</v>
      </c>
      <c r="E257" s="49" t="s">
        <v>69</v>
      </c>
      <c r="F257" s="49" t="s">
        <v>68</v>
      </c>
      <c r="G257" s="49" t="s">
        <v>36</v>
      </c>
      <c r="H257" s="49" t="s">
        <v>6</v>
      </c>
      <c r="I257" s="50"/>
      <c r="L257" t="str">
        <f>DEC2HEX(_xlfn.BITLSHIFT(HEX2DEC(P257),2))</f>
        <v>0</v>
      </c>
      <c r="P257" t="str">
        <f>Z257</f>
        <v>0</v>
      </c>
      <c r="Q257" s="52" t="e">
        <f>BIN2HEX(LEFT(RIGHT(C257,32),4))&amp;BIN2HEX(LEFT(RIGHT(C257,28),4))&amp;BIN2HEX(LEFT(RIGHT(C257,24),4))&amp;BIN2HEX(LEFT(RIGHT(C257,20),4))&amp;BIN2HEX(LEFT(RIGHT(C257,16),4))&amp;BIN2HEX(LEFT(RIGHT(C257,12),4))&amp;BIN2HEX(LEFT(RIGHT(C257,8),4))&amp;BIN2HEX(LEFT(RIGHT(C257,4),4))</f>
        <v>#NUM!</v>
      </c>
      <c r="R257" s="324">
        <v>3</v>
      </c>
      <c r="S257" s="321"/>
      <c r="T257" s="311"/>
      <c r="U257" s="314"/>
      <c r="V257" s="321"/>
      <c r="W257" s="311"/>
      <c r="X257" s="314"/>
      <c r="Y257" s="314"/>
      <c r="Z257" s="314" t="str">
        <f t="shared" ref="Z257" si="76">BIN2HEX(S257&amp;T257&amp;U257&amp;V257&amp;W257&amp;X257&amp;Y257)</f>
        <v>0</v>
      </c>
      <c r="AA257" s="317"/>
      <c r="AD257" s="58"/>
      <c r="AE257" s="58"/>
      <c r="AF257" s="58"/>
      <c r="AG257" s="58"/>
    </row>
    <row r="258" spans="1:34">
      <c r="A258" s="54" t="s">
        <v>77</v>
      </c>
      <c r="B258" s="54">
        <v>1</v>
      </c>
      <c r="C258" s="51" t="s">
        <v>141</v>
      </c>
      <c r="D258" s="49" t="s">
        <v>7</v>
      </c>
      <c r="E258" s="49" t="s">
        <v>77</v>
      </c>
      <c r="F258" s="49" t="s">
        <v>68</v>
      </c>
      <c r="G258" s="49" t="s">
        <v>36</v>
      </c>
      <c r="H258" s="49" t="s">
        <v>6</v>
      </c>
      <c r="I258" s="50"/>
      <c r="Q258" s="52"/>
      <c r="R258" s="324"/>
      <c r="S258" s="322"/>
      <c r="T258" s="312"/>
      <c r="U258" s="315"/>
      <c r="V258" s="322"/>
      <c r="W258" s="312"/>
      <c r="X258" s="315"/>
      <c r="Y258" s="315"/>
      <c r="Z258" s="315"/>
      <c r="AA258" s="318"/>
      <c r="AD258" s="58">
        <f>BIN2DEC($AA257)*3</f>
        <v>0</v>
      </c>
      <c r="AE258" s="58">
        <f>ABS(BIN2DEC($U257)*3)</f>
        <v>0</v>
      </c>
      <c r="AF258" s="58">
        <f>ABS( BIN2DEC(V257)*3-BIN2DEC(Z257))</f>
        <v>0</v>
      </c>
      <c r="AG258" s="58">
        <f>BIN2DEC(X257&amp;Y257)+BIN2DEC(W257)*3</f>
        <v>0</v>
      </c>
      <c r="AH258">
        <f>AD258+AE258*4+AF258*16</f>
        <v>0</v>
      </c>
    </row>
    <row r="259" spans="1:34" ht="129.6">
      <c r="A259" s="54" t="s">
        <v>70</v>
      </c>
      <c r="B259" s="54">
        <v>3</v>
      </c>
      <c r="C259" s="51" t="s">
        <v>141</v>
      </c>
      <c r="D259" s="49" t="s">
        <v>81</v>
      </c>
      <c r="E259" s="49" t="s">
        <v>80</v>
      </c>
      <c r="F259" s="49" t="s">
        <v>68</v>
      </c>
      <c r="G259" s="49" t="s">
        <v>36</v>
      </c>
      <c r="H259" s="49" t="s">
        <v>6</v>
      </c>
      <c r="I259" s="50"/>
      <c r="Q259" s="52"/>
      <c r="R259" s="324"/>
      <c r="S259" s="322"/>
      <c r="T259" s="312"/>
      <c r="U259" s="315"/>
      <c r="V259" s="322"/>
      <c r="W259" s="312"/>
      <c r="X259" s="315"/>
      <c r="Y259" s="315"/>
      <c r="Z259" s="315"/>
      <c r="AA259" s="318"/>
      <c r="AD259" s="58">
        <f>BIN2DEC($AA257)*3</f>
        <v>0</v>
      </c>
      <c r="AE259" s="58">
        <f>ABS(BIN2DEC($U257)*3-1)</f>
        <v>1</v>
      </c>
      <c r="AF259" s="58">
        <f>ABS( BIN2DEC(V257)*3-BIN2DEC(Z257))</f>
        <v>0</v>
      </c>
      <c r="AG259" s="58">
        <f>BIN2DEC(X257&amp;Y257)+BIN2DEC(W257)*3</f>
        <v>0</v>
      </c>
      <c r="AH259">
        <f t="shared" ref="AH259:AH261" si="77">AD259+AE259*4+AF259*16</f>
        <v>4</v>
      </c>
    </row>
    <row r="260" spans="1:34">
      <c r="A260" s="54" t="s">
        <v>71</v>
      </c>
      <c r="B260" s="54">
        <v>1</v>
      </c>
      <c r="C260" s="51" t="s">
        <v>141</v>
      </c>
      <c r="D260" s="49" t="s">
        <v>7</v>
      </c>
      <c r="E260" s="49" t="s">
        <v>73</v>
      </c>
      <c r="F260" s="49" t="s">
        <v>68</v>
      </c>
      <c r="G260" s="49" t="s">
        <v>36</v>
      </c>
      <c r="H260" s="49" t="s">
        <v>6</v>
      </c>
      <c r="I260" s="50"/>
      <c r="Q260" s="52"/>
      <c r="R260" s="324"/>
      <c r="S260" s="322"/>
      <c r="T260" s="312"/>
      <c r="U260" s="315"/>
      <c r="V260" s="322"/>
      <c r="W260" s="312"/>
      <c r="X260" s="315"/>
      <c r="Y260" s="315"/>
      <c r="Z260" s="315"/>
      <c r="AA260" s="318"/>
      <c r="AD260" s="58">
        <f>ABS(BIN2DEC($AA257)*3-2)</f>
        <v>2</v>
      </c>
      <c r="AE260" s="58">
        <f>ABS(BIN2DEC($U257)*3)</f>
        <v>0</v>
      </c>
      <c r="AF260" s="58">
        <f>ABS( BIN2DEC(V257)*3-BIN2DEC(Z257))</f>
        <v>0</v>
      </c>
      <c r="AG260" s="58">
        <f>BIN2DEC(X257&amp;Y257)+BIN2DEC(W257)*3</f>
        <v>0</v>
      </c>
      <c r="AH260">
        <f t="shared" si="77"/>
        <v>2</v>
      </c>
    </row>
    <row r="261" spans="1:34" ht="15" thickBot="1">
      <c r="A261" s="54" t="s">
        <v>72</v>
      </c>
      <c r="B261" s="54">
        <v>1</v>
      </c>
      <c r="C261" s="51" t="s">
        <v>141</v>
      </c>
      <c r="D261" s="49" t="s">
        <v>7</v>
      </c>
      <c r="E261" s="49" t="s">
        <v>74</v>
      </c>
      <c r="F261" s="49" t="s">
        <v>68</v>
      </c>
      <c r="G261" s="49" t="s">
        <v>36</v>
      </c>
      <c r="H261" s="49" t="s">
        <v>6</v>
      </c>
      <c r="I261" s="50"/>
      <c r="Q261" s="52"/>
      <c r="R261" s="324"/>
      <c r="S261" s="323"/>
      <c r="T261" s="313"/>
      <c r="U261" s="316"/>
      <c r="V261" s="323"/>
      <c r="W261" s="313"/>
      <c r="X261" s="316"/>
      <c r="Y261" s="316"/>
      <c r="Z261" s="316"/>
      <c r="AA261" s="319"/>
      <c r="AD261" s="58">
        <f>ABS(BIN2DEC($AA257)*3-2)</f>
        <v>2</v>
      </c>
      <c r="AE261" s="58">
        <f>ABS(BIN2DEC($U257)*3-1)</f>
        <v>1</v>
      </c>
      <c r="AF261" s="58">
        <f>ABS( BIN2DEC(V257)*3-BIN2DEC(Z257))</f>
        <v>0</v>
      </c>
      <c r="AG261" s="58">
        <f>BIN2DEC(X257&amp;Y257)+BIN2DEC(W257)*3</f>
        <v>0</v>
      </c>
      <c r="AH261">
        <f t="shared" si="77"/>
        <v>6</v>
      </c>
    </row>
    <row r="262" spans="1:34">
      <c r="A262" s="54">
        <f>AA262</f>
        <v>0</v>
      </c>
      <c r="B262" s="54">
        <v>5</v>
      </c>
      <c r="C262" s="48" t="str">
        <f>IF(B262&gt;1,(23)&amp;":"&amp;(23-B262+1),(23-B262+1)&amp;":"&amp;(23-B262+1))</f>
        <v>23:19</v>
      </c>
      <c r="D262" s="49" t="s">
        <v>78</v>
      </c>
      <c r="E262" s="49" t="s">
        <v>69</v>
      </c>
      <c r="F262" s="49" t="s">
        <v>68</v>
      </c>
      <c r="G262" s="49" t="s">
        <v>36</v>
      </c>
      <c r="H262" s="49" t="s">
        <v>6</v>
      </c>
      <c r="I262" s="50"/>
      <c r="L262" t="str">
        <f>DEC2HEX(_xlfn.BITLSHIFT(HEX2DEC(P262),2))</f>
        <v>0</v>
      </c>
      <c r="N262">
        <v>2</v>
      </c>
      <c r="P262" t="str">
        <f>Z262</f>
        <v>0</v>
      </c>
      <c r="Q262" s="52" t="e">
        <f>BIN2HEX(LEFT(RIGHT(C262,32),4))&amp;BIN2HEX(LEFT(RIGHT(C262,28),4))&amp;BIN2HEX(LEFT(RIGHT(C262,24),4))&amp;BIN2HEX(LEFT(RIGHT(C262,20),4))&amp;BIN2HEX(LEFT(RIGHT(C262,16),4))&amp;BIN2HEX(LEFT(RIGHT(C262,12),4))&amp;BIN2HEX(LEFT(RIGHT(C262,8),4))&amp;BIN2HEX(LEFT(RIGHT(C262,4),4))</f>
        <v>#NUM!</v>
      </c>
      <c r="R262" s="324">
        <v>4</v>
      </c>
      <c r="S262" s="321"/>
      <c r="T262" s="311"/>
      <c r="U262" s="314"/>
      <c r="V262" s="321"/>
      <c r="W262" s="311"/>
      <c r="X262" s="314"/>
      <c r="Y262" s="314"/>
      <c r="Z262" s="314" t="str">
        <f t="shared" ref="Z262" si="78">BIN2HEX(S262&amp;T262&amp;U262&amp;V262&amp;W262&amp;X262&amp;Y262)</f>
        <v>0</v>
      </c>
      <c r="AA262" s="317"/>
      <c r="AD262" s="58"/>
      <c r="AE262" s="58"/>
      <c r="AF262" s="58"/>
      <c r="AG262" s="58"/>
    </row>
    <row r="263" spans="1:34">
      <c r="A263" s="54" t="s">
        <v>77</v>
      </c>
      <c r="B263" s="54">
        <v>1</v>
      </c>
      <c r="C263" s="51" t="s">
        <v>141</v>
      </c>
      <c r="D263" s="49" t="s">
        <v>7</v>
      </c>
      <c r="E263" s="49" t="s">
        <v>77</v>
      </c>
      <c r="F263" s="49" t="s">
        <v>68</v>
      </c>
      <c r="G263" s="49" t="s">
        <v>36</v>
      </c>
      <c r="H263" s="49" t="s">
        <v>6</v>
      </c>
      <c r="I263" s="50"/>
      <c r="Q263" s="52"/>
      <c r="R263" s="324"/>
      <c r="S263" s="322"/>
      <c r="T263" s="312"/>
      <c r="U263" s="315"/>
      <c r="V263" s="322"/>
      <c r="W263" s="312"/>
      <c r="X263" s="315"/>
      <c r="Y263" s="315"/>
      <c r="Z263" s="315"/>
      <c r="AA263" s="318"/>
      <c r="AD263" s="58">
        <f>BIN2DEC($AA262)*3</f>
        <v>0</v>
      </c>
      <c r="AE263" s="58">
        <f>ABS(BIN2DEC($U262)*3)</f>
        <v>0</v>
      </c>
      <c r="AF263" s="58">
        <f>ABS( BIN2DEC(V262)*3-BIN2DEC(Z262))</f>
        <v>0</v>
      </c>
      <c r="AG263" s="58">
        <f>BIN2DEC(X262&amp;Y262)+BIN2DEC(W262)*3</f>
        <v>0</v>
      </c>
      <c r="AH263">
        <f>AD263+AE263*4+AF263*16</f>
        <v>0</v>
      </c>
    </row>
    <row r="264" spans="1:34" ht="129.6">
      <c r="A264" s="54" t="s">
        <v>70</v>
      </c>
      <c r="B264" s="54">
        <v>3</v>
      </c>
      <c r="C264" s="51" t="s">
        <v>141</v>
      </c>
      <c r="D264" s="49" t="s">
        <v>81</v>
      </c>
      <c r="E264" s="49" t="s">
        <v>80</v>
      </c>
      <c r="F264" s="49" t="s">
        <v>68</v>
      </c>
      <c r="G264" s="49" t="s">
        <v>36</v>
      </c>
      <c r="H264" s="49" t="s">
        <v>6</v>
      </c>
      <c r="I264" s="50"/>
      <c r="Q264" s="52"/>
      <c r="R264" s="324"/>
      <c r="S264" s="322"/>
      <c r="T264" s="312"/>
      <c r="U264" s="315"/>
      <c r="V264" s="322"/>
      <c r="W264" s="312"/>
      <c r="X264" s="315"/>
      <c r="Y264" s="315"/>
      <c r="Z264" s="315"/>
      <c r="AA264" s="318"/>
      <c r="AD264" s="58">
        <f>BIN2DEC($AA262)*3</f>
        <v>0</v>
      </c>
      <c r="AE264" s="58">
        <f>ABS(BIN2DEC($U262)*3-1)</f>
        <v>1</v>
      </c>
      <c r="AF264" s="58">
        <f>ABS( BIN2DEC(V262)*3-BIN2DEC(Z262))</f>
        <v>0</v>
      </c>
      <c r="AG264" s="58">
        <f>BIN2DEC(X262&amp;Y262)+BIN2DEC(W262)*3</f>
        <v>0</v>
      </c>
      <c r="AH264">
        <f t="shared" ref="AH264:AH266" si="79">AD264+AE264*4+AF264*16</f>
        <v>4</v>
      </c>
    </row>
    <row r="265" spans="1:34">
      <c r="A265" s="54" t="s">
        <v>71</v>
      </c>
      <c r="B265" s="54">
        <v>1</v>
      </c>
      <c r="C265" s="51" t="s">
        <v>141</v>
      </c>
      <c r="D265" s="49" t="s">
        <v>7</v>
      </c>
      <c r="E265" s="49" t="s">
        <v>73</v>
      </c>
      <c r="F265" s="49" t="s">
        <v>68</v>
      </c>
      <c r="G265" s="49" t="s">
        <v>36</v>
      </c>
      <c r="H265" s="49" t="s">
        <v>6</v>
      </c>
      <c r="I265" s="50"/>
      <c r="Q265" s="52"/>
      <c r="R265" s="324"/>
      <c r="S265" s="322"/>
      <c r="T265" s="312"/>
      <c r="U265" s="315"/>
      <c r="V265" s="322"/>
      <c r="W265" s="312"/>
      <c r="X265" s="315"/>
      <c r="Y265" s="315"/>
      <c r="Z265" s="315"/>
      <c r="AA265" s="318"/>
      <c r="AD265" s="58">
        <f>ABS(BIN2DEC($AA262)*3-2)</f>
        <v>2</v>
      </c>
      <c r="AE265" s="58">
        <f>ABS(BIN2DEC($U262)*3)</f>
        <v>0</v>
      </c>
      <c r="AF265" s="58">
        <f>ABS( BIN2DEC(V262)*3-BIN2DEC(Z262))</f>
        <v>0</v>
      </c>
      <c r="AG265" s="58">
        <f>BIN2DEC(X262&amp;Y262)+BIN2DEC(W262)*3</f>
        <v>0</v>
      </c>
      <c r="AH265">
        <f t="shared" si="79"/>
        <v>2</v>
      </c>
    </row>
    <row r="266" spans="1:34" ht="15" thickBot="1">
      <c r="A266" s="54" t="s">
        <v>72</v>
      </c>
      <c r="B266" s="54">
        <v>1</v>
      </c>
      <c r="C266" s="51" t="s">
        <v>141</v>
      </c>
      <c r="D266" s="49" t="s">
        <v>7</v>
      </c>
      <c r="E266" s="49" t="s">
        <v>74</v>
      </c>
      <c r="F266" s="49" t="s">
        <v>68</v>
      </c>
      <c r="G266" s="49" t="s">
        <v>36</v>
      </c>
      <c r="H266" s="49" t="s">
        <v>6</v>
      </c>
      <c r="I266" s="50"/>
      <c r="Q266" s="52"/>
      <c r="R266" s="324"/>
      <c r="S266" s="323"/>
      <c r="T266" s="313"/>
      <c r="U266" s="316"/>
      <c r="V266" s="323"/>
      <c r="W266" s="313"/>
      <c r="X266" s="316"/>
      <c r="Y266" s="316"/>
      <c r="Z266" s="316"/>
      <c r="AA266" s="319"/>
      <c r="AD266" s="58">
        <f>ABS(BIN2DEC($AA262)*3-2)</f>
        <v>2</v>
      </c>
      <c r="AE266" s="58">
        <f>ABS(BIN2DEC($U262)*3-1)</f>
        <v>1</v>
      </c>
      <c r="AF266" s="58">
        <f>ABS( BIN2DEC(V262)*3-BIN2DEC(Z262))</f>
        <v>0</v>
      </c>
      <c r="AG266" s="58">
        <f>BIN2DEC(X262&amp;Y262)+BIN2DEC(W262)*3</f>
        <v>0</v>
      </c>
      <c r="AH266">
        <f t="shared" si="79"/>
        <v>6</v>
      </c>
    </row>
    <row r="267" spans="1:34">
      <c r="A267" s="54">
        <f>AA267</f>
        <v>0</v>
      </c>
      <c r="B267" s="54">
        <v>5</v>
      </c>
      <c r="C267" s="48" t="str">
        <f>IF(B267&gt;1,(23)&amp;":"&amp;(23-B267+1),(23-B267+1)&amp;":"&amp;(23-B267+1))</f>
        <v>23:19</v>
      </c>
      <c r="D267" s="49" t="s">
        <v>78</v>
      </c>
      <c r="E267" s="49" t="s">
        <v>69</v>
      </c>
      <c r="F267" s="49" t="s">
        <v>68</v>
      </c>
      <c r="G267" s="49" t="s">
        <v>36</v>
      </c>
      <c r="H267" s="49" t="s">
        <v>6</v>
      </c>
      <c r="I267" s="50"/>
      <c r="L267" t="str">
        <f>DEC2HEX(_xlfn.BITLSHIFT(HEX2DEC(P267),2))</f>
        <v>0</v>
      </c>
      <c r="N267">
        <v>2</v>
      </c>
      <c r="P267" t="str">
        <f>Z267</f>
        <v>0</v>
      </c>
      <c r="Q267" s="52" t="e">
        <f>BIN2HEX(LEFT(RIGHT(C267,32),4))&amp;BIN2HEX(LEFT(RIGHT(C267,28),4))&amp;BIN2HEX(LEFT(RIGHT(C267,24),4))&amp;BIN2HEX(LEFT(RIGHT(C267,20),4))&amp;BIN2HEX(LEFT(RIGHT(C267,16),4))&amp;BIN2HEX(LEFT(RIGHT(C267,12),4))&amp;BIN2HEX(LEFT(RIGHT(C267,8),4))&amp;BIN2HEX(LEFT(RIGHT(C267,4),4))</f>
        <v>#NUM!</v>
      </c>
      <c r="R267" s="324">
        <v>5</v>
      </c>
      <c r="S267" s="321"/>
      <c r="T267" s="311"/>
      <c r="U267" s="314"/>
      <c r="V267" s="321"/>
      <c r="W267" s="311"/>
      <c r="X267" s="314"/>
      <c r="Y267" s="314"/>
      <c r="Z267" s="314" t="str">
        <f t="shared" ref="Z267" si="80">BIN2HEX(S267&amp;T267&amp;U267&amp;V267&amp;W267&amp;X267&amp;Y267)</f>
        <v>0</v>
      </c>
      <c r="AA267" s="317"/>
      <c r="AD267" s="58"/>
      <c r="AE267" s="58"/>
      <c r="AF267" s="58"/>
      <c r="AG267" s="58"/>
    </row>
    <row r="268" spans="1:34">
      <c r="A268" s="54" t="s">
        <v>77</v>
      </c>
      <c r="B268" s="54">
        <v>1</v>
      </c>
      <c r="C268" s="51" t="s">
        <v>141</v>
      </c>
      <c r="D268" s="49" t="s">
        <v>7</v>
      </c>
      <c r="E268" s="49" t="s">
        <v>77</v>
      </c>
      <c r="F268" s="49" t="s">
        <v>68</v>
      </c>
      <c r="G268" s="49" t="s">
        <v>36</v>
      </c>
      <c r="H268" s="49" t="s">
        <v>6</v>
      </c>
      <c r="I268" s="50"/>
      <c r="Q268" s="52"/>
      <c r="R268" s="324"/>
      <c r="S268" s="322"/>
      <c r="T268" s="312"/>
      <c r="U268" s="315"/>
      <c r="V268" s="322"/>
      <c r="W268" s="312"/>
      <c r="X268" s="315"/>
      <c r="Y268" s="315"/>
      <c r="Z268" s="315"/>
      <c r="AA268" s="318"/>
      <c r="AD268" s="58">
        <f>BIN2DEC($AA267)*3</f>
        <v>0</v>
      </c>
      <c r="AE268" s="58">
        <f>ABS(BIN2DEC($U267)*3)</f>
        <v>0</v>
      </c>
      <c r="AF268" s="58">
        <f>ABS( BIN2DEC(V267)*3-BIN2DEC(Z267))</f>
        <v>0</v>
      </c>
      <c r="AG268" s="58">
        <f>BIN2DEC(X267&amp;Y267)+BIN2DEC(W267)*3</f>
        <v>0</v>
      </c>
      <c r="AH268">
        <f>AD268+AE268*4+AF268*16</f>
        <v>0</v>
      </c>
    </row>
    <row r="269" spans="1:34" ht="129.6">
      <c r="A269" s="54" t="s">
        <v>70</v>
      </c>
      <c r="B269" s="54">
        <v>3</v>
      </c>
      <c r="C269" s="51" t="s">
        <v>141</v>
      </c>
      <c r="D269" s="49" t="s">
        <v>81</v>
      </c>
      <c r="E269" s="49" t="s">
        <v>80</v>
      </c>
      <c r="F269" s="49" t="s">
        <v>68</v>
      </c>
      <c r="G269" s="49" t="s">
        <v>36</v>
      </c>
      <c r="H269" s="49" t="s">
        <v>6</v>
      </c>
      <c r="I269" s="50"/>
      <c r="Q269" s="52"/>
      <c r="R269" s="324"/>
      <c r="S269" s="322"/>
      <c r="T269" s="312"/>
      <c r="U269" s="315"/>
      <c r="V269" s="322"/>
      <c r="W269" s="312"/>
      <c r="X269" s="315"/>
      <c r="Y269" s="315"/>
      <c r="Z269" s="315"/>
      <c r="AA269" s="318"/>
      <c r="AD269" s="58">
        <f>BIN2DEC($AA267)*3</f>
        <v>0</v>
      </c>
      <c r="AE269" s="58">
        <f>ABS(BIN2DEC($U267)*3-1)</f>
        <v>1</v>
      </c>
      <c r="AF269" s="58">
        <f>ABS( BIN2DEC(V267)*3-BIN2DEC(Z267))</f>
        <v>0</v>
      </c>
      <c r="AG269" s="58">
        <f>BIN2DEC(X267&amp;Y267)+BIN2DEC(W267)*3</f>
        <v>0</v>
      </c>
      <c r="AH269">
        <f t="shared" ref="AH269:AH271" si="81">AD269+AE269*4+AF269*16</f>
        <v>4</v>
      </c>
    </row>
    <row r="270" spans="1:34">
      <c r="A270" s="54" t="s">
        <v>71</v>
      </c>
      <c r="B270" s="54">
        <v>1</v>
      </c>
      <c r="C270" s="51" t="s">
        <v>141</v>
      </c>
      <c r="D270" s="49" t="s">
        <v>7</v>
      </c>
      <c r="E270" s="49" t="s">
        <v>73</v>
      </c>
      <c r="F270" s="49" t="s">
        <v>68</v>
      </c>
      <c r="G270" s="49" t="s">
        <v>36</v>
      </c>
      <c r="H270" s="49" t="s">
        <v>6</v>
      </c>
      <c r="I270" s="50"/>
      <c r="Q270" s="52"/>
      <c r="R270" s="324"/>
      <c r="S270" s="322"/>
      <c r="T270" s="312"/>
      <c r="U270" s="315"/>
      <c r="V270" s="322"/>
      <c r="W270" s="312"/>
      <c r="X270" s="315"/>
      <c r="Y270" s="315"/>
      <c r="Z270" s="315"/>
      <c r="AA270" s="318"/>
      <c r="AD270" s="58">
        <f>ABS(BIN2DEC($AA267)*3-2)</f>
        <v>2</v>
      </c>
      <c r="AE270" s="58">
        <f>ABS(BIN2DEC($U267)*3)</f>
        <v>0</v>
      </c>
      <c r="AF270" s="58">
        <f>ABS( BIN2DEC(V267)*3-BIN2DEC(Z267))</f>
        <v>0</v>
      </c>
      <c r="AG270" s="58">
        <f>BIN2DEC(X267&amp;Y267)+BIN2DEC(W267)*3</f>
        <v>0</v>
      </c>
      <c r="AH270">
        <f t="shared" si="81"/>
        <v>2</v>
      </c>
    </row>
    <row r="271" spans="1:34" ht="15" thickBot="1">
      <c r="A271" s="54" t="s">
        <v>72</v>
      </c>
      <c r="B271" s="54">
        <v>1</v>
      </c>
      <c r="C271" s="51" t="s">
        <v>141</v>
      </c>
      <c r="D271" s="49" t="s">
        <v>7</v>
      </c>
      <c r="E271" s="49" t="s">
        <v>74</v>
      </c>
      <c r="F271" s="49" t="s">
        <v>68</v>
      </c>
      <c r="G271" s="49" t="s">
        <v>36</v>
      </c>
      <c r="H271" s="49" t="s">
        <v>6</v>
      </c>
      <c r="I271" s="50"/>
      <c r="Q271" s="52"/>
      <c r="R271" s="324"/>
      <c r="S271" s="323"/>
      <c r="T271" s="313"/>
      <c r="U271" s="316"/>
      <c r="V271" s="323"/>
      <c r="W271" s="313"/>
      <c r="X271" s="316"/>
      <c r="Y271" s="316"/>
      <c r="Z271" s="316"/>
      <c r="AA271" s="319"/>
      <c r="AD271" s="58">
        <f>ABS(BIN2DEC($AA267)*3-2)</f>
        <v>2</v>
      </c>
      <c r="AE271" s="58">
        <f>ABS(BIN2DEC($U267)*3-1)</f>
        <v>1</v>
      </c>
      <c r="AF271" s="58">
        <f>ABS( BIN2DEC(V267)*3-BIN2DEC(Z267))</f>
        <v>0</v>
      </c>
      <c r="AG271" s="58">
        <f>BIN2DEC(X267&amp;Y267)+BIN2DEC(W267)*3</f>
        <v>0</v>
      </c>
      <c r="AH271">
        <f t="shared" si="81"/>
        <v>6</v>
      </c>
    </row>
    <row r="272" spans="1:34">
      <c r="A272" s="54">
        <f>AA272</f>
        <v>0</v>
      </c>
      <c r="B272" s="54">
        <v>5</v>
      </c>
      <c r="C272" s="48" t="str">
        <f>IF(B272&gt;1,(23)&amp;":"&amp;(23-B272+1),(23-B272+1)&amp;":"&amp;(23-B272+1))</f>
        <v>23:19</v>
      </c>
      <c r="D272" s="49" t="s">
        <v>78</v>
      </c>
      <c r="E272" s="49" t="s">
        <v>69</v>
      </c>
      <c r="F272" s="49" t="s">
        <v>68</v>
      </c>
      <c r="G272" s="49" t="s">
        <v>36</v>
      </c>
      <c r="H272" s="49" t="s">
        <v>6</v>
      </c>
      <c r="I272" s="50"/>
      <c r="L272" t="str">
        <f>DEC2HEX(_xlfn.BITLSHIFT(HEX2DEC(P272),2))</f>
        <v>0</v>
      </c>
      <c r="N272">
        <v>2</v>
      </c>
      <c r="P272" t="str">
        <f>Z272</f>
        <v>0</v>
      </c>
      <c r="Q272" s="52" t="e">
        <f>BIN2HEX(LEFT(RIGHT(C272,32),4))&amp;BIN2HEX(LEFT(RIGHT(C272,28),4))&amp;BIN2HEX(LEFT(RIGHT(C272,24),4))&amp;BIN2HEX(LEFT(RIGHT(C272,20),4))&amp;BIN2HEX(LEFT(RIGHT(C272,16),4))&amp;BIN2HEX(LEFT(RIGHT(C272,12),4))&amp;BIN2HEX(LEFT(RIGHT(C272,8),4))&amp;BIN2HEX(LEFT(RIGHT(C272,4),4))</f>
        <v>#NUM!</v>
      </c>
      <c r="R272" s="324">
        <v>6</v>
      </c>
      <c r="S272" s="321"/>
      <c r="T272" s="311"/>
      <c r="U272" s="314"/>
      <c r="V272" s="321"/>
      <c r="W272" s="311"/>
      <c r="X272" s="314"/>
      <c r="Y272" s="314"/>
      <c r="Z272" s="314" t="str">
        <f t="shared" ref="Z272" si="82">BIN2HEX(S272&amp;T272&amp;U272&amp;V272&amp;W272&amp;X272&amp;Y272)</f>
        <v>0</v>
      </c>
      <c r="AA272" s="317"/>
      <c r="AD272" s="58"/>
      <c r="AE272" s="58"/>
      <c r="AF272" s="58"/>
      <c r="AG272" s="58"/>
    </row>
    <row r="273" spans="1:34">
      <c r="A273" s="54" t="s">
        <v>77</v>
      </c>
      <c r="B273" s="54">
        <v>1</v>
      </c>
      <c r="C273" s="51" t="s">
        <v>141</v>
      </c>
      <c r="D273" s="49" t="s">
        <v>7</v>
      </c>
      <c r="E273" s="49" t="s">
        <v>77</v>
      </c>
      <c r="F273" s="49" t="s">
        <v>68</v>
      </c>
      <c r="G273" s="49" t="s">
        <v>36</v>
      </c>
      <c r="H273" s="49" t="s">
        <v>6</v>
      </c>
      <c r="I273" s="50"/>
      <c r="Q273" s="52"/>
      <c r="R273" s="324"/>
      <c r="S273" s="322"/>
      <c r="T273" s="312"/>
      <c r="U273" s="315"/>
      <c r="V273" s="322"/>
      <c r="W273" s="312"/>
      <c r="X273" s="315"/>
      <c r="Y273" s="315"/>
      <c r="Z273" s="315"/>
      <c r="AA273" s="318"/>
      <c r="AD273" s="58">
        <f>BIN2DEC($AA272)*3</f>
        <v>0</v>
      </c>
      <c r="AE273" s="58">
        <f>ABS(BIN2DEC($U272)*3)</f>
        <v>0</v>
      </c>
      <c r="AF273" s="58">
        <f>ABS( BIN2DEC(V272)*3-BIN2DEC(Z272))</f>
        <v>0</v>
      </c>
      <c r="AG273" s="58">
        <f>BIN2DEC(X272&amp;Y272)+BIN2DEC(W272)*3</f>
        <v>0</v>
      </c>
      <c r="AH273">
        <f>AD273+AE273*4+AF273*16</f>
        <v>0</v>
      </c>
    </row>
    <row r="274" spans="1:34" ht="129.6">
      <c r="A274" s="54" t="s">
        <v>70</v>
      </c>
      <c r="B274" s="54">
        <v>3</v>
      </c>
      <c r="C274" s="51" t="s">
        <v>141</v>
      </c>
      <c r="D274" s="49" t="s">
        <v>81</v>
      </c>
      <c r="E274" s="49" t="s">
        <v>80</v>
      </c>
      <c r="F274" s="49" t="s">
        <v>68</v>
      </c>
      <c r="G274" s="49" t="s">
        <v>36</v>
      </c>
      <c r="H274" s="49" t="s">
        <v>6</v>
      </c>
      <c r="I274" s="50"/>
      <c r="Q274" s="52"/>
      <c r="R274" s="324"/>
      <c r="S274" s="322"/>
      <c r="T274" s="312"/>
      <c r="U274" s="315"/>
      <c r="V274" s="322"/>
      <c r="W274" s="312"/>
      <c r="X274" s="315"/>
      <c r="Y274" s="315"/>
      <c r="Z274" s="315"/>
      <c r="AA274" s="318"/>
      <c r="AD274" s="58">
        <f>BIN2DEC($AA272)*3</f>
        <v>0</v>
      </c>
      <c r="AE274" s="58">
        <f>ABS(BIN2DEC($U272)*3-1)</f>
        <v>1</v>
      </c>
      <c r="AF274" s="58">
        <f>ABS( BIN2DEC(V272)*3-BIN2DEC(Z272))</f>
        <v>0</v>
      </c>
      <c r="AG274" s="58">
        <f>BIN2DEC(X272&amp;Y272)+BIN2DEC(W272)*3</f>
        <v>0</v>
      </c>
      <c r="AH274">
        <f t="shared" ref="AH274:AH276" si="83">AD274+AE274*4+AF274*16</f>
        <v>4</v>
      </c>
    </row>
    <row r="275" spans="1:34">
      <c r="A275" s="54" t="s">
        <v>71</v>
      </c>
      <c r="B275" s="54">
        <v>1</v>
      </c>
      <c r="C275" s="51" t="s">
        <v>141</v>
      </c>
      <c r="D275" s="49" t="s">
        <v>7</v>
      </c>
      <c r="E275" s="49" t="s">
        <v>73</v>
      </c>
      <c r="F275" s="49" t="s">
        <v>68</v>
      </c>
      <c r="G275" s="49" t="s">
        <v>36</v>
      </c>
      <c r="H275" s="49" t="s">
        <v>6</v>
      </c>
      <c r="I275" s="50"/>
      <c r="Q275" s="52"/>
      <c r="R275" s="324"/>
      <c r="S275" s="322"/>
      <c r="T275" s="312"/>
      <c r="U275" s="315"/>
      <c r="V275" s="322"/>
      <c r="W275" s="312"/>
      <c r="X275" s="315"/>
      <c r="Y275" s="315"/>
      <c r="Z275" s="315"/>
      <c r="AA275" s="318"/>
      <c r="AD275" s="58">
        <f>ABS(BIN2DEC($AA272)*3-2)</f>
        <v>2</v>
      </c>
      <c r="AE275" s="58">
        <f>ABS(BIN2DEC($U272)*3)</f>
        <v>0</v>
      </c>
      <c r="AF275" s="58">
        <f>ABS( BIN2DEC(V272)*3-BIN2DEC(Z272))</f>
        <v>0</v>
      </c>
      <c r="AG275" s="58">
        <f>BIN2DEC(X272&amp;Y272)+BIN2DEC(W272)*3</f>
        <v>0</v>
      </c>
      <c r="AH275">
        <f t="shared" si="83"/>
        <v>2</v>
      </c>
    </row>
    <row r="276" spans="1:34" ht="15" thickBot="1">
      <c r="A276" s="54" t="s">
        <v>72</v>
      </c>
      <c r="B276" s="54">
        <v>1</v>
      </c>
      <c r="C276" s="51" t="s">
        <v>141</v>
      </c>
      <c r="D276" s="49" t="s">
        <v>7</v>
      </c>
      <c r="E276" s="49" t="s">
        <v>74</v>
      </c>
      <c r="F276" s="49" t="s">
        <v>68</v>
      </c>
      <c r="G276" s="49" t="s">
        <v>36</v>
      </c>
      <c r="H276" s="49" t="s">
        <v>6</v>
      </c>
      <c r="I276" s="50"/>
      <c r="Q276" s="52"/>
      <c r="R276" s="324"/>
      <c r="S276" s="323"/>
      <c r="T276" s="313"/>
      <c r="U276" s="316"/>
      <c r="V276" s="323"/>
      <c r="W276" s="313"/>
      <c r="X276" s="316"/>
      <c r="Y276" s="316"/>
      <c r="Z276" s="316"/>
      <c r="AA276" s="319"/>
      <c r="AD276" s="58">
        <f>ABS(BIN2DEC($AA272)*3-2)</f>
        <v>2</v>
      </c>
      <c r="AE276" s="58">
        <f>ABS(BIN2DEC($U272)*3-1)</f>
        <v>1</v>
      </c>
      <c r="AF276" s="58">
        <f>ABS( BIN2DEC(V272)*3-BIN2DEC(Z272))</f>
        <v>0</v>
      </c>
      <c r="AG276" s="58">
        <f>BIN2DEC(X272&amp;Y272)+BIN2DEC(W272)*3</f>
        <v>0</v>
      </c>
      <c r="AH276">
        <f t="shared" si="83"/>
        <v>6</v>
      </c>
    </row>
    <row r="277" spans="1:34">
      <c r="A277" s="54">
        <f>AA277</f>
        <v>0</v>
      </c>
      <c r="B277" s="54">
        <v>5</v>
      </c>
      <c r="C277" s="48" t="str">
        <f>IF(B277&gt;1,(23)&amp;":"&amp;(23-B277+1),(23-B277+1)&amp;":"&amp;(23-B277+1))</f>
        <v>23:19</v>
      </c>
      <c r="D277" s="49" t="s">
        <v>78</v>
      </c>
      <c r="E277" s="49" t="s">
        <v>69</v>
      </c>
      <c r="F277" s="49" t="s">
        <v>68</v>
      </c>
      <c r="G277" s="49" t="s">
        <v>36</v>
      </c>
      <c r="H277" s="49" t="s">
        <v>6</v>
      </c>
      <c r="I277" s="50"/>
      <c r="L277" t="str">
        <f>DEC2HEX(_xlfn.BITLSHIFT(HEX2DEC(P277),2))</f>
        <v>0</v>
      </c>
      <c r="N277">
        <v>2</v>
      </c>
      <c r="P277" t="str">
        <f>Z277</f>
        <v>0</v>
      </c>
      <c r="Q277" s="52" t="e">
        <f>BIN2HEX(LEFT(RIGHT(C277,32),4))&amp;BIN2HEX(LEFT(RIGHT(C277,28),4))&amp;BIN2HEX(LEFT(RIGHT(C277,24),4))&amp;BIN2HEX(LEFT(RIGHT(C277,20),4))&amp;BIN2HEX(LEFT(RIGHT(C277,16),4))&amp;BIN2HEX(LEFT(RIGHT(C277,12),4))&amp;BIN2HEX(LEFT(RIGHT(C277,8),4))&amp;BIN2HEX(LEFT(RIGHT(C277,4),4))</f>
        <v>#NUM!</v>
      </c>
      <c r="R277" s="324">
        <v>7</v>
      </c>
      <c r="S277" s="321"/>
      <c r="T277" s="311"/>
      <c r="U277" s="314"/>
      <c r="V277" s="321"/>
      <c r="W277" s="311"/>
      <c r="X277" s="314"/>
      <c r="Y277" s="314"/>
      <c r="Z277" s="314" t="str">
        <f t="shared" ref="Z277" si="84">BIN2HEX(S277&amp;T277&amp;U277&amp;V277&amp;W277&amp;X277&amp;Y277)</f>
        <v>0</v>
      </c>
      <c r="AA277" s="317"/>
      <c r="AD277" s="58"/>
      <c r="AE277" s="58"/>
      <c r="AF277" s="58"/>
      <c r="AG277" s="58"/>
    </row>
    <row r="278" spans="1:34">
      <c r="A278" s="54" t="s">
        <v>77</v>
      </c>
      <c r="B278" s="54">
        <v>1</v>
      </c>
      <c r="C278" s="51" t="s">
        <v>141</v>
      </c>
      <c r="D278" s="49" t="s">
        <v>7</v>
      </c>
      <c r="E278" s="49" t="s">
        <v>77</v>
      </c>
      <c r="F278" s="49" t="s">
        <v>68</v>
      </c>
      <c r="G278" s="49" t="s">
        <v>36</v>
      </c>
      <c r="H278" s="49" t="s">
        <v>6</v>
      </c>
      <c r="I278" s="50"/>
      <c r="Q278" s="52"/>
      <c r="R278" s="324"/>
      <c r="S278" s="322"/>
      <c r="T278" s="312"/>
      <c r="U278" s="315"/>
      <c r="V278" s="322"/>
      <c r="W278" s="312"/>
      <c r="X278" s="315"/>
      <c r="Y278" s="315"/>
      <c r="Z278" s="315"/>
      <c r="AA278" s="318"/>
      <c r="AD278" s="58">
        <f>BIN2DEC($AA277)*3</f>
        <v>0</v>
      </c>
      <c r="AE278" s="58">
        <f>ABS(BIN2DEC($U277)*3)</f>
        <v>0</v>
      </c>
      <c r="AF278" s="58">
        <f>ABS( BIN2DEC(V277)*3-BIN2DEC(Z277))</f>
        <v>0</v>
      </c>
      <c r="AG278" s="58">
        <f>BIN2DEC(X277&amp;Y277)+BIN2DEC(W277)*3</f>
        <v>0</v>
      </c>
      <c r="AH278">
        <f>AD278+AE278*4+AF278*16</f>
        <v>0</v>
      </c>
    </row>
    <row r="279" spans="1:34" ht="129.6">
      <c r="A279" s="54" t="s">
        <v>70</v>
      </c>
      <c r="B279" s="54">
        <v>3</v>
      </c>
      <c r="C279" s="51" t="s">
        <v>141</v>
      </c>
      <c r="D279" s="49" t="s">
        <v>81</v>
      </c>
      <c r="E279" s="49" t="s">
        <v>80</v>
      </c>
      <c r="F279" s="49" t="s">
        <v>68</v>
      </c>
      <c r="G279" s="49" t="s">
        <v>36</v>
      </c>
      <c r="H279" s="49" t="s">
        <v>6</v>
      </c>
      <c r="I279" s="50"/>
      <c r="Q279" s="52"/>
      <c r="R279" s="324"/>
      <c r="S279" s="322"/>
      <c r="T279" s="312"/>
      <c r="U279" s="315"/>
      <c r="V279" s="322"/>
      <c r="W279" s="312"/>
      <c r="X279" s="315"/>
      <c r="Y279" s="315"/>
      <c r="Z279" s="315"/>
      <c r="AA279" s="318"/>
      <c r="AD279" s="58">
        <f>BIN2DEC($AA277)*3</f>
        <v>0</v>
      </c>
      <c r="AE279" s="58">
        <f>ABS(BIN2DEC($U277)*3-1)</f>
        <v>1</v>
      </c>
      <c r="AF279" s="58">
        <f>ABS( BIN2DEC(V277)*3-BIN2DEC(Z277))</f>
        <v>0</v>
      </c>
      <c r="AG279" s="58">
        <f>BIN2DEC(X277&amp;Y277)+BIN2DEC(W277)*3</f>
        <v>0</v>
      </c>
      <c r="AH279">
        <f t="shared" ref="AH279:AH281" si="85">AD279+AE279*4+AF279*16</f>
        <v>4</v>
      </c>
    </row>
    <row r="280" spans="1:34">
      <c r="A280" s="54" t="s">
        <v>71</v>
      </c>
      <c r="B280" s="54">
        <v>1</v>
      </c>
      <c r="C280" s="51" t="s">
        <v>141</v>
      </c>
      <c r="D280" s="49" t="s">
        <v>7</v>
      </c>
      <c r="E280" s="49" t="s">
        <v>73</v>
      </c>
      <c r="F280" s="49" t="s">
        <v>68</v>
      </c>
      <c r="G280" s="49" t="s">
        <v>36</v>
      </c>
      <c r="H280" s="49" t="s">
        <v>6</v>
      </c>
      <c r="I280" s="50"/>
      <c r="Q280" s="52"/>
      <c r="R280" s="324"/>
      <c r="S280" s="322"/>
      <c r="T280" s="312"/>
      <c r="U280" s="315"/>
      <c r="V280" s="322"/>
      <c r="W280" s="312"/>
      <c r="X280" s="315"/>
      <c r="Y280" s="315"/>
      <c r="Z280" s="315"/>
      <c r="AA280" s="318"/>
      <c r="AD280" s="58">
        <f>ABS(BIN2DEC($AA277)*3-2)</f>
        <v>2</v>
      </c>
      <c r="AE280" s="58">
        <f>ABS(BIN2DEC($U277)*3)</f>
        <v>0</v>
      </c>
      <c r="AF280" s="58">
        <f>ABS( BIN2DEC(V277)*3-BIN2DEC(Z277))</f>
        <v>0</v>
      </c>
      <c r="AG280" s="58">
        <f>BIN2DEC(X277&amp;Y277)+BIN2DEC(W277)*3</f>
        <v>0</v>
      </c>
      <c r="AH280">
        <f t="shared" si="85"/>
        <v>2</v>
      </c>
    </row>
    <row r="281" spans="1:34" ht="15" thickBot="1">
      <c r="A281" s="54" t="s">
        <v>72</v>
      </c>
      <c r="B281" s="54">
        <v>1</v>
      </c>
      <c r="C281" s="51" t="s">
        <v>141</v>
      </c>
      <c r="D281" s="49" t="s">
        <v>7</v>
      </c>
      <c r="E281" s="49" t="s">
        <v>74</v>
      </c>
      <c r="F281" s="49" t="s">
        <v>68</v>
      </c>
      <c r="G281" s="49" t="s">
        <v>36</v>
      </c>
      <c r="H281" s="49" t="s">
        <v>6</v>
      </c>
      <c r="I281" s="50"/>
      <c r="Q281" s="52"/>
      <c r="R281" s="324"/>
      <c r="S281" s="323"/>
      <c r="T281" s="313"/>
      <c r="U281" s="316"/>
      <c r="V281" s="323"/>
      <c r="W281" s="313"/>
      <c r="X281" s="316"/>
      <c r="Y281" s="316"/>
      <c r="Z281" s="316"/>
      <c r="AA281" s="319"/>
      <c r="AD281" s="58">
        <f>ABS(BIN2DEC($AA277)*3-2)</f>
        <v>2</v>
      </c>
      <c r="AE281" s="58">
        <f>ABS(BIN2DEC($U277)*3-1)</f>
        <v>1</v>
      </c>
      <c r="AF281" s="58">
        <f>ABS( BIN2DEC(V277)*3-BIN2DEC(Z277))</f>
        <v>0</v>
      </c>
      <c r="AG281" s="58">
        <f>BIN2DEC(X277&amp;Y277)+BIN2DEC(W277)*3</f>
        <v>0</v>
      </c>
      <c r="AH281">
        <f t="shared" si="85"/>
        <v>6</v>
      </c>
    </row>
    <row r="282" spans="1:34">
      <c r="A282" s="54">
        <f>AA282</f>
        <v>0</v>
      </c>
      <c r="B282" s="54">
        <v>5</v>
      </c>
      <c r="C282" s="48" t="str">
        <f>IF(B282&gt;1,(23)&amp;":"&amp;(23-B282+1),(23-B282+1)&amp;":"&amp;(23-B282+1))</f>
        <v>23:19</v>
      </c>
      <c r="D282" s="49" t="s">
        <v>78</v>
      </c>
      <c r="E282" s="49" t="s">
        <v>69</v>
      </c>
      <c r="F282" s="49" t="s">
        <v>68</v>
      </c>
      <c r="G282" s="49" t="s">
        <v>36</v>
      </c>
      <c r="H282" s="49" t="s">
        <v>6</v>
      </c>
      <c r="I282" s="50"/>
      <c r="L282" t="str">
        <f>DEC2HEX(_xlfn.BITLSHIFT(HEX2DEC(P282),2))</f>
        <v>0</v>
      </c>
      <c r="N282">
        <v>2</v>
      </c>
      <c r="P282" t="str">
        <f>Z282</f>
        <v>0</v>
      </c>
      <c r="Q282" s="52" t="e">
        <f>BIN2HEX(LEFT(RIGHT(C282,32),4))&amp;BIN2HEX(LEFT(RIGHT(C282,28),4))&amp;BIN2HEX(LEFT(RIGHT(C282,24),4))&amp;BIN2HEX(LEFT(RIGHT(C282,20),4))&amp;BIN2HEX(LEFT(RIGHT(C282,16),4))&amp;BIN2HEX(LEFT(RIGHT(C282,12),4))&amp;BIN2HEX(LEFT(RIGHT(C282,8),4))&amp;BIN2HEX(LEFT(RIGHT(C282,4),4))</f>
        <v>#NUM!</v>
      </c>
      <c r="R282" s="324">
        <v>8</v>
      </c>
      <c r="S282" s="321"/>
      <c r="T282" s="311"/>
      <c r="U282" s="314"/>
      <c r="V282" s="321"/>
      <c r="W282" s="311"/>
      <c r="X282" s="314"/>
      <c r="Y282" s="314"/>
      <c r="Z282" s="314" t="str">
        <f t="shared" ref="Z282" si="86">BIN2HEX(S282&amp;T282&amp;U282&amp;V282&amp;W282&amp;X282&amp;Y282)</f>
        <v>0</v>
      </c>
      <c r="AA282" s="317"/>
      <c r="AD282" s="58"/>
      <c r="AE282" s="58"/>
      <c r="AF282" s="58"/>
      <c r="AG282" s="58"/>
    </row>
    <row r="283" spans="1:34">
      <c r="A283" s="54" t="s">
        <v>77</v>
      </c>
      <c r="B283" s="54">
        <v>1</v>
      </c>
      <c r="C283" s="51" t="s">
        <v>141</v>
      </c>
      <c r="D283" s="49" t="s">
        <v>7</v>
      </c>
      <c r="E283" s="49" t="s">
        <v>77</v>
      </c>
      <c r="F283" s="49" t="s">
        <v>68</v>
      </c>
      <c r="G283" s="49" t="s">
        <v>36</v>
      </c>
      <c r="H283" s="49" t="s">
        <v>6</v>
      </c>
      <c r="I283" s="50"/>
      <c r="Q283" s="52"/>
      <c r="R283" s="324"/>
      <c r="S283" s="322"/>
      <c r="T283" s="312"/>
      <c r="U283" s="315"/>
      <c r="V283" s="322"/>
      <c r="W283" s="312"/>
      <c r="X283" s="315"/>
      <c r="Y283" s="315"/>
      <c r="Z283" s="315"/>
      <c r="AA283" s="318"/>
      <c r="AD283" s="58">
        <f>BIN2DEC($AA282)*3</f>
        <v>0</v>
      </c>
      <c r="AE283" s="58">
        <f>ABS(BIN2DEC($U282)*3)</f>
        <v>0</v>
      </c>
      <c r="AF283" s="58">
        <f>ABS( BIN2DEC(V282)*3-BIN2DEC(Z282))</f>
        <v>0</v>
      </c>
      <c r="AG283" s="58">
        <f>BIN2DEC(X282&amp;Y282)+BIN2DEC(W282)*3</f>
        <v>0</v>
      </c>
      <c r="AH283">
        <f>AD283+AE283*4+AF283*16</f>
        <v>0</v>
      </c>
    </row>
    <row r="284" spans="1:34" ht="129.6">
      <c r="A284" s="54" t="s">
        <v>70</v>
      </c>
      <c r="B284" s="54">
        <v>3</v>
      </c>
      <c r="C284" s="51" t="s">
        <v>141</v>
      </c>
      <c r="D284" s="49" t="s">
        <v>81</v>
      </c>
      <c r="E284" s="49" t="s">
        <v>80</v>
      </c>
      <c r="F284" s="49" t="s">
        <v>68</v>
      </c>
      <c r="G284" s="49" t="s">
        <v>36</v>
      </c>
      <c r="H284" s="49" t="s">
        <v>6</v>
      </c>
      <c r="I284" s="50"/>
      <c r="Q284" s="52"/>
      <c r="R284" s="324"/>
      <c r="S284" s="322"/>
      <c r="T284" s="312"/>
      <c r="U284" s="315"/>
      <c r="V284" s="322"/>
      <c r="W284" s="312"/>
      <c r="X284" s="315"/>
      <c r="Y284" s="315"/>
      <c r="Z284" s="315"/>
      <c r="AA284" s="318"/>
      <c r="AD284" s="58">
        <f>BIN2DEC($AA282)*3</f>
        <v>0</v>
      </c>
      <c r="AE284" s="58">
        <f>ABS(BIN2DEC($U282)*3-1)</f>
        <v>1</v>
      </c>
      <c r="AF284" s="58">
        <f>ABS( BIN2DEC(V282)*3-BIN2DEC(Z282))</f>
        <v>0</v>
      </c>
      <c r="AG284" s="58">
        <f>BIN2DEC(X282&amp;Y282)+BIN2DEC(W282)*3</f>
        <v>0</v>
      </c>
      <c r="AH284">
        <f t="shared" ref="AH284:AH286" si="87">AD284+AE284*4+AF284*16</f>
        <v>4</v>
      </c>
    </row>
    <row r="285" spans="1:34">
      <c r="A285" s="54" t="s">
        <v>71</v>
      </c>
      <c r="B285" s="54">
        <v>1</v>
      </c>
      <c r="C285" s="51" t="s">
        <v>141</v>
      </c>
      <c r="D285" s="49" t="s">
        <v>7</v>
      </c>
      <c r="E285" s="49" t="s">
        <v>73</v>
      </c>
      <c r="F285" s="49" t="s">
        <v>68</v>
      </c>
      <c r="G285" s="49" t="s">
        <v>36</v>
      </c>
      <c r="H285" s="49" t="s">
        <v>6</v>
      </c>
      <c r="I285" s="50"/>
      <c r="Q285" s="52"/>
      <c r="R285" s="324"/>
      <c r="S285" s="322"/>
      <c r="T285" s="312"/>
      <c r="U285" s="315"/>
      <c r="V285" s="322"/>
      <c r="W285" s="312"/>
      <c r="X285" s="315"/>
      <c r="Y285" s="315"/>
      <c r="Z285" s="315"/>
      <c r="AA285" s="318"/>
      <c r="AD285" s="58">
        <f>ABS(BIN2DEC($AA282)*3-2)</f>
        <v>2</v>
      </c>
      <c r="AE285" s="58">
        <f>ABS(BIN2DEC($U282)*3)</f>
        <v>0</v>
      </c>
      <c r="AF285" s="58">
        <f>ABS( BIN2DEC(V282)*3-BIN2DEC(Z282))</f>
        <v>0</v>
      </c>
      <c r="AG285" s="58">
        <f>BIN2DEC(X282&amp;Y282)+BIN2DEC(W282)*3</f>
        <v>0</v>
      </c>
      <c r="AH285">
        <f t="shared" si="87"/>
        <v>2</v>
      </c>
    </row>
    <row r="286" spans="1:34" ht="15" thickBot="1">
      <c r="A286" s="54" t="s">
        <v>72</v>
      </c>
      <c r="B286" s="54">
        <v>1</v>
      </c>
      <c r="C286" s="51" t="s">
        <v>141</v>
      </c>
      <c r="D286" s="49" t="s">
        <v>7</v>
      </c>
      <c r="E286" s="49" t="s">
        <v>74</v>
      </c>
      <c r="F286" s="49" t="s">
        <v>68</v>
      </c>
      <c r="G286" s="49" t="s">
        <v>36</v>
      </c>
      <c r="H286" s="49" t="s">
        <v>6</v>
      </c>
      <c r="I286" s="50"/>
      <c r="Q286" s="52"/>
      <c r="R286" s="324"/>
      <c r="S286" s="323"/>
      <c r="T286" s="313"/>
      <c r="U286" s="316"/>
      <c r="V286" s="323"/>
      <c r="W286" s="313"/>
      <c r="X286" s="316"/>
      <c r="Y286" s="316"/>
      <c r="Z286" s="316"/>
      <c r="AA286" s="319"/>
      <c r="AD286" s="58">
        <f>ABS(BIN2DEC($AA282)*3-2)</f>
        <v>2</v>
      </c>
      <c r="AE286" s="58">
        <f>ABS(BIN2DEC($U282)*3-1)</f>
        <v>1</v>
      </c>
      <c r="AF286" s="58">
        <f>ABS( BIN2DEC(V282)*3-BIN2DEC(Z282))</f>
        <v>0</v>
      </c>
      <c r="AG286" s="58">
        <f>BIN2DEC(X282&amp;Y282)+BIN2DEC(W282)*3</f>
        <v>0</v>
      </c>
      <c r="AH286">
        <f t="shared" si="87"/>
        <v>6</v>
      </c>
    </row>
    <row r="287" spans="1:34">
      <c r="A287" s="54">
        <f>AA287</f>
        <v>0</v>
      </c>
      <c r="B287" s="54">
        <v>5</v>
      </c>
      <c r="C287" s="48" t="str">
        <f>IF(B287&gt;1,(23)&amp;":"&amp;(23-B287+1),(23-B287+1)&amp;":"&amp;(23-B287+1))</f>
        <v>23:19</v>
      </c>
      <c r="D287" s="49" t="s">
        <v>78</v>
      </c>
      <c r="E287" s="49" t="s">
        <v>69</v>
      </c>
      <c r="F287" s="49" t="s">
        <v>68</v>
      </c>
      <c r="G287" s="49" t="s">
        <v>36</v>
      </c>
      <c r="H287" s="49" t="s">
        <v>6</v>
      </c>
      <c r="I287" s="50"/>
      <c r="L287" t="str">
        <f>DEC2HEX(_xlfn.BITLSHIFT(HEX2DEC(P287),2))</f>
        <v>0</v>
      </c>
      <c r="N287">
        <v>2</v>
      </c>
      <c r="P287" t="str">
        <f>Z287</f>
        <v>0</v>
      </c>
      <c r="Q287" s="52" t="e">
        <f>BIN2HEX(LEFT(RIGHT(C287,32),4))&amp;BIN2HEX(LEFT(RIGHT(C287,28),4))&amp;BIN2HEX(LEFT(RIGHT(C287,24),4))&amp;BIN2HEX(LEFT(RIGHT(C287,20),4))&amp;BIN2HEX(LEFT(RIGHT(C287,16),4))&amp;BIN2HEX(LEFT(RIGHT(C287,12),4))&amp;BIN2HEX(LEFT(RIGHT(C287,8),4))&amp;BIN2HEX(LEFT(RIGHT(C287,4),4))</f>
        <v>#NUM!</v>
      </c>
      <c r="R287" s="324">
        <v>9</v>
      </c>
      <c r="S287" s="321"/>
      <c r="T287" s="311"/>
      <c r="U287" s="314"/>
      <c r="V287" s="321"/>
      <c r="W287" s="311"/>
      <c r="X287" s="314"/>
      <c r="Y287" s="314"/>
      <c r="Z287" s="314" t="str">
        <f t="shared" ref="Z287" si="88">BIN2HEX(S287&amp;T287&amp;U287&amp;V287&amp;W287&amp;X287&amp;Y287)</f>
        <v>0</v>
      </c>
      <c r="AA287" s="317"/>
      <c r="AD287" s="58"/>
      <c r="AE287" s="58"/>
      <c r="AF287" s="58"/>
      <c r="AG287" s="58"/>
    </row>
    <row r="288" spans="1:34">
      <c r="A288" s="54" t="s">
        <v>77</v>
      </c>
      <c r="B288" s="54">
        <v>1</v>
      </c>
      <c r="C288" s="51" t="s">
        <v>141</v>
      </c>
      <c r="D288" s="49" t="s">
        <v>7</v>
      </c>
      <c r="E288" s="49" t="s">
        <v>77</v>
      </c>
      <c r="F288" s="49" t="s">
        <v>68</v>
      </c>
      <c r="G288" s="49" t="s">
        <v>36</v>
      </c>
      <c r="H288" s="49" t="s">
        <v>6</v>
      </c>
      <c r="I288" s="50"/>
      <c r="Q288" s="52"/>
      <c r="R288" s="324"/>
      <c r="S288" s="322"/>
      <c r="T288" s="312"/>
      <c r="U288" s="315"/>
      <c r="V288" s="322"/>
      <c r="W288" s="312"/>
      <c r="X288" s="315"/>
      <c r="Y288" s="315"/>
      <c r="Z288" s="315"/>
      <c r="AA288" s="318"/>
      <c r="AD288" s="58">
        <f>BIN2DEC($AA287)*3</f>
        <v>0</v>
      </c>
      <c r="AE288" s="58">
        <f>ABS(BIN2DEC($U287)*3)</f>
        <v>0</v>
      </c>
      <c r="AF288" s="58">
        <f>ABS( BIN2DEC(V287)*3-BIN2DEC(Z287))</f>
        <v>0</v>
      </c>
      <c r="AG288" s="58">
        <f>BIN2DEC(X287&amp;Y287)+BIN2DEC(W287)*3</f>
        <v>0</v>
      </c>
      <c r="AH288">
        <f>AD288+AE288*4+AF288*16</f>
        <v>0</v>
      </c>
    </row>
    <row r="289" spans="1:34" ht="129.6">
      <c r="A289" s="54" t="s">
        <v>70</v>
      </c>
      <c r="B289" s="54">
        <v>3</v>
      </c>
      <c r="C289" s="51" t="s">
        <v>141</v>
      </c>
      <c r="D289" s="49" t="s">
        <v>81</v>
      </c>
      <c r="E289" s="49" t="s">
        <v>80</v>
      </c>
      <c r="F289" s="49" t="s">
        <v>68</v>
      </c>
      <c r="G289" s="49" t="s">
        <v>36</v>
      </c>
      <c r="H289" s="49" t="s">
        <v>6</v>
      </c>
      <c r="I289" s="50"/>
      <c r="Q289" s="52"/>
      <c r="R289" s="324"/>
      <c r="S289" s="322"/>
      <c r="T289" s="312"/>
      <c r="U289" s="315"/>
      <c r="V289" s="322"/>
      <c r="W289" s="312"/>
      <c r="X289" s="315"/>
      <c r="Y289" s="315"/>
      <c r="Z289" s="315"/>
      <c r="AA289" s="318"/>
      <c r="AD289" s="58">
        <f>BIN2DEC($AA287)*3</f>
        <v>0</v>
      </c>
      <c r="AE289" s="58">
        <f>ABS(BIN2DEC($U287)*3-1)</f>
        <v>1</v>
      </c>
      <c r="AF289" s="58">
        <f>ABS( BIN2DEC(V287)*3-BIN2DEC(Z287))</f>
        <v>0</v>
      </c>
      <c r="AG289" s="58">
        <f>BIN2DEC(X287&amp;Y287)+BIN2DEC(W287)*3</f>
        <v>0</v>
      </c>
      <c r="AH289">
        <f t="shared" ref="AH289:AH291" si="89">AD289+AE289*4+AF289*16</f>
        <v>4</v>
      </c>
    </row>
    <row r="290" spans="1:34">
      <c r="A290" s="54" t="s">
        <v>71</v>
      </c>
      <c r="B290" s="54">
        <v>1</v>
      </c>
      <c r="C290" s="51" t="s">
        <v>141</v>
      </c>
      <c r="D290" s="49" t="s">
        <v>7</v>
      </c>
      <c r="E290" s="49" t="s">
        <v>73</v>
      </c>
      <c r="F290" s="49" t="s">
        <v>68</v>
      </c>
      <c r="G290" s="49" t="s">
        <v>36</v>
      </c>
      <c r="H290" s="49" t="s">
        <v>6</v>
      </c>
      <c r="I290" s="50"/>
      <c r="Q290" s="52"/>
      <c r="R290" s="324"/>
      <c r="S290" s="322"/>
      <c r="T290" s="312"/>
      <c r="U290" s="315"/>
      <c r="V290" s="322"/>
      <c r="W290" s="312"/>
      <c r="X290" s="315"/>
      <c r="Y290" s="315"/>
      <c r="Z290" s="315"/>
      <c r="AA290" s="318"/>
      <c r="AD290" s="58">
        <f>ABS(BIN2DEC($AA287)*3-2)</f>
        <v>2</v>
      </c>
      <c r="AE290" s="58">
        <f>ABS(BIN2DEC($U287)*3)</f>
        <v>0</v>
      </c>
      <c r="AF290" s="58">
        <f>ABS( BIN2DEC(V287)*3-BIN2DEC(Z287))</f>
        <v>0</v>
      </c>
      <c r="AG290" s="58">
        <f>BIN2DEC(X287&amp;Y287)+BIN2DEC(W287)*3</f>
        <v>0</v>
      </c>
      <c r="AH290">
        <f t="shared" si="89"/>
        <v>2</v>
      </c>
    </row>
    <row r="291" spans="1:34" ht="15" thickBot="1">
      <c r="A291" s="54" t="s">
        <v>72</v>
      </c>
      <c r="B291" s="54">
        <v>1</v>
      </c>
      <c r="C291" s="51" t="s">
        <v>141</v>
      </c>
      <c r="D291" s="49" t="s">
        <v>7</v>
      </c>
      <c r="E291" s="49" t="s">
        <v>74</v>
      </c>
      <c r="F291" s="49" t="s">
        <v>68</v>
      </c>
      <c r="G291" s="49" t="s">
        <v>36</v>
      </c>
      <c r="H291" s="49" t="s">
        <v>6</v>
      </c>
      <c r="I291" s="50"/>
      <c r="Q291" s="52"/>
      <c r="R291" s="324"/>
      <c r="S291" s="323"/>
      <c r="T291" s="313"/>
      <c r="U291" s="316"/>
      <c r="V291" s="323"/>
      <c r="W291" s="313"/>
      <c r="X291" s="316"/>
      <c r="Y291" s="316"/>
      <c r="Z291" s="316"/>
      <c r="AA291" s="319"/>
      <c r="AD291" s="58">
        <f>ABS(BIN2DEC($AA287)*3-2)</f>
        <v>2</v>
      </c>
      <c r="AE291" s="58">
        <f>ABS(BIN2DEC($U287)*3-1)</f>
        <v>1</v>
      </c>
      <c r="AF291" s="58">
        <f>ABS( BIN2DEC(V287)*3-BIN2DEC(Z287))</f>
        <v>0</v>
      </c>
      <c r="AG291" s="58">
        <f>BIN2DEC(X287&amp;Y287)+BIN2DEC(W287)*3</f>
        <v>0</v>
      </c>
      <c r="AH291">
        <f t="shared" si="89"/>
        <v>6</v>
      </c>
    </row>
    <row r="292" spans="1:34">
      <c r="A292" s="54">
        <f>AA292</f>
        <v>0</v>
      </c>
      <c r="B292" s="54">
        <v>5</v>
      </c>
      <c r="C292" s="48" t="str">
        <f>IF(B292&gt;1,(23)&amp;":"&amp;(23-B292+1),(23-B292+1)&amp;":"&amp;(23-B292+1))</f>
        <v>23:19</v>
      </c>
      <c r="D292" s="49" t="s">
        <v>78</v>
      </c>
      <c r="E292" s="49" t="s">
        <v>69</v>
      </c>
      <c r="F292" s="49" t="s">
        <v>68</v>
      </c>
      <c r="G292" s="49" t="s">
        <v>36</v>
      </c>
      <c r="H292" s="49" t="s">
        <v>6</v>
      </c>
      <c r="I292" s="50"/>
      <c r="L292" t="str">
        <f>DEC2HEX(_xlfn.BITLSHIFT(HEX2DEC(P292),2))</f>
        <v>0</v>
      </c>
      <c r="N292">
        <v>2</v>
      </c>
      <c r="P292" t="str">
        <f>Z292</f>
        <v>0</v>
      </c>
      <c r="Q292" s="52" t="e">
        <f>BIN2HEX(LEFT(RIGHT(C292,32),4))&amp;BIN2HEX(LEFT(RIGHT(C292,28),4))&amp;BIN2HEX(LEFT(RIGHT(C292,24),4))&amp;BIN2HEX(LEFT(RIGHT(C292,20),4))&amp;BIN2HEX(LEFT(RIGHT(C292,16),4))&amp;BIN2HEX(LEFT(RIGHT(C292,12),4))&amp;BIN2HEX(LEFT(RIGHT(C292,8),4))&amp;BIN2HEX(LEFT(RIGHT(C292,4),4))</f>
        <v>#NUM!</v>
      </c>
      <c r="R292" s="324">
        <v>10</v>
      </c>
      <c r="S292" s="321"/>
      <c r="T292" s="311"/>
      <c r="U292" s="314"/>
      <c r="V292" s="321"/>
      <c r="W292" s="311"/>
      <c r="X292" s="314"/>
      <c r="Y292" s="314"/>
      <c r="Z292" s="314" t="str">
        <f t="shared" ref="Z292" si="90">BIN2HEX(S292&amp;T292&amp;U292&amp;V292&amp;W292&amp;X292&amp;Y292)</f>
        <v>0</v>
      </c>
      <c r="AA292" s="317"/>
      <c r="AD292" s="58"/>
      <c r="AE292" s="58"/>
      <c r="AF292" s="58"/>
      <c r="AG292" s="58"/>
    </row>
    <row r="293" spans="1:34">
      <c r="A293" s="54" t="s">
        <v>77</v>
      </c>
      <c r="B293" s="54">
        <v>1</v>
      </c>
      <c r="C293" s="51" t="s">
        <v>141</v>
      </c>
      <c r="D293" s="49" t="s">
        <v>7</v>
      </c>
      <c r="E293" s="49" t="s">
        <v>77</v>
      </c>
      <c r="F293" s="49" t="s">
        <v>68</v>
      </c>
      <c r="G293" s="49" t="s">
        <v>36</v>
      </c>
      <c r="H293" s="49" t="s">
        <v>6</v>
      </c>
      <c r="I293" s="50"/>
      <c r="Q293" s="52"/>
      <c r="R293" s="324"/>
      <c r="S293" s="322"/>
      <c r="T293" s="312"/>
      <c r="U293" s="315"/>
      <c r="V293" s="322"/>
      <c r="W293" s="312"/>
      <c r="X293" s="315"/>
      <c r="Y293" s="315"/>
      <c r="Z293" s="315"/>
      <c r="AA293" s="318"/>
      <c r="AD293" s="58">
        <f>BIN2DEC($AA292)*3</f>
        <v>0</v>
      </c>
      <c r="AE293" s="58">
        <f>ABS(BIN2DEC($U292)*3)</f>
        <v>0</v>
      </c>
      <c r="AF293" s="58">
        <f>ABS( BIN2DEC(V292)*3-BIN2DEC(Z292))</f>
        <v>0</v>
      </c>
      <c r="AG293" s="58">
        <f>BIN2DEC(X292&amp;Y292)+BIN2DEC(W292)*3</f>
        <v>0</v>
      </c>
      <c r="AH293">
        <f>AD293+AE293*4+AF293*16</f>
        <v>0</v>
      </c>
    </row>
    <row r="294" spans="1:34" ht="129.6">
      <c r="A294" s="54" t="s">
        <v>70</v>
      </c>
      <c r="B294" s="54">
        <v>3</v>
      </c>
      <c r="C294" s="51" t="s">
        <v>141</v>
      </c>
      <c r="D294" s="49" t="s">
        <v>81</v>
      </c>
      <c r="E294" s="49" t="s">
        <v>80</v>
      </c>
      <c r="F294" s="49" t="s">
        <v>68</v>
      </c>
      <c r="G294" s="49" t="s">
        <v>36</v>
      </c>
      <c r="H294" s="49" t="s">
        <v>6</v>
      </c>
      <c r="I294" s="50"/>
      <c r="Q294" s="52"/>
      <c r="R294" s="324"/>
      <c r="S294" s="322"/>
      <c r="T294" s="312"/>
      <c r="U294" s="315"/>
      <c r="V294" s="322"/>
      <c r="W294" s="312"/>
      <c r="X294" s="315"/>
      <c r="Y294" s="315"/>
      <c r="Z294" s="315"/>
      <c r="AA294" s="318"/>
      <c r="AD294" s="58">
        <f>BIN2DEC($AA292)*3</f>
        <v>0</v>
      </c>
      <c r="AE294" s="58">
        <f>ABS(BIN2DEC($U292)*3-1)</f>
        <v>1</v>
      </c>
      <c r="AF294" s="58">
        <f>ABS( BIN2DEC(V292)*3-BIN2DEC(Z292))</f>
        <v>0</v>
      </c>
      <c r="AG294" s="58">
        <f>BIN2DEC(X292&amp;Y292)+BIN2DEC(W292)*3</f>
        <v>0</v>
      </c>
      <c r="AH294">
        <f t="shared" ref="AH294:AH296" si="91">AD294+AE294*4+AF294*16</f>
        <v>4</v>
      </c>
    </row>
    <row r="295" spans="1:34">
      <c r="A295" s="54" t="s">
        <v>71</v>
      </c>
      <c r="B295" s="54">
        <v>1</v>
      </c>
      <c r="C295" s="51" t="s">
        <v>141</v>
      </c>
      <c r="D295" s="49" t="s">
        <v>7</v>
      </c>
      <c r="E295" s="49" t="s">
        <v>73</v>
      </c>
      <c r="F295" s="49" t="s">
        <v>68</v>
      </c>
      <c r="G295" s="49" t="s">
        <v>36</v>
      </c>
      <c r="H295" s="49" t="s">
        <v>6</v>
      </c>
      <c r="I295" s="50"/>
      <c r="Q295" s="52"/>
      <c r="R295" s="324"/>
      <c r="S295" s="322"/>
      <c r="T295" s="312"/>
      <c r="U295" s="315"/>
      <c r="V295" s="322"/>
      <c r="W295" s="312"/>
      <c r="X295" s="315"/>
      <c r="Y295" s="315"/>
      <c r="Z295" s="315"/>
      <c r="AA295" s="318"/>
      <c r="AD295" s="58">
        <f>ABS(BIN2DEC($AA292)*3-2)</f>
        <v>2</v>
      </c>
      <c r="AE295" s="58">
        <f>ABS(BIN2DEC($U292)*3)</f>
        <v>0</v>
      </c>
      <c r="AF295" s="58">
        <f>ABS( BIN2DEC(V292)*3-BIN2DEC(Z292))</f>
        <v>0</v>
      </c>
      <c r="AG295" s="58">
        <f>BIN2DEC(X292&amp;Y292)+BIN2DEC(W292)*3</f>
        <v>0</v>
      </c>
      <c r="AH295">
        <f t="shared" si="91"/>
        <v>2</v>
      </c>
    </row>
    <row r="296" spans="1:34" ht="15" thickBot="1">
      <c r="A296" s="54" t="s">
        <v>72</v>
      </c>
      <c r="B296" s="54">
        <v>1</v>
      </c>
      <c r="C296" s="51" t="s">
        <v>141</v>
      </c>
      <c r="D296" s="49" t="s">
        <v>7</v>
      </c>
      <c r="E296" s="49" t="s">
        <v>74</v>
      </c>
      <c r="F296" s="49" t="s">
        <v>68</v>
      </c>
      <c r="G296" s="49" t="s">
        <v>36</v>
      </c>
      <c r="H296" s="49" t="s">
        <v>6</v>
      </c>
      <c r="I296" s="50"/>
      <c r="Q296" s="52"/>
      <c r="R296" s="324"/>
      <c r="S296" s="323"/>
      <c r="T296" s="313"/>
      <c r="U296" s="316"/>
      <c r="V296" s="323"/>
      <c r="W296" s="313"/>
      <c r="X296" s="316"/>
      <c r="Y296" s="316"/>
      <c r="Z296" s="316"/>
      <c r="AA296" s="319"/>
      <c r="AD296" s="58">
        <f>ABS(BIN2DEC($AA292)*3-2)</f>
        <v>2</v>
      </c>
      <c r="AE296" s="58">
        <f>ABS(BIN2DEC($U292)*3-1)</f>
        <v>1</v>
      </c>
      <c r="AF296" s="58">
        <f>ABS( BIN2DEC(V292)*3-BIN2DEC(Z292))</f>
        <v>0</v>
      </c>
      <c r="AG296" s="58">
        <f>BIN2DEC(X292&amp;Y292)+BIN2DEC(W292)*3</f>
        <v>0</v>
      </c>
      <c r="AH296">
        <f t="shared" si="91"/>
        <v>6</v>
      </c>
    </row>
    <row r="297" spans="1:34">
      <c r="A297" s="54">
        <f>AA297</f>
        <v>0</v>
      </c>
      <c r="B297" s="54">
        <v>5</v>
      </c>
      <c r="C297" s="48" t="str">
        <f>IF(B297&gt;1,(23)&amp;":"&amp;(23-B297+1),(23-B297+1)&amp;":"&amp;(23-B297+1))</f>
        <v>23:19</v>
      </c>
      <c r="D297" s="49" t="s">
        <v>78</v>
      </c>
      <c r="E297" s="49" t="s">
        <v>69</v>
      </c>
      <c r="F297" s="49" t="s">
        <v>68</v>
      </c>
      <c r="G297" s="49" t="s">
        <v>36</v>
      </c>
      <c r="H297" s="49" t="s">
        <v>6</v>
      </c>
      <c r="I297" s="50"/>
      <c r="L297" t="str">
        <f>DEC2HEX(_xlfn.BITLSHIFT(HEX2DEC(P297),2))</f>
        <v>0</v>
      </c>
      <c r="N297">
        <v>2</v>
      </c>
      <c r="P297" t="str">
        <f>Z297</f>
        <v>0</v>
      </c>
      <c r="Q297" s="52" t="e">
        <f>BIN2HEX(LEFT(RIGHT(C297,32),4))&amp;BIN2HEX(LEFT(RIGHT(C297,28),4))&amp;BIN2HEX(LEFT(RIGHT(C297,24),4))&amp;BIN2HEX(LEFT(RIGHT(C297,20),4))&amp;BIN2HEX(LEFT(RIGHT(C297,16),4))&amp;BIN2HEX(LEFT(RIGHT(C297,12),4))&amp;BIN2HEX(LEFT(RIGHT(C297,8),4))&amp;BIN2HEX(LEFT(RIGHT(C297,4),4))</f>
        <v>#NUM!</v>
      </c>
      <c r="R297" s="324">
        <v>11</v>
      </c>
      <c r="S297" s="321"/>
      <c r="T297" s="311"/>
      <c r="U297" s="314"/>
      <c r="V297" s="321"/>
      <c r="W297" s="311"/>
      <c r="X297" s="314"/>
      <c r="Y297" s="314"/>
      <c r="Z297" s="314" t="str">
        <f t="shared" ref="Z297" si="92">BIN2HEX(S297&amp;T297&amp;U297&amp;V297&amp;W297&amp;X297&amp;Y297)</f>
        <v>0</v>
      </c>
      <c r="AA297" s="317"/>
      <c r="AD297" s="58"/>
      <c r="AE297" s="58"/>
      <c r="AF297" s="58"/>
      <c r="AG297" s="58"/>
    </row>
    <row r="298" spans="1:34">
      <c r="A298" s="54" t="s">
        <v>77</v>
      </c>
      <c r="B298" s="54">
        <v>1</v>
      </c>
      <c r="C298" s="51" t="s">
        <v>141</v>
      </c>
      <c r="D298" s="49" t="s">
        <v>7</v>
      </c>
      <c r="E298" s="49" t="s">
        <v>77</v>
      </c>
      <c r="F298" s="49" t="s">
        <v>68</v>
      </c>
      <c r="G298" s="49" t="s">
        <v>36</v>
      </c>
      <c r="H298" s="49" t="s">
        <v>6</v>
      </c>
      <c r="I298" s="50"/>
      <c r="Q298" s="52"/>
      <c r="R298" s="324"/>
      <c r="S298" s="322"/>
      <c r="T298" s="312"/>
      <c r="U298" s="315"/>
      <c r="V298" s="322"/>
      <c r="W298" s="312"/>
      <c r="X298" s="315"/>
      <c r="Y298" s="315"/>
      <c r="Z298" s="315"/>
      <c r="AA298" s="318"/>
      <c r="AD298" s="58">
        <f>BIN2DEC($AA297)*3</f>
        <v>0</v>
      </c>
      <c r="AE298" s="58">
        <f>ABS(BIN2DEC($U297)*3)</f>
        <v>0</v>
      </c>
      <c r="AF298" s="58">
        <f>ABS( BIN2DEC(V297)*3-BIN2DEC(Z297))</f>
        <v>0</v>
      </c>
      <c r="AG298" s="58">
        <f>BIN2DEC(X297&amp;Y297)+BIN2DEC(W297)*3</f>
        <v>0</v>
      </c>
      <c r="AH298">
        <f>AD298+AE298*4+AF298*16</f>
        <v>0</v>
      </c>
    </row>
    <row r="299" spans="1:34" ht="129.6">
      <c r="A299" s="54" t="s">
        <v>70</v>
      </c>
      <c r="B299" s="54">
        <v>3</v>
      </c>
      <c r="C299" s="51" t="s">
        <v>141</v>
      </c>
      <c r="D299" s="49" t="s">
        <v>81</v>
      </c>
      <c r="E299" s="49" t="s">
        <v>80</v>
      </c>
      <c r="F299" s="49" t="s">
        <v>68</v>
      </c>
      <c r="G299" s="49" t="s">
        <v>36</v>
      </c>
      <c r="H299" s="49" t="s">
        <v>6</v>
      </c>
      <c r="I299" s="50"/>
      <c r="Q299" s="52"/>
      <c r="R299" s="324"/>
      <c r="S299" s="322"/>
      <c r="T299" s="312"/>
      <c r="U299" s="315"/>
      <c r="V299" s="322"/>
      <c r="W299" s="312"/>
      <c r="X299" s="315"/>
      <c r="Y299" s="315"/>
      <c r="Z299" s="315"/>
      <c r="AA299" s="318"/>
      <c r="AD299" s="58">
        <f>BIN2DEC($AA297)*3</f>
        <v>0</v>
      </c>
      <c r="AE299" s="58">
        <f>ABS(BIN2DEC($U297)*3-1)</f>
        <v>1</v>
      </c>
      <c r="AF299" s="58">
        <f>ABS( BIN2DEC(V297)*3-BIN2DEC(Z297))</f>
        <v>0</v>
      </c>
      <c r="AG299" s="58">
        <f>BIN2DEC(X297&amp;Y297)+BIN2DEC(W297)*3</f>
        <v>0</v>
      </c>
      <c r="AH299">
        <f t="shared" ref="AH299:AH301" si="93">AD299+AE299*4+AF299*16</f>
        <v>4</v>
      </c>
    </row>
    <row r="300" spans="1:34">
      <c r="A300" s="54" t="s">
        <v>71</v>
      </c>
      <c r="B300" s="54">
        <v>1</v>
      </c>
      <c r="C300" s="51" t="s">
        <v>141</v>
      </c>
      <c r="D300" s="49" t="s">
        <v>7</v>
      </c>
      <c r="E300" s="49" t="s">
        <v>73</v>
      </c>
      <c r="F300" s="49" t="s">
        <v>68</v>
      </c>
      <c r="G300" s="49" t="s">
        <v>36</v>
      </c>
      <c r="H300" s="49" t="s">
        <v>6</v>
      </c>
      <c r="I300" s="50"/>
      <c r="Q300" s="52"/>
      <c r="R300" s="324"/>
      <c r="S300" s="322"/>
      <c r="T300" s="312"/>
      <c r="U300" s="315"/>
      <c r="V300" s="322"/>
      <c r="W300" s="312"/>
      <c r="X300" s="315"/>
      <c r="Y300" s="315"/>
      <c r="Z300" s="315"/>
      <c r="AA300" s="318"/>
      <c r="AD300" s="58">
        <f>ABS(BIN2DEC($AA297)*3-2)</f>
        <v>2</v>
      </c>
      <c r="AE300" s="58">
        <f>ABS(BIN2DEC($U297)*3)</f>
        <v>0</v>
      </c>
      <c r="AF300" s="58">
        <f>ABS( BIN2DEC(V297)*3-BIN2DEC(Z297))</f>
        <v>0</v>
      </c>
      <c r="AG300" s="58">
        <f>BIN2DEC(X297&amp;Y297)+BIN2DEC(W297)*3</f>
        <v>0</v>
      </c>
      <c r="AH300">
        <f t="shared" si="93"/>
        <v>2</v>
      </c>
    </row>
    <row r="301" spans="1:34" ht="15" thickBot="1">
      <c r="A301" s="54" t="s">
        <v>72</v>
      </c>
      <c r="B301" s="54">
        <v>1</v>
      </c>
      <c r="C301" s="51" t="s">
        <v>141</v>
      </c>
      <c r="D301" s="49" t="s">
        <v>7</v>
      </c>
      <c r="E301" s="49" t="s">
        <v>74</v>
      </c>
      <c r="F301" s="49" t="s">
        <v>68</v>
      </c>
      <c r="G301" s="49" t="s">
        <v>36</v>
      </c>
      <c r="H301" s="49" t="s">
        <v>6</v>
      </c>
      <c r="I301" s="50"/>
      <c r="Q301" s="52"/>
      <c r="R301" s="324"/>
      <c r="S301" s="323"/>
      <c r="T301" s="313"/>
      <c r="U301" s="316"/>
      <c r="V301" s="323"/>
      <c r="W301" s="313"/>
      <c r="X301" s="316"/>
      <c r="Y301" s="316"/>
      <c r="Z301" s="316"/>
      <c r="AA301" s="319"/>
      <c r="AD301" s="58">
        <f>ABS(BIN2DEC($AA297)*3-2)</f>
        <v>2</v>
      </c>
      <c r="AE301" s="58">
        <f>ABS(BIN2DEC($U297)*3-1)</f>
        <v>1</v>
      </c>
      <c r="AF301" s="58">
        <f>ABS( BIN2DEC(V297)*3-BIN2DEC(Z297))</f>
        <v>0</v>
      </c>
      <c r="AG301" s="58">
        <f>BIN2DEC(X297&amp;Y297)+BIN2DEC(W297)*3</f>
        <v>0</v>
      </c>
      <c r="AH301">
        <f t="shared" si="93"/>
        <v>6</v>
      </c>
    </row>
    <row r="302" spans="1:34">
      <c r="A302" s="54">
        <f>AA302</f>
        <v>0</v>
      </c>
      <c r="B302" s="54">
        <v>5</v>
      </c>
      <c r="C302" s="48" t="str">
        <f>IF(B302&gt;1,(23)&amp;":"&amp;(23-B302+1),(23-B302+1)&amp;":"&amp;(23-B302+1))</f>
        <v>23:19</v>
      </c>
      <c r="D302" s="49" t="s">
        <v>78</v>
      </c>
      <c r="E302" s="49" t="s">
        <v>69</v>
      </c>
      <c r="F302" s="49" t="s">
        <v>68</v>
      </c>
      <c r="G302" s="49" t="s">
        <v>36</v>
      </c>
      <c r="H302" s="49" t="s">
        <v>6</v>
      </c>
      <c r="I302" s="50"/>
      <c r="L302" t="str">
        <f>DEC2HEX(_xlfn.BITLSHIFT(HEX2DEC(P302),2))</f>
        <v>0</v>
      </c>
      <c r="N302">
        <v>2</v>
      </c>
      <c r="P302" t="str">
        <f>Z302</f>
        <v>0</v>
      </c>
      <c r="Q302" s="52" t="e">
        <f>BIN2HEX(LEFT(RIGHT(C302,32),4))&amp;BIN2HEX(LEFT(RIGHT(C302,28),4))&amp;BIN2HEX(LEFT(RIGHT(C302,24),4))&amp;BIN2HEX(LEFT(RIGHT(C302,20),4))&amp;BIN2HEX(LEFT(RIGHT(C302,16),4))&amp;BIN2HEX(LEFT(RIGHT(C302,12),4))&amp;BIN2HEX(LEFT(RIGHT(C302,8),4))&amp;BIN2HEX(LEFT(RIGHT(C302,4),4))</f>
        <v>#NUM!</v>
      </c>
      <c r="R302" s="324">
        <v>12</v>
      </c>
      <c r="S302" s="321"/>
      <c r="T302" s="311"/>
      <c r="U302" s="314"/>
      <c r="V302" s="321"/>
      <c r="W302" s="311"/>
      <c r="X302" s="314"/>
      <c r="Y302" s="314"/>
      <c r="Z302" s="314" t="str">
        <f t="shared" ref="Z302" si="94">BIN2HEX(S302&amp;T302&amp;U302&amp;V302&amp;W302&amp;X302&amp;Y302)</f>
        <v>0</v>
      </c>
      <c r="AA302" s="317"/>
      <c r="AD302" s="58"/>
      <c r="AE302" s="58"/>
      <c r="AF302" s="58"/>
      <c r="AG302" s="58"/>
    </row>
    <row r="303" spans="1:34">
      <c r="A303" s="54" t="s">
        <v>77</v>
      </c>
      <c r="B303" s="54">
        <v>1</v>
      </c>
      <c r="C303" s="51" t="s">
        <v>141</v>
      </c>
      <c r="D303" s="49" t="s">
        <v>7</v>
      </c>
      <c r="E303" s="49" t="s">
        <v>77</v>
      </c>
      <c r="F303" s="49" t="s">
        <v>68</v>
      </c>
      <c r="G303" s="49" t="s">
        <v>36</v>
      </c>
      <c r="H303" s="49" t="s">
        <v>6</v>
      </c>
      <c r="I303" s="50"/>
      <c r="Q303" s="52"/>
      <c r="R303" s="324"/>
      <c r="S303" s="322"/>
      <c r="T303" s="312"/>
      <c r="U303" s="315"/>
      <c r="V303" s="322"/>
      <c r="W303" s="312"/>
      <c r="X303" s="315"/>
      <c r="Y303" s="315"/>
      <c r="Z303" s="315"/>
      <c r="AA303" s="318"/>
      <c r="AD303" s="58">
        <f>BIN2DEC($AA302)*3</f>
        <v>0</v>
      </c>
      <c r="AE303" s="58">
        <f>ABS(BIN2DEC($U302)*3)</f>
        <v>0</v>
      </c>
      <c r="AF303" s="58">
        <f>ABS( BIN2DEC(V302)*3-BIN2DEC(Z302))</f>
        <v>0</v>
      </c>
      <c r="AG303" s="58">
        <f>BIN2DEC(X302&amp;Y302)+BIN2DEC(W302)*3</f>
        <v>0</v>
      </c>
      <c r="AH303">
        <f>AD303+AE303*4+AF303*16</f>
        <v>0</v>
      </c>
    </row>
    <row r="304" spans="1:34" ht="129.6">
      <c r="A304" s="54" t="s">
        <v>70</v>
      </c>
      <c r="B304" s="54">
        <v>3</v>
      </c>
      <c r="C304" s="51" t="s">
        <v>141</v>
      </c>
      <c r="D304" s="49" t="s">
        <v>81</v>
      </c>
      <c r="E304" s="49" t="s">
        <v>80</v>
      </c>
      <c r="F304" s="49" t="s">
        <v>68</v>
      </c>
      <c r="G304" s="49" t="s">
        <v>36</v>
      </c>
      <c r="H304" s="49" t="s">
        <v>6</v>
      </c>
      <c r="I304" s="50"/>
      <c r="Q304" s="52"/>
      <c r="R304" s="324"/>
      <c r="S304" s="322"/>
      <c r="T304" s="312"/>
      <c r="U304" s="315"/>
      <c r="V304" s="322"/>
      <c r="W304" s="312"/>
      <c r="X304" s="315"/>
      <c r="Y304" s="315"/>
      <c r="Z304" s="315"/>
      <c r="AA304" s="318"/>
      <c r="AD304" s="58">
        <f>BIN2DEC($AA302)*3</f>
        <v>0</v>
      </c>
      <c r="AE304" s="58">
        <f>ABS(BIN2DEC($U302)*3-1)</f>
        <v>1</v>
      </c>
      <c r="AF304" s="58">
        <f>ABS( BIN2DEC(V302)*3-BIN2DEC(Z302))</f>
        <v>0</v>
      </c>
      <c r="AG304" s="58">
        <f>BIN2DEC(X302&amp;Y302)+BIN2DEC(W302)*3</f>
        <v>0</v>
      </c>
      <c r="AH304">
        <f t="shared" ref="AH304:AH306" si="95">AD304+AE304*4+AF304*16</f>
        <v>4</v>
      </c>
    </row>
    <row r="305" spans="1:34">
      <c r="A305" s="54" t="s">
        <v>71</v>
      </c>
      <c r="B305" s="54">
        <v>1</v>
      </c>
      <c r="C305" s="51" t="s">
        <v>141</v>
      </c>
      <c r="D305" s="49" t="s">
        <v>7</v>
      </c>
      <c r="E305" s="49" t="s">
        <v>73</v>
      </c>
      <c r="F305" s="49" t="s">
        <v>68</v>
      </c>
      <c r="G305" s="49" t="s">
        <v>36</v>
      </c>
      <c r="H305" s="49" t="s">
        <v>6</v>
      </c>
      <c r="I305" s="50"/>
      <c r="Q305" s="52"/>
      <c r="R305" s="324"/>
      <c r="S305" s="322"/>
      <c r="T305" s="312"/>
      <c r="U305" s="315"/>
      <c r="V305" s="322"/>
      <c r="W305" s="312"/>
      <c r="X305" s="315"/>
      <c r="Y305" s="315"/>
      <c r="Z305" s="315"/>
      <c r="AA305" s="318"/>
      <c r="AD305" s="58">
        <f>ABS(BIN2DEC($AA302)*3-2)</f>
        <v>2</v>
      </c>
      <c r="AE305" s="58">
        <f>ABS(BIN2DEC($U302)*3)</f>
        <v>0</v>
      </c>
      <c r="AF305" s="58">
        <f>ABS( BIN2DEC(V302)*3-BIN2DEC(Z302))</f>
        <v>0</v>
      </c>
      <c r="AG305" s="58">
        <f>BIN2DEC(X302&amp;Y302)+BIN2DEC(W302)*3</f>
        <v>0</v>
      </c>
      <c r="AH305">
        <f t="shared" si="95"/>
        <v>2</v>
      </c>
    </row>
    <row r="306" spans="1:34" ht="15" thickBot="1">
      <c r="A306" s="54" t="s">
        <v>72</v>
      </c>
      <c r="B306" s="54">
        <v>1</v>
      </c>
      <c r="C306" s="51" t="s">
        <v>141</v>
      </c>
      <c r="D306" s="49" t="s">
        <v>7</v>
      </c>
      <c r="E306" s="49" t="s">
        <v>74</v>
      </c>
      <c r="F306" s="49" t="s">
        <v>68</v>
      </c>
      <c r="G306" s="49" t="s">
        <v>36</v>
      </c>
      <c r="H306" s="49" t="s">
        <v>6</v>
      </c>
      <c r="I306" s="50"/>
      <c r="Q306" s="52"/>
      <c r="R306" s="324"/>
      <c r="S306" s="323"/>
      <c r="T306" s="313"/>
      <c r="U306" s="316"/>
      <c r="V306" s="323"/>
      <c r="W306" s="313"/>
      <c r="X306" s="316"/>
      <c r="Y306" s="316"/>
      <c r="Z306" s="316"/>
      <c r="AA306" s="319"/>
      <c r="AD306" s="58">
        <f>ABS(BIN2DEC($AA302)*3-2)</f>
        <v>2</v>
      </c>
      <c r="AE306" s="58">
        <f>ABS(BIN2DEC($U302)*3-1)</f>
        <v>1</v>
      </c>
      <c r="AF306" s="58">
        <f>ABS( BIN2DEC(V302)*3-BIN2DEC(Z302))</f>
        <v>0</v>
      </c>
      <c r="AG306" s="58">
        <f>BIN2DEC(X302&amp;Y302)+BIN2DEC(W302)*3</f>
        <v>0</v>
      </c>
      <c r="AH306">
        <f t="shared" si="95"/>
        <v>6</v>
      </c>
    </row>
    <row r="307" spans="1:34">
      <c r="A307" s="54">
        <f>AA307</f>
        <v>0</v>
      </c>
      <c r="B307" s="54">
        <v>5</v>
      </c>
      <c r="C307" s="48" t="str">
        <f>IF(B307&gt;1,(23)&amp;":"&amp;(23-B307+1),(23-B307+1)&amp;":"&amp;(23-B307+1))</f>
        <v>23:19</v>
      </c>
      <c r="D307" s="49" t="s">
        <v>78</v>
      </c>
      <c r="E307" s="49" t="s">
        <v>69</v>
      </c>
      <c r="F307" s="49" t="s">
        <v>68</v>
      </c>
      <c r="G307" s="49" t="s">
        <v>36</v>
      </c>
      <c r="H307" s="49" t="s">
        <v>6</v>
      </c>
      <c r="I307" s="50"/>
      <c r="L307" t="str">
        <f>DEC2HEX(_xlfn.BITLSHIFT(HEX2DEC(P307),2))</f>
        <v>0</v>
      </c>
      <c r="N307">
        <v>2</v>
      </c>
      <c r="P307" t="str">
        <f>Z307</f>
        <v>0</v>
      </c>
      <c r="Q307" s="52" t="e">
        <f>BIN2HEX(LEFT(RIGHT(C307,32),4))&amp;BIN2HEX(LEFT(RIGHT(C307,28),4))&amp;BIN2HEX(LEFT(RIGHT(C307,24),4))&amp;BIN2HEX(LEFT(RIGHT(C307,20),4))&amp;BIN2HEX(LEFT(RIGHT(C307,16),4))&amp;BIN2HEX(LEFT(RIGHT(C307,12),4))&amp;BIN2HEX(LEFT(RIGHT(C307,8),4))&amp;BIN2HEX(LEFT(RIGHT(C307,4),4))</f>
        <v>#NUM!</v>
      </c>
      <c r="R307" s="324">
        <v>13</v>
      </c>
      <c r="S307" s="321"/>
      <c r="T307" s="311"/>
      <c r="U307" s="314"/>
      <c r="V307" s="321"/>
      <c r="W307" s="311"/>
      <c r="X307" s="314"/>
      <c r="Y307" s="314"/>
      <c r="Z307" s="314" t="str">
        <f t="shared" ref="Z307" si="96">BIN2HEX(S307&amp;T307&amp;U307&amp;V307&amp;W307&amp;X307&amp;Y307)</f>
        <v>0</v>
      </c>
      <c r="AA307" s="317"/>
      <c r="AD307" s="58"/>
      <c r="AE307" s="58"/>
      <c r="AF307" s="58"/>
      <c r="AG307" s="58"/>
    </row>
    <row r="308" spans="1:34">
      <c r="A308" s="54" t="s">
        <v>77</v>
      </c>
      <c r="B308" s="54">
        <v>1</v>
      </c>
      <c r="C308" s="51" t="s">
        <v>141</v>
      </c>
      <c r="D308" s="49" t="s">
        <v>7</v>
      </c>
      <c r="E308" s="49" t="s">
        <v>77</v>
      </c>
      <c r="F308" s="49" t="s">
        <v>68</v>
      </c>
      <c r="G308" s="49" t="s">
        <v>36</v>
      </c>
      <c r="H308" s="49" t="s">
        <v>6</v>
      </c>
      <c r="I308" s="50"/>
      <c r="Q308" s="52"/>
      <c r="R308" s="324"/>
      <c r="S308" s="322"/>
      <c r="T308" s="312"/>
      <c r="U308" s="315"/>
      <c r="V308" s="322"/>
      <c r="W308" s="312"/>
      <c r="X308" s="315"/>
      <c r="Y308" s="315"/>
      <c r="Z308" s="315"/>
      <c r="AA308" s="318"/>
      <c r="AD308" s="58">
        <f>BIN2DEC($AA307)*3</f>
        <v>0</v>
      </c>
      <c r="AE308" s="58">
        <f>ABS(BIN2DEC($U307)*3)</f>
        <v>0</v>
      </c>
      <c r="AF308" s="58">
        <f>ABS( BIN2DEC(V307)*3-BIN2DEC(Z307))</f>
        <v>0</v>
      </c>
      <c r="AG308" s="58">
        <f>BIN2DEC(X307&amp;Y307)+BIN2DEC(W307)*3</f>
        <v>0</v>
      </c>
      <c r="AH308">
        <f>AD308+AE308*4+AF308*16</f>
        <v>0</v>
      </c>
    </row>
    <row r="309" spans="1:34" ht="129.6">
      <c r="A309" s="54" t="s">
        <v>70</v>
      </c>
      <c r="B309" s="54">
        <v>3</v>
      </c>
      <c r="C309" s="51" t="s">
        <v>141</v>
      </c>
      <c r="D309" s="49" t="s">
        <v>81</v>
      </c>
      <c r="E309" s="49" t="s">
        <v>80</v>
      </c>
      <c r="F309" s="49" t="s">
        <v>68</v>
      </c>
      <c r="G309" s="49" t="s">
        <v>36</v>
      </c>
      <c r="H309" s="49" t="s">
        <v>6</v>
      </c>
      <c r="I309" s="50"/>
      <c r="Q309" s="52"/>
      <c r="R309" s="324"/>
      <c r="S309" s="322"/>
      <c r="T309" s="312"/>
      <c r="U309" s="315"/>
      <c r="V309" s="322"/>
      <c r="W309" s="312"/>
      <c r="X309" s="315"/>
      <c r="Y309" s="315"/>
      <c r="Z309" s="315"/>
      <c r="AA309" s="318"/>
      <c r="AD309" s="58">
        <f>BIN2DEC($AA307)*3</f>
        <v>0</v>
      </c>
      <c r="AE309" s="58">
        <f>ABS(BIN2DEC($U307)*3-1)</f>
        <v>1</v>
      </c>
      <c r="AF309" s="58">
        <f>ABS( BIN2DEC(V307)*3-BIN2DEC(Z307))</f>
        <v>0</v>
      </c>
      <c r="AG309" s="58">
        <f>BIN2DEC(X307&amp;Y307)+BIN2DEC(W307)*3</f>
        <v>0</v>
      </c>
      <c r="AH309">
        <f t="shared" ref="AH309:AH311" si="97">AD309+AE309*4+AF309*16</f>
        <v>4</v>
      </c>
    </row>
    <row r="310" spans="1:34">
      <c r="A310" s="54" t="s">
        <v>71</v>
      </c>
      <c r="B310" s="54">
        <v>1</v>
      </c>
      <c r="C310" s="51" t="s">
        <v>141</v>
      </c>
      <c r="D310" s="49" t="s">
        <v>7</v>
      </c>
      <c r="E310" s="49" t="s">
        <v>73</v>
      </c>
      <c r="F310" s="49" t="s">
        <v>68</v>
      </c>
      <c r="G310" s="49" t="s">
        <v>36</v>
      </c>
      <c r="H310" s="49" t="s">
        <v>6</v>
      </c>
      <c r="I310" s="50"/>
      <c r="Q310" s="52"/>
      <c r="R310" s="324"/>
      <c r="S310" s="322"/>
      <c r="T310" s="312"/>
      <c r="U310" s="315"/>
      <c r="V310" s="322"/>
      <c r="W310" s="312"/>
      <c r="X310" s="315"/>
      <c r="Y310" s="315"/>
      <c r="Z310" s="315"/>
      <c r="AA310" s="318"/>
      <c r="AD310" s="58">
        <f>ABS(BIN2DEC($AA307)*3-2)</f>
        <v>2</v>
      </c>
      <c r="AE310" s="58">
        <f>ABS(BIN2DEC($U307)*3)</f>
        <v>0</v>
      </c>
      <c r="AF310" s="58">
        <f>ABS( BIN2DEC(V307)*3-BIN2DEC(Z307))</f>
        <v>0</v>
      </c>
      <c r="AG310" s="58">
        <f>BIN2DEC(X307&amp;Y307)+BIN2DEC(W307)*3</f>
        <v>0</v>
      </c>
      <c r="AH310">
        <f t="shared" si="97"/>
        <v>2</v>
      </c>
    </row>
    <row r="311" spans="1:34" ht="15" thickBot="1">
      <c r="A311" s="54" t="s">
        <v>72</v>
      </c>
      <c r="B311" s="54">
        <v>1</v>
      </c>
      <c r="C311" s="51" t="s">
        <v>141</v>
      </c>
      <c r="D311" s="49" t="s">
        <v>7</v>
      </c>
      <c r="E311" s="49" t="s">
        <v>74</v>
      </c>
      <c r="F311" s="49" t="s">
        <v>68</v>
      </c>
      <c r="G311" s="49" t="s">
        <v>36</v>
      </c>
      <c r="H311" s="49" t="s">
        <v>6</v>
      </c>
      <c r="I311" s="50"/>
      <c r="Q311" s="52"/>
      <c r="R311" s="324"/>
      <c r="S311" s="323"/>
      <c r="T311" s="313"/>
      <c r="U311" s="316"/>
      <c r="V311" s="323"/>
      <c r="W311" s="313"/>
      <c r="X311" s="316"/>
      <c r="Y311" s="316"/>
      <c r="Z311" s="316"/>
      <c r="AA311" s="319"/>
      <c r="AD311" s="58">
        <f>ABS(BIN2DEC($AA307)*3-2)</f>
        <v>2</v>
      </c>
      <c r="AE311" s="58">
        <f>ABS(BIN2DEC($U307)*3-1)</f>
        <v>1</v>
      </c>
      <c r="AF311" s="58">
        <f>ABS( BIN2DEC(V307)*3-BIN2DEC(Z307))</f>
        <v>0</v>
      </c>
      <c r="AG311" s="58">
        <f>BIN2DEC(X307&amp;Y307)+BIN2DEC(W307)*3</f>
        <v>0</v>
      </c>
      <c r="AH311">
        <f t="shared" si="97"/>
        <v>6</v>
      </c>
    </row>
    <row r="312" spans="1:34">
      <c r="A312" s="54">
        <f>AA312</f>
        <v>0</v>
      </c>
      <c r="B312" s="54">
        <v>5</v>
      </c>
      <c r="C312" s="48" t="str">
        <f>IF(B312&gt;1,(23)&amp;":"&amp;(23-B312+1),(23-B312+1)&amp;":"&amp;(23-B312+1))</f>
        <v>23:19</v>
      </c>
      <c r="D312" s="49" t="s">
        <v>78</v>
      </c>
      <c r="E312" s="49" t="s">
        <v>69</v>
      </c>
      <c r="F312" s="49" t="s">
        <v>68</v>
      </c>
      <c r="G312" s="49" t="s">
        <v>36</v>
      </c>
      <c r="H312" s="49" t="s">
        <v>6</v>
      </c>
      <c r="I312" s="50"/>
      <c r="L312" t="str">
        <f>DEC2HEX(_xlfn.BITLSHIFT(HEX2DEC(P312),2))</f>
        <v>0</v>
      </c>
      <c r="N312">
        <v>2</v>
      </c>
      <c r="P312" t="str">
        <f>Z312</f>
        <v>0</v>
      </c>
      <c r="Q312" s="52" t="e">
        <f>BIN2HEX(LEFT(RIGHT(C312,32),4))&amp;BIN2HEX(LEFT(RIGHT(C312,28),4))&amp;BIN2HEX(LEFT(RIGHT(C312,24),4))&amp;BIN2HEX(LEFT(RIGHT(C312,20),4))&amp;BIN2HEX(LEFT(RIGHT(C312,16),4))&amp;BIN2HEX(LEFT(RIGHT(C312,12),4))&amp;BIN2HEX(LEFT(RIGHT(C312,8),4))&amp;BIN2HEX(LEFT(RIGHT(C312,4),4))</f>
        <v>#NUM!</v>
      </c>
      <c r="R312" s="324">
        <v>14</v>
      </c>
      <c r="S312" s="321"/>
      <c r="T312" s="311"/>
      <c r="U312" s="314"/>
      <c r="V312" s="321"/>
      <c r="W312" s="311"/>
      <c r="X312" s="314"/>
      <c r="Y312" s="314"/>
      <c r="Z312" s="314" t="str">
        <f t="shared" ref="Z312" si="98">BIN2HEX(S312&amp;T312&amp;U312&amp;V312&amp;W312&amp;X312&amp;Y312)</f>
        <v>0</v>
      </c>
      <c r="AA312" s="317"/>
      <c r="AD312" s="58"/>
      <c r="AE312" s="58"/>
      <c r="AF312" s="58"/>
      <c r="AG312" s="58"/>
    </row>
    <row r="313" spans="1:34">
      <c r="A313" s="54" t="s">
        <v>77</v>
      </c>
      <c r="B313" s="54">
        <v>1</v>
      </c>
      <c r="C313" s="51" t="s">
        <v>141</v>
      </c>
      <c r="D313" s="49" t="s">
        <v>7</v>
      </c>
      <c r="E313" s="49" t="s">
        <v>77</v>
      </c>
      <c r="F313" s="49" t="s">
        <v>68</v>
      </c>
      <c r="G313" s="49" t="s">
        <v>36</v>
      </c>
      <c r="H313" s="49" t="s">
        <v>6</v>
      </c>
      <c r="I313" s="50"/>
      <c r="Q313" s="52"/>
      <c r="R313" s="324"/>
      <c r="S313" s="322"/>
      <c r="T313" s="312"/>
      <c r="U313" s="315"/>
      <c r="V313" s="322"/>
      <c r="W313" s="312"/>
      <c r="X313" s="315"/>
      <c r="Y313" s="315"/>
      <c r="Z313" s="315"/>
      <c r="AA313" s="318"/>
      <c r="AD313" s="58">
        <f>BIN2DEC($AA312)*3</f>
        <v>0</v>
      </c>
      <c r="AE313" s="58">
        <f>ABS(BIN2DEC($U312)*3)</f>
        <v>0</v>
      </c>
      <c r="AF313" s="58">
        <f>ABS( BIN2DEC(V312)*3-BIN2DEC(Z312))</f>
        <v>0</v>
      </c>
      <c r="AG313" s="58">
        <f>BIN2DEC(X312&amp;Y312)+BIN2DEC(W312)*3</f>
        <v>0</v>
      </c>
      <c r="AH313">
        <f>AD313+AE313*4+AF313*16</f>
        <v>0</v>
      </c>
    </row>
    <row r="314" spans="1:34" ht="129.6">
      <c r="A314" s="54" t="s">
        <v>70</v>
      </c>
      <c r="B314" s="54">
        <v>3</v>
      </c>
      <c r="C314" s="51" t="s">
        <v>141</v>
      </c>
      <c r="D314" s="49" t="s">
        <v>81</v>
      </c>
      <c r="E314" s="49" t="s">
        <v>80</v>
      </c>
      <c r="F314" s="49" t="s">
        <v>68</v>
      </c>
      <c r="G314" s="49" t="s">
        <v>36</v>
      </c>
      <c r="H314" s="49" t="s">
        <v>6</v>
      </c>
      <c r="I314" s="50"/>
      <c r="Q314" s="52"/>
      <c r="R314" s="324"/>
      <c r="S314" s="322"/>
      <c r="T314" s="312"/>
      <c r="U314" s="315"/>
      <c r="V314" s="322"/>
      <c r="W314" s="312"/>
      <c r="X314" s="315"/>
      <c r="Y314" s="315"/>
      <c r="Z314" s="315"/>
      <c r="AA314" s="318"/>
      <c r="AD314" s="58">
        <f>BIN2DEC($AA312)*3</f>
        <v>0</v>
      </c>
      <c r="AE314" s="58">
        <f>ABS(BIN2DEC($U312)*3-1)</f>
        <v>1</v>
      </c>
      <c r="AF314" s="58">
        <f>ABS( BIN2DEC(V312)*3-BIN2DEC(Z312))</f>
        <v>0</v>
      </c>
      <c r="AG314" s="58">
        <f>BIN2DEC(X312&amp;Y312)+BIN2DEC(W312)*3</f>
        <v>0</v>
      </c>
      <c r="AH314">
        <f t="shared" ref="AH314:AH316" si="99">AD314+AE314*4+AF314*16</f>
        <v>4</v>
      </c>
    </row>
    <row r="315" spans="1:34">
      <c r="A315" s="54" t="s">
        <v>71</v>
      </c>
      <c r="B315" s="54">
        <v>1</v>
      </c>
      <c r="C315" s="51" t="s">
        <v>141</v>
      </c>
      <c r="D315" s="49" t="s">
        <v>7</v>
      </c>
      <c r="E315" s="49" t="s">
        <v>73</v>
      </c>
      <c r="F315" s="49" t="s">
        <v>68</v>
      </c>
      <c r="G315" s="49" t="s">
        <v>36</v>
      </c>
      <c r="H315" s="49" t="s">
        <v>6</v>
      </c>
      <c r="I315" s="50"/>
      <c r="Q315" s="52"/>
      <c r="R315" s="324"/>
      <c r="S315" s="322"/>
      <c r="T315" s="312"/>
      <c r="U315" s="315"/>
      <c r="V315" s="322"/>
      <c r="W315" s="312"/>
      <c r="X315" s="315"/>
      <c r="Y315" s="315"/>
      <c r="Z315" s="315"/>
      <c r="AA315" s="318"/>
      <c r="AD315" s="58">
        <f>ABS(BIN2DEC($AA312)*3-2)</f>
        <v>2</v>
      </c>
      <c r="AE315" s="58">
        <f>ABS(BIN2DEC($U312)*3)</f>
        <v>0</v>
      </c>
      <c r="AF315" s="58">
        <f>ABS( BIN2DEC(V312)*3-BIN2DEC(Z312))</f>
        <v>0</v>
      </c>
      <c r="AG315" s="58">
        <f>BIN2DEC(X312&amp;Y312)+BIN2DEC(W312)*3</f>
        <v>0</v>
      </c>
      <c r="AH315">
        <f t="shared" si="99"/>
        <v>2</v>
      </c>
    </row>
    <row r="316" spans="1:34" ht="15" thickBot="1">
      <c r="A316" s="54" t="s">
        <v>72</v>
      </c>
      <c r="B316" s="54">
        <v>1</v>
      </c>
      <c r="C316" s="51" t="s">
        <v>141</v>
      </c>
      <c r="D316" s="49" t="s">
        <v>7</v>
      </c>
      <c r="E316" s="49" t="s">
        <v>74</v>
      </c>
      <c r="F316" s="49" t="s">
        <v>68</v>
      </c>
      <c r="G316" s="49" t="s">
        <v>36</v>
      </c>
      <c r="H316" s="49" t="s">
        <v>6</v>
      </c>
      <c r="I316" s="50"/>
      <c r="Q316" s="52"/>
      <c r="R316" s="324"/>
      <c r="S316" s="323"/>
      <c r="T316" s="313"/>
      <c r="U316" s="316"/>
      <c r="V316" s="323"/>
      <c r="W316" s="313"/>
      <c r="X316" s="316"/>
      <c r="Y316" s="316"/>
      <c r="Z316" s="316"/>
      <c r="AA316" s="319"/>
      <c r="AD316" s="58">
        <f>ABS(BIN2DEC($AA312)*3-2)</f>
        <v>2</v>
      </c>
      <c r="AE316" s="58">
        <f>ABS(BIN2DEC($U312)*3-1)</f>
        <v>1</v>
      </c>
      <c r="AF316" s="58">
        <f>ABS( BIN2DEC(V312)*3-BIN2DEC(Z312))</f>
        <v>0</v>
      </c>
      <c r="AG316" s="58">
        <f>BIN2DEC(X312&amp;Y312)+BIN2DEC(W312)*3</f>
        <v>0</v>
      </c>
      <c r="AH316">
        <f t="shared" si="99"/>
        <v>6</v>
      </c>
    </row>
    <row r="317" spans="1:34">
      <c r="A317" s="54">
        <f>AA317</f>
        <v>0</v>
      </c>
      <c r="B317" s="54">
        <v>5</v>
      </c>
      <c r="C317" s="48" t="str">
        <f>IF(B317&gt;1,(23)&amp;":"&amp;(23-B317+1),(23-B317+1)&amp;":"&amp;(23-B317+1))</f>
        <v>23:19</v>
      </c>
      <c r="D317" s="49" t="s">
        <v>78</v>
      </c>
      <c r="E317" s="49" t="s">
        <v>69</v>
      </c>
      <c r="F317" s="49" t="s">
        <v>68</v>
      </c>
      <c r="G317" s="49" t="s">
        <v>36</v>
      </c>
      <c r="H317" s="49" t="s">
        <v>6</v>
      </c>
      <c r="I317" s="50"/>
      <c r="L317" t="str">
        <f>DEC2HEX(_xlfn.BITLSHIFT(HEX2DEC(P317),2))</f>
        <v>0</v>
      </c>
      <c r="N317">
        <v>2</v>
      </c>
      <c r="P317" t="str">
        <f>Z317</f>
        <v>0</v>
      </c>
      <c r="Q317" s="52" t="e">
        <f>BIN2HEX(LEFT(RIGHT(C317,32),4))&amp;BIN2HEX(LEFT(RIGHT(C317,28),4))&amp;BIN2HEX(LEFT(RIGHT(C317,24),4))&amp;BIN2HEX(LEFT(RIGHT(C317,20),4))&amp;BIN2HEX(LEFT(RIGHT(C317,16),4))&amp;BIN2HEX(LEFT(RIGHT(C317,12),4))&amp;BIN2HEX(LEFT(RIGHT(C317,8),4))&amp;BIN2HEX(LEFT(RIGHT(C317,4),4))</f>
        <v>#NUM!</v>
      </c>
      <c r="R317" s="324">
        <v>15</v>
      </c>
      <c r="S317" s="321"/>
      <c r="T317" s="311"/>
      <c r="U317" s="314"/>
      <c r="V317" s="321"/>
      <c r="W317" s="311"/>
      <c r="X317" s="314"/>
      <c r="Y317" s="314"/>
      <c r="Z317" s="314" t="str">
        <f t="shared" ref="Z317" si="100">BIN2HEX(S317&amp;T317&amp;U317&amp;V317&amp;W317&amp;X317&amp;Y317)</f>
        <v>0</v>
      </c>
      <c r="AA317" s="317"/>
      <c r="AD317" s="58"/>
      <c r="AE317" s="58"/>
      <c r="AF317" s="58"/>
      <c r="AG317" s="58"/>
    </row>
    <row r="318" spans="1:34">
      <c r="A318" s="54" t="s">
        <v>77</v>
      </c>
      <c r="B318" s="54">
        <v>1</v>
      </c>
      <c r="C318" s="51" t="s">
        <v>141</v>
      </c>
      <c r="D318" s="49" t="s">
        <v>7</v>
      </c>
      <c r="E318" s="49" t="s">
        <v>77</v>
      </c>
      <c r="F318" s="49" t="s">
        <v>68</v>
      </c>
      <c r="G318" s="49" t="s">
        <v>36</v>
      </c>
      <c r="H318" s="49" t="s">
        <v>6</v>
      </c>
      <c r="I318" s="50"/>
      <c r="Q318" s="52"/>
      <c r="R318" s="324"/>
      <c r="S318" s="322"/>
      <c r="T318" s="312"/>
      <c r="U318" s="315"/>
      <c r="V318" s="322"/>
      <c r="W318" s="312"/>
      <c r="X318" s="315"/>
      <c r="Y318" s="315"/>
      <c r="Z318" s="315"/>
      <c r="AA318" s="318"/>
      <c r="AD318" s="58">
        <f>BIN2DEC($AA317)*3</f>
        <v>0</v>
      </c>
      <c r="AE318" s="58">
        <f>ABS(BIN2DEC($U317)*3)</f>
        <v>0</v>
      </c>
      <c r="AF318" s="58">
        <f>ABS( BIN2DEC(V317)*3-BIN2DEC(Z317))</f>
        <v>0</v>
      </c>
      <c r="AG318" s="58">
        <f>BIN2DEC(X317&amp;Y317)+BIN2DEC(W317)*3</f>
        <v>0</v>
      </c>
      <c r="AH318">
        <f>AD318+AE318*4+AF318*16</f>
        <v>0</v>
      </c>
    </row>
    <row r="319" spans="1:34" ht="129.6">
      <c r="A319" s="54" t="s">
        <v>70</v>
      </c>
      <c r="B319" s="54">
        <v>3</v>
      </c>
      <c r="C319" s="51" t="s">
        <v>141</v>
      </c>
      <c r="D319" s="49" t="s">
        <v>81</v>
      </c>
      <c r="E319" s="49" t="s">
        <v>80</v>
      </c>
      <c r="F319" s="49" t="s">
        <v>68</v>
      </c>
      <c r="G319" s="49" t="s">
        <v>36</v>
      </c>
      <c r="H319" s="49" t="s">
        <v>6</v>
      </c>
      <c r="I319" s="50"/>
      <c r="Q319" s="52"/>
      <c r="R319" s="324"/>
      <c r="S319" s="322"/>
      <c r="T319" s="312"/>
      <c r="U319" s="315"/>
      <c r="V319" s="322"/>
      <c r="W319" s="312"/>
      <c r="X319" s="315"/>
      <c r="Y319" s="315"/>
      <c r="Z319" s="315"/>
      <c r="AA319" s="318"/>
      <c r="AD319" s="58">
        <f>BIN2DEC($AA317)*3</f>
        <v>0</v>
      </c>
      <c r="AE319" s="58">
        <f>ABS(BIN2DEC($U317)*3-1)</f>
        <v>1</v>
      </c>
      <c r="AF319" s="58">
        <f>ABS( BIN2DEC(V317)*3-BIN2DEC(Z317))</f>
        <v>0</v>
      </c>
      <c r="AG319" s="58">
        <f>BIN2DEC(X317&amp;Y317)+BIN2DEC(W317)*3</f>
        <v>0</v>
      </c>
      <c r="AH319">
        <f t="shared" ref="AH319:AH321" si="101">AD319+AE319*4+AF319*16</f>
        <v>4</v>
      </c>
    </row>
    <row r="320" spans="1:34">
      <c r="A320" s="54" t="s">
        <v>71</v>
      </c>
      <c r="B320" s="54">
        <v>1</v>
      </c>
      <c r="C320" s="51" t="s">
        <v>141</v>
      </c>
      <c r="D320" s="49" t="s">
        <v>7</v>
      </c>
      <c r="E320" s="49" t="s">
        <v>73</v>
      </c>
      <c r="F320" s="49" t="s">
        <v>68</v>
      </c>
      <c r="G320" s="49" t="s">
        <v>36</v>
      </c>
      <c r="H320" s="49" t="s">
        <v>6</v>
      </c>
      <c r="I320" s="50"/>
      <c r="Q320" s="52"/>
      <c r="R320" s="324"/>
      <c r="S320" s="322"/>
      <c r="T320" s="312"/>
      <c r="U320" s="315"/>
      <c r="V320" s="322"/>
      <c r="W320" s="312"/>
      <c r="X320" s="315"/>
      <c r="Y320" s="315"/>
      <c r="Z320" s="315"/>
      <c r="AA320" s="318"/>
      <c r="AD320" s="58">
        <f>ABS(BIN2DEC($AA317)*3-2)</f>
        <v>2</v>
      </c>
      <c r="AE320" s="58">
        <f>ABS(BIN2DEC($U317)*3)</f>
        <v>0</v>
      </c>
      <c r="AF320" s="58">
        <f>ABS( BIN2DEC(V317)*3-BIN2DEC(Z317))</f>
        <v>0</v>
      </c>
      <c r="AG320" s="58">
        <f>BIN2DEC(X317&amp;Y317)+BIN2DEC(W317)*3</f>
        <v>0</v>
      </c>
      <c r="AH320">
        <f t="shared" si="101"/>
        <v>2</v>
      </c>
    </row>
    <row r="321" spans="1:34" ht="15" thickBot="1">
      <c r="A321" s="54" t="s">
        <v>72</v>
      </c>
      <c r="B321" s="54">
        <v>1</v>
      </c>
      <c r="C321" s="51" t="s">
        <v>141</v>
      </c>
      <c r="D321" s="49" t="s">
        <v>7</v>
      </c>
      <c r="E321" s="49" t="s">
        <v>74</v>
      </c>
      <c r="F321" s="49" t="s">
        <v>68</v>
      </c>
      <c r="G321" s="49" t="s">
        <v>36</v>
      </c>
      <c r="H321" s="49" t="s">
        <v>6</v>
      </c>
      <c r="I321" s="50"/>
      <c r="Q321" s="52"/>
      <c r="R321" s="324"/>
      <c r="S321" s="323"/>
      <c r="T321" s="313"/>
      <c r="U321" s="316"/>
      <c r="V321" s="323"/>
      <c r="W321" s="313"/>
      <c r="X321" s="316"/>
      <c r="Y321" s="316"/>
      <c r="Z321" s="316"/>
      <c r="AA321" s="319"/>
      <c r="AD321" s="58">
        <f>ABS(BIN2DEC($AA317)*3-2)</f>
        <v>2</v>
      </c>
      <c r="AE321" s="58">
        <f>ABS(BIN2DEC($U317)*3-1)</f>
        <v>1</v>
      </c>
      <c r="AF321" s="58">
        <f>ABS( BIN2DEC(V317)*3-BIN2DEC(Z317))</f>
        <v>0</v>
      </c>
      <c r="AG321" s="58">
        <f>BIN2DEC(X317&amp;Y317)+BIN2DEC(W317)*3</f>
        <v>0</v>
      </c>
      <c r="AH321">
        <f t="shared" si="101"/>
        <v>6</v>
      </c>
    </row>
    <row r="322" spans="1:34">
      <c r="A322" s="54">
        <f>AA322</f>
        <v>0</v>
      </c>
      <c r="B322" s="54">
        <v>5</v>
      </c>
      <c r="C322" s="48" t="str">
        <f>IF(B322&gt;1,(23)&amp;":"&amp;(23-B322+1),(23-B322+1)&amp;":"&amp;(23-B322+1))</f>
        <v>23:19</v>
      </c>
      <c r="D322" s="49" t="s">
        <v>78</v>
      </c>
      <c r="E322" s="49" t="s">
        <v>69</v>
      </c>
      <c r="F322" s="49" t="s">
        <v>68</v>
      </c>
      <c r="G322" s="49" t="s">
        <v>36</v>
      </c>
      <c r="H322" s="49" t="s">
        <v>6</v>
      </c>
      <c r="I322" s="50"/>
      <c r="L322" t="str">
        <f>DEC2HEX(_xlfn.BITLSHIFT(HEX2DEC(P322),2))</f>
        <v>0</v>
      </c>
      <c r="N322">
        <v>2</v>
      </c>
      <c r="P322" t="str">
        <f>Z322</f>
        <v>0</v>
      </c>
      <c r="Q322" s="52" t="e">
        <f>BIN2HEX(LEFT(RIGHT(C322,32),4))&amp;BIN2HEX(LEFT(RIGHT(C322,28),4))&amp;BIN2HEX(LEFT(RIGHT(C322,24),4))&amp;BIN2HEX(LEFT(RIGHT(C322,20),4))&amp;BIN2HEX(LEFT(RIGHT(C322,16),4))&amp;BIN2HEX(LEFT(RIGHT(C322,12),4))&amp;BIN2HEX(LEFT(RIGHT(C322,8),4))&amp;BIN2HEX(LEFT(RIGHT(C322,4),4))</f>
        <v>#NUM!</v>
      </c>
      <c r="R322" s="324">
        <v>16</v>
      </c>
      <c r="S322" s="321"/>
      <c r="T322" s="311"/>
      <c r="U322" s="314"/>
      <c r="V322" s="321"/>
      <c r="W322" s="311"/>
      <c r="X322" s="314"/>
      <c r="Y322" s="314"/>
      <c r="Z322" s="314" t="str">
        <f t="shared" ref="Z322" si="102">BIN2HEX(S322&amp;T322&amp;U322&amp;V322&amp;W322&amp;X322&amp;Y322)</f>
        <v>0</v>
      </c>
      <c r="AA322" s="317"/>
      <c r="AD322" s="58"/>
      <c r="AE322" s="58"/>
      <c r="AF322" s="58"/>
      <c r="AG322" s="58"/>
    </row>
    <row r="323" spans="1:34">
      <c r="A323" s="54" t="s">
        <v>77</v>
      </c>
      <c r="B323" s="54">
        <v>1</v>
      </c>
      <c r="C323" s="51" t="s">
        <v>141</v>
      </c>
      <c r="D323" s="49" t="s">
        <v>7</v>
      </c>
      <c r="E323" s="49" t="s">
        <v>77</v>
      </c>
      <c r="F323" s="49" t="s">
        <v>68</v>
      </c>
      <c r="G323" s="49" t="s">
        <v>36</v>
      </c>
      <c r="H323" s="49" t="s">
        <v>6</v>
      </c>
      <c r="I323" s="50"/>
      <c r="Q323" s="52"/>
      <c r="R323" s="324"/>
      <c r="S323" s="322"/>
      <c r="T323" s="312"/>
      <c r="U323" s="315"/>
      <c r="V323" s="322"/>
      <c r="W323" s="312"/>
      <c r="X323" s="315"/>
      <c r="Y323" s="315"/>
      <c r="Z323" s="315"/>
      <c r="AA323" s="318"/>
      <c r="AD323" s="58">
        <f>BIN2DEC($AA322)*3</f>
        <v>0</v>
      </c>
      <c r="AE323" s="58">
        <f>ABS(BIN2DEC($U322)*3)</f>
        <v>0</v>
      </c>
      <c r="AF323" s="58">
        <f>ABS( BIN2DEC(V322)*3-BIN2DEC(Z322))</f>
        <v>0</v>
      </c>
      <c r="AG323" s="58">
        <f>BIN2DEC(X322&amp;Y322)+BIN2DEC(W322)*3</f>
        <v>0</v>
      </c>
      <c r="AH323">
        <f>AD323+AE323*4+AF323*16</f>
        <v>0</v>
      </c>
    </row>
    <row r="324" spans="1:34" ht="129.6">
      <c r="A324" s="54" t="s">
        <v>70</v>
      </c>
      <c r="B324" s="54">
        <v>3</v>
      </c>
      <c r="C324" s="51" t="s">
        <v>141</v>
      </c>
      <c r="D324" s="49" t="s">
        <v>81</v>
      </c>
      <c r="E324" s="49" t="s">
        <v>80</v>
      </c>
      <c r="F324" s="49" t="s">
        <v>68</v>
      </c>
      <c r="G324" s="49" t="s">
        <v>36</v>
      </c>
      <c r="H324" s="49" t="s">
        <v>6</v>
      </c>
      <c r="I324" s="50"/>
      <c r="Q324" s="52"/>
      <c r="R324" s="324"/>
      <c r="S324" s="322"/>
      <c r="T324" s="312"/>
      <c r="U324" s="315"/>
      <c r="V324" s="322"/>
      <c r="W324" s="312"/>
      <c r="X324" s="315"/>
      <c r="Y324" s="315"/>
      <c r="Z324" s="315"/>
      <c r="AA324" s="318"/>
      <c r="AD324" s="58">
        <f>BIN2DEC($AA322)*3</f>
        <v>0</v>
      </c>
      <c r="AE324" s="58">
        <f>ABS(BIN2DEC($U322)*3-1)</f>
        <v>1</v>
      </c>
      <c r="AF324" s="58">
        <f>ABS( BIN2DEC(V322)*3-BIN2DEC(Z322))</f>
        <v>0</v>
      </c>
      <c r="AG324" s="58">
        <f>BIN2DEC(X322&amp;Y322)+BIN2DEC(W322)*3</f>
        <v>0</v>
      </c>
      <c r="AH324">
        <f t="shared" ref="AH324:AH326" si="103">AD324+AE324*4+AF324*16</f>
        <v>4</v>
      </c>
    </row>
    <row r="325" spans="1:34">
      <c r="A325" s="54" t="s">
        <v>71</v>
      </c>
      <c r="B325" s="54">
        <v>1</v>
      </c>
      <c r="C325" s="51" t="s">
        <v>141</v>
      </c>
      <c r="D325" s="49" t="s">
        <v>7</v>
      </c>
      <c r="E325" s="49" t="s">
        <v>73</v>
      </c>
      <c r="F325" s="49" t="s">
        <v>68</v>
      </c>
      <c r="G325" s="49" t="s">
        <v>36</v>
      </c>
      <c r="H325" s="49" t="s">
        <v>6</v>
      </c>
      <c r="I325" s="50"/>
      <c r="Q325" s="52"/>
      <c r="R325" s="324"/>
      <c r="S325" s="322"/>
      <c r="T325" s="312"/>
      <c r="U325" s="315"/>
      <c r="V325" s="322"/>
      <c r="W325" s="312"/>
      <c r="X325" s="315"/>
      <c r="Y325" s="315"/>
      <c r="Z325" s="315"/>
      <c r="AA325" s="318"/>
      <c r="AD325" s="58">
        <f>ABS(BIN2DEC($AA322)*3-2)</f>
        <v>2</v>
      </c>
      <c r="AE325" s="58">
        <f>ABS(BIN2DEC($U322)*3)</f>
        <v>0</v>
      </c>
      <c r="AF325" s="58">
        <f>ABS( BIN2DEC(V322)*3-BIN2DEC(Z322))</f>
        <v>0</v>
      </c>
      <c r="AG325" s="58">
        <f>BIN2DEC(X322&amp;Y322)+BIN2DEC(W322)*3</f>
        <v>0</v>
      </c>
      <c r="AH325">
        <f t="shared" si="103"/>
        <v>2</v>
      </c>
    </row>
    <row r="326" spans="1:34" ht="15" thickBot="1">
      <c r="A326" s="54" t="s">
        <v>72</v>
      </c>
      <c r="B326" s="54">
        <v>1</v>
      </c>
      <c r="C326" s="51" t="s">
        <v>141</v>
      </c>
      <c r="D326" s="49" t="s">
        <v>7</v>
      </c>
      <c r="E326" s="49" t="s">
        <v>74</v>
      </c>
      <c r="F326" s="49" t="s">
        <v>68</v>
      </c>
      <c r="G326" s="49" t="s">
        <v>36</v>
      </c>
      <c r="H326" s="49" t="s">
        <v>6</v>
      </c>
      <c r="I326" s="50"/>
      <c r="Q326" s="52"/>
      <c r="R326" s="324"/>
      <c r="S326" s="323"/>
      <c r="T326" s="313"/>
      <c r="U326" s="316"/>
      <c r="V326" s="323"/>
      <c r="W326" s="313"/>
      <c r="X326" s="316"/>
      <c r="Y326" s="316"/>
      <c r="Z326" s="316"/>
      <c r="AA326" s="319"/>
      <c r="AD326" s="58">
        <f>ABS(BIN2DEC($AA322)*3-2)</f>
        <v>2</v>
      </c>
      <c r="AE326" s="58">
        <f>ABS(BIN2DEC($U322)*3-1)</f>
        <v>1</v>
      </c>
      <c r="AF326" s="58">
        <f>ABS( BIN2DEC(V322)*3-BIN2DEC(Z322))</f>
        <v>0</v>
      </c>
      <c r="AG326" s="58">
        <f>BIN2DEC(X322&amp;Y322)+BIN2DEC(W322)*3</f>
        <v>0</v>
      </c>
      <c r="AH326">
        <f t="shared" si="103"/>
        <v>6</v>
      </c>
    </row>
    <row r="327" spans="1:34">
      <c r="A327" s="54">
        <f>AA327</f>
        <v>0</v>
      </c>
      <c r="B327" s="54">
        <v>5</v>
      </c>
      <c r="C327" s="48" t="str">
        <f>IF(B327&gt;1,(23)&amp;":"&amp;(23-B327+1),(23-B327+1)&amp;":"&amp;(23-B327+1))</f>
        <v>23:19</v>
      </c>
      <c r="D327" s="49" t="s">
        <v>78</v>
      </c>
      <c r="E327" s="49" t="s">
        <v>69</v>
      </c>
      <c r="F327" s="49" t="s">
        <v>68</v>
      </c>
      <c r="G327" s="49" t="s">
        <v>36</v>
      </c>
      <c r="H327" s="49" t="s">
        <v>6</v>
      </c>
      <c r="I327" s="50"/>
      <c r="L327" t="str">
        <f>DEC2HEX(_xlfn.BITLSHIFT(HEX2DEC(P327),2))</f>
        <v>0</v>
      </c>
      <c r="N327">
        <v>2</v>
      </c>
      <c r="P327" t="str">
        <f>Z327</f>
        <v>0</v>
      </c>
      <c r="Q327" s="52" t="e">
        <f>BIN2HEX(LEFT(RIGHT(C327,32),4))&amp;BIN2HEX(LEFT(RIGHT(C327,28),4))&amp;BIN2HEX(LEFT(RIGHT(C327,24),4))&amp;BIN2HEX(LEFT(RIGHT(C327,20),4))&amp;BIN2HEX(LEFT(RIGHT(C327,16),4))&amp;BIN2HEX(LEFT(RIGHT(C327,12),4))&amp;BIN2HEX(LEFT(RIGHT(C327,8),4))&amp;BIN2HEX(LEFT(RIGHT(C327,4),4))</f>
        <v>#NUM!</v>
      </c>
      <c r="R327" s="324">
        <v>17</v>
      </c>
      <c r="S327" s="321"/>
      <c r="T327" s="311"/>
      <c r="U327" s="314"/>
      <c r="V327" s="321"/>
      <c r="W327" s="311"/>
      <c r="X327" s="314"/>
      <c r="Y327" s="314"/>
      <c r="Z327" s="314" t="str">
        <f t="shared" ref="Z327" si="104">BIN2HEX(S327&amp;T327&amp;U327&amp;V327&amp;W327&amp;X327&amp;Y327)</f>
        <v>0</v>
      </c>
      <c r="AA327" s="317"/>
      <c r="AD327" s="58"/>
      <c r="AE327" s="58"/>
      <c r="AF327" s="58"/>
      <c r="AG327" s="58"/>
    </row>
    <row r="328" spans="1:34">
      <c r="A328" s="54" t="s">
        <v>77</v>
      </c>
      <c r="B328" s="54">
        <v>1</v>
      </c>
      <c r="C328" s="51" t="s">
        <v>141</v>
      </c>
      <c r="D328" s="49" t="s">
        <v>7</v>
      </c>
      <c r="E328" s="49" t="s">
        <v>77</v>
      </c>
      <c r="F328" s="49" t="s">
        <v>68</v>
      </c>
      <c r="G328" s="49" t="s">
        <v>36</v>
      </c>
      <c r="H328" s="49" t="s">
        <v>6</v>
      </c>
      <c r="I328" s="50"/>
      <c r="Q328" s="52"/>
      <c r="R328" s="324"/>
      <c r="S328" s="322"/>
      <c r="T328" s="312"/>
      <c r="U328" s="315"/>
      <c r="V328" s="322"/>
      <c r="W328" s="312"/>
      <c r="X328" s="315"/>
      <c r="Y328" s="315"/>
      <c r="Z328" s="315"/>
      <c r="AA328" s="318"/>
      <c r="AD328" s="58">
        <f>BIN2DEC($AA327)*3</f>
        <v>0</v>
      </c>
      <c r="AE328" s="58">
        <f>ABS(BIN2DEC($U327)*3)</f>
        <v>0</v>
      </c>
      <c r="AF328" s="58">
        <f>ABS( BIN2DEC(V327)*3-BIN2DEC(Z327))</f>
        <v>0</v>
      </c>
      <c r="AG328" s="58">
        <f>BIN2DEC(X327&amp;Y327)+BIN2DEC(W327)*3</f>
        <v>0</v>
      </c>
      <c r="AH328">
        <f>AD328+AE328*4+AF328*16</f>
        <v>0</v>
      </c>
    </row>
    <row r="329" spans="1:34" ht="129.6">
      <c r="A329" s="54" t="s">
        <v>70</v>
      </c>
      <c r="B329" s="54">
        <v>3</v>
      </c>
      <c r="C329" s="51" t="s">
        <v>141</v>
      </c>
      <c r="D329" s="49" t="s">
        <v>81</v>
      </c>
      <c r="E329" s="49" t="s">
        <v>80</v>
      </c>
      <c r="F329" s="49" t="s">
        <v>68</v>
      </c>
      <c r="G329" s="49" t="s">
        <v>36</v>
      </c>
      <c r="H329" s="49" t="s">
        <v>6</v>
      </c>
      <c r="I329" s="50"/>
      <c r="Q329" s="52"/>
      <c r="R329" s="324"/>
      <c r="S329" s="322"/>
      <c r="T329" s="312"/>
      <c r="U329" s="315"/>
      <c r="V329" s="322"/>
      <c r="W329" s="312"/>
      <c r="X329" s="315"/>
      <c r="Y329" s="315"/>
      <c r="Z329" s="315"/>
      <c r="AA329" s="318"/>
      <c r="AD329" s="58">
        <f>BIN2DEC($AA327)*3</f>
        <v>0</v>
      </c>
      <c r="AE329" s="58">
        <f>ABS(BIN2DEC($U327)*3-1)</f>
        <v>1</v>
      </c>
      <c r="AF329" s="58">
        <f>ABS( BIN2DEC(V327)*3-BIN2DEC(Z327))</f>
        <v>0</v>
      </c>
      <c r="AG329" s="58">
        <f>BIN2DEC(X327&amp;Y327)+BIN2DEC(W327)*3</f>
        <v>0</v>
      </c>
      <c r="AH329">
        <f t="shared" ref="AH329:AH331" si="105">AD329+AE329*4+AF329*16</f>
        <v>4</v>
      </c>
    </row>
    <row r="330" spans="1:34">
      <c r="A330" s="54" t="s">
        <v>71</v>
      </c>
      <c r="B330" s="54">
        <v>1</v>
      </c>
      <c r="C330" s="51" t="s">
        <v>141</v>
      </c>
      <c r="D330" s="49" t="s">
        <v>7</v>
      </c>
      <c r="E330" s="49" t="s">
        <v>73</v>
      </c>
      <c r="F330" s="49" t="s">
        <v>68</v>
      </c>
      <c r="G330" s="49" t="s">
        <v>36</v>
      </c>
      <c r="H330" s="49" t="s">
        <v>6</v>
      </c>
      <c r="I330" s="50"/>
      <c r="Q330" s="52"/>
      <c r="R330" s="324"/>
      <c r="S330" s="322"/>
      <c r="T330" s="312"/>
      <c r="U330" s="315"/>
      <c r="V330" s="322"/>
      <c r="W330" s="312"/>
      <c r="X330" s="315"/>
      <c r="Y330" s="315"/>
      <c r="Z330" s="315"/>
      <c r="AA330" s="318"/>
      <c r="AD330" s="58">
        <f>ABS(BIN2DEC($AA327)*3-2)</f>
        <v>2</v>
      </c>
      <c r="AE330" s="58">
        <f>ABS(BIN2DEC($U327)*3)</f>
        <v>0</v>
      </c>
      <c r="AF330" s="58">
        <f>ABS( BIN2DEC(V327)*3-BIN2DEC(Z327))</f>
        <v>0</v>
      </c>
      <c r="AG330" s="58">
        <f>BIN2DEC(X327&amp;Y327)+BIN2DEC(W327)*3</f>
        <v>0</v>
      </c>
      <c r="AH330">
        <f t="shared" si="105"/>
        <v>2</v>
      </c>
    </row>
    <row r="331" spans="1:34" ht="15" thickBot="1">
      <c r="A331" s="54" t="s">
        <v>72</v>
      </c>
      <c r="B331" s="54">
        <v>1</v>
      </c>
      <c r="C331" s="51" t="s">
        <v>141</v>
      </c>
      <c r="D331" s="49" t="s">
        <v>7</v>
      </c>
      <c r="E331" s="49" t="s">
        <v>74</v>
      </c>
      <c r="F331" s="49" t="s">
        <v>68</v>
      </c>
      <c r="G331" s="49" t="s">
        <v>36</v>
      </c>
      <c r="H331" s="49" t="s">
        <v>6</v>
      </c>
      <c r="I331" s="50"/>
      <c r="Q331" s="52"/>
      <c r="R331" s="324"/>
      <c r="S331" s="323"/>
      <c r="T331" s="313"/>
      <c r="U331" s="316"/>
      <c r="V331" s="323"/>
      <c r="W331" s="313"/>
      <c r="X331" s="316"/>
      <c r="Y331" s="316"/>
      <c r="Z331" s="316"/>
      <c r="AA331" s="319"/>
      <c r="AD331" s="58">
        <f>ABS(BIN2DEC($AA327)*3-2)</f>
        <v>2</v>
      </c>
      <c r="AE331" s="58">
        <f>ABS(BIN2DEC($U327)*3-1)</f>
        <v>1</v>
      </c>
      <c r="AF331" s="58">
        <f>ABS( BIN2DEC(V327)*3-BIN2DEC(Z327))</f>
        <v>0</v>
      </c>
      <c r="AG331" s="58">
        <f>BIN2DEC(X327&amp;Y327)+BIN2DEC(W327)*3</f>
        <v>0</v>
      </c>
      <c r="AH331">
        <f t="shared" si="105"/>
        <v>6</v>
      </c>
    </row>
    <row r="332" spans="1:34">
      <c r="A332" s="54">
        <f>AA332</f>
        <v>0</v>
      </c>
      <c r="B332" s="54">
        <v>5</v>
      </c>
      <c r="C332" s="48" t="str">
        <f>IF(B332&gt;1,(23)&amp;":"&amp;(23-B332+1),(23-B332+1)&amp;":"&amp;(23-B332+1))</f>
        <v>23:19</v>
      </c>
      <c r="D332" s="49" t="s">
        <v>78</v>
      </c>
      <c r="E332" s="49" t="s">
        <v>69</v>
      </c>
      <c r="F332" s="49" t="s">
        <v>68</v>
      </c>
      <c r="G332" s="49" t="s">
        <v>36</v>
      </c>
      <c r="H332" s="49" t="s">
        <v>6</v>
      </c>
      <c r="I332" s="50"/>
      <c r="L332" t="str">
        <f>DEC2HEX(_xlfn.BITLSHIFT(HEX2DEC(P332),2))</f>
        <v>0</v>
      </c>
      <c r="N332">
        <v>2</v>
      </c>
      <c r="P332" t="str">
        <f>Z332</f>
        <v>0</v>
      </c>
      <c r="Q332" s="52" t="e">
        <f>BIN2HEX(LEFT(RIGHT(C332,32),4))&amp;BIN2HEX(LEFT(RIGHT(C332,28),4))&amp;BIN2HEX(LEFT(RIGHT(C332,24),4))&amp;BIN2HEX(LEFT(RIGHT(C332,20),4))&amp;BIN2HEX(LEFT(RIGHT(C332,16),4))&amp;BIN2HEX(LEFT(RIGHT(C332,12),4))&amp;BIN2HEX(LEFT(RIGHT(C332,8),4))&amp;BIN2HEX(LEFT(RIGHT(C332,4),4))</f>
        <v>#NUM!</v>
      </c>
      <c r="R332" s="324">
        <v>18</v>
      </c>
      <c r="S332" s="321"/>
      <c r="T332" s="311"/>
      <c r="U332" s="314"/>
      <c r="V332" s="321"/>
      <c r="W332" s="311"/>
      <c r="X332" s="314"/>
      <c r="Y332" s="314"/>
      <c r="Z332" s="314" t="str">
        <f t="shared" ref="Z332" si="106">BIN2HEX(S332&amp;T332&amp;U332&amp;V332&amp;W332&amp;X332&amp;Y332)</f>
        <v>0</v>
      </c>
      <c r="AA332" s="317"/>
      <c r="AD332" s="58"/>
      <c r="AE332" s="58"/>
      <c r="AF332" s="58"/>
      <c r="AG332" s="58"/>
    </row>
    <row r="333" spans="1:34">
      <c r="A333" s="54" t="s">
        <v>77</v>
      </c>
      <c r="B333" s="54">
        <v>1</v>
      </c>
      <c r="C333" s="51" t="s">
        <v>141</v>
      </c>
      <c r="D333" s="49" t="s">
        <v>7</v>
      </c>
      <c r="E333" s="49" t="s">
        <v>77</v>
      </c>
      <c r="F333" s="49" t="s">
        <v>68</v>
      </c>
      <c r="G333" s="49" t="s">
        <v>36</v>
      </c>
      <c r="H333" s="49" t="s">
        <v>6</v>
      </c>
      <c r="I333" s="50"/>
      <c r="Q333" s="52"/>
      <c r="R333" s="324"/>
      <c r="S333" s="322"/>
      <c r="T333" s="312"/>
      <c r="U333" s="315"/>
      <c r="V333" s="322"/>
      <c r="W333" s="312"/>
      <c r="X333" s="315"/>
      <c r="Y333" s="315"/>
      <c r="Z333" s="315"/>
      <c r="AA333" s="318"/>
      <c r="AD333" s="58">
        <f>BIN2DEC($AA332)*3</f>
        <v>0</v>
      </c>
      <c r="AE333" s="58">
        <f>ABS(BIN2DEC($U332)*3)</f>
        <v>0</v>
      </c>
      <c r="AF333" s="58">
        <f>ABS( BIN2DEC(V332)*3-BIN2DEC(Z332))</f>
        <v>0</v>
      </c>
      <c r="AG333" s="58">
        <f>BIN2DEC(X332&amp;Y332)+BIN2DEC(W332)*3</f>
        <v>0</v>
      </c>
      <c r="AH333">
        <f>AD333+AE333*4+AF333*16</f>
        <v>0</v>
      </c>
    </row>
    <row r="334" spans="1:34" ht="129.6">
      <c r="A334" s="54" t="s">
        <v>70</v>
      </c>
      <c r="B334" s="54">
        <v>3</v>
      </c>
      <c r="C334" s="51" t="s">
        <v>141</v>
      </c>
      <c r="D334" s="49" t="s">
        <v>81</v>
      </c>
      <c r="E334" s="49" t="s">
        <v>80</v>
      </c>
      <c r="F334" s="49" t="s">
        <v>68</v>
      </c>
      <c r="G334" s="49" t="s">
        <v>36</v>
      </c>
      <c r="H334" s="49" t="s">
        <v>6</v>
      </c>
      <c r="I334" s="50"/>
      <c r="Q334" s="52"/>
      <c r="R334" s="324"/>
      <c r="S334" s="322"/>
      <c r="T334" s="312"/>
      <c r="U334" s="315"/>
      <c r="V334" s="322"/>
      <c r="W334" s="312"/>
      <c r="X334" s="315"/>
      <c r="Y334" s="315"/>
      <c r="Z334" s="315"/>
      <c r="AA334" s="318"/>
      <c r="AD334" s="58">
        <f>BIN2DEC($AA332)*3</f>
        <v>0</v>
      </c>
      <c r="AE334" s="58">
        <f>ABS(BIN2DEC($U332)*3-1)</f>
        <v>1</v>
      </c>
      <c r="AF334" s="58">
        <f>ABS( BIN2DEC(V332)*3-BIN2DEC(Z332))</f>
        <v>0</v>
      </c>
      <c r="AG334" s="58">
        <f>BIN2DEC(X332&amp;Y332)+BIN2DEC(W332)*3</f>
        <v>0</v>
      </c>
      <c r="AH334">
        <f t="shared" ref="AH334:AH336" si="107">AD334+AE334*4+AF334*16</f>
        <v>4</v>
      </c>
    </row>
    <row r="335" spans="1:34">
      <c r="A335" s="54" t="s">
        <v>71</v>
      </c>
      <c r="B335" s="54">
        <v>1</v>
      </c>
      <c r="C335" s="51" t="s">
        <v>141</v>
      </c>
      <c r="D335" s="49" t="s">
        <v>7</v>
      </c>
      <c r="E335" s="49" t="s">
        <v>73</v>
      </c>
      <c r="F335" s="49" t="s">
        <v>68</v>
      </c>
      <c r="G335" s="49" t="s">
        <v>36</v>
      </c>
      <c r="H335" s="49" t="s">
        <v>6</v>
      </c>
      <c r="I335" s="50"/>
      <c r="Q335" s="52"/>
      <c r="R335" s="324"/>
      <c r="S335" s="322"/>
      <c r="T335" s="312"/>
      <c r="U335" s="315"/>
      <c r="V335" s="322"/>
      <c r="W335" s="312"/>
      <c r="X335" s="315"/>
      <c r="Y335" s="315"/>
      <c r="Z335" s="315"/>
      <c r="AA335" s="318"/>
      <c r="AD335" s="58">
        <f>ABS(BIN2DEC($AA332)*3-2)</f>
        <v>2</v>
      </c>
      <c r="AE335" s="58">
        <f>ABS(BIN2DEC($U332)*3)</f>
        <v>0</v>
      </c>
      <c r="AF335" s="58">
        <f>ABS( BIN2DEC(V332)*3-BIN2DEC(Z332))</f>
        <v>0</v>
      </c>
      <c r="AG335" s="58">
        <f>BIN2DEC(X332&amp;Y332)+BIN2DEC(W332)*3</f>
        <v>0</v>
      </c>
      <c r="AH335">
        <f t="shared" si="107"/>
        <v>2</v>
      </c>
    </row>
    <row r="336" spans="1:34" ht="15" thickBot="1">
      <c r="A336" s="54" t="s">
        <v>72</v>
      </c>
      <c r="B336" s="54">
        <v>1</v>
      </c>
      <c r="C336" s="51" t="s">
        <v>141</v>
      </c>
      <c r="D336" s="49" t="s">
        <v>7</v>
      </c>
      <c r="E336" s="49" t="s">
        <v>74</v>
      </c>
      <c r="F336" s="49" t="s">
        <v>68</v>
      </c>
      <c r="G336" s="49" t="s">
        <v>36</v>
      </c>
      <c r="H336" s="49" t="s">
        <v>6</v>
      </c>
      <c r="I336" s="50"/>
      <c r="Q336" s="52"/>
      <c r="R336" s="324"/>
      <c r="S336" s="323"/>
      <c r="T336" s="313"/>
      <c r="U336" s="316"/>
      <c r="V336" s="323"/>
      <c r="W336" s="313"/>
      <c r="X336" s="316"/>
      <c r="Y336" s="316"/>
      <c r="Z336" s="316"/>
      <c r="AA336" s="319"/>
      <c r="AD336" s="58">
        <f>ABS(BIN2DEC($AA332)*3-2)</f>
        <v>2</v>
      </c>
      <c r="AE336" s="58">
        <f>ABS(BIN2DEC($U332)*3-1)</f>
        <v>1</v>
      </c>
      <c r="AF336" s="58">
        <f>ABS( BIN2DEC(V332)*3-BIN2DEC(Z332))</f>
        <v>0</v>
      </c>
      <c r="AG336" s="58">
        <f>BIN2DEC(X332&amp;Y332)+BIN2DEC(W332)*3</f>
        <v>0</v>
      </c>
      <c r="AH336">
        <f t="shared" si="107"/>
        <v>6</v>
      </c>
    </row>
    <row r="337" spans="1:34">
      <c r="A337" s="54">
        <f>AA337</f>
        <v>0</v>
      </c>
      <c r="B337" s="54">
        <v>5</v>
      </c>
      <c r="C337" s="48" t="str">
        <f>IF(B337&gt;1,(23)&amp;":"&amp;(23-B337+1),(23-B337+1)&amp;":"&amp;(23-B337+1))</f>
        <v>23:19</v>
      </c>
      <c r="D337" s="49" t="s">
        <v>78</v>
      </c>
      <c r="E337" s="49" t="s">
        <v>69</v>
      </c>
      <c r="F337" s="49" t="s">
        <v>68</v>
      </c>
      <c r="G337" s="49" t="s">
        <v>36</v>
      </c>
      <c r="H337" s="49" t="s">
        <v>6</v>
      </c>
      <c r="I337" s="50"/>
      <c r="L337" t="str">
        <f>DEC2HEX(_xlfn.BITLSHIFT(HEX2DEC(P337),2))</f>
        <v>0</v>
      </c>
      <c r="N337">
        <v>2</v>
      </c>
      <c r="P337" t="str">
        <f>Z337</f>
        <v>0</v>
      </c>
      <c r="Q337" s="52" t="e">
        <f>BIN2HEX(LEFT(RIGHT(C337,32),4))&amp;BIN2HEX(LEFT(RIGHT(C337,28),4))&amp;BIN2HEX(LEFT(RIGHT(C337,24),4))&amp;BIN2HEX(LEFT(RIGHT(C337,20),4))&amp;BIN2HEX(LEFT(RIGHT(C337,16),4))&amp;BIN2HEX(LEFT(RIGHT(C337,12),4))&amp;BIN2HEX(LEFT(RIGHT(C337,8),4))&amp;BIN2HEX(LEFT(RIGHT(C337,4),4))</f>
        <v>#NUM!</v>
      </c>
      <c r="R337" s="324">
        <v>19</v>
      </c>
      <c r="S337" s="321"/>
      <c r="T337" s="311"/>
      <c r="U337" s="314"/>
      <c r="V337" s="321"/>
      <c r="W337" s="311"/>
      <c r="X337" s="314"/>
      <c r="Y337" s="314"/>
      <c r="Z337" s="314" t="str">
        <f t="shared" ref="Z337" si="108">BIN2HEX(S337&amp;T337&amp;U337&amp;V337&amp;W337&amp;X337&amp;Y337)</f>
        <v>0</v>
      </c>
      <c r="AA337" s="317"/>
      <c r="AD337" s="58"/>
      <c r="AE337" s="58"/>
      <c r="AF337" s="58"/>
      <c r="AG337" s="58"/>
    </row>
    <row r="338" spans="1:34">
      <c r="A338" s="54" t="s">
        <v>77</v>
      </c>
      <c r="B338" s="54">
        <v>1</v>
      </c>
      <c r="C338" s="51" t="s">
        <v>141</v>
      </c>
      <c r="D338" s="49" t="s">
        <v>7</v>
      </c>
      <c r="E338" s="49" t="s">
        <v>77</v>
      </c>
      <c r="F338" s="49" t="s">
        <v>68</v>
      </c>
      <c r="G338" s="49" t="s">
        <v>36</v>
      </c>
      <c r="H338" s="49" t="s">
        <v>6</v>
      </c>
      <c r="I338" s="50"/>
      <c r="Q338" s="52"/>
      <c r="R338" s="324"/>
      <c r="S338" s="322"/>
      <c r="T338" s="312"/>
      <c r="U338" s="315"/>
      <c r="V338" s="322"/>
      <c r="W338" s="312"/>
      <c r="X338" s="315"/>
      <c r="Y338" s="315"/>
      <c r="Z338" s="315"/>
      <c r="AA338" s="318"/>
      <c r="AD338" s="58">
        <f>BIN2DEC($AA337)*3</f>
        <v>0</v>
      </c>
      <c r="AE338" s="58">
        <f>ABS(BIN2DEC($U337)*3)</f>
        <v>0</v>
      </c>
      <c r="AF338" s="58">
        <f>ABS( BIN2DEC(V337)*3-BIN2DEC(Z337))</f>
        <v>0</v>
      </c>
      <c r="AG338" s="58">
        <f>BIN2DEC(X337&amp;Y337)+BIN2DEC(W337)*3</f>
        <v>0</v>
      </c>
      <c r="AH338">
        <f>AD338+AE338*4+AF338*16</f>
        <v>0</v>
      </c>
    </row>
    <row r="339" spans="1:34" ht="129.6">
      <c r="A339" s="54" t="s">
        <v>70</v>
      </c>
      <c r="B339" s="54">
        <v>3</v>
      </c>
      <c r="C339" s="51" t="s">
        <v>141</v>
      </c>
      <c r="D339" s="49" t="s">
        <v>81</v>
      </c>
      <c r="E339" s="49" t="s">
        <v>80</v>
      </c>
      <c r="F339" s="49" t="s">
        <v>68</v>
      </c>
      <c r="G339" s="49" t="s">
        <v>36</v>
      </c>
      <c r="H339" s="49" t="s">
        <v>6</v>
      </c>
      <c r="I339" s="50"/>
      <c r="Q339" s="52"/>
      <c r="R339" s="324"/>
      <c r="S339" s="322"/>
      <c r="T339" s="312"/>
      <c r="U339" s="315"/>
      <c r="V339" s="322"/>
      <c r="W339" s="312"/>
      <c r="X339" s="315"/>
      <c r="Y339" s="315"/>
      <c r="Z339" s="315"/>
      <c r="AA339" s="318"/>
      <c r="AD339" s="58">
        <f>BIN2DEC($AA337)*3</f>
        <v>0</v>
      </c>
      <c r="AE339" s="58">
        <f>ABS(BIN2DEC($U337)*3-1)</f>
        <v>1</v>
      </c>
      <c r="AF339" s="58">
        <f>ABS( BIN2DEC(V337)*3-BIN2DEC(Z337))</f>
        <v>0</v>
      </c>
      <c r="AG339" s="58">
        <f>BIN2DEC(X337&amp;Y337)+BIN2DEC(W337)*3</f>
        <v>0</v>
      </c>
      <c r="AH339">
        <f t="shared" ref="AH339:AH341" si="109">AD339+AE339*4+AF339*16</f>
        <v>4</v>
      </c>
    </row>
    <row r="340" spans="1:34">
      <c r="A340" s="54" t="s">
        <v>71</v>
      </c>
      <c r="B340" s="54">
        <v>1</v>
      </c>
      <c r="C340" s="51" t="s">
        <v>141</v>
      </c>
      <c r="D340" s="49" t="s">
        <v>7</v>
      </c>
      <c r="E340" s="49" t="s">
        <v>73</v>
      </c>
      <c r="F340" s="49" t="s">
        <v>68</v>
      </c>
      <c r="G340" s="49" t="s">
        <v>36</v>
      </c>
      <c r="H340" s="49" t="s">
        <v>6</v>
      </c>
      <c r="I340" s="50"/>
      <c r="Q340" s="52"/>
      <c r="R340" s="324"/>
      <c r="S340" s="322"/>
      <c r="T340" s="312"/>
      <c r="U340" s="315"/>
      <c r="V340" s="322"/>
      <c r="W340" s="312"/>
      <c r="X340" s="315"/>
      <c r="Y340" s="315"/>
      <c r="Z340" s="315"/>
      <c r="AA340" s="318"/>
      <c r="AD340" s="58">
        <f>ABS(BIN2DEC($AA337)*3-2)</f>
        <v>2</v>
      </c>
      <c r="AE340" s="58">
        <f>ABS(BIN2DEC($U337)*3)</f>
        <v>0</v>
      </c>
      <c r="AF340" s="58">
        <f>ABS( BIN2DEC(V337)*3-BIN2DEC(Z337))</f>
        <v>0</v>
      </c>
      <c r="AG340" s="58">
        <f>BIN2DEC(X337&amp;Y337)+BIN2DEC(W337)*3</f>
        <v>0</v>
      </c>
      <c r="AH340">
        <f t="shared" si="109"/>
        <v>2</v>
      </c>
    </row>
    <row r="341" spans="1:34" ht="15" thickBot="1">
      <c r="A341" s="54" t="s">
        <v>72</v>
      </c>
      <c r="B341" s="54">
        <v>1</v>
      </c>
      <c r="C341" s="51" t="s">
        <v>141</v>
      </c>
      <c r="D341" s="49" t="s">
        <v>7</v>
      </c>
      <c r="E341" s="49" t="s">
        <v>74</v>
      </c>
      <c r="F341" s="49" t="s">
        <v>68</v>
      </c>
      <c r="G341" s="49" t="s">
        <v>36</v>
      </c>
      <c r="H341" s="49" t="s">
        <v>6</v>
      </c>
      <c r="I341" s="50"/>
      <c r="Q341" s="52"/>
      <c r="R341" s="324"/>
      <c r="S341" s="323"/>
      <c r="T341" s="313"/>
      <c r="U341" s="316"/>
      <c r="V341" s="323"/>
      <c r="W341" s="313"/>
      <c r="X341" s="316"/>
      <c r="Y341" s="316"/>
      <c r="Z341" s="316"/>
      <c r="AA341" s="319"/>
      <c r="AD341" s="58">
        <f>ABS(BIN2DEC($AA337)*3-2)</f>
        <v>2</v>
      </c>
      <c r="AE341" s="58">
        <f>ABS(BIN2DEC($U337)*3-1)</f>
        <v>1</v>
      </c>
      <c r="AF341" s="58">
        <f>ABS( BIN2DEC(V337)*3-BIN2DEC(Z337))</f>
        <v>0</v>
      </c>
      <c r="AG341" s="58">
        <f>BIN2DEC(X337&amp;Y337)+BIN2DEC(W337)*3</f>
        <v>0</v>
      </c>
      <c r="AH341">
        <f t="shared" si="109"/>
        <v>6</v>
      </c>
    </row>
    <row r="342" spans="1:34">
      <c r="A342" s="54">
        <f>AA342</f>
        <v>0</v>
      </c>
      <c r="B342" s="54">
        <v>5</v>
      </c>
      <c r="C342" s="48" t="str">
        <f>IF(B342&gt;1,(23)&amp;":"&amp;(23-B342+1),(23-B342+1)&amp;":"&amp;(23-B342+1))</f>
        <v>23:19</v>
      </c>
      <c r="D342" s="49" t="s">
        <v>78</v>
      </c>
      <c r="E342" s="49" t="s">
        <v>69</v>
      </c>
      <c r="F342" s="49" t="s">
        <v>68</v>
      </c>
      <c r="G342" s="49" t="s">
        <v>36</v>
      </c>
      <c r="H342" s="49" t="s">
        <v>6</v>
      </c>
      <c r="I342" s="50"/>
      <c r="L342" t="str">
        <f>DEC2HEX(_xlfn.BITLSHIFT(HEX2DEC(P342),2))</f>
        <v>0</v>
      </c>
      <c r="N342">
        <v>2</v>
      </c>
      <c r="P342" t="str">
        <f>Z342</f>
        <v>0</v>
      </c>
      <c r="Q342" s="52" t="e">
        <f>BIN2HEX(LEFT(RIGHT(C342,32),4))&amp;BIN2HEX(LEFT(RIGHT(C342,28),4))&amp;BIN2HEX(LEFT(RIGHT(C342,24),4))&amp;BIN2HEX(LEFT(RIGHT(C342,20),4))&amp;BIN2HEX(LEFT(RIGHT(C342,16),4))&amp;BIN2HEX(LEFT(RIGHT(C342,12),4))&amp;BIN2HEX(LEFT(RIGHT(C342,8),4))&amp;BIN2HEX(LEFT(RIGHT(C342,4),4))</f>
        <v>#NUM!</v>
      </c>
      <c r="R342" s="324">
        <v>20</v>
      </c>
      <c r="S342" s="321"/>
      <c r="T342" s="311"/>
      <c r="U342" s="314"/>
      <c r="V342" s="321"/>
      <c r="W342" s="311"/>
      <c r="X342" s="314"/>
      <c r="Y342" s="314"/>
      <c r="Z342" s="314" t="str">
        <f t="shared" ref="Z342" si="110">BIN2HEX(S342&amp;T342&amp;U342&amp;V342&amp;W342&amp;X342&amp;Y342)</f>
        <v>0</v>
      </c>
      <c r="AA342" s="317"/>
      <c r="AD342" s="58"/>
      <c r="AE342" s="58"/>
      <c r="AF342" s="58"/>
      <c r="AG342" s="58"/>
    </row>
    <row r="343" spans="1:34">
      <c r="A343" s="54" t="s">
        <v>77</v>
      </c>
      <c r="B343" s="54">
        <v>1</v>
      </c>
      <c r="C343" s="51" t="s">
        <v>141</v>
      </c>
      <c r="D343" s="49" t="s">
        <v>7</v>
      </c>
      <c r="E343" s="49" t="s">
        <v>77</v>
      </c>
      <c r="F343" s="49" t="s">
        <v>68</v>
      </c>
      <c r="G343" s="49" t="s">
        <v>36</v>
      </c>
      <c r="H343" s="49" t="s">
        <v>6</v>
      </c>
      <c r="I343" s="50"/>
      <c r="Q343" s="52"/>
      <c r="R343" s="324"/>
      <c r="S343" s="322"/>
      <c r="T343" s="312"/>
      <c r="U343" s="315"/>
      <c r="V343" s="322"/>
      <c r="W343" s="312"/>
      <c r="X343" s="315"/>
      <c r="Y343" s="315"/>
      <c r="Z343" s="315"/>
      <c r="AA343" s="318"/>
      <c r="AD343" s="58">
        <f>BIN2DEC($AA342)*3</f>
        <v>0</v>
      </c>
      <c r="AE343" s="58">
        <f>ABS(BIN2DEC($U342)*3)</f>
        <v>0</v>
      </c>
      <c r="AF343" s="58">
        <f>ABS( BIN2DEC(V342)*3-BIN2DEC(Z342))</f>
        <v>0</v>
      </c>
      <c r="AG343" s="58">
        <f>BIN2DEC(X342&amp;Y342)+BIN2DEC(W342)*3</f>
        <v>0</v>
      </c>
      <c r="AH343">
        <f>AD343+AE343*4+AF343*16</f>
        <v>0</v>
      </c>
    </row>
    <row r="344" spans="1:34" ht="129.6">
      <c r="A344" s="54" t="s">
        <v>70</v>
      </c>
      <c r="B344" s="54">
        <v>3</v>
      </c>
      <c r="C344" s="51" t="s">
        <v>141</v>
      </c>
      <c r="D344" s="49" t="s">
        <v>81</v>
      </c>
      <c r="E344" s="49" t="s">
        <v>80</v>
      </c>
      <c r="F344" s="49" t="s">
        <v>68</v>
      </c>
      <c r="G344" s="49" t="s">
        <v>36</v>
      </c>
      <c r="H344" s="49" t="s">
        <v>6</v>
      </c>
      <c r="I344" s="50"/>
      <c r="Q344" s="52"/>
      <c r="R344" s="324"/>
      <c r="S344" s="322"/>
      <c r="T344" s="312"/>
      <c r="U344" s="315"/>
      <c r="V344" s="322"/>
      <c r="W344" s="312"/>
      <c r="X344" s="315"/>
      <c r="Y344" s="315"/>
      <c r="Z344" s="315"/>
      <c r="AA344" s="318"/>
      <c r="AD344" s="58">
        <f>BIN2DEC($AA342)*3</f>
        <v>0</v>
      </c>
      <c r="AE344" s="58">
        <f>ABS(BIN2DEC($U342)*3-1)</f>
        <v>1</v>
      </c>
      <c r="AF344" s="58">
        <f>ABS( BIN2DEC(V342)*3-BIN2DEC(Z342))</f>
        <v>0</v>
      </c>
      <c r="AG344" s="58">
        <f>BIN2DEC(X342&amp;Y342)+BIN2DEC(W342)*3</f>
        <v>0</v>
      </c>
      <c r="AH344">
        <f t="shared" ref="AH344:AH346" si="111">AD344+AE344*4+AF344*16</f>
        <v>4</v>
      </c>
    </row>
    <row r="345" spans="1:34">
      <c r="A345" s="54" t="s">
        <v>71</v>
      </c>
      <c r="B345" s="54">
        <v>1</v>
      </c>
      <c r="C345" s="51" t="s">
        <v>141</v>
      </c>
      <c r="D345" s="49" t="s">
        <v>7</v>
      </c>
      <c r="E345" s="49" t="s">
        <v>73</v>
      </c>
      <c r="F345" s="49" t="s">
        <v>68</v>
      </c>
      <c r="G345" s="49" t="s">
        <v>36</v>
      </c>
      <c r="H345" s="49" t="s">
        <v>6</v>
      </c>
      <c r="I345" s="50"/>
      <c r="Q345" s="52"/>
      <c r="R345" s="324"/>
      <c r="S345" s="322"/>
      <c r="T345" s="312"/>
      <c r="U345" s="315"/>
      <c r="V345" s="322"/>
      <c r="W345" s="312"/>
      <c r="X345" s="315"/>
      <c r="Y345" s="315"/>
      <c r="Z345" s="315"/>
      <c r="AA345" s="318"/>
      <c r="AD345" s="58">
        <f>ABS(BIN2DEC($AA342)*3-2)</f>
        <v>2</v>
      </c>
      <c r="AE345" s="58">
        <f>ABS(BIN2DEC($U342)*3)</f>
        <v>0</v>
      </c>
      <c r="AF345" s="58">
        <f>ABS( BIN2DEC(V342)*3-BIN2DEC(Z342))</f>
        <v>0</v>
      </c>
      <c r="AG345" s="58">
        <f>BIN2DEC(X342&amp;Y342)+BIN2DEC(W342)*3</f>
        <v>0</v>
      </c>
      <c r="AH345">
        <f t="shared" si="111"/>
        <v>2</v>
      </c>
    </row>
    <row r="346" spans="1:34" ht="15" thickBot="1">
      <c r="A346" s="54" t="s">
        <v>72</v>
      </c>
      <c r="B346" s="54">
        <v>1</v>
      </c>
      <c r="C346" s="51" t="s">
        <v>141</v>
      </c>
      <c r="D346" s="49" t="s">
        <v>7</v>
      </c>
      <c r="E346" s="49" t="s">
        <v>74</v>
      </c>
      <c r="F346" s="49" t="s">
        <v>68</v>
      </c>
      <c r="G346" s="49" t="s">
        <v>36</v>
      </c>
      <c r="H346" s="49" t="s">
        <v>6</v>
      </c>
      <c r="I346" s="50"/>
      <c r="Q346" s="52"/>
      <c r="R346" s="324"/>
      <c r="S346" s="323"/>
      <c r="T346" s="313"/>
      <c r="U346" s="316"/>
      <c r="V346" s="323"/>
      <c r="W346" s="313"/>
      <c r="X346" s="316"/>
      <c r="Y346" s="316"/>
      <c r="Z346" s="316"/>
      <c r="AA346" s="319"/>
      <c r="AD346" s="58">
        <f>ABS(BIN2DEC($AA342)*3-2)</f>
        <v>2</v>
      </c>
      <c r="AE346" s="58">
        <f>ABS(BIN2DEC($U342)*3-1)</f>
        <v>1</v>
      </c>
      <c r="AF346" s="58">
        <f>ABS( BIN2DEC(V342)*3-BIN2DEC(Z342))</f>
        <v>0</v>
      </c>
      <c r="AG346" s="58">
        <f>BIN2DEC(X342&amp;Y342)+BIN2DEC(W342)*3</f>
        <v>0</v>
      </c>
      <c r="AH346">
        <f t="shared" si="111"/>
        <v>6</v>
      </c>
    </row>
    <row r="347" spans="1:34">
      <c r="A347" s="54">
        <f>AA347</f>
        <v>0</v>
      </c>
      <c r="B347" s="54">
        <v>5</v>
      </c>
      <c r="C347" s="48" t="str">
        <f>IF(B347&gt;1,(23)&amp;":"&amp;(23-B347+1),(23-B347+1)&amp;":"&amp;(23-B347+1))</f>
        <v>23:19</v>
      </c>
      <c r="D347" s="49" t="s">
        <v>78</v>
      </c>
      <c r="E347" s="49" t="s">
        <v>69</v>
      </c>
      <c r="F347" s="49" t="s">
        <v>68</v>
      </c>
      <c r="G347" s="49" t="s">
        <v>36</v>
      </c>
      <c r="H347" s="49" t="s">
        <v>6</v>
      </c>
      <c r="I347" s="50"/>
      <c r="L347" t="str">
        <f>DEC2HEX(_xlfn.BITLSHIFT(HEX2DEC(P347),2))</f>
        <v>0</v>
      </c>
      <c r="N347">
        <v>2</v>
      </c>
      <c r="P347" t="str">
        <f>Z347</f>
        <v>0</v>
      </c>
      <c r="Q347" s="52" t="e">
        <f>BIN2HEX(LEFT(RIGHT(C347,32),4))&amp;BIN2HEX(LEFT(RIGHT(C347,28),4))&amp;BIN2HEX(LEFT(RIGHT(C347,24),4))&amp;BIN2HEX(LEFT(RIGHT(C347,20),4))&amp;BIN2HEX(LEFT(RIGHT(C347,16),4))&amp;BIN2HEX(LEFT(RIGHT(C347,12),4))&amp;BIN2HEX(LEFT(RIGHT(C347,8),4))&amp;BIN2HEX(LEFT(RIGHT(C347,4),4))</f>
        <v>#NUM!</v>
      </c>
      <c r="R347" s="324">
        <v>21</v>
      </c>
      <c r="S347" s="321"/>
      <c r="T347" s="311"/>
      <c r="U347" s="314"/>
      <c r="V347" s="321"/>
      <c r="W347" s="311"/>
      <c r="X347" s="314"/>
      <c r="Y347" s="314"/>
      <c r="Z347" s="314" t="str">
        <f t="shared" ref="Z347" si="112">BIN2HEX(S347&amp;T347&amp;U347&amp;V347&amp;W347&amp;X347&amp;Y347)</f>
        <v>0</v>
      </c>
      <c r="AA347" s="317"/>
      <c r="AD347" s="58"/>
      <c r="AE347" s="58"/>
      <c r="AF347" s="58"/>
      <c r="AG347" s="58"/>
    </row>
    <row r="348" spans="1:34">
      <c r="A348" s="54" t="s">
        <v>77</v>
      </c>
      <c r="B348" s="54">
        <v>1</v>
      </c>
      <c r="C348" s="51" t="s">
        <v>141</v>
      </c>
      <c r="D348" s="49" t="s">
        <v>7</v>
      </c>
      <c r="E348" s="49" t="s">
        <v>77</v>
      </c>
      <c r="F348" s="49" t="s">
        <v>68</v>
      </c>
      <c r="G348" s="49" t="s">
        <v>36</v>
      </c>
      <c r="H348" s="49" t="s">
        <v>6</v>
      </c>
      <c r="I348" s="50"/>
      <c r="Q348" s="52"/>
      <c r="R348" s="324"/>
      <c r="S348" s="322"/>
      <c r="T348" s="312"/>
      <c r="U348" s="315"/>
      <c r="V348" s="322"/>
      <c r="W348" s="312"/>
      <c r="X348" s="315"/>
      <c r="Y348" s="315"/>
      <c r="Z348" s="315"/>
      <c r="AA348" s="318"/>
      <c r="AD348" s="58">
        <f>BIN2DEC($AA347)*3</f>
        <v>0</v>
      </c>
      <c r="AE348" s="58">
        <f>ABS(BIN2DEC($U347)*3)</f>
        <v>0</v>
      </c>
      <c r="AF348" s="58">
        <f>ABS( BIN2DEC(V347)*3-BIN2DEC(Z347))</f>
        <v>0</v>
      </c>
      <c r="AG348" s="58">
        <f>BIN2DEC(X347&amp;Y347)+BIN2DEC(W347)*3</f>
        <v>0</v>
      </c>
      <c r="AH348">
        <f>AD348+AE348*4+AF348*16</f>
        <v>0</v>
      </c>
    </row>
    <row r="349" spans="1:34" ht="129.6">
      <c r="A349" s="54" t="s">
        <v>70</v>
      </c>
      <c r="B349" s="54">
        <v>3</v>
      </c>
      <c r="C349" s="51" t="s">
        <v>141</v>
      </c>
      <c r="D349" s="49" t="s">
        <v>81</v>
      </c>
      <c r="E349" s="49" t="s">
        <v>80</v>
      </c>
      <c r="F349" s="49" t="s">
        <v>68</v>
      </c>
      <c r="G349" s="49" t="s">
        <v>36</v>
      </c>
      <c r="H349" s="49" t="s">
        <v>6</v>
      </c>
      <c r="I349" s="50"/>
      <c r="Q349" s="52"/>
      <c r="R349" s="324"/>
      <c r="S349" s="322"/>
      <c r="T349" s="312"/>
      <c r="U349" s="315"/>
      <c r="V349" s="322"/>
      <c r="W349" s="312"/>
      <c r="X349" s="315"/>
      <c r="Y349" s="315"/>
      <c r="Z349" s="315"/>
      <c r="AA349" s="318"/>
      <c r="AD349" s="58">
        <f>BIN2DEC($AA347)*3</f>
        <v>0</v>
      </c>
      <c r="AE349" s="58">
        <f>ABS(BIN2DEC($U347)*3-1)</f>
        <v>1</v>
      </c>
      <c r="AF349" s="58">
        <f>ABS( BIN2DEC(V347)*3-BIN2DEC(Z347))</f>
        <v>0</v>
      </c>
      <c r="AG349" s="58">
        <f>BIN2DEC(X347&amp;Y347)+BIN2DEC(W347)*3</f>
        <v>0</v>
      </c>
      <c r="AH349">
        <f t="shared" ref="AH349:AH351" si="113">AD349+AE349*4+AF349*16</f>
        <v>4</v>
      </c>
    </row>
    <row r="350" spans="1:34">
      <c r="A350" s="54" t="s">
        <v>71</v>
      </c>
      <c r="B350" s="54">
        <v>1</v>
      </c>
      <c r="C350" s="51" t="s">
        <v>141</v>
      </c>
      <c r="D350" s="49" t="s">
        <v>7</v>
      </c>
      <c r="E350" s="49" t="s">
        <v>73</v>
      </c>
      <c r="F350" s="49" t="s">
        <v>68</v>
      </c>
      <c r="G350" s="49" t="s">
        <v>36</v>
      </c>
      <c r="H350" s="49" t="s">
        <v>6</v>
      </c>
      <c r="I350" s="50"/>
      <c r="Q350" s="52"/>
      <c r="R350" s="324"/>
      <c r="S350" s="322"/>
      <c r="T350" s="312"/>
      <c r="U350" s="315"/>
      <c r="V350" s="322"/>
      <c r="W350" s="312"/>
      <c r="X350" s="315"/>
      <c r="Y350" s="315"/>
      <c r="Z350" s="315"/>
      <c r="AA350" s="318"/>
      <c r="AD350" s="58">
        <f>ABS(BIN2DEC($AA347)*3-2)</f>
        <v>2</v>
      </c>
      <c r="AE350" s="58">
        <f>ABS(BIN2DEC($U347)*3)</f>
        <v>0</v>
      </c>
      <c r="AF350" s="58">
        <f>ABS( BIN2DEC(V347)*3-BIN2DEC(Z347))</f>
        <v>0</v>
      </c>
      <c r="AG350" s="58">
        <f>BIN2DEC(X347&amp;Y347)+BIN2DEC(W347)*3</f>
        <v>0</v>
      </c>
      <c r="AH350">
        <f t="shared" si="113"/>
        <v>2</v>
      </c>
    </row>
    <row r="351" spans="1:34" ht="15" thickBot="1">
      <c r="A351" s="54" t="s">
        <v>72</v>
      </c>
      <c r="B351" s="54">
        <v>1</v>
      </c>
      <c r="C351" s="51" t="s">
        <v>141</v>
      </c>
      <c r="D351" s="49" t="s">
        <v>7</v>
      </c>
      <c r="E351" s="49" t="s">
        <v>74</v>
      </c>
      <c r="F351" s="49" t="s">
        <v>68</v>
      </c>
      <c r="G351" s="49" t="s">
        <v>36</v>
      </c>
      <c r="H351" s="49" t="s">
        <v>6</v>
      </c>
      <c r="I351" s="50"/>
      <c r="Q351" s="52"/>
      <c r="R351" s="324"/>
      <c r="S351" s="323"/>
      <c r="T351" s="313"/>
      <c r="U351" s="316"/>
      <c r="V351" s="323"/>
      <c r="W351" s="313"/>
      <c r="X351" s="316"/>
      <c r="Y351" s="316"/>
      <c r="Z351" s="316"/>
      <c r="AA351" s="319"/>
      <c r="AD351" s="58">
        <f>ABS(BIN2DEC($AA347)*3-2)</f>
        <v>2</v>
      </c>
      <c r="AE351" s="58">
        <f>ABS(BIN2DEC($U347)*3-1)</f>
        <v>1</v>
      </c>
      <c r="AF351" s="58">
        <f>ABS( BIN2DEC(V347)*3-BIN2DEC(Z347))</f>
        <v>0</v>
      </c>
      <c r="AG351" s="58">
        <f>BIN2DEC(X347&amp;Y347)+BIN2DEC(W347)*3</f>
        <v>0</v>
      </c>
      <c r="AH351">
        <f t="shared" si="113"/>
        <v>6</v>
      </c>
    </row>
    <row r="352" spans="1:34">
      <c r="A352" s="54">
        <f>AA352</f>
        <v>0</v>
      </c>
      <c r="B352" s="54">
        <v>5</v>
      </c>
      <c r="C352" s="48" t="str">
        <f>IF(B352&gt;1,(23)&amp;":"&amp;(23-B352+1),(23-B352+1)&amp;":"&amp;(23-B352+1))</f>
        <v>23:19</v>
      </c>
      <c r="D352" s="49" t="s">
        <v>78</v>
      </c>
      <c r="E352" s="49" t="s">
        <v>69</v>
      </c>
      <c r="F352" s="49" t="s">
        <v>68</v>
      </c>
      <c r="G352" s="49" t="s">
        <v>36</v>
      </c>
      <c r="H352" s="49" t="s">
        <v>6</v>
      </c>
      <c r="I352" s="50"/>
      <c r="L352" t="str">
        <f>DEC2HEX(_xlfn.BITLSHIFT(HEX2DEC(P352),2))</f>
        <v>0</v>
      </c>
      <c r="N352">
        <v>2</v>
      </c>
      <c r="P352" t="str">
        <f>Z352</f>
        <v>0</v>
      </c>
      <c r="Q352" s="52" t="e">
        <f>BIN2HEX(LEFT(RIGHT(C352,32),4))&amp;BIN2HEX(LEFT(RIGHT(C352,28),4))&amp;BIN2HEX(LEFT(RIGHT(C352,24),4))&amp;BIN2HEX(LEFT(RIGHT(C352,20),4))&amp;BIN2HEX(LEFT(RIGHT(C352,16),4))&amp;BIN2HEX(LEFT(RIGHT(C352,12),4))&amp;BIN2HEX(LEFT(RIGHT(C352,8),4))&amp;BIN2HEX(LEFT(RIGHT(C352,4),4))</f>
        <v>#NUM!</v>
      </c>
      <c r="R352" s="324">
        <v>22</v>
      </c>
      <c r="S352" s="321"/>
      <c r="T352" s="311"/>
      <c r="U352" s="314"/>
      <c r="V352" s="321"/>
      <c r="W352" s="311"/>
      <c r="X352" s="314"/>
      <c r="Y352" s="314"/>
      <c r="Z352" s="314" t="str">
        <f t="shared" ref="Z352" si="114">BIN2HEX(S352&amp;T352&amp;U352&amp;V352&amp;W352&amp;X352&amp;Y352)</f>
        <v>0</v>
      </c>
      <c r="AA352" s="317"/>
      <c r="AD352" s="58"/>
      <c r="AE352" s="58"/>
      <c r="AF352" s="58"/>
      <c r="AG352" s="58"/>
    </row>
    <row r="353" spans="1:34">
      <c r="A353" s="54" t="s">
        <v>77</v>
      </c>
      <c r="B353" s="54">
        <v>1</v>
      </c>
      <c r="C353" s="51" t="s">
        <v>141</v>
      </c>
      <c r="D353" s="49" t="s">
        <v>7</v>
      </c>
      <c r="E353" s="49" t="s">
        <v>77</v>
      </c>
      <c r="F353" s="49" t="s">
        <v>68</v>
      </c>
      <c r="G353" s="49" t="s">
        <v>36</v>
      </c>
      <c r="H353" s="49" t="s">
        <v>6</v>
      </c>
      <c r="I353" s="50"/>
      <c r="Q353" s="52"/>
      <c r="R353" s="324"/>
      <c r="S353" s="322"/>
      <c r="T353" s="312"/>
      <c r="U353" s="315"/>
      <c r="V353" s="322"/>
      <c r="W353" s="312"/>
      <c r="X353" s="315"/>
      <c r="Y353" s="315"/>
      <c r="Z353" s="315"/>
      <c r="AA353" s="318"/>
      <c r="AD353" s="58">
        <f>BIN2DEC($AA352)*3</f>
        <v>0</v>
      </c>
      <c r="AE353" s="58">
        <f>ABS(BIN2DEC($U352)*3)</f>
        <v>0</v>
      </c>
      <c r="AF353" s="58">
        <f>ABS( BIN2DEC(V352)*3-BIN2DEC(Z352))</f>
        <v>0</v>
      </c>
      <c r="AG353" s="58">
        <f>BIN2DEC(X352&amp;Y352)+BIN2DEC(W352)*3</f>
        <v>0</v>
      </c>
      <c r="AH353">
        <f>AD353+AE353*4+AF353*16</f>
        <v>0</v>
      </c>
    </row>
    <row r="354" spans="1:34" ht="129.6">
      <c r="A354" s="54" t="s">
        <v>70</v>
      </c>
      <c r="B354" s="54">
        <v>3</v>
      </c>
      <c r="C354" s="51" t="s">
        <v>141</v>
      </c>
      <c r="D354" s="49" t="s">
        <v>81</v>
      </c>
      <c r="E354" s="49" t="s">
        <v>80</v>
      </c>
      <c r="F354" s="49" t="s">
        <v>68</v>
      </c>
      <c r="G354" s="49" t="s">
        <v>36</v>
      </c>
      <c r="H354" s="49" t="s">
        <v>6</v>
      </c>
      <c r="I354" s="50"/>
      <c r="Q354" s="52"/>
      <c r="R354" s="324"/>
      <c r="S354" s="322"/>
      <c r="T354" s="312"/>
      <c r="U354" s="315"/>
      <c r="V354" s="322"/>
      <c r="W354" s="312"/>
      <c r="X354" s="315"/>
      <c r="Y354" s="315"/>
      <c r="Z354" s="315"/>
      <c r="AA354" s="318"/>
      <c r="AD354" s="58">
        <f>BIN2DEC($AA352)*3</f>
        <v>0</v>
      </c>
      <c r="AE354" s="58">
        <f>ABS(BIN2DEC($U352)*3-1)</f>
        <v>1</v>
      </c>
      <c r="AF354" s="58">
        <f>ABS( BIN2DEC(V352)*3-BIN2DEC(Z352))</f>
        <v>0</v>
      </c>
      <c r="AG354" s="58">
        <f>BIN2DEC(X352&amp;Y352)+BIN2DEC(W352)*3</f>
        <v>0</v>
      </c>
      <c r="AH354">
        <f t="shared" ref="AH354:AH356" si="115">AD354+AE354*4+AF354*16</f>
        <v>4</v>
      </c>
    </row>
    <row r="355" spans="1:34">
      <c r="A355" s="54" t="s">
        <v>71</v>
      </c>
      <c r="B355" s="54">
        <v>1</v>
      </c>
      <c r="C355" s="51" t="s">
        <v>141</v>
      </c>
      <c r="D355" s="49" t="s">
        <v>7</v>
      </c>
      <c r="E355" s="49" t="s">
        <v>73</v>
      </c>
      <c r="F355" s="49" t="s">
        <v>68</v>
      </c>
      <c r="G355" s="49" t="s">
        <v>36</v>
      </c>
      <c r="H355" s="49" t="s">
        <v>6</v>
      </c>
      <c r="I355" s="50"/>
      <c r="Q355" s="52"/>
      <c r="R355" s="324"/>
      <c r="S355" s="322"/>
      <c r="T355" s="312"/>
      <c r="U355" s="315"/>
      <c r="V355" s="322"/>
      <c r="W355" s="312"/>
      <c r="X355" s="315"/>
      <c r="Y355" s="315"/>
      <c r="Z355" s="315"/>
      <c r="AA355" s="318"/>
      <c r="AD355" s="58">
        <f>ABS(BIN2DEC($AA352)*3-2)</f>
        <v>2</v>
      </c>
      <c r="AE355" s="58">
        <f>ABS(BIN2DEC($U352)*3)</f>
        <v>0</v>
      </c>
      <c r="AF355" s="58">
        <f>ABS( BIN2DEC(V352)*3-BIN2DEC(Z352))</f>
        <v>0</v>
      </c>
      <c r="AG355" s="58">
        <f>BIN2DEC(X352&amp;Y352)+BIN2DEC(W352)*3</f>
        <v>0</v>
      </c>
      <c r="AH355">
        <f t="shared" si="115"/>
        <v>2</v>
      </c>
    </row>
    <row r="356" spans="1:34" ht="15" thickBot="1">
      <c r="A356" s="54" t="s">
        <v>72</v>
      </c>
      <c r="B356" s="54">
        <v>1</v>
      </c>
      <c r="C356" s="51" t="s">
        <v>141</v>
      </c>
      <c r="D356" s="49" t="s">
        <v>7</v>
      </c>
      <c r="E356" s="49" t="s">
        <v>74</v>
      </c>
      <c r="F356" s="49" t="s">
        <v>68</v>
      </c>
      <c r="G356" s="49" t="s">
        <v>36</v>
      </c>
      <c r="H356" s="49" t="s">
        <v>6</v>
      </c>
      <c r="I356" s="50"/>
      <c r="Q356" s="52"/>
      <c r="R356" s="324"/>
      <c r="S356" s="323"/>
      <c r="T356" s="313"/>
      <c r="U356" s="316"/>
      <c r="V356" s="323"/>
      <c r="W356" s="313"/>
      <c r="X356" s="316"/>
      <c r="Y356" s="316"/>
      <c r="Z356" s="316"/>
      <c r="AA356" s="319"/>
      <c r="AD356" s="58">
        <f>ABS(BIN2DEC($AA352)*3-2)</f>
        <v>2</v>
      </c>
      <c r="AE356" s="58">
        <f>ABS(BIN2DEC($U352)*3-1)</f>
        <v>1</v>
      </c>
      <c r="AF356" s="58">
        <f>ABS( BIN2DEC(V352)*3-BIN2DEC(Z352))</f>
        <v>0</v>
      </c>
      <c r="AG356" s="58">
        <f>BIN2DEC(X352&amp;Y352)+BIN2DEC(W352)*3</f>
        <v>0</v>
      </c>
      <c r="AH356">
        <f t="shared" si="115"/>
        <v>6</v>
      </c>
    </row>
    <row r="357" spans="1:34">
      <c r="A357" s="54">
        <f>AA357</f>
        <v>0</v>
      </c>
      <c r="B357" s="54">
        <v>5</v>
      </c>
      <c r="C357" s="48" t="str">
        <f>IF(B357&gt;1,(23)&amp;":"&amp;(23-B357+1),(23-B357+1)&amp;":"&amp;(23-B357+1))</f>
        <v>23:19</v>
      </c>
      <c r="D357" s="49" t="s">
        <v>78</v>
      </c>
      <c r="E357" s="49" t="s">
        <v>69</v>
      </c>
      <c r="F357" s="49" t="s">
        <v>68</v>
      </c>
      <c r="G357" s="49" t="s">
        <v>36</v>
      </c>
      <c r="H357" s="49" t="s">
        <v>6</v>
      </c>
      <c r="I357" s="50"/>
      <c r="L357" t="str">
        <f>DEC2HEX(_xlfn.BITLSHIFT(HEX2DEC(P357),2))</f>
        <v>0</v>
      </c>
      <c r="N357">
        <v>2</v>
      </c>
      <c r="P357" t="str">
        <f>Z357</f>
        <v>0</v>
      </c>
      <c r="Q357" s="52" t="e">
        <f>BIN2HEX(LEFT(RIGHT(C357,32),4))&amp;BIN2HEX(LEFT(RIGHT(C357,28),4))&amp;BIN2HEX(LEFT(RIGHT(C357,24),4))&amp;BIN2HEX(LEFT(RIGHT(C357,20),4))&amp;BIN2HEX(LEFT(RIGHT(C357,16),4))&amp;BIN2HEX(LEFT(RIGHT(C357,12),4))&amp;BIN2HEX(LEFT(RIGHT(C357,8),4))&amp;BIN2HEX(LEFT(RIGHT(C357,4),4))</f>
        <v>#NUM!</v>
      </c>
      <c r="R357" s="324">
        <v>23</v>
      </c>
      <c r="S357" s="321"/>
      <c r="T357" s="311"/>
      <c r="U357" s="314"/>
      <c r="V357" s="321"/>
      <c r="W357" s="311"/>
      <c r="X357" s="314"/>
      <c r="Y357" s="314"/>
      <c r="Z357" s="314" t="str">
        <f t="shared" ref="Z357" si="116">BIN2HEX(S357&amp;T357&amp;U357&amp;V357&amp;W357&amp;X357&amp;Y357)</f>
        <v>0</v>
      </c>
      <c r="AA357" s="317"/>
      <c r="AD357" s="58"/>
      <c r="AE357" s="58"/>
      <c r="AF357" s="58"/>
      <c r="AG357" s="58"/>
    </row>
    <row r="358" spans="1:34">
      <c r="A358" s="54" t="s">
        <v>77</v>
      </c>
      <c r="B358" s="54">
        <v>1</v>
      </c>
      <c r="C358" s="51" t="s">
        <v>141</v>
      </c>
      <c r="D358" s="49" t="s">
        <v>7</v>
      </c>
      <c r="E358" s="49" t="s">
        <v>77</v>
      </c>
      <c r="F358" s="49" t="s">
        <v>68</v>
      </c>
      <c r="G358" s="49" t="s">
        <v>36</v>
      </c>
      <c r="H358" s="49" t="s">
        <v>6</v>
      </c>
      <c r="I358" s="50"/>
      <c r="Q358" s="52"/>
      <c r="R358" s="324"/>
      <c r="S358" s="322"/>
      <c r="T358" s="312"/>
      <c r="U358" s="315"/>
      <c r="V358" s="322"/>
      <c r="W358" s="312"/>
      <c r="X358" s="315"/>
      <c r="Y358" s="315"/>
      <c r="Z358" s="315"/>
      <c r="AA358" s="318"/>
      <c r="AD358" s="58">
        <f>BIN2DEC($AA357)*3</f>
        <v>0</v>
      </c>
      <c r="AE358" s="58">
        <f>ABS(BIN2DEC($U357)*3)</f>
        <v>0</v>
      </c>
      <c r="AF358" s="58">
        <f>ABS( BIN2DEC(V357)*3-BIN2DEC(Z357))</f>
        <v>0</v>
      </c>
      <c r="AG358" s="58">
        <f>BIN2DEC(X357&amp;Y357)+BIN2DEC(W357)*3</f>
        <v>0</v>
      </c>
      <c r="AH358">
        <f>AD358+AE358*4+AF358*16</f>
        <v>0</v>
      </c>
    </row>
    <row r="359" spans="1:34" ht="129.6">
      <c r="A359" s="54" t="s">
        <v>70</v>
      </c>
      <c r="B359" s="54">
        <v>3</v>
      </c>
      <c r="C359" s="51" t="s">
        <v>141</v>
      </c>
      <c r="D359" s="49" t="s">
        <v>81</v>
      </c>
      <c r="E359" s="49" t="s">
        <v>80</v>
      </c>
      <c r="F359" s="49" t="s">
        <v>68</v>
      </c>
      <c r="G359" s="49" t="s">
        <v>36</v>
      </c>
      <c r="H359" s="49" t="s">
        <v>6</v>
      </c>
      <c r="I359" s="50"/>
      <c r="Q359" s="52"/>
      <c r="R359" s="324"/>
      <c r="S359" s="322"/>
      <c r="T359" s="312"/>
      <c r="U359" s="315"/>
      <c r="V359" s="322"/>
      <c r="W359" s="312"/>
      <c r="X359" s="315"/>
      <c r="Y359" s="315"/>
      <c r="Z359" s="315"/>
      <c r="AA359" s="318"/>
      <c r="AD359" s="58">
        <f>BIN2DEC($AA357)*3</f>
        <v>0</v>
      </c>
      <c r="AE359" s="58">
        <f>ABS(BIN2DEC($U357)*3-1)</f>
        <v>1</v>
      </c>
      <c r="AF359" s="58">
        <f>ABS( BIN2DEC(V357)*3-BIN2DEC(Z357))</f>
        <v>0</v>
      </c>
      <c r="AG359" s="58">
        <f>BIN2DEC(X357&amp;Y357)+BIN2DEC(W357)*3</f>
        <v>0</v>
      </c>
      <c r="AH359">
        <f t="shared" ref="AH359:AH361" si="117">AD359+AE359*4+AF359*16</f>
        <v>4</v>
      </c>
    </row>
    <row r="360" spans="1:34">
      <c r="A360" s="54" t="s">
        <v>71</v>
      </c>
      <c r="B360" s="54">
        <v>1</v>
      </c>
      <c r="C360" s="51" t="s">
        <v>141</v>
      </c>
      <c r="D360" s="49" t="s">
        <v>7</v>
      </c>
      <c r="E360" s="49" t="s">
        <v>73</v>
      </c>
      <c r="F360" s="49" t="s">
        <v>68</v>
      </c>
      <c r="G360" s="49" t="s">
        <v>36</v>
      </c>
      <c r="H360" s="49" t="s">
        <v>6</v>
      </c>
      <c r="I360" s="50"/>
      <c r="Q360" s="52"/>
      <c r="R360" s="324"/>
      <c r="S360" s="322"/>
      <c r="T360" s="312"/>
      <c r="U360" s="315"/>
      <c r="V360" s="322"/>
      <c r="W360" s="312"/>
      <c r="X360" s="315"/>
      <c r="Y360" s="315"/>
      <c r="Z360" s="315"/>
      <c r="AA360" s="318"/>
      <c r="AD360" s="58">
        <f>ABS(BIN2DEC($AA357)*3-2)</f>
        <v>2</v>
      </c>
      <c r="AE360" s="58">
        <f>ABS(BIN2DEC($U357)*3)</f>
        <v>0</v>
      </c>
      <c r="AF360" s="58">
        <f>ABS( BIN2DEC(V357)*3-BIN2DEC(Z357))</f>
        <v>0</v>
      </c>
      <c r="AG360" s="58">
        <f>BIN2DEC(X357&amp;Y357)+BIN2DEC(W357)*3</f>
        <v>0</v>
      </c>
      <c r="AH360">
        <f t="shared" si="117"/>
        <v>2</v>
      </c>
    </row>
    <row r="361" spans="1:34" ht="15" thickBot="1">
      <c r="A361" s="54" t="s">
        <v>72</v>
      </c>
      <c r="B361" s="54">
        <v>1</v>
      </c>
      <c r="C361" s="51" t="s">
        <v>141</v>
      </c>
      <c r="D361" s="49" t="s">
        <v>7</v>
      </c>
      <c r="E361" s="49" t="s">
        <v>74</v>
      </c>
      <c r="F361" s="49" t="s">
        <v>68</v>
      </c>
      <c r="G361" s="49" t="s">
        <v>36</v>
      </c>
      <c r="H361" s="49" t="s">
        <v>6</v>
      </c>
      <c r="I361" s="50"/>
      <c r="Q361" s="52"/>
      <c r="R361" s="324"/>
      <c r="S361" s="323"/>
      <c r="T361" s="313"/>
      <c r="U361" s="316"/>
      <c r="V361" s="323"/>
      <c r="W361" s="313"/>
      <c r="X361" s="316"/>
      <c r="Y361" s="316"/>
      <c r="Z361" s="316"/>
      <c r="AA361" s="319"/>
      <c r="AD361" s="58">
        <f>ABS(BIN2DEC($AA357)*3-2)</f>
        <v>2</v>
      </c>
      <c r="AE361" s="58">
        <f>ABS(BIN2DEC($U357)*3-1)</f>
        <v>1</v>
      </c>
      <c r="AF361" s="58">
        <f>ABS( BIN2DEC(V357)*3-BIN2DEC(Z357))</f>
        <v>0</v>
      </c>
      <c r="AG361" s="58">
        <f>BIN2DEC(X357&amp;Y357)+BIN2DEC(W357)*3</f>
        <v>0</v>
      </c>
      <c r="AH361">
        <f t="shared" si="117"/>
        <v>6</v>
      </c>
    </row>
    <row r="362" spans="1:34">
      <c r="A362" s="55">
        <f>AA362</f>
        <v>0</v>
      </c>
      <c r="B362" s="55">
        <v>5</v>
      </c>
      <c r="C362" s="48" t="str">
        <f>IF(B362&gt;1,(23)&amp;":"&amp;(23-B362+1),(23-B362+1)&amp;":"&amp;(23-B362+1))</f>
        <v>23:19</v>
      </c>
      <c r="D362" s="49" t="s">
        <v>78</v>
      </c>
      <c r="E362" s="49" t="s">
        <v>69</v>
      </c>
      <c r="F362" s="49" t="s">
        <v>68</v>
      </c>
      <c r="G362" s="49" t="s">
        <v>36</v>
      </c>
      <c r="H362" s="49" t="s">
        <v>6</v>
      </c>
      <c r="I362" s="50"/>
      <c r="L362" t="str">
        <f>DEC2HEX(_xlfn.BITLSHIFT(HEX2DEC(P362),2))</f>
        <v>0</v>
      </c>
      <c r="N362">
        <v>3</v>
      </c>
      <c r="P362" t="str">
        <f>Z362</f>
        <v>0</v>
      </c>
      <c r="Q362" s="52" t="e">
        <f>BIN2HEX(LEFT(RIGHT(C362,32),4))&amp;BIN2HEX(LEFT(RIGHT(C362,28),4))&amp;BIN2HEX(LEFT(RIGHT(C362,24),4))&amp;BIN2HEX(LEFT(RIGHT(C362,20),4))&amp;BIN2HEX(LEFT(RIGHT(C362,16),4))&amp;BIN2HEX(LEFT(RIGHT(C362,12),4))&amp;BIN2HEX(LEFT(RIGHT(C362,8),4))&amp;BIN2HEX(LEFT(RIGHT(C362,4),4))</f>
        <v>#NUM!</v>
      </c>
      <c r="R362" s="320">
        <v>0</v>
      </c>
      <c r="S362" s="321"/>
      <c r="T362" s="311"/>
      <c r="U362" s="314"/>
      <c r="V362" s="321"/>
      <c r="W362" s="311"/>
      <c r="X362" s="314"/>
      <c r="Y362" s="314"/>
      <c r="Z362" s="314" t="str">
        <f t="shared" ref="Z362" si="118">BIN2HEX(S362&amp;T362&amp;U362&amp;V362&amp;W362&amp;X362&amp;Y362)</f>
        <v>0</v>
      </c>
      <c r="AA362" s="317"/>
      <c r="AD362" s="58"/>
      <c r="AE362" s="58"/>
      <c r="AF362" s="58"/>
      <c r="AG362" s="58"/>
    </row>
    <row r="363" spans="1:34">
      <c r="A363" s="55" t="s">
        <v>77</v>
      </c>
      <c r="B363" s="55">
        <v>1</v>
      </c>
      <c r="C363" s="51" t="s">
        <v>141</v>
      </c>
      <c r="D363" s="49" t="s">
        <v>7</v>
      </c>
      <c r="E363" s="49" t="s">
        <v>77</v>
      </c>
      <c r="F363" s="49" t="s">
        <v>68</v>
      </c>
      <c r="G363" s="49" t="s">
        <v>36</v>
      </c>
      <c r="H363" s="49" t="s">
        <v>6</v>
      </c>
      <c r="I363" s="50"/>
      <c r="Q363" s="52"/>
      <c r="R363" s="320"/>
      <c r="S363" s="322"/>
      <c r="T363" s="312"/>
      <c r="U363" s="315"/>
      <c r="V363" s="322"/>
      <c r="W363" s="312"/>
      <c r="X363" s="315"/>
      <c r="Y363" s="315"/>
      <c r="Z363" s="315"/>
      <c r="AA363" s="318"/>
      <c r="AD363" s="58">
        <f>BIN2DEC($AA362)*3</f>
        <v>0</v>
      </c>
      <c r="AE363" s="58">
        <f>ABS(BIN2DEC($U362)*3)</f>
        <v>0</v>
      </c>
      <c r="AF363" s="58">
        <f>ABS( BIN2DEC(V362)*3-BIN2DEC(Z362))</f>
        <v>0</v>
      </c>
      <c r="AG363" s="58">
        <f>BIN2DEC(X362&amp;Y362)+BIN2DEC(W362)*3</f>
        <v>0</v>
      </c>
      <c r="AH363">
        <f>AD363+AE363*4+AF363*16</f>
        <v>0</v>
      </c>
    </row>
    <row r="364" spans="1:34" ht="129.6">
      <c r="A364" s="55" t="s">
        <v>70</v>
      </c>
      <c r="B364" s="55">
        <v>3</v>
      </c>
      <c r="C364" s="51" t="s">
        <v>141</v>
      </c>
      <c r="D364" s="49" t="s">
        <v>81</v>
      </c>
      <c r="E364" s="49" t="s">
        <v>80</v>
      </c>
      <c r="F364" s="49" t="s">
        <v>68</v>
      </c>
      <c r="G364" s="49" t="s">
        <v>36</v>
      </c>
      <c r="H364" s="49" t="s">
        <v>6</v>
      </c>
      <c r="I364" s="50"/>
      <c r="Q364" s="52"/>
      <c r="R364" s="320"/>
      <c r="S364" s="322"/>
      <c r="T364" s="312"/>
      <c r="U364" s="315"/>
      <c r="V364" s="322"/>
      <c r="W364" s="312"/>
      <c r="X364" s="315"/>
      <c r="Y364" s="315"/>
      <c r="Z364" s="315"/>
      <c r="AA364" s="318"/>
      <c r="AD364" s="58">
        <f>BIN2DEC($AA362)*3</f>
        <v>0</v>
      </c>
      <c r="AE364" s="58">
        <f>ABS(BIN2DEC($U362)*3-1)</f>
        <v>1</v>
      </c>
      <c r="AF364" s="58">
        <f>ABS( BIN2DEC(V362)*3-BIN2DEC(Z362))</f>
        <v>0</v>
      </c>
      <c r="AG364" s="58">
        <f>BIN2DEC(X362&amp;Y362)+BIN2DEC(W362)*3</f>
        <v>0</v>
      </c>
      <c r="AH364">
        <f t="shared" ref="AH364:AH366" si="119">AD364+AE364*4+AF364*16</f>
        <v>4</v>
      </c>
    </row>
    <row r="365" spans="1:34">
      <c r="A365" s="55" t="s">
        <v>71</v>
      </c>
      <c r="B365" s="55">
        <v>1</v>
      </c>
      <c r="C365" s="51" t="s">
        <v>141</v>
      </c>
      <c r="D365" s="49" t="s">
        <v>7</v>
      </c>
      <c r="E365" s="49" t="s">
        <v>73</v>
      </c>
      <c r="F365" s="49" t="s">
        <v>68</v>
      </c>
      <c r="G365" s="49" t="s">
        <v>36</v>
      </c>
      <c r="H365" s="49" t="s">
        <v>6</v>
      </c>
      <c r="I365" s="50"/>
      <c r="Q365" s="52"/>
      <c r="R365" s="320"/>
      <c r="S365" s="322"/>
      <c r="T365" s="312"/>
      <c r="U365" s="315"/>
      <c r="V365" s="322"/>
      <c r="W365" s="312"/>
      <c r="X365" s="315"/>
      <c r="Y365" s="315"/>
      <c r="Z365" s="315"/>
      <c r="AA365" s="318"/>
      <c r="AD365" s="58">
        <f>ABS(BIN2DEC($AA362)*3-2)</f>
        <v>2</v>
      </c>
      <c r="AE365" s="58">
        <f>ABS(BIN2DEC($U362)*3)</f>
        <v>0</v>
      </c>
      <c r="AF365" s="58">
        <f>ABS( BIN2DEC(V362)*3-BIN2DEC(Z362))</f>
        <v>0</v>
      </c>
      <c r="AG365" s="58">
        <f>BIN2DEC(X362&amp;Y362)+BIN2DEC(W362)*3</f>
        <v>0</v>
      </c>
      <c r="AH365">
        <f t="shared" si="119"/>
        <v>2</v>
      </c>
    </row>
    <row r="366" spans="1:34" ht="15" thickBot="1">
      <c r="A366" s="55" t="s">
        <v>72</v>
      </c>
      <c r="B366" s="55">
        <v>1</v>
      </c>
      <c r="C366" s="51" t="s">
        <v>141</v>
      </c>
      <c r="D366" s="49" t="s">
        <v>7</v>
      </c>
      <c r="E366" s="49" t="s">
        <v>74</v>
      </c>
      <c r="F366" s="49" t="s">
        <v>68</v>
      </c>
      <c r="G366" s="49" t="s">
        <v>36</v>
      </c>
      <c r="H366" s="49" t="s">
        <v>6</v>
      </c>
      <c r="I366" s="50"/>
      <c r="Q366" s="52"/>
      <c r="R366" s="320"/>
      <c r="S366" s="323"/>
      <c r="T366" s="313"/>
      <c r="U366" s="316"/>
      <c r="V366" s="323"/>
      <c r="W366" s="313"/>
      <c r="X366" s="316"/>
      <c r="Y366" s="316"/>
      <c r="Z366" s="316"/>
      <c r="AA366" s="319"/>
      <c r="AD366" s="58">
        <f>ABS(BIN2DEC($AA362)*3-2)</f>
        <v>2</v>
      </c>
      <c r="AE366" s="58">
        <f>ABS(BIN2DEC($U362)*3-1)</f>
        <v>1</v>
      </c>
      <c r="AF366" s="58">
        <f>ABS( BIN2DEC(V362)*3-BIN2DEC(Z362))</f>
        <v>0</v>
      </c>
      <c r="AG366" s="58">
        <f>BIN2DEC(X362&amp;Y362)+BIN2DEC(W362)*3</f>
        <v>0</v>
      </c>
      <c r="AH366">
        <f t="shared" si="119"/>
        <v>6</v>
      </c>
    </row>
    <row r="367" spans="1:34">
      <c r="A367" s="55">
        <f>AA367</f>
        <v>0</v>
      </c>
      <c r="B367" s="55">
        <v>5</v>
      </c>
      <c r="C367" s="48" t="str">
        <f>IF(B367&gt;1,(23)&amp;":"&amp;(23-B367+1),(23-B367+1)&amp;":"&amp;(23-B367+1))</f>
        <v>23:19</v>
      </c>
      <c r="D367" s="49" t="s">
        <v>78</v>
      </c>
      <c r="E367" s="49" t="s">
        <v>69</v>
      </c>
      <c r="F367" s="49" t="s">
        <v>68</v>
      </c>
      <c r="G367" s="49" t="s">
        <v>36</v>
      </c>
      <c r="H367" s="49" t="s">
        <v>6</v>
      </c>
      <c r="I367" s="50"/>
      <c r="L367" t="str">
        <f>DEC2HEX(_xlfn.BITLSHIFT(HEX2DEC(P367),2))</f>
        <v>0</v>
      </c>
      <c r="N367">
        <v>3</v>
      </c>
      <c r="P367" t="str">
        <f>Z367</f>
        <v>0</v>
      </c>
      <c r="Q367" s="52" t="e">
        <f>BIN2HEX(LEFT(RIGHT(C367,32),4))&amp;BIN2HEX(LEFT(RIGHT(C367,28),4))&amp;BIN2HEX(LEFT(RIGHT(C367,24),4))&amp;BIN2HEX(LEFT(RIGHT(C367,20),4))&amp;BIN2HEX(LEFT(RIGHT(C367,16),4))&amp;BIN2HEX(LEFT(RIGHT(C367,12),4))&amp;BIN2HEX(LEFT(RIGHT(C367,8),4))&amp;BIN2HEX(LEFT(RIGHT(C367,4),4))</f>
        <v>#NUM!</v>
      </c>
      <c r="R367" s="320">
        <v>1</v>
      </c>
      <c r="S367" s="321"/>
      <c r="T367" s="311"/>
      <c r="U367" s="314"/>
      <c r="V367" s="321"/>
      <c r="W367" s="311"/>
      <c r="X367" s="314"/>
      <c r="Y367" s="314"/>
      <c r="Z367" s="314" t="str">
        <f t="shared" ref="Z367" si="120">BIN2HEX(S367&amp;T367&amp;U367&amp;V367&amp;W367&amp;X367&amp;Y367)</f>
        <v>0</v>
      </c>
      <c r="AA367" s="317"/>
      <c r="AD367" s="58"/>
      <c r="AE367" s="58"/>
      <c r="AF367" s="58"/>
      <c r="AG367" s="58"/>
    </row>
    <row r="368" spans="1:34">
      <c r="A368" s="55" t="s">
        <v>77</v>
      </c>
      <c r="B368" s="55">
        <v>1</v>
      </c>
      <c r="C368" s="51" t="s">
        <v>141</v>
      </c>
      <c r="D368" s="49" t="s">
        <v>7</v>
      </c>
      <c r="E368" s="49" t="s">
        <v>77</v>
      </c>
      <c r="F368" s="49" t="s">
        <v>68</v>
      </c>
      <c r="G368" s="49" t="s">
        <v>36</v>
      </c>
      <c r="H368" s="49" t="s">
        <v>6</v>
      </c>
      <c r="I368" s="50"/>
      <c r="Q368" s="52"/>
      <c r="R368" s="320"/>
      <c r="S368" s="322"/>
      <c r="T368" s="312"/>
      <c r="U368" s="315"/>
      <c r="V368" s="322"/>
      <c r="W368" s="312"/>
      <c r="X368" s="315"/>
      <c r="Y368" s="315"/>
      <c r="Z368" s="315"/>
      <c r="AA368" s="318"/>
      <c r="AD368" s="58">
        <f>BIN2DEC($AA367)*3</f>
        <v>0</v>
      </c>
      <c r="AE368" s="58">
        <f>ABS(BIN2DEC($U367)*3)</f>
        <v>0</v>
      </c>
      <c r="AF368" s="58">
        <f>ABS( BIN2DEC(V367)*3-BIN2DEC(Z367))</f>
        <v>0</v>
      </c>
      <c r="AG368" s="58">
        <f>BIN2DEC(X367&amp;Y367)+BIN2DEC(W367)*3</f>
        <v>0</v>
      </c>
      <c r="AH368">
        <f>AD368+AE368*4+AF368*16</f>
        <v>0</v>
      </c>
    </row>
    <row r="369" spans="1:34" ht="129.6">
      <c r="A369" s="55" t="s">
        <v>70</v>
      </c>
      <c r="B369" s="55">
        <v>3</v>
      </c>
      <c r="C369" s="51" t="s">
        <v>141</v>
      </c>
      <c r="D369" s="49" t="s">
        <v>81</v>
      </c>
      <c r="E369" s="49" t="s">
        <v>80</v>
      </c>
      <c r="F369" s="49" t="s">
        <v>68</v>
      </c>
      <c r="G369" s="49" t="s">
        <v>36</v>
      </c>
      <c r="H369" s="49" t="s">
        <v>6</v>
      </c>
      <c r="I369" s="50"/>
      <c r="Q369" s="52"/>
      <c r="R369" s="320"/>
      <c r="S369" s="322"/>
      <c r="T369" s="312"/>
      <c r="U369" s="315"/>
      <c r="V369" s="322"/>
      <c r="W369" s="312"/>
      <c r="X369" s="315"/>
      <c r="Y369" s="315"/>
      <c r="Z369" s="315"/>
      <c r="AA369" s="318"/>
      <c r="AD369" s="58">
        <f>BIN2DEC($AA367)*3</f>
        <v>0</v>
      </c>
      <c r="AE369" s="58">
        <f>ABS(BIN2DEC($U367)*3-1)</f>
        <v>1</v>
      </c>
      <c r="AF369" s="58">
        <f>ABS( BIN2DEC(V367)*3-BIN2DEC(Z367))</f>
        <v>0</v>
      </c>
      <c r="AG369" s="58">
        <f>BIN2DEC(X367&amp;Y367)+BIN2DEC(W367)*3</f>
        <v>0</v>
      </c>
      <c r="AH369">
        <f t="shared" ref="AH369:AH371" si="121">AD369+AE369*4+AF369*16</f>
        <v>4</v>
      </c>
    </row>
    <row r="370" spans="1:34">
      <c r="A370" s="55" t="s">
        <v>71</v>
      </c>
      <c r="B370" s="55">
        <v>1</v>
      </c>
      <c r="C370" s="51" t="s">
        <v>141</v>
      </c>
      <c r="D370" s="49" t="s">
        <v>7</v>
      </c>
      <c r="E370" s="49" t="s">
        <v>73</v>
      </c>
      <c r="F370" s="49" t="s">
        <v>68</v>
      </c>
      <c r="G370" s="49" t="s">
        <v>36</v>
      </c>
      <c r="H370" s="49" t="s">
        <v>6</v>
      </c>
      <c r="I370" s="50"/>
      <c r="Q370" s="52"/>
      <c r="R370" s="320"/>
      <c r="S370" s="322"/>
      <c r="T370" s="312"/>
      <c r="U370" s="315"/>
      <c r="V370" s="322"/>
      <c r="W370" s="312"/>
      <c r="X370" s="315"/>
      <c r="Y370" s="315"/>
      <c r="Z370" s="315"/>
      <c r="AA370" s="318"/>
      <c r="AD370" s="58">
        <f>ABS(BIN2DEC($AA367)*3-2)</f>
        <v>2</v>
      </c>
      <c r="AE370" s="58">
        <f>ABS(BIN2DEC($U367)*3)</f>
        <v>0</v>
      </c>
      <c r="AF370" s="58">
        <f>ABS( BIN2DEC(V367)*3-BIN2DEC(Z367))</f>
        <v>0</v>
      </c>
      <c r="AG370" s="58">
        <f>BIN2DEC(X367&amp;Y367)+BIN2DEC(W367)*3</f>
        <v>0</v>
      </c>
      <c r="AH370">
        <f t="shared" si="121"/>
        <v>2</v>
      </c>
    </row>
    <row r="371" spans="1:34" ht="15" thickBot="1">
      <c r="A371" s="55" t="s">
        <v>72</v>
      </c>
      <c r="B371" s="55">
        <v>1</v>
      </c>
      <c r="C371" s="51" t="s">
        <v>141</v>
      </c>
      <c r="D371" s="49" t="s">
        <v>7</v>
      </c>
      <c r="E371" s="49" t="s">
        <v>74</v>
      </c>
      <c r="F371" s="49" t="s">
        <v>68</v>
      </c>
      <c r="G371" s="49" t="s">
        <v>36</v>
      </c>
      <c r="H371" s="49" t="s">
        <v>6</v>
      </c>
      <c r="I371" s="50"/>
      <c r="Q371" s="52"/>
      <c r="R371" s="320"/>
      <c r="S371" s="323"/>
      <c r="T371" s="313"/>
      <c r="U371" s="316"/>
      <c r="V371" s="323"/>
      <c r="W371" s="313"/>
      <c r="X371" s="316"/>
      <c r="Y371" s="316"/>
      <c r="Z371" s="316"/>
      <c r="AA371" s="319"/>
      <c r="AD371" s="58">
        <f>ABS(BIN2DEC($AA367)*3-2)</f>
        <v>2</v>
      </c>
      <c r="AE371" s="58">
        <f>ABS(BIN2DEC($U367)*3-1)</f>
        <v>1</v>
      </c>
      <c r="AF371" s="58">
        <f>ABS( BIN2DEC(V367)*3-BIN2DEC(Z367))</f>
        <v>0</v>
      </c>
      <c r="AG371" s="58">
        <f>BIN2DEC(X367&amp;Y367)+BIN2DEC(W367)*3</f>
        <v>0</v>
      </c>
      <c r="AH371">
        <f t="shared" si="121"/>
        <v>6</v>
      </c>
    </row>
    <row r="372" spans="1:34">
      <c r="A372" s="55">
        <f>AA372</f>
        <v>0</v>
      </c>
      <c r="B372" s="55">
        <v>5</v>
      </c>
      <c r="C372" s="48" t="str">
        <f>IF(B372&gt;1,(23)&amp;":"&amp;(23-B372+1),(23-B372+1)&amp;":"&amp;(23-B372+1))</f>
        <v>23:19</v>
      </c>
      <c r="D372" s="49" t="s">
        <v>78</v>
      </c>
      <c r="E372" s="49" t="s">
        <v>69</v>
      </c>
      <c r="F372" s="49" t="s">
        <v>68</v>
      </c>
      <c r="G372" s="49" t="s">
        <v>36</v>
      </c>
      <c r="H372" s="49" t="s">
        <v>6</v>
      </c>
      <c r="I372" s="50"/>
      <c r="L372" t="str">
        <f>DEC2HEX(_xlfn.BITLSHIFT(HEX2DEC(P372),2))</f>
        <v>0</v>
      </c>
      <c r="N372">
        <v>3</v>
      </c>
      <c r="P372" t="str">
        <f>Z372</f>
        <v>0</v>
      </c>
      <c r="Q372" s="52" t="e">
        <f>BIN2HEX(LEFT(RIGHT(C372,32),4))&amp;BIN2HEX(LEFT(RIGHT(C372,28),4))&amp;BIN2HEX(LEFT(RIGHT(C372,24),4))&amp;BIN2HEX(LEFT(RIGHT(C372,20),4))&amp;BIN2HEX(LEFT(RIGHT(C372,16),4))&amp;BIN2HEX(LEFT(RIGHT(C372,12),4))&amp;BIN2HEX(LEFT(RIGHT(C372,8),4))&amp;BIN2HEX(LEFT(RIGHT(C372,4),4))</f>
        <v>#NUM!</v>
      </c>
      <c r="R372" s="320">
        <v>2</v>
      </c>
      <c r="S372" s="321"/>
      <c r="T372" s="311"/>
      <c r="U372" s="314"/>
      <c r="V372" s="321"/>
      <c r="W372" s="311"/>
      <c r="X372" s="314"/>
      <c r="Y372" s="314"/>
      <c r="Z372" s="314" t="str">
        <f t="shared" ref="Z372" si="122">BIN2HEX(S372&amp;T372&amp;U372&amp;V372&amp;W372&amp;X372&amp;Y372)</f>
        <v>0</v>
      </c>
      <c r="AA372" s="317"/>
      <c r="AD372" s="58"/>
      <c r="AE372" s="58"/>
      <c r="AF372" s="58"/>
      <c r="AG372" s="58"/>
    </row>
    <row r="373" spans="1:34">
      <c r="A373" s="55" t="s">
        <v>77</v>
      </c>
      <c r="B373" s="55">
        <v>1</v>
      </c>
      <c r="C373" s="51" t="s">
        <v>141</v>
      </c>
      <c r="D373" s="49" t="s">
        <v>7</v>
      </c>
      <c r="E373" s="49" t="s">
        <v>77</v>
      </c>
      <c r="F373" s="49" t="s">
        <v>68</v>
      </c>
      <c r="G373" s="49" t="s">
        <v>36</v>
      </c>
      <c r="H373" s="49" t="s">
        <v>6</v>
      </c>
      <c r="I373" s="50"/>
      <c r="Q373" s="52"/>
      <c r="R373" s="320"/>
      <c r="S373" s="322"/>
      <c r="T373" s="312"/>
      <c r="U373" s="315"/>
      <c r="V373" s="322"/>
      <c r="W373" s="312"/>
      <c r="X373" s="315"/>
      <c r="Y373" s="315"/>
      <c r="Z373" s="315"/>
      <c r="AA373" s="318"/>
      <c r="AD373" s="58">
        <f>BIN2DEC($AA372)*3</f>
        <v>0</v>
      </c>
      <c r="AE373" s="58">
        <f>ABS(BIN2DEC($U372)*3)</f>
        <v>0</v>
      </c>
      <c r="AF373" s="58">
        <f>ABS( BIN2DEC(V372)*3-BIN2DEC(Z372))</f>
        <v>0</v>
      </c>
      <c r="AG373" s="58">
        <f>BIN2DEC(X372&amp;Y372)+BIN2DEC(W372)*3</f>
        <v>0</v>
      </c>
      <c r="AH373">
        <f>AD373+AE373*4+AF373*16</f>
        <v>0</v>
      </c>
    </row>
    <row r="374" spans="1:34" ht="129.6">
      <c r="A374" s="55" t="s">
        <v>70</v>
      </c>
      <c r="B374" s="55">
        <v>3</v>
      </c>
      <c r="C374" s="51" t="s">
        <v>141</v>
      </c>
      <c r="D374" s="49" t="s">
        <v>81</v>
      </c>
      <c r="E374" s="49" t="s">
        <v>80</v>
      </c>
      <c r="F374" s="49" t="s">
        <v>68</v>
      </c>
      <c r="G374" s="49" t="s">
        <v>36</v>
      </c>
      <c r="H374" s="49" t="s">
        <v>6</v>
      </c>
      <c r="I374" s="50"/>
      <c r="Q374" s="52"/>
      <c r="R374" s="320"/>
      <c r="S374" s="322"/>
      <c r="T374" s="312"/>
      <c r="U374" s="315"/>
      <c r="V374" s="322"/>
      <c r="W374" s="312"/>
      <c r="X374" s="315"/>
      <c r="Y374" s="315"/>
      <c r="Z374" s="315"/>
      <c r="AA374" s="318"/>
      <c r="AD374" s="58">
        <f>BIN2DEC($AA372)*3</f>
        <v>0</v>
      </c>
      <c r="AE374" s="58">
        <f>ABS(BIN2DEC($U372)*3-1)</f>
        <v>1</v>
      </c>
      <c r="AF374" s="58">
        <f>ABS( BIN2DEC(V372)*3-BIN2DEC(Z372))</f>
        <v>0</v>
      </c>
      <c r="AG374" s="58">
        <f>BIN2DEC(X372&amp;Y372)+BIN2DEC(W372)*3</f>
        <v>0</v>
      </c>
      <c r="AH374">
        <f t="shared" ref="AH374:AH376" si="123">AD374+AE374*4+AF374*16</f>
        <v>4</v>
      </c>
    </row>
    <row r="375" spans="1:34">
      <c r="A375" s="55" t="s">
        <v>71</v>
      </c>
      <c r="B375" s="55">
        <v>1</v>
      </c>
      <c r="C375" s="51" t="s">
        <v>141</v>
      </c>
      <c r="D375" s="49" t="s">
        <v>7</v>
      </c>
      <c r="E375" s="49" t="s">
        <v>73</v>
      </c>
      <c r="F375" s="49" t="s">
        <v>68</v>
      </c>
      <c r="G375" s="49" t="s">
        <v>36</v>
      </c>
      <c r="H375" s="49" t="s">
        <v>6</v>
      </c>
      <c r="I375" s="50"/>
      <c r="Q375" s="52"/>
      <c r="R375" s="320"/>
      <c r="S375" s="322"/>
      <c r="T375" s="312"/>
      <c r="U375" s="315"/>
      <c r="V375" s="322"/>
      <c r="W375" s="312"/>
      <c r="X375" s="315"/>
      <c r="Y375" s="315"/>
      <c r="Z375" s="315"/>
      <c r="AA375" s="318"/>
      <c r="AD375" s="58">
        <f>ABS(BIN2DEC($AA372)*3-2)</f>
        <v>2</v>
      </c>
      <c r="AE375" s="58">
        <f>ABS(BIN2DEC($U372)*3)</f>
        <v>0</v>
      </c>
      <c r="AF375" s="58">
        <f>ABS( BIN2DEC(V372)*3-BIN2DEC(Z372))</f>
        <v>0</v>
      </c>
      <c r="AG375" s="58">
        <f>BIN2DEC(X372&amp;Y372)+BIN2DEC(W372)*3</f>
        <v>0</v>
      </c>
      <c r="AH375">
        <f t="shared" si="123"/>
        <v>2</v>
      </c>
    </row>
    <row r="376" spans="1:34" ht="15" thickBot="1">
      <c r="A376" s="55" t="s">
        <v>72</v>
      </c>
      <c r="B376" s="55">
        <v>1</v>
      </c>
      <c r="C376" s="51" t="s">
        <v>141</v>
      </c>
      <c r="D376" s="49" t="s">
        <v>7</v>
      </c>
      <c r="E376" s="49" t="s">
        <v>74</v>
      </c>
      <c r="F376" s="49" t="s">
        <v>68</v>
      </c>
      <c r="G376" s="49" t="s">
        <v>36</v>
      </c>
      <c r="H376" s="49" t="s">
        <v>6</v>
      </c>
      <c r="I376" s="50"/>
      <c r="Q376" s="52"/>
      <c r="R376" s="320"/>
      <c r="S376" s="323"/>
      <c r="T376" s="313"/>
      <c r="U376" s="316"/>
      <c r="V376" s="323"/>
      <c r="W376" s="313"/>
      <c r="X376" s="316"/>
      <c r="Y376" s="316"/>
      <c r="Z376" s="316"/>
      <c r="AA376" s="319"/>
      <c r="AD376" s="58">
        <f>ABS(BIN2DEC($AA372)*3-2)</f>
        <v>2</v>
      </c>
      <c r="AE376" s="58">
        <f>ABS(BIN2DEC($U372)*3-1)</f>
        <v>1</v>
      </c>
      <c r="AF376" s="58">
        <f>ABS( BIN2DEC(V372)*3-BIN2DEC(Z372))</f>
        <v>0</v>
      </c>
      <c r="AG376" s="58">
        <f>BIN2DEC(X372&amp;Y372)+BIN2DEC(W372)*3</f>
        <v>0</v>
      </c>
      <c r="AH376">
        <f t="shared" si="123"/>
        <v>6</v>
      </c>
    </row>
    <row r="377" spans="1:34">
      <c r="A377" s="55">
        <f>AA377</f>
        <v>0</v>
      </c>
      <c r="B377" s="55">
        <v>5</v>
      </c>
      <c r="C377" s="48" t="str">
        <f>IF(B377&gt;1,(23)&amp;":"&amp;(23-B377+1),(23-B377+1)&amp;":"&amp;(23-B377+1))</f>
        <v>23:19</v>
      </c>
      <c r="D377" s="49" t="s">
        <v>78</v>
      </c>
      <c r="E377" s="49" t="s">
        <v>69</v>
      </c>
      <c r="F377" s="49" t="s">
        <v>68</v>
      </c>
      <c r="G377" s="49" t="s">
        <v>36</v>
      </c>
      <c r="H377" s="49" t="s">
        <v>6</v>
      </c>
      <c r="I377" s="50"/>
      <c r="L377" t="str">
        <f>DEC2HEX(_xlfn.BITLSHIFT(HEX2DEC(P377),2))</f>
        <v>0</v>
      </c>
      <c r="N377">
        <v>3</v>
      </c>
      <c r="P377" t="str">
        <f>Z377</f>
        <v>0</v>
      </c>
      <c r="Q377" s="52" t="e">
        <f>BIN2HEX(LEFT(RIGHT(C377,32),4))&amp;BIN2HEX(LEFT(RIGHT(C377,28),4))&amp;BIN2HEX(LEFT(RIGHT(C377,24),4))&amp;BIN2HEX(LEFT(RIGHT(C377,20),4))&amp;BIN2HEX(LEFT(RIGHT(C377,16),4))&amp;BIN2HEX(LEFT(RIGHT(C377,12),4))&amp;BIN2HEX(LEFT(RIGHT(C377,8),4))&amp;BIN2HEX(LEFT(RIGHT(C377,4),4))</f>
        <v>#NUM!</v>
      </c>
      <c r="R377" s="320">
        <v>3</v>
      </c>
      <c r="S377" s="321"/>
      <c r="T377" s="311"/>
      <c r="U377" s="314"/>
      <c r="V377" s="321"/>
      <c r="W377" s="311"/>
      <c r="X377" s="314"/>
      <c r="Y377" s="314"/>
      <c r="Z377" s="314" t="str">
        <f t="shared" ref="Z377" si="124">BIN2HEX(S377&amp;T377&amp;U377&amp;V377&amp;W377&amp;X377&amp;Y377)</f>
        <v>0</v>
      </c>
      <c r="AA377" s="317"/>
      <c r="AD377" s="58"/>
      <c r="AE377" s="58"/>
      <c r="AF377" s="58"/>
      <c r="AG377" s="58"/>
    </row>
    <row r="378" spans="1:34">
      <c r="A378" s="55" t="s">
        <v>77</v>
      </c>
      <c r="B378" s="55">
        <v>1</v>
      </c>
      <c r="C378" s="51" t="s">
        <v>141</v>
      </c>
      <c r="D378" s="49" t="s">
        <v>7</v>
      </c>
      <c r="E378" s="49" t="s">
        <v>77</v>
      </c>
      <c r="F378" s="49" t="s">
        <v>68</v>
      </c>
      <c r="G378" s="49" t="s">
        <v>36</v>
      </c>
      <c r="H378" s="49" t="s">
        <v>6</v>
      </c>
      <c r="I378" s="50"/>
      <c r="Q378" s="52"/>
      <c r="R378" s="320"/>
      <c r="S378" s="322"/>
      <c r="T378" s="312"/>
      <c r="U378" s="315"/>
      <c r="V378" s="322"/>
      <c r="W378" s="312"/>
      <c r="X378" s="315"/>
      <c r="Y378" s="315"/>
      <c r="Z378" s="315"/>
      <c r="AA378" s="318"/>
      <c r="AD378" s="58">
        <f>BIN2DEC($AA377)*3</f>
        <v>0</v>
      </c>
      <c r="AE378" s="58">
        <f>ABS(BIN2DEC($U377)*3)</f>
        <v>0</v>
      </c>
      <c r="AF378" s="58">
        <f>ABS( BIN2DEC(V377)*3-BIN2DEC(Z377))</f>
        <v>0</v>
      </c>
      <c r="AG378" s="58">
        <f>BIN2DEC(X377&amp;Y377)+BIN2DEC(W377)*3</f>
        <v>0</v>
      </c>
      <c r="AH378">
        <f>AD378+AE378*4+AF378*16</f>
        <v>0</v>
      </c>
    </row>
    <row r="379" spans="1:34" ht="129.6">
      <c r="A379" s="55" t="s">
        <v>70</v>
      </c>
      <c r="B379" s="55">
        <v>3</v>
      </c>
      <c r="C379" s="51" t="s">
        <v>141</v>
      </c>
      <c r="D379" s="49" t="s">
        <v>81</v>
      </c>
      <c r="E379" s="49" t="s">
        <v>80</v>
      </c>
      <c r="F379" s="49" t="s">
        <v>68</v>
      </c>
      <c r="G379" s="49" t="s">
        <v>36</v>
      </c>
      <c r="H379" s="49" t="s">
        <v>6</v>
      </c>
      <c r="I379" s="50"/>
      <c r="Q379" s="52"/>
      <c r="R379" s="320"/>
      <c r="S379" s="322"/>
      <c r="T379" s="312"/>
      <c r="U379" s="315"/>
      <c r="V379" s="322"/>
      <c r="W379" s="312"/>
      <c r="X379" s="315"/>
      <c r="Y379" s="315"/>
      <c r="Z379" s="315"/>
      <c r="AA379" s="318"/>
      <c r="AD379" s="58">
        <f>BIN2DEC($AA377)*3</f>
        <v>0</v>
      </c>
      <c r="AE379" s="58">
        <f>ABS(BIN2DEC($U377)*3-1)</f>
        <v>1</v>
      </c>
      <c r="AF379" s="58">
        <f>ABS( BIN2DEC(V377)*3-BIN2DEC(Z377))</f>
        <v>0</v>
      </c>
      <c r="AG379" s="58">
        <f>BIN2DEC(X377&amp;Y377)+BIN2DEC(W377)*3</f>
        <v>0</v>
      </c>
      <c r="AH379">
        <f t="shared" ref="AH379:AH381" si="125">AD379+AE379*4+AF379*16</f>
        <v>4</v>
      </c>
    </row>
    <row r="380" spans="1:34">
      <c r="A380" s="55" t="s">
        <v>71</v>
      </c>
      <c r="B380" s="55">
        <v>1</v>
      </c>
      <c r="C380" s="51" t="s">
        <v>141</v>
      </c>
      <c r="D380" s="49" t="s">
        <v>7</v>
      </c>
      <c r="E380" s="49" t="s">
        <v>73</v>
      </c>
      <c r="F380" s="49" t="s">
        <v>68</v>
      </c>
      <c r="G380" s="49" t="s">
        <v>36</v>
      </c>
      <c r="H380" s="49" t="s">
        <v>6</v>
      </c>
      <c r="I380" s="50"/>
      <c r="Q380" s="52"/>
      <c r="R380" s="320"/>
      <c r="S380" s="322"/>
      <c r="T380" s="312"/>
      <c r="U380" s="315"/>
      <c r="V380" s="322"/>
      <c r="W380" s="312"/>
      <c r="X380" s="315"/>
      <c r="Y380" s="315"/>
      <c r="Z380" s="315"/>
      <c r="AA380" s="318"/>
      <c r="AD380" s="58">
        <f>ABS(BIN2DEC($AA377)*3-2)</f>
        <v>2</v>
      </c>
      <c r="AE380" s="58">
        <f>ABS(BIN2DEC($U377)*3)</f>
        <v>0</v>
      </c>
      <c r="AF380" s="58">
        <f>ABS( BIN2DEC(V377)*3-BIN2DEC(Z377))</f>
        <v>0</v>
      </c>
      <c r="AG380" s="58">
        <f>BIN2DEC(X377&amp;Y377)+BIN2DEC(W377)*3</f>
        <v>0</v>
      </c>
      <c r="AH380">
        <f t="shared" si="125"/>
        <v>2</v>
      </c>
    </row>
    <row r="381" spans="1:34" ht="15" thickBot="1">
      <c r="A381" s="55" t="s">
        <v>72</v>
      </c>
      <c r="B381" s="55">
        <v>1</v>
      </c>
      <c r="C381" s="51" t="s">
        <v>141</v>
      </c>
      <c r="D381" s="49" t="s">
        <v>7</v>
      </c>
      <c r="E381" s="49" t="s">
        <v>74</v>
      </c>
      <c r="F381" s="49" t="s">
        <v>68</v>
      </c>
      <c r="G381" s="49" t="s">
        <v>36</v>
      </c>
      <c r="H381" s="49" t="s">
        <v>6</v>
      </c>
      <c r="I381" s="50"/>
      <c r="Q381" s="52"/>
      <c r="R381" s="320"/>
      <c r="S381" s="323"/>
      <c r="T381" s="313"/>
      <c r="U381" s="316"/>
      <c r="V381" s="323"/>
      <c r="W381" s="313"/>
      <c r="X381" s="316"/>
      <c r="Y381" s="316"/>
      <c r="Z381" s="316"/>
      <c r="AA381" s="319"/>
      <c r="AD381" s="58">
        <f>ABS(BIN2DEC($AA377)*3-2)</f>
        <v>2</v>
      </c>
      <c r="AE381" s="58">
        <f>ABS(BIN2DEC($U377)*3-1)</f>
        <v>1</v>
      </c>
      <c r="AF381" s="58">
        <f>ABS( BIN2DEC(V377)*3-BIN2DEC(Z377))</f>
        <v>0</v>
      </c>
      <c r="AG381" s="58">
        <f>BIN2DEC(X377&amp;Y377)+BIN2DEC(W377)*3</f>
        <v>0</v>
      </c>
      <c r="AH381">
        <f t="shared" si="125"/>
        <v>6</v>
      </c>
    </row>
    <row r="382" spans="1:34">
      <c r="A382" s="55">
        <f>AA382</f>
        <v>0</v>
      </c>
      <c r="B382" s="55">
        <v>5</v>
      </c>
      <c r="C382" s="48" t="str">
        <f>IF(B382&gt;1,(23)&amp;":"&amp;(23-B382+1),(23-B382+1)&amp;":"&amp;(23-B382+1))</f>
        <v>23:19</v>
      </c>
      <c r="D382" s="49" t="s">
        <v>78</v>
      </c>
      <c r="E382" s="49" t="s">
        <v>69</v>
      </c>
      <c r="F382" s="49" t="s">
        <v>68</v>
      </c>
      <c r="G382" s="49" t="s">
        <v>36</v>
      </c>
      <c r="H382" s="49" t="s">
        <v>6</v>
      </c>
      <c r="I382" s="50"/>
      <c r="L382" t="str">
        <f>DEC2HEX(_xlfn.BITLSHIFT(HEX2DEC(P382),2))</f>
        <v>0</v>
      </c>
      <c r="N382">
        <v>3</v>
      </c>
      <c r="P382" t="str">
        <f>Z382</f>
        <v>0</v>
      </c>
      <c r="Q382" s="52" t="e">
        <f>BIN2HEX(LEFT(RIGHT(C382,32),4))&amp;BIN2HEX(LEFT(RIGHT(C382,28),4))&amp;BIN2HEX(LEFT(RIGHT(C382,24),4))&amp;BIN2HEX(LEFT(RIGHT(C382,20),4))&amp;BIN2HEX(LEFT(RIGHT(C382,16),4))&amp;BIN2HEX(LEFT(RIGHT(C382,12),4))&amp;BIN2HEX(LEFT(RIGHT(C382,8),4))&amp;BIN2HEX(LEFT(RIGHT(C382,4),4))</f>
        <v>#NUM!</v>
      </c>
      <c r="R382" s="320">
        <v>4</v>
      </c>
      <c r="S382" s="321"/>
      <c r="T382" s="311"/>
      <c r="U382" s="314"/>
      <c r="V382" s="321"/>
      <c r="W382" s="311"/>
      <c r="X382" s="314"/>
      <c r="Y382" s="314"/>
      <c r="Z382" s="314" t="str">
        <f t="shared" ref="Z382" si="126">BIN2HEX(S382&amp;T382&amp;U382&amp;V382&amp;W382&amp;X382&amp;Y382)</f>
        <v>0</v>
      </c>
      <c r="AA382" s="317"/>
      <c r="AD382" s="58"/>
      <c r="AE382" s="58"/>
      <c r="AF382" s="58"/>
      <c r="AG382" s="58"/>
    </row>
    <row r="383" spans="1:34">
      <c r="A383" s="55" t="s">
        <v>77</v>
      </c>
      <c r="B383" s="55">
        <v>1</v>
      </c>
      <c r="C383" s="51" t="s">
        <v>141</v>
      </c>
      <c r="D383" s="49" t="s">
        <v>7</v>
      </c>
      <c r="E383" s="49" t="s">
        <v>77</v>
      </c>
      <c r="F383" s="49" t="s">
        <v>68</v>
      </c>
      <c r="G383" s="49" t="s">
        <v>36</v>
      </c>
      <c r="H383" s="49" t="s">
        <v>6</v>
      </c>
      <c r="I383" s="50"/>
      <c r="Q383" s="52"/>
      <c r="R383" s="320"/>
      <c r="S383" s="322"/>
      <c r="T383" s="312"/>
      <c r="U383" s="315"/>
      <c r="V383" s="322"/>
      <c r="W383" s="312"/>
      <c r="X383" s="315"/>
      <c r="Y383" s="315"/>
      <c r="Z383" s="315"/>
      <c r="AA383" s="318"/>
      <c r="AD383" s="58">
        <f>BIN2DEC($AA382)*3</f>
        <v>0</v>
      </c>
      <c r="AE383" s="58">
        <f>ABS(BIN2DEC($U382)*3)</f>
        <v>0</v>
      </c>
      <c r="AF383" s="58">
        <f>ABS( BIN2DEC(V382)*3-BIN2DEC(Z382))</f>
        <v>0</v>
      </c>
      <c r="AG383" s="58">
        <f>BIN2DEC(X382&amp;Y382)+BIN2DEC(W382)*3</f>
        <v>0</v>
      </c>
      <c r="AH383">
        <f>AD383+AE383*4+AF383*16</f>
        <v>0</v>
      </c>
    </row>
    <row r="384" spans="1:34" ht="129.6">
      <c r="A384" s="55" t="s">
        <v>70</v>
      </c>
      <c r="B384" s="55">
        <v>3</v>
      </c>
      <c r="C384" s="51" t="s">
        <v>141</v>
      </c>
      <c r="D384" s="49" t="s">
        <v>81</v>
      </c>
      <c r="E384" s="49" t="s">
        <v>80</v>
      </c>
      <c r="F384" s="49" t="s">
        <v>68</v>
      </c>
      <c r="G384" s="49" t="s">
        <v>36</v>
      </c>
      <c r="H384" s="49" t="s">
        <v>6</v>
      </c>
      <c r="I384" s="50"/>
      <c r="Q384" s="52"/>
      <c r="R384" s="320"/>
      <c r="S384" s="322"/>
      <c r="T384" s="312"/>
      <c r="U384" s="315"/>
      <c r="V384" s="322"/>
      <c r="W384" s="312"/>
      <c r="X384" s="315"/>
      <c r="Y384" s="315"/>
      <c r="Z384" s="315"/>
      <c r="AA384" s="318"/>
      <c r="AD384" s="58">
        <f>BIN2DEC($AA382)*3</f>
        <v>0</v>
      </c>
      <c r="AE384" s="58">
        <f>ABS(BIN2DEC($U382)*3-1)</f>
        <v>1</v>
      </c>
      <c r="AF384" s="58">
        <f>ABS( BIN2DEC(V382)*3-BIN2DEC(Z382))</f>
        <v>0</v>
      </c>
      <c r="AG384" s="58">
        <f>BIN2DEC(X382&amp;Y382)+BIN2DEC(W382)*3</f>
        <v>0</v>
      </c>
      <c r="AH384">
        <f t="shared" ref="AH384:AH386" si="127">AD384+AE384*4+AF384*16</f>
        <v>4</v>
      </c>
    </row>
    <row r="385" spans="1:34">
      <c r="A385" s="55" t="s">
        <v>71</v>
      </c>
      <c r="B385" s="55">
        <v>1</v>
      </c>
      <c r="C385" s="51" t="s">
        <v>141</v>
      </c>
      <c r="D385" s="49" t="s">
        <v>7</v>
      </c>
      <c r="E385" s="49" t="s">
        <v>73</v>
      </c>
      <c r="F385" s="49" t="s">
        <v>68</v>
      </c>
      <c r="G385" s="49" t="s">
        <v>36</v>
      </c>
      <c r="H385" s="49" t="s">
        <v>6</v>
      </c>
      <c r="I385" s="50"/>
      <c r="Q385" s="52"/>
      <c r="R385" s="320"/>
      <c r="S385" s="322"/>
      <c r="T385" s="312"/>
      <c r="U385" s="315"/>
      <c r="V385" s="322"/>
      <c r="W385" s="312"/>
      <c r="X385" s="315"/>
      <c r="Y385" s="315"/>
      <c r="Z385" s="315"/>
      <c r="AA385" s="318"/>
      <c r="AD385" s="58">
        <f>ABS(BIN2DEC($AA382)*3-2)</f>
        <v>2</v>
      </c>
      <c r="AE385" s="58">
        <f>ABS(BIN2DEC($U382)*3)</f>
        <v>0</v>
      </c>
      <c r="AF385" s="58">
        <f>ABS( BIN2DEC(V382)*3-BIN2DEC(Z382))</f>
        <v>0</v>
      </c>
      <c r="AG385" s="58">
        <f>BIN2DEC(X382&amp;Y382)+BIN2DEC(W382)*3</f>
        <v>0</v>
      </c>
      <c r="AH385">
        <f t="shared" si="127"/>
        <v>2</v>
      </c>
    </row>
    <row r="386" spans="1:34" ht="15" thickBot="1">
      <c r="A386" s="55" t="s">
        <v>72</v>
      </c>
      <c r="B386" s="55">
        <v>1</v>
      </c>
      <c r="C386" s="51" t="s">
        <v>141</v>
      </c>
      <c r="D386" s="49" t="s">
        <v>7</v>
      </c>
      <c r="E386" s="49" t="s">
        <v>74</v>
      </c>
      <c r="F386" s="49" t="s">
        <v>68</v>
      </c>
      <c r="G386" s="49" t="s">
        <v>36</v>
      </c>
      <c r="H386" s="49" t="s">
        <v>6</v>
      </c>
      <c r="I386" s="50"/>
      <c r="Q386" s="52"/>
      <c r="R386" s="320"/>
      <c r="S386" s="323"/>
      <c r="T386" s="313"/>
      <c r="U386" s="316"/>
      <c r="V386" s="323"/>
      <c r="W386" s="313"/>
      <c r="X386" s="316"/>
      <c r="Y386" s="316"/>
      <c r="Z386" s="316"/>
      <c r="AA386" s="319"/>
      <c r="AD386" s="58">
        <f>ABS(BIN2DEC($AA382)*3-2)</f>
        <v>2</v>
      </c>
      <c r="AE386" s="58">
        <f>ABS(BIN2DEC($U382)*3-1)</f>
        <v>1</v>
      </c>
      <c r="AF386" s="58">
        <f>ABS( BIN2DEC(V382)*3-BIN2DEC(Z382))</f>
        <v>0</v>
      </c>
      <c r="AG386" s="58">
        <f>BIN2DEC(X382&amp;Y382)+BIN2DEC(W382)*3</f>
        <v>0</v>
      </c>
      <c r="AH386">
        <f t="shared" si="127"/>
        <v>6</v>
      </c>
    </row>
    <row r="387" spans="1:34">
      <c r="A387" s="55">
        <f>AA387</f>
        <v>0</v>
      </c>
      <c r="B387" s="55">
        <v>5</v>
      </c>
      <c r="C387" s="48" t="str">
        <f>IF(B387&gt;1,(23)&amp;":"&amp;(23-B387+1),(23-B387+1)&amp;":"&amp;(23-B387+1))</f>
        <v>23:19</v>
      </c>
      <c r="D387" s="49" t="s">
        <v>78</v>
      </c>
      <c r="E387" s="49" t="s">
        <v>69</v>
      </c>
      <c r="F387" s="49" t="s">
        <v>68</v>
      </c>
      <c r="G387" s="49" t="s">
        <v>36</v>
      </c>
      <c r="H387" s="49" t="s">
        <v>6</v>
      </c>
      <c r="I387" s="50"/>
      <c r="L387" t="str">
        <f>DEC2HEX(_xlfn.BITLSHIFT(HEX2DEC(P387),2))</f>
        <v>0</v>
      </c>
      <c r="N387">
        <v>3</v>
      </c>
      <c r="P387" t="str">
        <f>Z387</f>
        <v>0</v>
      </c>
      <c r="Q387" s="52" t="e">
        <f>BIN2HEX(LEFT(RIGHT(C387,32),4))&amp;BIN2HEX(LEFT(RIGHT(C387,28),4))&amp;BIN2HEX(LEFT(RIGHT(C387,24),4))&amp;BIN2HEX(LEFT(RIGHT(C387,20),4))&amp;BIN2HEX(LEFT(RIGHT(C387,16),4))&amp;BIN2HEX(LEFT(RIGHT(C387,12),4))&amp;BIN2HEX(LEFT(RIGHT(C387,8),4))&amp;BIN2HEX(LEFT(RIGHT(C387,4),4))</f>
        <v>#NUM!</v>
      </c>
      <c r="R387" s="320">
        <v>5</v>
      </c>
      <c r="S387" s="321"/>
      <c r="T387" s="311"/>
      <c r="U387" s="314"/>
      <c r="V387" s="321"/>
      <c r="W387" s="311"/>
      <c r="X387" s="314"/>
      <c r="Y387" s="314"/>
      <c r="Z387" s="314" t="str">
        <f t="shared" ref="Z387" si="128">BIN2HEX(S387&amp;T387&amp;U387&amp;V387&amp;W387&amp;X387&amp;Y387)</f>
        <v>0</v>
      </c>
      <c r="AA387" s="317"/>
      <c r="AD387" s="58"/>
      <c r="AE387" s="58"/>
      <c r="AF387" s="58"/>
      <c r="AG387" s="58"/>
    </row>
    <row r="388" spans="1:34">
      <c r="A388" s="55" t="s">
        <v>77</v>
      </c>
      <c r="B388" s="55">
        <v>1</v>
      </c>
      <c r="C388" s="51" t="s">
        <v>141</v>
      </c>
      <c r="D388" s="49" t="s">
        <v>7</v>
      </c>
      <c r="E388" s="49" t="s">
        <v>77</v>
      </c>
      <c r="F388" s="49" t="s">
        <v>68</v>
      </c>
      <c r="G388" s="49" t="s">
        <v>36</v>
      </c>
      <c r="H388" s="49" t="s">
        <v>6</v>
      </c>
      <c r="I388" s="50"/>
      <c r="Q388" s="52"/>
      <c r="R388" s="320"/>
      <c r="S388" s="322"/>
      <c r="T388" s="312"/>
      <c r="U388" s="315"/>
      <c r="V388" s="322"/>
      <c r="W388" s="312"/>
      <c r="X388" s="315"/>
      <c r="Y388" s="315"/>
      <c r="Z388" s="315"/>
      <c r="AA388" s="318"/>
      <c r="AD388" s="58">
        <f>BIN2DEC($AA387)*3</f>
        <v>0</v>
      </c>
      <c r="AE388" s="58">
        <f>ABS(BIN2DEC($U387)*3)</f>
        <v>0</v>
      </c>
      <c r="AF388" s="58">
        <f>ABS( BIN2DEC(V387)*3-BIN2DEC(Z387))</f>
        <v>0</v>
      </c>
      <c r="AG388" s="58">
        <f>BIN2DEC(X387&amp;Y387)+BIN2DEC(W387)*3</f>
        <v>0</v>
      </c>
      <c r="AH388">
        <f>AD388+AE388*4+AF388*16</f>
        <v>0</v>
      </c>
    </row>
    <row r="389" spans="1:34" ht="129.6">
      <c r="A389" s="55" t="s">
        <v>70</v>
      </c>
      <c r="B389" s="55">
        <v>3</v>
      </c>
      <c r="C389" s="51" t="s">
        <v>141</v>
      </c>
      <c r="D389" s="49" t="s">
        <v>81</v>
      </c>
      <c r="E389" s="49" t="s">
        <v>80</v>
      </c>
      <c r="F389" s="49" t="s">
        <v>68</v>
      </c>
      <c r="G389" s="49" t="s">
        <v>36</v>
      </c>
      <c r="H389" s="49" t="s">
        <v>6</v>
      </c>
      <c r="I389" s="50"/>
      <c r="Q389" s="52"/>
      <c r="R389" s="320"/>
      <c r="S389" s="322"/>
      <c r="T389" s="312"/>
      <c r="U389" s="315"/>
      <c r="V389" s="322"/>
      <c r="W389" s="312"/>
      <c r="X389" s="315"/>
      <c r="Y389" s="315"/>
      <c r="Z389" s="315"/>
      <c r="AA389" s="318"/>
      <c r="AD389" s="58">
        <f>BIN2DEC($AA387)*3</f>
        <v>0</v>
      </c>
      <c r="AE389" s="58">
        <f>ABS(BIN2DEC($U387)*3-1)</f>
        <v>1</v>
      </c>
      <c r="AF389" s="58">
        <f>ABS( BIN2DEC(V387)*3-BIN2DEC(Z387))</f>
        <v>0</v>
      </c>
      <c r="AG389" s="58">
        <f>BIN2DEC(X387&amp;Y387)+BIN2DEC(W387)*3</f>
        <v>0</v>
      </c>
      <c r="AH389">
        <f t="shared" ref="AH389:AH391" si="129">AD389+AE389*4+AF389*16</f>
        <v>4</v>
      </c>
    </row>
    <row r="390" spans="1:34">
      <c r="A390" s="55" t="s">
        <v>71</v>
      </c>
      <c r="B390" s="55">
        <v>1</v>
      </c>
      <c r="C390" s="51" t="s">
        <v>141</v>
      </c>
      <c r="D390" s="49" t="s">
        <v>7</v>
      </c>
      <c r="E390" s="49" t="s">
        <v>73</v>
      </c>
      <c r="F390" s="49" t="s">
        <v>68</v>
      </c>
      <c r="G390" s="49" t="s">
        <v>36</v>
      </c>
      <c r="H390" s="49" t="s">
        <v>6</v>
      </c>
      <c r="I390" s="50"/>
      <c r="Q390" s="52"/>
      <c r="R390" s="320"/>
      <c r="S390" s="322"/>
      <c r="T390" s="312"/>
      <c r="U390" s="315"/>
      <c r="V390" s="322"/>
      <c r="W390" s="312"/>
      <c r="X390" s="315"/>
      <c r="Y390" s="315"/>
      <c r="Z390" s="315"/>
      <c r="AA390" s="318"/>
      <c r="AD390" s="58">
        <f>ABS(BIN2DEC($AA387)*3-2)</f>
        <v>2</v>
      </c>
      <c r="AE390" s="58">
        <f>ABS(BIN2DEC($U387)*3)</f>
        <v>0</v>
      </c>
      <c r="AF390" s="58">
        <f>ABS( BIN2DEC(V387)*3-BIN2DEC(Z387))</f>
        <v>0</v>
      </c>
      <c r="AG390" s="58">
        <f>BIN2DEC(X387&amp;Y387)+BIN2DEC(W387)*3</f>
        <v>0</v>
      </c>
      <c r="AH390">
        <f t="shared" si="129"/>
        <v>2</v>
      </c>
    </row>
    <row r="391" spans="1:34" ht="15" thickBot="1">
      <c r="A391" s="55" t="s">
        <v>72</v>
      </c>
      <c r="B391" s="55">
        <v>1</v>
      </c>
      <c r="C391" s="51" t="s">
        <v>141</v>
      </c>
      <c r="D391" s="49" t="s">
        <v>7</v>
      </c>
      <c r="E391" s="49" t="s">
        <v>74</v>
      </c>
      <c r="F391" s="49" t="s">
        <v>68</v>
      </c>
      <c r="G391" s="49" t="s">
        <v>36</v>
      </c>
      <c r="H391" s="49" t="s">
        <v>6</v>
      </c>
      <c r="I391" s="50"/>
      <c r="Q391" s="52"/>
      <c r="R391" s="320"/>
      <c r="S391" s="323"/>
      <c r="T391" s="313"/>
      <c r="U391" s="316"/>
      <c r="V391" s="323"/>
      <c r="W391" s="313"/>
      <c r="X391" s="316"/>
      <c r="Y391" s="316"/>
      <c r="Z391" s="316"/>
      <c r="AA391" s="319"/>
      <c r="AD391" s="58">
        <f>ABS(BIN2DEC($AA387)*3-2)</f>
        <v>2</v>
      </c>
      <c r="AE391" s="58">
        <f>ABS(BIN2DEC($U387)*3-1)</f>
        <v>1</v>
      </c>
      <c r="AF391" s="58">
        <f>ABS( BIN2DEC(V387)*3-BIN2DEC(Z387))</f>
        <v>0</v>
      </c>
      <c r="AG391" s="58">
        <f>BIN2DEC(X387&amp;Y387)+BIN2DEC(W387)*3</f>
        <v>0</v>
      </c>
      <c r="AH391">
        <f t="shared" si="129"/>
        <v>6</v>
      </c>
    </row>
    <row r="392" spans="1:34">
      <c r="A392" s="55">
        <f>AA392</f>
        <v>0</v>
      </c>
      <c r="B392" s="55">
        <v>5</v>
      </c>
      <c r="C392" s="48" t="str">
        <f>IF(B392&gt;1,(23)&amp;":"&amp;(23-B392+1),(23-B392+1)&amp;":"&amp;(23-B392+1))</f>
        <v>23:19</v>
      </c>
      <c r="D392" s="49" t="s">
        <v>78</v>
      </c>
      <c r="E392" s="49" t="s">
        <v>69</v>
      </c>
      <c r="F392" s="49" t="s">
        <v>68</v>
      </c>
      <c r="G392" s="49" t="s">
        <v>36</v>
      </c>
      <c r="H392" s="49" t="s">
        <v>6</v>
      </c>
      <c r="I392" s="50"/>
      <c r="L392" t="str">
        <f>DEC2HEX(_xlfn.BITLSHIFT(HEX2DEC(P392),2))</f>
        <v>0</v>
      </c>
      <c r="N392">
        <v>3</v>
      </c>
      <c r="P392" t="str">
        <f>Z392</f>
        <v>0</v>
      </c>
      <c r="Q392" s="52" t="e">
        <f>BIN2HEX(LEFT(RIGHT(C392,32),4))&amp;BIN2HEX(LEFT(RIGHT(C392,28),4))&amp;BIN2HEX(LEFT(RIGHT(C392,24),4))&amp;BIN2HEX(LEFT(RIGHT(C392,20),4))&amp;BIN2HEX(LEFT(RIGHT(C392,16),4))&amp;BIN2HEX(LEFT(RIGHT(C392,12),4))&amp;BIN2HEX(LEFT(RIGHT(C392,8),4))&amp;BIN2HEX(LEFT(RIGHT(C392,4),4))</f>
        <v>#NUM!</v>
      </c>
      <c r="R392" s="320">
        <v>6</v>
      </c>
      <c r="S392" s="321"/>
      <c r="T392" s="311"/>
      <c r="U392" s="314"/>
      <c r="V392" s="321"/>
      <c r="W392" s="311"/>
      <c r="X392" s="314"/>
      <c r="Y392" s="314"/>
      <c r="Z392" s="314" t="str">
        <f t="shared" ref="Z392" si="130">BIN2HEX(S392&amp;T392&amp;U392&amp;V392&amp;W392&amp;X392&amp;Y392)</f>
        <v>0</v>
      </c>
      <c r="AA392" s="317"/>
      <c r="AD392" s="58"/>
      <c r="AE392" s="58"/>
      <c r="AF392" s="58"/>
      <c r="AG392" s="58"/>
    </row>
    <row r="393" spans="1:34">
      <c r="A393" s="55" t="s">
        <v>77</v>
      </c>
      <c r="B393" s="55">
        <v>1</v>
      </c>
      <c r="C393" s="51" t="s">
        <v>141</v>
      </c>
      <c r="D393" s="49" t="s">
        <v>7</v>
      </c>
      <c r="E393" s="49" t="s">
        <v>77</v>
      </c>
      <c r="F393" s="49" t="s">
        <v>68</v>
      </c>
      <c r="G393" s="49" t="s">
        <v>36</v>
      </c>
      <c r="H393" s="49" t="s">
        <v>6</v>
      </c>
      <c r="I393" s="50"/>
      <c r="Q393" s="52"/>
      <c r="R393" s="320"/>
      <c r="S393" s="322"/>
      <c r="T393" s="312"/>
      <c r="U393" s="315"/>
      <c r="V393" s="322"/>
      <c r="W393" s="312"/>
      <c r="X393" s="315"/>
      <c r="Y393" s="315"/>
      <c r="Z393" s="315"/>
      <c r="AA393" s="318"/>
      <c r="AD393" s="58">
        <f>BIN2DEC($AA392)*3</f>
        <v>0</v>
      </c>
      <c r="AE393" s="58">
        <f>ABS(BIN2DEC($U392)*3)</f>
        <v>0</v>
      </c>
      <c r="AF393" s="58">
        <f>ABS( BIN2DEC(V392)*3-BIN2DEC(Z392))</f>
        <v>0</v>
      </c>
      <c r="AG393" s="58">
        <f>BIN2DEC(X392&amp;Y392)+BIN2DEC(W392)*3</f>
        <v>0</v>
      </c>
      <c r="AH393">
        <f>AD393+AE393*4+AF393*16</f>
        <v>0</v>
      </c>
    </row>
    <row r="394" spans="1:34" ht="129.6">
      <c r="A394" s="55" t="s">
        <v>70</v>
      </c>
      <c r="B394" s="55">
        <v>3</v>
      </c>
      <c r="C394" s="51" t="s">
        <v>141</v>
      </c>
      <c r="D394" s="49" t="s">
        <v>81</v>
      </c>
      <c r="E394" s="49" t="s">
        <v>80</v>
      </c>
      <c r="F394" s="49" t="s">
        <v>68</v>
      </c>
      <c r="G394" s="49" t="s">
        <v>36</v>
      </c>
      <c r="H394" s="49" t="s">
        <v>6</v>
      </c>
      <c r="I394" s="50"/>
      <c r="Q394" s="52"/>
      <c r="R394" s="320"/>
      <c r="S394" s="322"/>
      <c r="T394" s="312"/>
      <c r="U394" s="315"/>
      <c r="V394" s="322"/>
      <c r="W394" s="312"/>
      <c r="X394" s="315"/>
      <c r="Y394" s="315"/>
      <c r="Z394" s="315"/>
      <c r="AA394" s="318"/>
      <c r="AD394" s="58">
        <f>BIN2DEC($AA392)*3</f>
        <v>0</v>
      </c>
      <c r="AE394" s="58">
        <f>ABS(BIN2DEC($U392)*3-1)</f>
        <v>1</v>
      </c>
      <c r="AF394" s="58">
        <f>ABS( BIN2DEC(V392)*3-BIN2DEC(Z392))</f>
        <v>0</v>
      </c>
      <c r="AG394" s="58">
        <f>BIN2DEC(X392&amp;Y392)+BIN2DEC(W392)*3</f>
        <v>0</v>
      </c>
      <c r="AH394">
        <f t="shared" ref="AH394:AH396" si="131">AD394+AE394*4+AF394*16</f>
        <v>4</v>
      </c>
    </row>
    <row r="395" spans="1:34">
      <c r="A395" s="55" t="s">
        <v>71</v>
      </c>
      <c r="B395" s="55">
        <v>1</v>
      </c>
      <c r="C395" s="51" t="s">
        <v>141</v>
      </c>
      <c r="D395" s="49" t="s">
        <v>7</v>
      </c>
      <c r="E395" s="49" t="s">
        <v>73</v>
      </c>
      <c r="F395" s="49" t="s">
        <v>68</v>
      </c>
      <c r="G395" s="49" t="s">
        <v>36</v>
      </c>
      <c r="H395" s="49" t="s">
        <v>6</v>
      </c>
      <c r="I395" s="50"/>
      <c r="Q395" s="52"/>
      <c r="R395" s="320"/>
      <c r="S395" s="322"/>
      <c r="T395" s="312"/>
      <c r="U395" s="315"/>
      <c r="V395" s="322"/>
      <c r="W395" s="312"/>
      <c r="X395" s="315"/>
      <c r="Y395" s="315"/>
      <c r="Z395" s="315"/>
      <c r="AA395" s="318"/>
      <c r="AD395" s="58">
        <f>ABS(BIN2DEC($AA392)*3-2)</f>
        <v>2</v>
      </c>
      <c r="AE395" s="58">
        <f>ABS(BIN2DEC($U392)*3)</f>
        <v>0</v>
      </c>
      <c r="AF395" s="58">
        <f>ABS( BIN2DEC(V392)*3-BIN2DEC(Z392))</f>
        <v>0</v>
      </c>
      <c r="AG395" s="58">
        <f>BIN2DEC(X392&amp;Y392)+BIN2DEC(W392)*3</f>
        <v>0</v>
      </c>
      <c r="AH395">
        <f t="shared" si="131"/>
        <v>2</v>
      </c>
    </row>
    <row r="396" spans="1:34" ht="15" thickBot="1">
      <c r="A396" s="55" t="s">
        <v>72</v>
      </c>
      <c r="B396" s="55">
        <v>1</v>
      </c>
      <c r="C396" s="51" t="s">
        <v>141</v>
      </c>
      <c r="D396" s="49" t="s">
        <v>7</v>
      </c>
      <c r="E396" s="49" t="s">
        <v>74</v>
      </c>
      <c r="F396" s="49" t="s">
        <v>68</v>
      </c>
      <c r="G396" s="49" t="s">
        <v>36</v>
      </c>
      <c r="H396" s="49" t="s">
        <v>6</v>
      </c>
      <c r="I396" s="50"/>
      <c r="Q396" s="52"/>
      <c r="R396" s="320"/>
      <c r="S396" s="323"/>
      <c r="T396" s="313"/>
      <c r="U396" s="316"/>
      <c r="V396" s="323"/>
      <c r="W396" s="313"/>
      <c r="X396" s="316"/>
      <c r="Y396" s="316"/>
      <c r="Z396" s="316"/>
      <c r="AA396" s="319"/>
      <c r="AD396" s="58">
        <f>ABS(BIN2DEC($AA392)*3-2)</f>
        <v>2</v>
      </c>
      <c r="AE396" s="58">
        <f>ABS(BIN2DEC($U392)*3-1)</f>
        <v>1</v>
      </c>
      <c r="AF396" s="58">
        <f>ABS( BIN2DEC(V392)*3-BIN2DEC(Z392))</f>
        <v>0</v>
      </c>
      <c r="AG396" s="58">
        <f>BIN2DEC(X392&amp;Y392)+BIN2DEC(W392)*3</f>
        <v>0</v>
      </c>
      <c r="AH396">
        <f t="shared" si="131"/>
        <v>6</v>
      </c>
    </row>
    <row r="397" spans="1:34">
      <c r="A397" s="55">
        <f>AA397</f>
        <v>0</v>
      </c>
      <c r="B397" s="55">
        <v>5</v>
      </c>
      <c r="C397" s="48" t="str">
        <f>IF(B397&gt;1,(23)&amp;":"&amp;(23-B397+1),(23-B397+1)&amp;":"&amp;(23-B397+1))</f>
        <v>23:19</v>
      </c>
      <c r="D397" s="49" t="s">
        <v>78</v>
      </c>
      <c r="E397" s="49" t="s">
        <v>69</v>
      </c>
      <c r="F397" s="49" t="s">
        <v>68</v>
      </c>
      <c r="G397" s="49" t="s">
        <v>36</v>
      </c>
      <c r="H397" s="49" t="s">
        <v>6</v>
      </c>
      <c r="I397" s="50"/>
      <c r="L397" t="str">
        <f>DEC2HEX(_xlfn.BITLSHIFT(HEX2DEC(P397),2))</f>
        <v>0</v>
      </c>
      <c r="N397">
        <v>3</v>
      </c>
      <c r="P397" t="str">
        <f>Z397</f>
        <v>0</v>
      </c>
      <c r="Q397" s="52" t="e">
        <f>BIN2HEX(LEFT(RIGHT(C397,32),4))&amp;BIN2HEX(LEFT(RIGHT(C397,28),4))&amp;BIN2HEX(LEFT(RIGHT(C397,24),4))&amp;BIN2HEX(LEFT(RIGHT(C397,20),4))&amp;BIN2HEX(LEFT(RIGHT(C397,16),4))&amp;BIN2HEX(LEFT(RIGHT(C397,12),4))&amp;BIN2HEX(LEFT(RIGHT(C397,8),4))&amp;BIN2HEX(LEFT(RIGHT(C397,4),4))</f>
        <v>#NUM!</v>
      </c>
      <c r="R397" s="320">
        <v>7</v>
      </c>
      <c r="S397" s="321"/>
      <c r="T397" s="311"/>
      <c r="U397" s="314"/>
      <c r="V397" s="321"/>
      <c r="W397" s="311"/>
      <c r="X397" s="314"/>
      <c r="Y397" s="314"/>
      <c r="Z397" s="314" t="str">
        <f t="shared" ref="Z397" si="132">BIN2HEX(S397&amp;T397&amp;U397&amp;V397&amp;W397&amp;X397&amp;Y397)</f>
        <v>0</v>
      </c>
      <c r="AA397" s="317"/>
      <c r="AD397" s="58"/>
      <c r="AE397" s="58"/>
      <c r="AF397" s="58"/>
      <c r="AG397" s="58"/>
    </row>
    <row r="398" spans="1:34">
      <c r="A398" s="55" t="s">
        <v>77</v>
      </c>
      <c r="B398" s="55">
        <v>1</v>
      </c>
      <c r="C398" s="51" t="s">
        <v>141</v>
      </c>
      <c r="D398" s="49" t="s">
        <v>7</v>
      </c>
      <c r="E398" s="49" t="s">
        <v>77</v>
      </c>
      <c r="F398" s="49" t="s">
        <v>68</v>
      </c>
      <c r="G398" s="49" t="s">
        <v>36</v>
      </c>
      <c r="H398" s="49" t="s">
        <v>6</v>
      </c>
      <c r="I398" s="50"/>
      <c r="Q398" s="52"/>
      <c r="R398" s="320"/>
      <c r="S398" s="322"/>
      <c r="T398" s="312"/>
      <c r="U398" s="315"/>
      <c r="V398" s="322"/>
      <c r="W398" s="312"/>
      <c r="X398" s="315"/>
      <c r="Y398" s="315"/>
      <c r="Z398" s="315"/>
      <c r="AA398" s="318"/>
      <c r="AD398" s="58">
        <f>BIN2DEC($AA397)*3</f>
        <v>0</v>
      </c>
      <c r="AE398" s="58">
        <f>ABS(BIN2DEC($U397)*3)</f>
        <v>0</v>
      </c>
      <c r="AF398" s="58">
        <f>ABS( BIN2DEC(V397)*3-BIN2DEC(Z397))</f>
        <v>0</v>
      </c>
      <c r="AG398" s="58">
        <f>BIN2DEC(X397&amp;Y397)+BIN2DEC(W397)*3</f>
        <v>0</v>
      </c>
      <c r="AH398">
        <f>AD398+AE398*4+AF398*16</f>
        <v>0</v>
      </c>
    </row>
    <row r="399" spans="1:34" ht="129.6">
      <c r="A399" s="55" t="s">
        <v>70</v>
      </c>
      <c r="B399" s="55">
        <v>3</v>
      </c>
      <c r="C399" s="51" t="s">
        <v>141</v>
      </c>
      <c r="D399" s="49" t="s">
        <v>81</v>
      </c>
      <c r="E399" s="49" t="s">
        <v>80</v>
      </c>
      <c r="F399" s="49" t="s">
        <v>68</v>
      </c>
      <c r="G399" s="49" t="s">
        <v>36</v>
      </c>
      <c r="H399" s="49" t="s">
        <v>6</v>
      </c>
      <c r="I399" s="50"/>
      <c r="Q399" s="52"/>
      <c r="R399" s="320"/>
      <c r="S399" s="322"/>
      <c r="T399" s="312"/>
      <c r="U399" s="315"/>
      <c r="V399" s="322"/>
      <c r="W399" s="312"/>
      <c r="X399" s="315"/>
      <c r="Y399" s="315"/>
      <c r="Z399" s="315"/>
      <c r="AA399" s="318"/>
      <c r="AD399" s="58">
        <f>BIN2DEC($AA397)*3</f>
        <v>0</v>
      </c>
      <c r="AE399" s="58">
        <f>ABS(BIN2DEC($U397)*3-1)</f>
        <v>1</v>
      </c>
      <c r="AF399" s="58">
        <f>ABS( BIN2DEC(V397)*3-BIN2DEC(Z397))</f>
        <v>0</v>
      </c>
      <c r="AG399" s="58">
        <f>BIN2DEC(X397&amp;Y397)+BIN2DEC(W397)*3</f>
        <v>0</v>
      </c>
      <c r="AH399">
        <f t="shared" ref="AH399:AH401" si="133">AD399+AE399*4+AF399*16</f>
        <v>4</v>
      </c>
    </row>
    <row r="400" spans="1:34">
      <c r="A400" s="55" t="s">
        <v>71</v>
      </c>
      <c r="B400" s="55">
        <v>1</v>
      </c>
      <c r="C400" s="51" t="s">
        <v>141</v>
      </c>
      <c r="D400" s="49" t="s">
        <v>7</v>
      </c>
      <c r="E400" s="49" t="s">
        <v>73</v>
      </c>
      <c r="F400" s="49" t="s">
        <v>68</v>
      </c>
      <c r="G400" s="49" t="s">
        <v>36</v>
      </c>
      <c r="H400" s="49" t="s">
        <v>6</v>
      </c>
      <c r="I400" s="50"/>
      <c r="Q400" s="52"/>
      <c r="R400" s="320"/>
      <c r="S400" s="322"/>
      <c r="T400" s="312"/>
      <c r="U400" s="315"/>
      <c r="V400" s="322"/>
      <c r="W400" s="312"/>
      <c r="X400" s="315"/>
      <c r="Y400" s="315"/>
      <c r="Z400" s="315"/>
      <c r="AA400" s="318"/>
      <c r="AD400" s="58">
        <f>ABS(BIN2DEC($AA397)*3-2)</f>
        <v>2</v>
      </c>
      <c r="AE400" s="58">
        <f>ABS(BIN2DEC($U397)*3)</f>
        <v>0</v>
      </c>
      <c r="AF400" s="58">
        <f>ABS( BIN2DEC(V397)*3-BIN2DEC(Z397))</f>
        <v>0</v>
      </c>
      <c r="AG400" s="58">
        <f>BIN2DEC(X397&amp;Y397)+BIN2DEC(W397)*3</f>
        <v>0</v>
      </c>
      <c r="AH400">
        <f t="shared" si="133"/>
        <v>2</v>
      </c>
    </row>
    <row r="401" spans="1:34" ht="15" thickBot="1">
      <c r="A401" s="55" t="s">
        <v>72</v>
      </c>
      <c r="B401" s="55">
        <v>1</v>
      </c>
      <c r="C401" s="51" t="s">
        <v>141</v>
      </c>
      <c r="D401" s="49" t="s">
        <v>7</v>
      </c>
      <c r="E401" s="49" t="s">
        <v>74</v>
      </c>
      <c r="F401" s="49" t="s">
        <v>68</v>
      </c>
      <c r="G401" s="49" t="s">
        <v>36</v>
      </c>
      <c r="H401" s="49" t="s">
        <v>6</v>
      </c>
      <c r="I401" s="50"/>
      <c r="Q401" s="52"/>
      <c r="R401" s="320"/>
      <c r="S401" s="323"/>
      <c r="T401" s="313"/>
      <c r="U401" s="316"/>
      <c r="V401" s="323"/>
      <c r="W401" s="313"/>
      <c r="X401" s="316"/>
      <c r="Y401" s="316"/>
      <c r="Z401" s="316"/>
      <c r="AA401" s="319"/>
      <c r="AD401" s="58">
        <f>ABS(BIN2DEC($AA397)*3-2)</f>
        <v>2</v>
      </c>
      <c r="AE401" s="58">
        <f>ABS(BIN2DEC($U397)*3-1)</f>
        <v>1</v>
      </c>
      <c r="AF401" s="58">
        <f>ABS( BIN2DEC(V397)*3-BIN2DEC(Z397))</f>
        <v>0</v>
      </c>
      <c r="AG401" s="58">
        <f>BIN2DEC(X397&amp;Y397)+BIN2DEC(W397)*3</f>
        <v>0</v>
      </c>
      <c r="AH401">
        <f t="shared" si="133"/>
        <v>6</v>
      </c>
    </row>
    <row r="402" spans="1:34">
      <c r="A402" s="55">
        <f>AA402</f>
        <v>0</v>
      </c>
      <c r="B402" s="55">
        <v>5</v>
      </c>
      <c r="C402" s="48" t="str">
        <f>IF(B402&gt;1,(23)&amp;":"&amp;(23-B402+1),(23-B402+1)&amp;":"&amp;(23-B402+1))</f>
        <v>23:19</v>
      </c>
      <c r="D402" s="49" t="s">
        <v>78</v>
      </c>
      <c r="E402" s="49" t="s">
        <v>69</v>
      </c>
      <c r="F402" s="49" t="s">
        <v>68</v>
      </c>
      <c r="G402" s="49" t="s">
        <v>36</v>
      </c>
      <c r="H402" s="49" t="s">
        <v>6</v>
      </c>
      <c r="I402" s="50"/>
      <c r="L402" t="str">
        <f>DEC2HEX(_xlfn.BITLSHIFT(HEX2DEC(P402),2))</f>
        <v>0</v>
      </c>
      <c r="N402">
        <v>3</v>
      </c>
      <c r="P402" t="str">
        <f>Z402</f>
        <v>0</v>
      </c>
      <c r="Q402" s="52" t="e">
        <f>BIN2HEX(LEFT(RIGHT(C402,32),4))&amp;BIN2HEX(LEFT(RIGHT(C402,28),4))&amp;BIN2HEX(LEFT(RIGHT(C402,24),4))&amp;BIN2HEX(LEFT(RIGHT(C402,20),4))&amp;BIN2HEX(LEFT(RIGHT(C402,16),4))&amp;BIN2HEX(LEFT(RIGHT(C402,12),4))&amp;BIN2HEX(LEFT(RIGHT(C402,8),4))&amp;BIN2HEX(LEFT(RIGHT(C402,4),4))</f>
        <v>#NUM!</v>
      </c>
      <c r="R402" s="320">
        <v>8</v>
      </c>
      <c r="S402" s="321"/>
      <c r="T402" s="311"/>
      <c r="U402" s="314"/>
      <c r="V402" s="321"/>
      <c r="W402" s="311"/>
      <c r="X402" s="314"/>
      <c r="Y402" s="314"/>
      <c r="Z402" s="314" t="str">
        <f t="shared" ref="Z402" si="134">BIN2HEX(S402&amp;T402&amp;U402&amp;V402&amp;W402&amp;X402&amp;Y402)</f>
        <v>0</v>
      </c>
      <c r="AA402" s="317"/>
      <c r="AD402" s="58"/>
      <c r="AE402" s="58"/>
      <c r="AF402" s="58"/>
      <c r="AG402" s="58"/>
    </row>
    <row r="403" spans="1:34">
      <c r="A403" s="55" t="s">
        <v>77</v>
      </c>
      <c r="B403" s="55">
        <v>1</v>
      </c>
      <c r="C403" s="51" t="s">
        <v>141</v>
      </c>
      <c r="D403" s="49" t="s">
        <v>7</v>
      </c>
      <c r="E403" s="49" t="s">
        <v>77</v>
      </c>
      <c r="F403" s="49" t="s">
        <v>68</v>
      </c>
      <c r="G403" s="49" t="s">
        <v>36</v>
      </c>
      <c r="H403" s="49" t="s">
        <v>6</v>
      </c>
      <c r="I403" s="50"/>
      <c r="Q403" s="52"/>
      <c r="R403" s="320"/>
      <c r="S403" s="322"/>
      <c r="T403" s="312"/>
      <c r="U403" s="315"/>
      <c r="V403" s="322"/>
      <c r="W403" s="312"/>
      <c r="X403" s="315"/>
      <c r="Y403" s="315"/>
      <c r="Z403" s="315"/>
      <c r="AA403" s="318"/>
      <c r="AD403" s="58">
        <f>BIN2DEC($AA402)*3</f>
        <v>0</v>
      </c>
      <c r="AE403" s="58">
        <f>ABS(BIN2DEC($U402)*3)</f>
        <v>0</v>
      </c>
      <c r="AF403" s="58">
        <f>ABS( BIN2DEC(V402)*3-BIN2DEC(Z402))</f>
        <v>0</v>
      </c>
      <c r="AG403" s="58">
        <f>BIN2DEC(X402&amp;Y402)+BIN2DEC(W402)*3</f>
        <v>0</v>
      </c>
      <c r="AH403">
        <f>AD403+AE403*4+AF403*16</f>
        <v>0</v>
      </c>
    </row>
    <row r="404" spans="1:34" ht="129.6">
      <c r="A404" s="55" t="s">
        <v>70</v>
      </c>
      <c r="B404" s="55">
        <v>3</v>
      </c>
      <c r="C404" s="51" t="s">
        <v>141</v>
      </c>
      <c r="D404" s="49" t="s">
        <v>81</v>
      </c>
      <c r="E404" s="49" t="s">
        <v>80</v>
      </c>
      <c r="F404" s="49" t="s">
        <v>68</v>
      </c>
      <c r="G404" s="49" t="s">
        <v>36</v>
      </c>
      <c r="H404" s="49" t="s">
        <v>6</v>
      </c>
      <c r="I404" s="50"/>
      <c r="Q404" s="52"/>
      <c r="R404" s="320"/>
      <c r="S404" s="322"/>
      <c r="T404" s="312"/>
      <c r="U404" s="315"/>
      <c r="V404" s="322"/>
      <c r="W404" s="312"/>
      <c r="X404" s="315"/>
      <c r="Y404" s="315"/>
      <c r="Z404" s="315"/>
      <c r="AA404" s="318"/>
      <c r="AD404" s="58">
        <f>BIN2DEC($AA402)*3</f>
        <v>0</v>
      </c>
      <c r="AE404" s="58">
        <f>ABS(BIN2DEC($U402)*3-1)</f>
        <v>1</v>
      </c>
      <c r="AF404" s="58">
        <f>ABS( BIN2DEC(V402)*3-BIN2DEC(Z402))</f>
        <v>0</v>
      </c>
      <c r="AG404" s="58">
        <f>BIN2DEC(X402&amp;Y402)+BIN2DEC(W402)*3</f>
        <v>0</v>
      </c>
      <c r="AH404">
        <f t="shared" ref="AH404:AH406" si="135">AD404+AE404*4+AF404*16</f>
        <v>4</v>
      </c>
    </row>
    <row r="405" spans="1:34">
      <c r="A405" s="55" t="s">
        <v>71</v>
      </c>
      <c r="B405" s="55">
        <v>1</v>
      </c>
      <c r="C405" s="51" t="s">
        <v>141</v>
      </c>
      <c r="D405" s="49" t="s">
        <v>7</v>
      </c>
      <c r="E405" s="49" t="s">
        <v>73</v>
      </c>
      <c r="F405" s="49" t="s">
        <v>68</v>
      </c>
      <c r="G405" s="49" t="s">
        <v>36</v>
      </c>
      <c r="H405" s="49" t="s">
        <v>6</v>
      </c>
      <c r="I405" s="50"/>
      <c r="Q405" s="52"/>
      <c r="R405" s="320"/>
      <c r="S405" s="322"/>
      <c r="T405" s="312"/>
      <c r="U405" s="315"/>
      <c r="V405" s="322"/>
      <c r="W405" s="312"/>
      <c r="X405" s="315"/>
      <c r="Y405" s="315"/>
      <c r="Z405" s="315"/>
      <c r="AA405" s="318"/>
      <c r="AD405" s="58">
        <f>ABS(BIN2DEC($AA402)*3-2)</f>
        <v>2</v>
      </c>
      <c r="AE405" s="58">
        <f>ABS(BIN2DEC($U402)*3)</f>
        <v>0</v>
      </c>
      <c r="AF405" s="58">
        <f>ABS( BIN2DEC(V402)*3-BIN2DEC(Z402))</f>
        <v>0</v>
      </c>
      <c r="AG405" s="58">
        <f>BIN2DEC(X402&amp;Y402)+BIN2DEC(W402)*3</f>
        <v>0</v>
      </c>
      <c r="AH405">
        <f t="shared" si="135"/>
        <v>2</v>
      </c>
    </row>
    <row r="406" spans="1:34" ht="15" thickBot="1">
      <c r="A406" s="55" t="s">
        <v>72</v>
      </c>
      <c r="B406" s="55">
        <v>1</v>
      </c>
      <c r="C406" s="51" t="s">
        <v>141</v>
      </c>
      <c r="D406" s="49" t="s">
        <v>7</v>
      </c>
      <c r="E406" s="49" t="s">
        <v>74</v>
      </c>
      <c r="F406" s="49" t="s">
        <v>68</v>
      </c>
      <c r="G406" s="49" t="s">
        <v>36</v>
      </c>
      <c r="H406" s="49" t="s">
        <v>6</v>
      </c>
      <c r="I406" s="50"/>
      <c r="Q406" s="52"/>
      <c r="R406" s="320"/>
      <c r="S406" s="323"/>
      <c r="T406" s="313"/>
      <c r="U406" s="316"/>
      <c r="V406" s="323"/>
      <c r="W406" s="313"/>
      <c r="X406" s="316"/>
      <c r="Y406" s="316"/>
      <c r="Z406" s="316"/>
      <c r="AA406" s="319"/>
      <c r="AD406" s="58">
        <f>ABS(BIN2DEC($AA402)*3-2)</f>
        <v>2</v>
      </c>
      <c r="AE406" s="58">
        <f>ABS(BIN2DEC($U402)*3-1)</f>
        <v>1</v>
      </c>
      <c r="AF406" s="58">
        <f>ABS( BIN2DEC(V402)*3-BIN2DEC(Z402))</f>
        <v>0</v>
      </c>
      <c r="AG406" s="58">
        <f>BIN2DEC(X402&amp;Y402)+BIN2DEC(W402)*3</f>
        <v>0</v>
      </c>
      <c r="AH406">
        <f t="shared" si="135"/>
        <v>6</v>
      </c>
    </row>
    <row r="407" spans="1:34">
      <c r="A407" s="55">
        <f>AA407</f>
        <v>0</v>
      </c>
      <c r="B407" s="55">
        <v>5</v>
      </c>
      <c r="C407" s="48" t="str">
        <f>IF(B407&gt;1,(23)&amp;":"&amp;(23-B407+1),(23-B407+1)&amp;":"&amp;(23-B407+1))</f>
        <v>23:19</v>
      </c>
      <c r="D407" s="49" t="s">
        <v>78</v>
      </c>
      <c r="E407" s="49" t="s">
        <v>69</v>
      </c>
      <c r="F407" s="49" t="s">
        <v>68</v>
      </c>
      <c r="G407" s="49" t="s">
        <v>36</v>
      </c>
      <c r="H407" s="49" t="s">
        <v>6</v>
      </c>
      <c r="I407" s="50"/>
      <c r="L407" t="str">
        <f>DEC2HEX(_xlfn.BITLSHIFT(HEX2DEC(P407),2))</f>
        <v>0</v>
      </c>
      <c r="N407">
        <v>3</v>
      </c>
      <c r="P407" t="str">
        <f>Z407</f>
        <v>0</v>
      </c>
      <c r="Q407" s="52" t="e">
        <f>BIN2HEX(LEFT(RIGHT(C407,32),4))&amp;BIN2HEX(LEFT(RIGHT(C407,28),4))&amp;BIN2HEX(LEFT(RIGHT(C407,24),4))&amp;BIN2HEX(LEFT(RIGHT(C407,20),4))&amp;BIN2HEX(LEFT(RIGHT(C407,16),4))&amp;BIN2HEX(LEFT(RIGHT(C407,12),4))&amp;BIN2HEX(LEFT(RIGHT(C407,8),4))&amp;BIN2HEX(LEFT(RIGHT(C407,4),4))</f>
        <v>#NUM!</v>
      </c>
      <c r="R407" s="320">
        <v>9</v>
      </c>
      <c r="S407" s="321"/>
      <c r="T407" s="311"/>
      <c r="U407" s="314"/>
      <c r="V407" s="321"/>
      <c r="W407" s="311"/>
      <c r="X407" s="314"/>
      <c r="Y407" s="314"/>
      <c r="Z407" s="314" t="str">
        <f t="shared" ref="Z407" si="136">BIN2HEX(S407&amp;T407&amp;U407&amp;V407&amp;W407&amp;X407&amp;Y407)</f>
        <v>0</v>
      </c>
      <c r="AA407" s="317"/>
      <c r="AD407" s="58"/>
      <c r="AE407" s="58"/>
      <c r="AF407" s="58"/>
      <c r="AG407" s="58"/>
    </row>
    <row r="408" spans="1:34">
      <c r="A408" s="55" t="s">
        <v>77</v>
      </c>
      <c r="B408" s="55">
        <v>1</v>
      </c>
      <c r="C408" s="51" t="s">
        <v>141</v>
      </c>
      <c r="D408" s="49" t="s">
        <v>7</v>
      </c>
      <c r="E408" s="49" t="s">
        <v>77</v>
      </c>
      <c r="F408" s="49" t="s">
        <v>68</v>
      </c>
      <c r="G408" s="49" t="s">
        <v>36</v>
      </c>
      <c r="H408" s="49" t="s">
        <v>6</v>
      </c>
      <c r="I408" s="50"/>
      <c r="Q408" s="52"/>
      <c r="R408" s="320"/>
      <c r="S408" s="322"/>
      <c r="T408" s="312"/>
      <c r="U408" s="315"/>
      <c r="V408" s="322"/>
      <c r="W408" s="312"/>
      <c r="X408" s="315"/>
      <c r="Y408" s="315"/>
      <c r="Z408" s="315"/>
      <c r="AA408" s="318"/>
      <c r="AD408" s="58">
        <f>BIN2DEC($AA407)*3</f>
        <v>0</v>
      </c>
      <c r="AE408" s="58">
        <f>ABS(BIN2DEC($U407)*3)</f>
        <v>0</v>
      </c>
      <c r="AF408" s="58">
        <f>ABS( BIN2DEC(V407)*3-BIN2DEC(Z407))</f>
        <v>0</v>
      </c>
      <c r="AG408" s="58">
        <f>BIN2DEC(X407&amp;Y407)+BIN2DEC(W407)*3</f>
        <v>0</v>
      </c>
      <c r="AH408">
        <f>AD408+AE408*4+AF408*16</f>
        <v>0</v>
      </c>
    </row>
    <row r="409" spans="1:34" ht="129.6">
      <c r="A409" s="55" t="s">
        <v>70</v>
      </c>
      <c r="B409" s="55">
        <v>3</v>
      </c>
      <c r="C409" s="51" t="s">
        <v>141</v>
      </c>
      <c r="D409" s="49" t="s">
        <v>81</v>
      </c>
      <c r="E409" s="49" t="s">
        <v>80</v>
      </c>
      <c r="F409" s="49" t="s">
        <v>68</v>
      </c>
      <c r="G409" s="49" t="s">
        <v>36</v>
      </c>
      <c r="H409" s="49" t="s">
        <v>6</v>
      </c>
      <c r="I409" s="50"/>
      <c r="Q409" s="52"/>
      <c r="R409" s="320"/>
      <c r="S409" s="322"/>
      <c r="T409" s="312"/>
      <c r="U409" s="315"/>
      <c r="V409" s="322"/>
      <c r="W409" s="312"/>
      <c r="X409" s="315"/>
      <c r="Y409" s="315"/>
      <c r="Z409" s="315"/>
      <c r="AA409" s="318"/>
      <c r="AD409" s="58">
        <f>BIN2DEC($AA407)*3</f>
        <v>0</v>
      </c>
      <c r="AE409" s="58">
        <f>ABS(BIN2DEC($U407)*3-1)</f>
        <v>1</v>
      </c>
      <c r="AF409" s="58">
        <f>ABS( BIN2DEC(V407)*3-BIN2DEC(Z407))</f>
        <v>0</v>
      </c>
      <c r="AG409" s="58">
        <f>BIN2DEC(X407&amp;Y407)+BIN2DEC(W407)*3</f>
        <v>0</v>
      </c>
      <c r="AH409">
        <f t="shared" ref="AH409:AH411" si="137">AD409+AE409*4+AF409*16</f>
        <v>4</v>
      </c>
    </row>
    <row r="410" spans="1:34">
      <c r="A410" s="55" t="s">
        <v>71</v>
      </c>
      <c r="B410" s="55">
        <v>1</v>
      </c>
      <c r="C410" s="51" t="s">
        <v>141</v>
      </c>
      <c r="D410" s="49" t="s">
        <v>7</v>
      </c>
      <c r="E410" s="49" t="s">
        <v>73</v>
      </c>
      <c r="F410" s="49" t="s">
        <v>68</v>
      </c>
      <c r="G410" s="49" t="s">
        <v>36</v>
      </c>
      <c r="H410" s="49" t="s">
        <v>6</v>
      </c>
      <c r="I410" s="50"/>
      <c r="Q410" s="52"/>
      <c r="R410" s="320"/>
      <c r="S410" s="322"/>
      <c r="T410" s="312"/>
      <c r="U410" s="315"/>
      <c r="V410" s="322"/>
      <c r="W410" s="312"/>
      <c r="X410" s="315"/>
      <c r="Y410" s="315"/>
      <c r="Z410" s="315"/>
      <c r="AA410" s="318"/>
      <c r="AD410" s="58">
        <f>ABS(BIN2DEC($AA407)*3-2)</f>
        <v>2</v>
      </c>
      <c r="AE410" s="58">
        <f>ABS(BIN2DEC($U407)*3)</f>
        <v>0</v>
      </c>
      <c r="AF410" s="58">
        <f>ABS( BIN2DEC(V407)*3-BIN2DEC(Z407))</f>
        <v>0</v>
      </c>
      <c r="AG410" s="58">
        <f>BIN2DEC(X407&amp;Y407)+BIN2DEC(W407)*3</f>
        <v>0</v>
      </c>
      <c r="AH410">
        <f t="shared" si="137"/>
        <v>2</v>
      </c>
    </row>
    <row r="411" spans="1:34" ht="15" thickBot="1">
      <c r="A411" s="55" t="s">
        <v>72</v>
      </c>
      <c r="B411" s="55">
        <v>1</v>
      </c>
      <c r="C411" s="51" t="s">
        <v>141</v>
      </c>
      <c r="D411" s="49" t="s">
        <v>7</v>
      </c>
      <c r="E411" s="49" t="s">
        <v>74</v>
      </c>
      <c r="F411" s="49" t="s">
        <v>68</v>
      </c>
      <c r="G411" s="49" t="s">
        <v>36</v>
      </c>
      <c r="H411" s="49" t="s">
        <v>6</v>
      </c>
      <c r="I411" s="50"/>
      <c r="Q411" s="52"/>
      <c r="R411" s="320"/>
      <c r="S411" s="323"/>
      <c r="T411" s="313"/>
      <c r="U411" s="316"/>
      <c r="V411" s="323"/>
      <c r="W411" s="313"/>
      <c r="X411" s="316"/>
      <c r="Y411" s="316"/>
      <c r="Z411" s="316"/>
      <c r="AA411" s="319"/>
      <c r="AD411" s="58">
        <f>ABS(BIN2DEC($AA407)*3-2)</f>
        <v>2</v>
      </c>
      <c r="AE411" s="58">
        <f>ABS(BIN2DEC($U407)*3-1)</f>
        <v>1</v>
      </c>
      <c r="AF411" s="58">
        <f>ABS( BIN2DEC(V407)*3-BIN2DEC(Z407))</f>
        <v>0</v>
      </c>
      <c r="AG411" s="58">
        <f>BIN2DEC(X407&amp;Y407)+BIN2DEC(W407)*3</f>
        <v>0</v>
      </c>
      <c r="AH411">
        <f t="shared" si="137"/>
        <v>6</v>
      </c>
    </row>
    <row r="412" spans="1:34">
      <c r="A412" s="55">
        <f>AA412</f>
        <v>0</v>
      </c>
      <c r="B412" s="55">
        <v>5</v>
      </c>
      <c r="C412" s="48" t="str">
        <f>IF(B412&gt;1,(23)&amp;":"&amp;(23-B412+1),(23-B412+1)&amp;":"&amp;(23-B412+1))</f>
        <v>23:19</v>
      </c>
      <c r="D412" s="49" t="s">
        <v>78</v>
      </c>
      <c r="E412" s="49" t="s">
        <v>69</v>
      </c>
      <c r="F412" s="49" t="s">
        <v>68</v>
      </c>
      <c r="G412" s="49" t="s">
        <v>36</v>
      </c>
      <c r="H412" s="49" t="s">
        <v>6</v>
      </c>
      <c r="I412" s="50"/>
      <c r="L412" t="str">
        <f>DEC2HEX(_xlfn.BITLSHIFT(HEX2DEC(P412),2))</f>
        <v>0</v>
      </c>
      <c r="N412">
        <v>3</v>
      </c>
      <c r="P412" t="str">
        <f>Z412</f>
        <v>0</v>
      </c>
      <c r="Q412" s="52" t="e">
        <f>BIN2HEX(LEFT(RIGHT(C412,32),4))&amp;BIN2HEX(LEFT(RIGHT(C412,28),4))&amp;BIN2HEX(LEFT(RIGHT(C412,24),4))&amp;BIN2HEX(LEFT(RIGHT(C412,20),4))&amp;BIN2HEX(LEFT(RIGHT(C412,16),4))&amp;BIN2HEX(LEFT(RIGHT(C412,12),4))&amp;BIN2HEX(LEFT(RIGHT(C412,8),4))&amp;BIN2HEX(LEFT(RIGHT(C412,4),4))</f>
        <v>#NUM!</v>
      </c>
      <c r="R412" s="320">
        <v>10</v>
      </c>
      <c r="S412" s="321"/>
      <c r="T412" s="311"/>
      <c r="U412" s="314"/>
      <c r="V412" s="321"/>
      <c r="W412" s="311"/>
      <c r="X412" s="314"/>
      <c r="Y412" s="314"/>
      <c r="Z412" s="314" t="str">
        <f t="shared" ref="Z412" si="138">BIN2HEX(S412&amp;T412&amp;U412&amp;V412&amp;W412&amp;X412&amp;Y412)</f>
        <v>0</v>
      </c>
      <c r="AA412" s="317"/>
      <c r="AD412" s="58"/>
      <c r="AE412" s="58"/>
      <c r="AF412" s="58"/>
      <c r="AG412" s="58"/>
    </row>
    <row r="413" spans="1:34">
      <c r="A413" s="55" t="s">
        <v>77</v>
      </c>
      <c r="B413" s="55">
        <v>1</v>
      </c>
      <c r="C413" s="51" t="s">
        <v>141</v>
      </c>
      <c r="D413" s="49" t="s">
        <v>7</v>
      </c>
      <c r="E413" s="49" t="s">
        <v>77</v>
      </c>
      <c r="F413" s="49" t="s">
        <v>68</v>
      </c>
      <c r="G413" s="49" t="s">
        <v>36</v>
      </c>
      <c r="H413" s="49" t="s">
        <v>6</v>
      </c>
      <c r="I413" s="50"/>
      <c r="Q413" s="52"/>
      <c r="R413" s="320"/>
      <c r="S413" s="322"/>
      <c r="T413" s="312"/>
      <c r="U413" s="315"/>
      <c r="V413" s="322"/>
      <c r="W413" s="312"/>
      <c r="X413" s="315"/>
      <c r="Y413" s="315"/>
      <c r="Z413" s="315"/>
      <c r="AA413" s="318"/>
      <c r="AD413" s="58">
        <f>BIN2DEC($AA412)*3</f>
        <v>0</v>
      </c>
      <c r="AE413" s="58">
        <f>ABS(BIN2DEC($U412)*3)</f>
        <v>0</v>
      </c>
      <c r="AF413" s="58">
        <f>ABS( BIN2DEC(V412)*3-BIN2DEC(Z412))</f>
        <v>0</v>
      </c>
      <c r="AG413" s="58">
        <f>BIN2DEC(X412&amp;Y412)+BIN2DEC(W412)*3</f>
        <v>0</v>
      </c>
      <c r="AH413">
        <f>AD413+AE413*4+AF413*16</f>
        <v>0</v>
      </c>
    </row>
    <row r="414" spans="1:34" ht="129.6">
      <c r="A414" s="55" t="s">
        <v>70</v>
      </c>
      <c r="B414" s="55">
        <v>3</v>
      </c>
      <c r="C414" s="51" t="s">
        <v>141</v>
      </c>
      <c r="D414" s="49" t="s">
        <v>81</v>
      </c>
      <c r="E414" s="49" t="s">
        <v>80</v>
      </c>
      <c r="F414" s="49" t="s">
        <v>68</v>
      </c>
      <c r="G414" s="49" t="s">
        <v>36</v>
      </c>
      <c r="H414" s="49" t="s">
        <v>6</v>
      </c>
      <c r="I414" s="50"/>
      <c r="Q414" s="52"/>
      <c r="R414" s="320"/>
      <c r="S414" s="322"/>
      <c r="T414" s="312"/>
      <c r="U414" s="315"/>
      <c r="V414" s="322"/>
      <c r="W414" s="312"/>
      <c r="X414" s="315"/>
      <c r="Y414" s="315"/>
      <c r="Z414" s="315"/>
      <c r="AA414" s="318"/>
      <c r="AD414" s="58">
        <f>BIN2DEC($AA412)*3</f>
        <v>0</v>
      </c>
      <c r="AE414" s="58">
        <f>ABS(BIN2DEC($U412)*3-1)</f>
        <v>1</v>
      </c>
      <c r="AF414" s="58">
        <f>ABS( BIN2DEC(V412)*3-BIN2DEC(Z412))</f>
        <v>0</v>
      </c>
      <c r="AG414" s="58">
        <f>BIN2DEC(X412&amp;Y412)+BIN2DEC(W412)*3</f>
        <v>0</v>
      </c>
      <c r="AH414">
        <f t="shared" ref="AH414:AH416" si="139">AD414+AE414*4+AF414*16</f>
        <v>4</v>
      </c>
    </row>
    <row r="415" spans="1:34">
      <c r="A415" s="55" t="s">
        <v>71</v>
      </c>
      <c r="B415" s="55">
        <v>1</v>
      </c>
      <c r="C415" s="51" t="s">
        <v>141</v>
      </c>
      <c r="D415" s="49" t="s">
        <v>7</v>
      </c>
      <c r="E415" s="49" t="s">
        <v>73</v>
      </c>
      <c r="F415" s="49" t="s">
        <v>68</v>
      </c>
      <c r="G415" s="49" t="s">
        <v>36</v>
      </c>
      <c r="H415" s="49" t="s">
        <v>6</v>
      </c>
      <c r="I415" s="50"/>
      <c r="Q415" s="52"/>
      <c r="R415" s="320"/>
      <c r="S415" s="322"/>
      <c r="T415" s="312"/>
      <c r="U415" s="315"/>
      <c r="V415" s="322"/>
      <c r="W415" s="312"/>
      <c r="X415" s="315"/>
      <c r="Y415" s="315"/>
      <c r="Z415" s="315"/>
      <c r="AA415" s="318"/>
      <c r="AD415" s="58">
        <f>ABS(BIN2DEC($AA412)*3-2)</f>
        <v>2</v>
      </c>
      <c r="AE415" s="58">
        <f>ABS(BIN2DEC($U412)*3)</f>
        <v>0</v>
      </c>
      <c r="AF415" s="58">
        <f>ABS( BIN2DEC(V412)*3-BIN2DEC(Z412))</f>
        <v>0</v>
      </c>
      <c r="AG415" s="58">
        <f>BIN2DEC(X412&amp;Y412)+BIN2DEC(W412)*3</f>
        <v>0</v>
      </c>
      <c r="AH415">
        <f t="shared" si="139"/>
        <v>2</v>
      </c>
    </row>
    <row r="416" spans="1:34" ht="15" thickBot="1">
      <c r="A416" s="55" t="s">
        <v>72</v>
      </c>
      <c r="B416" s="55">
        <v>1</v>
      </c>
      <c r="C416" s="51" t="s">
        <v>141</v>
      </c>
      <c r="D416" s="49" t="s">
        <v>7</v>
      </c>
      <c r="E416" s="49" t="s">
        <v>74</v>
      </c>
      <c r="F416" s="49" t="s">
        <v>68</v>
      </c>
      <c r="G416" s="49" t="s">
        <v>36</v>
      </c>
      <c r="H416" s="49" t="s">
        <v>6</v>
      </c>
      <c r="I416" s="50"/>
      <c r="Q416" s="52"/>
      <c r="R416" s="320"/>
      <c r="S416" s="323"/>
      <c r="T416" s="313"/>
      <c r="U416" s="316"/>
      <c r="V416" s="323"/>
      <c r="W416" s="313"/>
      <c r="X416" s="316"/>
      <c r="Y416" s="316"/>
      <c r="Z416" s="316"/>
      <c r="AA416" s="319"/>
      <c r="AD416" s="58">
        <f>ABS(BIN2DEC($AA412)*3-2)</f>
        <v>2</v>
      </c>
      <c r="AE416" s="58">
        <f>ABS(BIN2DEC($U412)*3-1)</f>
        <v>1</v>
      </c>
      <c r="AF416" s="58">
        <f>ABS( BIN2DEC(V412)*3-BIN2DEC(Z412))</f>
        <v>0</v>
      </c>
      <c r="AG416" s="58">
        <f>BIN2DEC(X412&amp;Y412)+BIN2DEC(W412)*3</f>
        <v>0</v>
      </c>
      <c r="AH416">
        <f t="shared" si="139"/>
        <v>6</v>
      </c>
    </row>
    <row r="417" spans="1:34">
      <c r="A417" s="55">
        <f>AA417</f>
        <v>0</v>
      </c>
      <c r="B417" s="55">
        <v>5</v>
      </c>
      <c r="C417" s="48" t="str">
        <f>IF(B417&gt;1,(23)&amp;":"&amp;(23-B417+1),(23-B417+1)&amp;":"&amp;(23-B417+1))</f>
        <v>23:19</v>
      </c>
      <c r="D417" s="49" t="s">
        <v>78</v>
      </c>
      <c r="E417" s="49" t="s">
        <v>69</v>
      </c>
      <c r="F417" s="49" t="s">
        <v>68</v>
      </c>
      <c r="G417" s="49" t="s">
        <v>36</v>
      </c>
      <c r="H417" s="49" t="s">
        <v>6</v>
      </c>
      <c r="I417" s="50"/>
      <c r="L417" t="str">
        <f>DEC2HEX(_xlfn.BITLSHIFT(HEX2DEC(P417),2))</f>
        <v>0</v>
      </c>
      <c r="N417">
        <v>3</v>
      </c>
      <c r="P417" t="str">
        <f>Z417</f>
        <v>0</v>
      </c>
      <c r="Q417" s="52" t="e">
        <f>BIN2HEX(LEFT(RIGHT(C417,32),4))&amp;BIN2HEX(LEFT(RIGHT(C417,28),4))&amp;BIN2HEX(LEFT(RIGHT(C417,24),4))&amp;BIN2HEX(LEFT(RIGHT(C417,20),4))&amp;BIN2HEX(LEFT(RIGHT(C417,16),4))&amp;BIN2HEX(LEFT(RIGHT(C417,12),4))&amp;BIN2HEX(LEFT(RIGHT(C417,8),4))&amp;BIN2HEX(LEFT(RIGHT(C417,4),4))</f>
        <v>#NUM!</v>
      </c>
      <c r="R417" s="320">
        <v>11</v>
      </c>
      <c r="S417" s="321"/>
      <c r="T417" s="311"/>
      <c r="U417" s="314"/>
      <c r="V417" s="321"/>
      <c r="W417" s="311"/>
      <c r="X417" s="314"/>
      <c r="Y417" s="314"/>
      <c r="Z417" s="314" t="str">
        <f t="shared" ref="Z417" si="140">BIN2HEX(S417&amp;T417&amp;U417&amp;V417&amp;W417&amp;X417&amp;Y417)</f>
        <v>0</v>
      </c>
      <c r="AA417" s="317"/>
      <c r="AD417" s="58"/>
      <c r="AE417" s="58"/>
      <c r="AF417" s="58"/>
      <c r="AG417" s="58"/>
    </row>
    <row r="418" spans="1:34">
      <c r="A418" s="55" t="s">
        <v>77</v>
      </c>
      <c r="B418" s="55">
        <v>1</v>
      </c>
      <c r="C418" s="51" t="s">
        <v>141</v>
      </c>
      <c r="D418" s="49" t="s">
        <v>7</v>
      </c>
      <c r="E418" s="49" t="s">
        <v>77</v>
      </c>
      <c r="F418" s="49" t="s">
        <v>68</v>
      </c>
      <c r="G418" s="49" t="s">
        <v>36</v>
      </c>
      <c r="H418" s="49" t="s">
        <v>6</v>
      </c>
      <c r="I418" s="50"/>
      <c r="Q418" s="52"/>
      <c r="R418" s="320"/>
      <c r="S418" s="322"/>
      <c r="T418" s="312"/>
      <c r="U418" s="315"/>
      <c r="V418" s="322"/>
      <c r="W418" s="312"/>
      <c r="X418" s="315"/>
      <c r="Y418" s="315"/>
      <c r="Z418" s="315"/>
      <c r="AA418" s="318"/>
      <c r="AD418" s="58">
        <f>BIN2DEC($AA417)*3</f>
        <v>0</v>
      </c>
      <c r="AE418" s="58">
        <f>ABS(BIN2DEC($U417)*3)</f>
        <v>0</v>
      </c>
      <c r="AF418" s="58">
        <f>ABS( BIN2DEC(V417)*3-BIN2DEC(Z417))</f>
        <v>0</v>
      </c>
      <c r="AG418" s="58">
        <f>BIN2DEC(X417&amp;Y417)+BIN2DEC(W417)*3</f>
        <v>0</v>
      </c>
      <c r="AH418">
        <f>AD418+AE418*4+AF418*16</f>
        <v>0</v>
      </c>
    </row>
    <row r="419" spans="1:34" ht="129.6">
      <c r="A419" s="55" t="s">
        <v>70</v>
      </c>
      <c r="B419" s="55">
        <v>3</v>
      </c>
      <c r="C419" s="51" t="s">
        <v>141</v>
      </c>
      <c r="D419" s="49" t="s">
        <v>81</v>
      </c>
      <c r="E419" s="49" t="s">
        <v>80</v>
      </c>
      <c r="F419" s="49" t="s">
        <v>68</v>
      </c>
      <c r="G419" s="49" t="s">
        <v>36</v>
      </c>
      <c r="H419" s="49" t="s">
        <v>6</v>
      </c>
      <c r="I419" s="50"/>
      <c r="Q419" s="52"/>
      <c r="R419" s="320"/>
      <c r="S419" s="322"/>
      <c r="T419" s="312"/>
      <c r="U419" s="315"/>
      <c r="V419" s="322"/>
      <c r="W419" s="312"/>
      <c r="X419" s="315"/>
      <c r="Y419" s="315"/>
      <c r="Z419" s="315"/>
      <c r="AA419" s="318"/>
      <c r="AD419" s="58">
        <f>BIN2DEC($AA417)*3</f>
        <v>0</v>
      </c>
      <c r="AE419" s="58">
        <f>ABS(BIN2DEC($U417)*3-1)</f>
        <v>1</v>
      </c>
      <c r="AF419" s="58">
        <f>ABS( BIN2DEC(V417)*3-BIN2DEC(Z417))</f>
        <v>0</v>
      </c>
      <c r="AG419" s="58">
        <f>BIN2DEC(X417&amp;Y417)+BIN2DEC(W417)*3</f>
        <v>0</v>
      </c>
      <c r="AH419">
        <f t="shared" ref="AH419:AH421" si="141">AD419+AE419*4+AF419*16</f>
        <v>4</v>
      </c>
    </row>
    <row r="420" spans="1:34">
      <c r="A420" s="55" t="s">
        <v>71</v>
      </c>
      <c r="B420" s="55">
        <v>1</v>
      </c>
      <c r="C420" s="51" t="s">
        <v>141</v>
      </c>
      <c r="D420" s="49" t="s">
        <v>7</v>
      </c>
      <c r="E420" s="49" t="s">
        <v>73</v>
      </c>
      <c r="F420" s="49" t="s">
        <v>68</v>
      </c>
      <c r="G420" s="49" t="s">
        <v>36</v>
      </c>
      <c r="H420" s="49" t="s">
        <v>6</v>
      </c>
      <c r="I420" s="50"/>
      <c r="Q420" s="52"/>
      <c r="R420" s="320"/>
      <c r="S420" s="322"/>
      <c r="T420" s="312"/>
      <c r="U420" s="315"/>
      <c r="V420" s="322"/>
      <c r="W420" s="312"/>
      <c r="X420" s="315"/>
      <c r="Y420" s="315"/>
      <c r="Z420" s="315"/>
      <c r="AA420" s="318"/>
      <c r="AD420" s="58">
        <f>ABS(BIN2DEC($AA417)*3-2)</f>
        <v>2</v>
      </c>
      <c r="AE420" s="58">
        <f>ABS(BIN2DEC($U417)*3)</f>
        <v>0</v>
      </c>
      <c r="AF420" s="58">
        <f>ABS( BIN2DEC(V417)*3-BIN2DEC(Z417))</f>
        <v>0</v>
      </c>
      <c r="AG420" s="58">
        <f>BIN2DEC(X417&amp;Y417)+BIN2DEC(W417)*3</f>
        <v>0</v>
      </c>
      <c r="AH420">
        <f t="shared" si="141"/>
        <v>2</v>
      </c>
    </row>
    <row r="421" spans="1:34" ht="15" thickBot="1">
      <c r="A421" s="55" t="s">
        <v>72</v>
      </c>
      <c r="B421" s="55">
        <v>1</v>
      </c>
      <c r="C421" s="51" t="s">
        <v>141</v>
      </c>
      <c r="D421" s="49" t="s">
        <v>7</v>
      </c>
      <c r="E421" s="49" t="s">
        <v>74</v>
      </c>
      <c r="F421" s="49" t="s">
        <v>68</v>
      </c>
      <c r="G421" s="49" t="s">
        <v>36</v>
      </c>
      <c r="H421" s="49" t="s">
        <v>6</v>
      </c>
      <c r="I421" s="50"/>
      <c r="Q421" s="52"/>
      <c r="R421" s="320"/>
      <c r="S421" s="323"/>
      <c r="T421" s="313"/>
      <c r="U421" s="316"/>
      <c r="V421" s="323"/>
      <c r="W421" s="313"/>
      <c r="X421" s="316"/>
      <c r="Y421" s="316"/>
      <c r="Z421" s="316"/>
      <c r="AA421" s="319"/>
      <c r="AD421" s="58">
        <f>ABS(BIN2DEC($AA417)*3-2)</f>
        <v>2</v>
      </c>
      <c r="AE421" s="58">
        <f>ABS(BIN2DEC($U417)*3-1)</f>
        <v>1</v>
      </c>
      <c r="AF421" s="58">
        <f>ABS( BIN2DEC(V417)*3-BIN2DEC(Z417))</f>
        <v>0</v>
      </c>
      <c r="AG421" s="58">
        <f>BIN2DEC(X417&amp;Y417)+BIN2DEC(W417)*3</f>
        <v>0</v>
      </c>
      <c r="AH421">
        <f t="shared" si="141"/>
        <v>6</v>
      </c>
    </row>
    <row r="422" spans="1:34">
      <c r="A422" s="55">
        <f>AA422</f>
        <v>0</v>
      </c>
      <c r="B422" s="55">
        <v>5</v>
      </c>
      <c r="C422" s="48" t="str">
        <f>IF(B422&gt;1,(23)&amp;":"&amp;(23-B422+1),(23-B422+1)&amp;":"&amp;(23-B422+1))</f>
        <v>23:19</v>
      </c>
      <c r="D422" s="49" t="s">
        <v>78</v>
      </c>
      <c r="E422" s="49" t="s">
        <v>69</v>
      </c>
      <c r="F422" s="49" t="s">
        <v>68</v>
      </c>
      <c r="G422" s="49" t="s">
        <v>36</v>
      </c>
      <c r="H422" s="49" t="s">
        <v>6</v>
      </c>
      <c r="I422" s="50"/>
      <c r="L422" t="str">
        <f>DEC2HEX(_xlfn.BITLSHIFT(HEX2DEC(P422),2))</f>
        <v>0</v>
      </c>
      <c r="N422">
        <v>3</v>
      </c>
      <c r="P422" t="str">
        <f>Z422</f>
        <v>0</v>
      </c>
      <c r="Q422" s="52" t="e">
        <f>BIN2HEX(LEFT(RIGHT(C422,32),4))&amp;BIN2HEX(LEFT(RIGHT(C422,28),4))&amp;BIN2HEX(LEFT(RIGHT(C422,24),4))&amp;BIN2HEX(LEFT(RIGHT(C422,20),4))&amp;BIN2HEX(LEFT(RIGHT(C422,16),4))&amp;BIN2HEX(LEFT(RIGHT(C422,12),4))&amp;BIN2HEX(LEFT(RIGHT(C422,8),4))&amp;BIN2HEX(LEFT(RIGHT(C422,4),4))</f>
        <v>#NUM!</v>
      </c>
      <c r="R422" s="320">
        <v>12</v>
      </c>
      <c r="S422" s="321"/>
      <c r="T422" s="311"/>
      <c r="U422" s="314"/>
      <c r="V422" s="321"/>
      <c r="W422" s="311"/>
      <c r="X422" s="314"/>
      <c r="Y422" s="314"/>
      <c r="Z422" s="314" t="str">
        <f t="shared" ref="Z422" si="142">BIN2HEX(S422&amp;T422&amp;U422&amp;V422&amp;W422&amp;X422&amp;Y422)</f>
        <v>0</v>
      </c>
      <c r="AA422" s="317"/>
      <c r="AD422" s="58"/>
      <c r="AE422" s="58"/>
      <c r="AF422" s="58"/>
      <c r="AG422" s="58"/>
    </row>
    <row r="423" spans="1:34">
      <c r="A423" s="55" t="s">
        <v>77</v>
      </c>
      <c r="B423" s="55">
        <v>1</v>
      </c>
      <c r="C423" s="51" t="s">
        <v>141</v>
      </c>
      <c r="D423" s="49" t="s">
        <v>7</v>
      </c>
      <c r="E423" s="49" t="s">
        <v>77</v>
      </c>
      <c r="F423" s="49" t="s">
        <v>68</v>
      </c>
      <c r="G423" s="49" t="s">
        <v>36</v>
      </c>
      <c r="H423" s="49" t="s">
        <v>6</v>
      </c>
      <c r="I423" s="50"/>
      <c r="Q423" s="52"/>
      <c r="R423" s="320"/>
      <c r="S423" s="322"/>
      <c r="T423" s="312"/>
      <c r="U423" s="315"/>
      <c r="V423" s="322"/>
      <c r="W423" s="312"/>
      <c r="X423" s="315"/>
      <c r="Y423" s="315"/>
      <c r="Z423" s="315"/>
      <c r="AA423" s="318"/>
      <c r="AD423" s="58">
        <f>BIN2DEC($AA422)*3</f>
        <v>0</v>
      </c>
      <c r="AE423" s="58">
        <f>ABS(BIN2DEC($U422)*3)</f>
        <v>0</v>
      </c>
      <c r="AF423" s="58">
        <f>ABS( BIN2DEC(V422)*3-BIN2DEC(Z422))</f>
        <v>0</v>
      </c>
      <c r="AG423" s="58">
        <f>BIN2DEC(X422&amp;Y422)+BIN2DEC(W422)*3</f>
        <v>0</v>
      </c>
      <c r="AH423">
        <f>AD423+AE423*4+AF423*16</f>
        <v>0</v>
      </c>
    </row>
    <row r="424" spans="1:34" ht="129.6">
      <c r="A424" s="55" t="s">
        <v>70</v>
      </c>
      <c r="B424" s="55">
        <v>3</v>
      </c>
      <c r="C424" s="51" t="s">
        <v>141</v>
      </c>
      <c r="D424" s="49" t="s">
        <v>81</v>
      </c>
      <c r="E424" s="49" t="s">
        <v>80</v>
      </c>
      <c r="F424" s="49" t="s">
        <v>68</v>
      </c>
      <c r="G424" s="49" t="s">
        <v>36</v>
      </c>
      <c r="H424" s="49" t="s">
        <v>6</v>
      </c>
      <c r="I424" s="50"/>
      <c r="Q424" s="52"/>
      <c r="R424" s="320"/>
      <c r="S424" s="322"/>
      <c r="T424" s="312"/>
      <c r="U424" s="315"/>
      <c r="V424" s="322"/>
      <c r="W424" s="312"/>
      <c r="X424" s="315"/>
      <c r="Y424" s="315"/>
      <c r="Z424" s="315"/>
      <c r="AA424" s="318"/>
      <c r="AD424" s="58">
        <f>BIN2DEC($AA422)*3</f>
        <v>0</v>
      </c>
      <c r="AE424" s="58">
        <f>ABS(BIN2DEC($U422)*3-1)</f>
        <v>1</v>
      </c>
      <c r="AF424" s="58">
        <f>ABS( BIN2DEC(V422)*3-BIN2DEC(Z422))</f>
        <v>0</v>
      </c>
      <c r="AG424" s="58">
        <f>BIN2DEC(X422&amp;Y422)+BIN2DEC(W422)*3</f>
        <v>0</v>
      </c>
      <c r="AH424">
        <f t="shared" ref="AH424:AH426" si="143">AD424+AE424*4+AF424*16</f>
        <v>4</v>
      </c>
    </row>
    <row r="425" spans="1:34">
      <c r="A425" s="55" t="s">
        <v>71</v>
      </c>
      <c r="B425" s="55">
        <v>1</v>
      </c>
      <c r="C425" s="51" t="s">
        <v>141</v>
      </c>
      <c r="D425" s="49" t="s">
        <v>7</v>
      </c>
      <c r="E425" s="49" t="s">
        <v>73</v>
      </c>
      <c r="F425" s="49" t="s">
        <v>68</v>
      </c>
      <c r="G425" s="49" t="s">
        <v>36</v>
      </c>
      <c r="H425" s="49" t="s">
        <v>6</v>
      </c>
      <c r="I425" s="50"/>
      <c r="Q425" s="52"/>
      <c r="R425" s="320"/>
      <c r="S425" s="322"/>
      <c r="T425" s="312"/>
      <c r="U425" s="315"/>
      <c r="V425" s="322"/>
      <c r="W425" s="312"/>
      <c r="X425" s="315"/>
      <c r="Y425" s="315"/>
      <c r="Z425" s="315"/>
      <c r="AA425" s="318"/>
      <c r="AD425" s="58">
        <f>ABS(BIN2DEC($AA422)*3-2)</f>
        <v>2</v>
      </c>
      <c r="AE425" s="58">
        <f>ABS(BIN2DEC($U422)*3)</f>
        <v>0</v>
      </c>
      <c r="AF425" s="58">
        <f>ABS( BIN2DEC(V422)*3-BIN2DEC(Z422))</f>
        <v>0</v>
      </c>
      <c r="AG425" s="58">
        <f>BIN2DEC(X422&amp;Y422)+BIN2DEC(W422)*3</f>
        <v>0</v>
      </c>
      <c r="AH425">
        <f t="shared" si="143"/>
        <v>2</v>
      </c>
    </row>
    <row r="426" spans="1:34" ht="15" thickBot="1">
      <c r="A426" s="55" t="s">
        <v>72</v>
      </c>
      <c r="B426" s="55">
        <v>1</v>
      </c>
      <c r="C426" s="51" t="s">
        <v>141</v>
      </c>
      <c r="D426" s="49" t="s">
        <v>7</v>
      </c>
      <c r="E426" s="49" t="s">
        <v>74</v>
      </c>
      <c r="F426" s="49" t="s">
        <v>68</v>
      </c>
      <c r="G426" s="49" t="s">
        <v>36</v>
      </c>
      <c r="H426" s="49" t="s">
        <v>6</v>
      </c>
      <c r="I426" s="50"/>
      <c r="Q426" s="52"/>
      <c r="R426" s="320"/>
      <c r="S426" s="323"/>
      <c r="T426" s="313"/>
      <c r="U426" s="316"/>
      <c r="V426" s="323"/>
      <c r="W426" s="313"/>
      <c r="X426" s="316"/>
      <c r="Y426" s="316"/>
      <c r="Z426" s="316"/>
      <c r="AA426" s="319"/>
      <c r="AD426" s="58">
        <f>ABS(BIN2DEC($AA422)*3-2)</f>
        <v>2</v>
      </c>
      <c r="AE426" s="58">
        <f>ABS(BIN2DEC($U422)*3-1)</f>
        <v>1</v>
      </c>
      <c r="AF426" s="58">
        <f>ABS( BIN2DEC(V422)*3-BIN2DEC(Z422))</f>
        <v>0</v>
      </c>
      <c r="AG426" s="58">
        <f>BIN2DEC(X422&amp;Y422)+BIN2DEC(W422)*3</f>
        <v>0</v>
      </c>
      <c r="AH426">
        <f t="shared" si="143"/>
        <v>6</v>
      </c>
    </row>
    <row r="427" spans="1:34">
      <c r="A427" s="55">
        <f>AA427</f>
        <v>0</v>
      </c>
      <c r="B427" s="55">
        <v>5</v>
      </c>
      <c r="C427" s="48" t="str">
        <f>IF(B427&gt;1,(23)&amp;":"&amp;(23-B427+1),(23-B427+1)&amp;":"&amp;(23-B427+1))</f>
        <v>23:19</v>
      </c>
      <c r="D427" s="49" t="s">
        <v>78</v>
      </c>
      <c r="E427" s="49" t="s">
        <v>69</v>
      </c>
      <c r="F427" s="49" t="s">
        <v>68</v>
      </c>
      <c r="G427" s="49" t="s">
        <v>36</v>
      </c>
      <c r="H427" s="49" t="s">
        <v>6</v>
      </c>
      <c r="I427" s="50"/>
      <c r="L427" t="str">
        <f>DEC2HEX(_xlfn.BITLSHIFT(HEX2DEC(P427),2))</f>
        <v>0</v>
      </c>
      <c r="N427">
        <v>3</v>
      </c>
      <c r="P427" t="str">
        <f>Z427</f>
        <v>0</v>
      </c>
      <c r="Q427" s="52" t="e">
        <f>BIN2HEX(LEFT(RIGHT(C427,32),4))&amp;BIN2HEX(LEFT(RIGHT(C427,28),4))&amp;BIN2HEX(LEFT(RIGHT(C427,24),4))&amp;BIN2HEX(LEFT(RIGHT(C427,20),4))&amp;BIN2HEX(LEFT(RIGHT(C427,16),4))&amp;BIN2HEX(LEFT(RIGHT(C427,12),4))&amp;BIN2HEX(LEFT(RIGHT(C427,8),4))&amp;BIN2HEX(LEFT(RIGHT(C427,4),4))</f>
        <v>#NUM!</v>
      </c>
      <c r="R427" s="320">
        <v>13</v>
      </c>
      <c r="S427" s="321"/>
      <c r="T427" s="311"/>
      <c r="U427" s="314"/>
      <c r="V427" s="321"/>
      <c r="W427" s="311"/>
      <c r="X427" s="314"/>
      <c r="Y427" s="314"/>
      <c r="Z427" s="314" t="str">
        <f t="shared" ref="Z427" si="144">BIN2HEX(S427&amp;T427&amp;U427&amp;V427&amp;W427&amp;X427&amp;Y427)</f>
        <v>0</v>
      </c>
      <c r="AA427" s="317"/>
      <c r="AD427" s="58"/>
      <c r="AE427" s="58"/>
      <c r="AF427" s="58"/>
      <c r="AG427" s="58"/>
    </row>
    <row r="428" spans="1:34">
      <c r="A428" s="55" t="s">
        <v>77</v>
      </c>
      <c r="B428" s="55">
        <v>1</v>
      </c>
      <c r="C428" s="51" t="s">
        <v>141</v>
      </c>
      <c r="D428" s="49" t="s">
        <v>7</v>
      </c>
      <c r="E428" s="49" t="s">
        <v>77</v>
      </c>
      <c r="F428" s="49" t="s">
        <v>68</v>
      </c>
      <c r="G428" s="49" t="s">
        <v>36</v>
      </c>
      <c r="H428" s="49" t="s">
        <v>6</v>
      </c>
      <c r="I428" s="50"/>
      <c r="Q428" s="52"/>
      <c r="R428" s="320"/>
      <c r="S428" s="322"/>
      <c r="T428" s="312"/>
      <c r="U428" s="315"/>
      <c r="V428" s="322"/>
      <c r="W428" s="312"/>
      <c r="X428" s="315"/>
      <c r="Y428" s="315"/>
      <c r="Z428" s="315"/>
      <c r="AA428" s="318"/>
      <c r="AD428" s="58">
        <f>BIN2DEC($AA427)*3</f>
        <v>0</v>
      </c>
      <c r="AE428" s="58">
        <f>ABS(BIN2DEC($U427)*3)</f>
        <v>0</v>
      </c>
      <c r="AF428" s="58">
        <f>ABS( BIN2DEC(V427)*3-BIN2DEC(Z427))</f>
        <v>0</v>
      </c>
      <c r="AG428" s="58">
        <f>BIN2DEC(X427&amp;Y427)+BIN2DEC(W427)*3</f>
        <v>0</v>
      </c>
      <c r="AH428">
        <f>AD428+AE428*4+AF428*16</f>
        <v>0</v>
      </c>
    </row>
    <row r="429" spans="1:34" ht="129.6">
      <c r="A429" s="55" t="s">
        <v>70</v>
      </c>
      <c r="B429" s="55">
        <v>3</v>
      </c>
      <c r="C429" s="51" t="s">
        <v>141</v>
      </c>
      <c r="D429" s="49" t="s">
        <v>81</v>
      </c>
      <c r="E429" s="49" t="s">
        <v>80</v>
      </c>
      <c r="F429" s="49" t="s">
        <v>68</v>
      </c>
      <c r="G429" s="49" t="s">
        <v>36</v>
      </c>
      <c r="H429" s="49" t="s">
        <v>6</v>
      </c>
      <c r="I429" s="50"/>
      <c r="Q429" s="52"/>
      <c r="R429" s="320"/>
      <c r="S429" s="322"/>
      <c r="T429" s="312"/>
      <c r="U429" s="315"/>
      <c r="V429" s="322"/>
      <c r="W429" s="312"/>
      <c r="X429" s="315"/>
      <c r="Y429" s="315"/>
      <c r="Z429" s="315"/>
      <c r="AA429" s="318"/>
      <c r="AD429" s="58">
        <f>BIN2DEC($AA427)*3</f>
        <v>0</v>
      </c>
      <c r="AE429" s="58">
        <f>ABS(BIN2DEC($U427)*3-1)</f>
        <v>1</v>
      </c>
      <c r="AF429" s="58">
        <f>ABS( BIN2DEC(V427)*3-BIN2DEC(Z427))</f>
        <v>0</v>
      </c>
      <c r="AG429" s="58">
        <f>BIN2DEC(X427&amp;Y427)+BIN2DEC(W427)*3</f>
        <v>0</v>
      </c>
      <c r="AH429">
        <f t="shared" ref="AH429:AH431" si="145">AD429+AE429*4+AF429*16</f>
        <v>4</v>
      </c>
    </row>
    <row r="430" spans="1:34">
      <c r="A430" s="55" t="s">
        <v>71</v>
      </c>
      <c r="B430" s="55">
        <v>1</v>
      </c>
      <c r="C430" s="51" t="s">
        <v>141</v>
      </c>
      <c r="D430" s="49" t="s">
        <v>7</v>
      </c>
      <c r="E430" s="49" t="s">
        <v>73</v>
      </c>
      <c r="F430" s="49" t="s">
        <v>68</v>
      </c>
      <c r="G430" s="49" t="s">
        <v>36</v>
      </c>
      <c r="H430" s="49" t="s">
        <v>6</v>
      </c>
      <c r="I430" s="50"/>
      <c r="Q430" s="52"/>
      <c r="R430" s="320"/>
      <c r="S430" s="322"/>
      <c r="T430" s="312"/>
      <c r="U430" s="315"/>
      <c r="V430" s="322"/>
      <c r="W430" s="312"/>
      <c r="X430" s="315"/>
      <c r="Y430" s="315"/>
      <c r="Z430" s="315"/>
      <c r="AA430" s="318"/>
      <c r="AD430" s="58">
        <f>ABS(BIN2DEC($AA427)*3-2)</f>
        <v>2</v>
      </c>
      <c r="AE430" s="58">
        <f>ABS(BIN2DEC($U427)*3)</f>
        <v>0</v>
      </c>
      <c r="AF430" s="58">
        <f>ABS( BIN2DEC(V427)*3-BIN2DEC(Z427))</f>
        <v>0</v>
      </c>
      <c r="AG430" s="58">
        <f>BIN2DEC(X427&amp;Y427)+BIN2DEC(W427)*3</f>
        <v>0</v>
      </c>
      <c r="AH430">
        <f t="shared" si="145"/>
        <v>2</v>
      </c>
    </row>
    <row r="431" spans="1:34" ht="15" thickBot="1">
      <c r="A431" s="55" t="s">
        <v>72</v>
      </c>
      <c r="B431" s="55">
        <v>1</v>
      </c>
      <c r="C431" s="51" t="s">
        <v>141</v>
      </c>
      <c r="D431" s="49" t="s">
        <v>7</v>
      </c>
      <c r="E431" s="49" t="s">
        <v>74</v>
      </c>
      <c r="F431" s="49" t="s">
        <v>68</v>
      </c>
      <c r="G431" s="49" t="s">
        <v>36</v>
      </c>
      <c r="H431" s="49" t="s">
        <v>6</v>
      </c>
      <c r="I431" s="50"/>
      <c r="Q431" s="52"/>
      <c r="R431" s="320"/>
      <c r="S431" s="323"/>
      <c r="T431" s="313"/>
      <c r="U431" s="316"/>
      <c r="V431" s="323"/>
      <c r="W431" s="313"/>
      <c r="X431" s="316"/>
      <c r="Y431" s="316"/>
      <c r="Z431" s="316"/>
      <c r="AA431" s="319"/>
      <c r="AD431" s="58">
        <f>ABS(BIN2DEC($AA427)*3-2)</f>
        <v>2</v>
      </c>
      <c r="AE431" s="58">
        <f>ABS(BIN2DEC($U427)*3-1)</f>
        <v>1</v>
      </c>
      <c r="AF431" s="58">
        <f>ABS( BIN2DEC(V427)*3-BIN2DEC(Z427))</f>
        <v>0</v>
      </c>
      <c r="AG431" s="58">
        <f>BIN2DEC(X427&amp;Y427)+BIN2DEC(W427)*3</f>
        <v>0</v>
      </c>
      <c r="AH431">
        <f t="shared" si="145"/>
        <v>6</v>
      </c>
    </row>
    <row r="432" spans="1:34">
      <c r="A432" s="55">
        <f>AA432</f>
        <v>0</v>
      </c>
      <c r="B432" s="55">
        <v>5</v>
      </c>
      <c r="C432" s="48" t="str">
        <f>IF(B432&gt;1,(23)&amp;":"&amp;(23-B432+1),(23-B432+1)&amp;":"&amp;(23-B432+1))</f>
        <v>23:19</v>
      </c>
      <c r="D432" s="49" t="s">
        <v>78</v>
      </c>
      <c r="E432" s="49" t="s">
        <v>69</v>
      </c>
      <c r="F432" s="49" t="s">
        <v>68</v>
      </c>
      <c r="G432" s="49" t="s">
        <v>36</v>
      </c>
      <c r="H432" s="49" t="s">
        <v>6</v>
      </c>
      <c r="I432" s="50"/>
      <c r="L432" t="str">
        <f>DEC2HEX(_xlfn.BITLSHIFT(HEX2DEC(P432),2))</f>
        <v>0</v>
      </c>
      <c r="N432">
        <v>3</v>
      </c>
      <c r="P432" t="str">
        <f>Z432</f>
        <v>0</v>
      </c>
      <c r="Q432" s="52" t="e">
        <f>BIN2HEX(LEFT(RIGHT(C432,32),4))&amp;BIN2HEX(LEFT(RIGHT(C432,28),4))&amp;BIN2HEX(LEFT(RIGHT(C432,24),4))&amp;BIN2HEX(LEFT(RIGHT(C432,20),4))&amp;BIN2HEX(LEFT(RIGHT(C432,16),4))&amp;BIN2HEX(LEFT(RIGHT(C432,12),4))&amp;BIN2HEX(LEFT(RIGHT(C432,8),4))&amp;BIN2HEX(LEFT(RIGHT(C432,4),4))</f>
        <v>#NUM!</v>
      </c>
      <c r="R432" s="320">
        <v>14</v>
      </c>
      <c r="S432" s="321"/>
      <c r="T432" s="311"/>
      <c r="U432" s="314"/>
      <c r="V432" s="321"/>
      <c r="W432" s="311"/>
      <c r="X432" s="314"/>
      <c r="Y432" s="314"/>
      <c r="Z432" s="314" t="str">
        <f t="shared" ref="Z432" si="146">BIN2HEX(S432&amp;T432&amp;U432&amp;V432&amp;W432&amp;X432&amp;Y432)</f>
        <v>0</v>
      </c>
      <c r="AA432" s="317"/>
      <c r="AD432" s="58"/>
      <c r="AE432" s="58"/>
      <c r="AF432" s="58"/>
      <c r="AG432" s="58"/>
    </row>
    <row r="433" spans="1:34">
      <c r="A433" s="55" t="s">
        <v>77</v>
      </c>
      <c r="B433" s="55">
        <v>1</v>
      </c>
      <c r="C433" s="51" t="s">
        <v>141</v>
      </c>
      <c r="D433" s="49" t="s">
        <v>7</v>
      </c>
      <c r="E433" s="49" t="s">
        <v>77</v>
      </c>
      <c r="F433" s="49" t="s">
        <v>68</v>
      </c>
      <c r="G433" s="49" t="s">
        <v>36</v>
      </c>
      <c r="H433" s="49" t="s">
        <v>6</v>
      </c>
      <c r="I433" s="50"/>
      <c r="Q433" s="52"/>
      <c r="R433" s="320"/>
      <c r="S433" s="322"/>
      <c r="T433" s="312"/>
      <c r="U433" s="315"/>
      <c r="V433" s="322"/>
      <c r="W433" s="312"/>
      <c r="X433" s="315"/>
      <c r="Y433" s="315"/>
      <c r="Z433" s="315"/>
      <c r="AA433" s="318"/>
      <c r="AD433" s="58">
        <f>BIN2DEC($AA432)*3</f>
        <v>0</v>
      </c>
      <c r="AE433" s="58">
        <f>ABS(BIN2DEC($U432)*3)</f>
        <v>0</v>
      </c>
      <c r="AF433" s="58">
        <f>ABS( BIN2DEC(V432)*3-BIN2DEC(Z432))</f>
        <v>0</v>
      </c>
      <c r="AG433" s="58">
        <f>BIN2DEC(X432&amp;Y432)+BIN2DEC(W432)*3</f>
        <v>0</v>
      </c>
      <c r="AH433">
        <f>AD433+AE433*4+AF433*16</f>
        <v>0</v>
      </c>
    </row>
    <row r="434" spans="1:34" ht="129.6">
      <c r="A434" s="55" t="s">
        <v>70</v>
      </c>
      <c r="B434" s="55">
        <v>3</v>
      </c>
      <c r="C434" s="51" t="s">
        <v>141</v>
      </c>
      <c r="D434" s="49" t="s">
        <v>81</v>
      </c>
      <c r="E434" s="49" t="s">
        <v>80</v>
      </c>
      <c r="F434" s="49" t="s">
        <v>68</v>
      </c>
      <c r="G434" s="49" t="s">
        <v>36</v>
      </c>
      <c r="H434" s="49" t="s">
        <v>6</v>
      </c>
      <c r="I434" s="50"/>
      <c r="Q434" s="52"/>
      <c r="R434" s="320"/>
      <c r="S434" s="322"/>
      <c r="T434" s="312"/>
      <c r="U434" s="315"/>
      <c r="V434" s="322"/>
      <c r="W434" s="312"/>
      <c r="X434" s="315"/>
      <c r="Y434" s="315"/>
      <c r="Z434" s="315"/>
      <c r="AA434" s="318"/>
      <c r="AD434" s="58">
        <f>BIN2DEC($AA432)*3</f>
        <v>0</v>
      </c>
      <c r="AE434" s="58">
        <f>ABS(BIN2DEC($U432)*3-1)</f>
        <v>1</v>
      </c>
      <c r="AF434" s="58">
        <f>ABS( BIN2DEC(V432)*3-BIN2DEC(Z432))</f>
        <v>0</v>
      </c>
      <c r="AG434" s="58">
        <f>BIN2DEC(X432&amp;Y432)+BIN2DEC(W432)*3</f>
        <v>0</v>
      </c>
      <c r="AH434">
        <f t="shared" ref="AH434:AH436" si="147">AD434+AE434*4+AF434*16</f>
        <v>4</v>
      </c>
    </row>
    <row r="435" spans="1:34">
      <c r="A435" s="55" t="s">
        <v>71</v>
      </c>
      <c r="B435" s="55">
        <v>1</v>
      </c>
      <c r="C435" s="51" t="s">
        <v>141</v>
      </c>
      <c r="D435" s="49" t="s">
        <v>7</v>
      </c>
      <c r="E435" s="49" t="s">
        <v>73</v>
      </c>
      <c r="F435" s="49" t="s">
        <v>68</v>
      </c>
      <c r="G435" s="49" t="s">
        <v>36</v>
      </c>
      <c r="H435" s="49" t="s">
        <v>6</v>
      </c>
      <c r="I435" s="50"/>
      <c r="Q435" s="52"/>
      <c r="R435" s="320"/>
      <c r="S435" s="322"/>
      <c r="T435" s="312"/>
      <c r="U435" s="315"/>
      <c r="V435" s="322"/>
      <c r="W435" s="312"/>
      <c r="X435" s="315"/>
      <c r="Y435" s="315"/>
      <c r="Z435" s="315"/>
      <c r="AA435" s="318"/>
      <c r="AD435" s="58">
        <f>ABS(BIN2DEC($AA432)*3-2)</f>
        <v>2</v>
      </c>
      <c r="AE435" s="58">
        <f>ABS(BIN2DEC($U432)*3)</f>
        <v>0</v>
      </c>
      <c r="AF435" s="58">
        <f>ABS( BIN2DEC(V432)*3-BIN2DEC(Z432))</f>
        <v>0</v>
      </c>
      <c r="AG435" s="58">
        <f>BIN2DEC(X432&amp;Y432)+BIN2DEC(W432)*3</f>
        <v>0</v>
      </c>
      <c r="AH435">
        <f t="shared" si="147"/>
        <v>2</v>
      </c>
    </row>
    <row r="436" spans="1:34" ht="15" thickBot="1">
      <c r="A436" s="55" t="s">
        <v>72</v>
      </c>
      <c r="B436" s="55">
        <v>1</v>
      </c>
      <c r="C436" s="51" t="s">
        <v>141</v>
      </c>
      <c r="D436" s="49" t="s">
        <v>7</v>
      </c>
      <c r="E436" s="49" t="s">
        <v>74</v>
      </c>
      <c r="F436" s="49" t="s">
        <v>68</v>
      </c>
      <c r="G436" s="49" t="s">
        <v>36</v>
      </c>
      <c r="H436" s="49" t="s">
        <v>6</v>
      </c>
      <c r="I436" s="50"/>
      <c r="Q436" s="52"/>
      <c r="R436" s="320"/>
      <c r="S436" s="323"/>
      <c r="T436" s="313"/>
      <c r="U436" s="316"/>
      <c r="V436" s="323"/>
      <c r="W436" s="313"/>
      <c r="X436" s="316"/>
      <c r="Y436" s="316"/>
      <c r="Z436" s="316"/>
      <c r="AA436" s="319"/>
      <c r="AD436" s="58">
        <f>ABS(BIN2DEC($AA432)*3-2)</f>
        <v>2</v>
      </c>
      <c r="AE436" s="58">
        <f>ABS(BIN2DEC($U432)*3-1)</f>
        <v>1</v>
      </c>
      <c r="AF436" s="58">
        <f>ABS( BIN2DEC(V432)*3-BIN2DEC(Z432))</f>
        <v>0</v>
      </c>
      <c r="AG436" s="58">
        <f>BIN2DEC(X432&amp;Y432)+BIN2DEC(W432)*3</f>
        <v>0</v>
      </c>
      <c r="AH436">
        <f t="shared" si="147"/>
        <v>6</v>
      </c>
    </row>
    <row r="437" spans="1:34">
      <c r="A437" s="55">
        <f>AA437</f>
        <v>0</v>
      </c>
      <c r="B437" s="55">
        <v>5</v>
      </c>
      <c r="C437" s="48" t="str">
        <f>IF(B437&gt;1,(23)&amp;":"&amp;(23-B437+1),(23-B437+1)&amp;":"&amp;(23-B437+1))</f>
        <v>23:19</v>
      </c>
      <c r="D437" s="49" t="s">
        <v>78</v>
      </c>
      <c r="E437" s="49" t="s">
        <v>69</v>
      </c>
      <c r="F437" s="49" t="s">
        <v>68</v>
      </c>
      <c r="G437" s="49" t="s">
        <v>36</v>
      </c>
      <c r="H437" s="49" t="s">
        <v>6</v>
      </c>
      <c r="I437" s="50"/>
      <c r="L437" t="str">
        <f>DEC2HEX(_xlfn.BITLSHIFT(HEX2DEC(P437),2))</f>
        <v>0</v>
      </c>
      <c r="N437">
        <v>3</v>
      </c>
      <c r="P437" t="str">
        <f>Z437</f>
        <v>0</v>
      </c>
      <c r="Q437" s="52" t="e">
        <f>BIN2HEX(LEFT(RIGHT(C437,32),4))&amp;BIN2HEX(LEFT(RIGHT(C437,28),4))&amp;BIN2HEX(LEFT(RIGHT(C437,24),4))&amp;BIN2HEX(LEFT(RIGHT(C437,20),4))&amp;BIN2HEX(LEFT(RIGHT(C437,16),4))&amp;BIN2HEX(LEFT(RIGHT(C437,12),4))&amp;BIN2HEX(LEFT(RIGHT(C437,8),4))&amp;BIN2HEX(LEFT(RIGHT(C437,4),4))</f>
        <v>#NUM!</v>
      </c>
      <c r="R437" s="320">
        <v>15</v>
      </c>
      <c r="S437" s="321"/>
      <c r="T437" s="311"/>
      <c r="U437" s="314"/>
      <c r="V437" s="321"/>
      <c r="W437" s="311"/>
      <c r="X437" s="314"/>
      <c r="Y437" s="314"/>
      <c r="Z437" s="314" t="str">
        <f t="shared" ref="Z437" si="148">BIN2HEX(S437&amp;T437&amp;U437&amp;V437&amp;W437&amp;X437&amp;Y437)</f>
        <v>0</v>
      </c>
      <c r="AA437" s="317"/>
      <c r="AD437" s="58"/>
      <c r="AE437" s="58"/>
      <c r="AF437" s="58"/>
      <c r="AG437" s="58"/>
    </row>
    <row r="438" spans="1:34">
      <c r="A438" s="55" t="s">
        <v>77</v>
      </c>
      <c r="B438" s="55">
        <v>1</v>
      </c>
      <c r="C438" s="51" t="s">
        <v>141</v>
      </c>
      <c r="D438" s="49" t="s">
        <v>7</v>
      </c>
      <c r="E438" s="49" t="s">
        <v>77</v>
      </c>
      <c r="F438" s="49" t="s">
        <v>68</v>
      </c>
      <c r="G438" s="49" t="s">
        <v>36</v>
      </c>
      <c r="H438" s="49" t="s">
        <v>6</v>
      </c>
      <c r="I438" s="50"/>
      <c r="Q438" s="52"/>
      <c r="R438" s="320"/>
      <c r="S438" s="322"/>
      <c r="T438" s="312"/>
      <c r="U438" s="315"/>
      <c r="V438" s="322"/>
      <c r="W438" s="312"/>
      <c r="X438" s="315"/>
      <c r="Y438" s="315"/>
      <c r="Z438" s="315"/>
      <c r="AA438" s="318"/>
      <c r="AD438" s="58">
        <f>BIN2DEC($AA437)*3</f>
        <v>0</v>
      </c>
      <c r="AE438" s="58">
        <f>ABS(BIN2DEC($U437)*3)</f>
        <v>0</v>
      </c>
      <c r="AF438" s="58">
        <f>ABS( BIN2DEC(V437)*3-BIN2DEC(Z437))</f>
        <v>0</v>
      </c>
      <c r="AG438" s="58">
        <f>BIN2DEC(X437&amp;Y437)+BIN2DEC(W437)*3</f>
        <v>0</v>
      </c>
      <c r="AH438">
        <f>AD438+AE438*4+AF438*16</f>
        <v>0</v>
      </c>
    </row>
    <row r="439" spans="1:34" ht="129.6">
      <c r="A439" s="55" t="s">
        <v>70</v>
      </c>
      <c r="B439" s="55">
        <v>3</v>
      </c>
      <c r="C439" s="51" t="s">
        <v>141</v>
      </c>
      <c r="D439" s="49" t="s">
        <v>81</v>
      </c>
      <c r="E439" s="49" t="s">
        <v>80</v>
      </c>
      <c r="F439" s="49" t="s">
        <v>68</v>
      </c>
      <c r="G439" s="49" t="s">
        <v>36</v>
      </c>
      <c r="H439" s="49" t="s">
        <v>6</v>
      </c>
      <c r="I439" s="50"/>
      <c r="Q439" s="52"/>
      <c r="R439" s="320"/>
      <c r="S439" s="322"/>
      <c r="T439" s="312"/>
      <c r="U439" s="315"/>
      <c r="V439" s="322"/>
      <c r="W439" s="312"/>
      <c r="X439" s="315"/>
      <c r="Y439" s="315"/>
      <c r="Z439" s="315"/>
      <c r="AA439" s="318"/>
      <c r="AD439" s="58">
        <f>BIN2DEC($AA437)*3</f>
        <v>0</v>
      </c>
      <c r="AE439" s="58">
        <f>ABS(BIN2DEC($U437)*3-1)</f>
        <v>1</v>
      </c>
      <c r="AF439" s="58">
        <f>ABS( BIN2DEC(V437)*3-BIN2DEC(Z437))</f>
        <v>0</v>
      </c>
      <c r="AG439" s="58">
        <f>BIN2DEC(X437&amp;Y437)+BIN2DEC(W437)*3</f>
        <v>0</v>
      </c>
      <c r="AH439">
        <f t="shared" ref="AH439:AH441" si="149">AD439+AE439*4+AF439*16</f>
        <v>4</v>
      </c>
    </row>
    <row r="440" spans="1:34">
      <c r="A440" s="55" t="s">
        <v>71</v>
      </c>
      <c r="B440" s="55">
        <v>1</v>
      </c>
      <c r="C440" s="51" t="s">
        <v>141</v>
      </c>
      <c r="D440" s="49" t="s">
        <v>7</v>
      </c>
      <c r="E440" s="49" t="s">
        <v>73</v>
      </c>
      <c r="F440" s="49" t="s">
        <v>68</v>
      </c>
      <c r="G440" s="49" t="s">
        <v>36</v>
      </c>
      <c r="H440" s="49" t="s">
        <v>6</v>
      </c>
      <c r="I440" s="50"/>
      <c r="Q440" s="52"/>
      <c r="R440" s="320"/>
      <c r="S440" s="322"/>
      <c r="T440" s="312"/>
      <c r="U440" s="315"/>
      <c r="V440" s="322"/>
      <c r="W440" s="312"/>
      <c r="X440" s="315"/>
      <c r="Y440" s="315"/>
      <c r="Z440" s="315"/>
      <c r="AA440" s="318"/>
      <c r="AD440" s="58">
        <f>ABS(BIN2DEC($AA437)*3-2)</f>
        <v>2</v>
      </c>
      <c r="AE440" s="58">
        <f>ABS(BIN2DEC($U437)*3)</f>
        <v>0</v>
      </c>
      <c r="AF440" s="58">
        <f>ABS( BIN2DEC(V437)*3-BIN2DEC(Z437))</f>
        <v>0</v>
      </c>
      <c r="AG440" s="58">
        <f>BIN2DEC(X437&amp;Y437)+BIN2DEC(W437)*3</f>
        <v>0</v>
      </c>
      <c r="AH440">
        <f t="shared" si="149"/>
        <v>2</v>
      </c>
    </row>
    <row r="441" spans="1:34" ht="15" thickBot="1">
      <c r="A441" s="55" t="s">
        <v>72</v>
      </c>
      <c r="B441" s="55">
        <v>1</v>
      </c>
      <c r="C441" s="51" t="s">
        <v>141</v>
      </c>
      <c r="D441" s="49" t="s">
        <v>7</v>
      </c>
      <c r="E441" s="49" t="s">
        <v>74</v>
      </c>
      <c r="F441" s="49" t="s">
        <v>68</v>
      </c>
      <c r="G441" s="49" t="s">
        <v>36</v>
      </c>
      <c r="H441" s="49" t="s">
        <v>6</v>
      </c>
      <c r="I441" s="50"/>
      <c r="Q441" s="52"/>
      <c r="R441" s="320"/>
      <c r="S441" s="323"/>
      <c r="T441" s="313"/>
      <c r="U441" s="316"/>
      <c r="V441" s="323"/>
      <c r="W441" s="313"/>
      <c r="X441" s="316"/>
      <c r="Y441" s="316"/>
      <c r="Z441" s="316"/>
      <c r="AA441" s="319"/>
      <c r="AD441" s="58">
        <f>ABS(BIN2DEC($AA437)*3-2)</f>
        <v>2</v>
      </c>
      <c r="AE441" s="58">
        <f>ABS(BIN2DEC($U437)*3-1)</f>
        <v>1</v>
      </c>
      <c r="AF441" s="58">
        <f>ABS( BIN2DEC(V437)*3-BIN2DEC(Z437))</f>
        <v>0</v>
      </c>
      <c r="AG441" s="58">
        <f>BIN2DEC(X437&amp;Y437)+BIN2DEC(W437)*3</f>
        <v>0</v>
      </c>
      <c r="AH441">
        <f t="shared" si="149"/>
        <v>6</v>
      </c>
    </row>
    <row r="442" spans="1:34">
      <c r="A442" s="55">
        <f>AA442</f>
        <v>0</v>
      </c>
      <c r="B442" s="55">
        <v>5</v>
      </c>
      <c r="C442" s="48" t="str">
        <f>IF(B442&gt;1,(23)&amp;":"&amp;(23-B442+1),(23-B442+1)&amp;":"&amp;(23-B442+1))</f>
        <v>23:19</v>
      </c>
      <c r="D442" s="49" t="s">
        <v>78</v>
      </c>
      <c r="E442" s="49" t="s">
        <v>69</v>
      </c>
      <c r="F442" s="49" t="s">
        <v>68</v>
      </c>
      <c r="G442" s="49" t="s">
        <v>36</v>
      </c>
      <c r="H442" s="49" t="s">
        <v>6</v>
      </c>
      <c r="I442" s="50"/>
      <c r="L442" t="str">
        <f>DEC2HEX(_xlfn.BITLSHIFT(HEX2DEC(P442),2))</f>
        <v>0</v>
      </c>
      <c r="N442">
        <v>3</v>
      </c>
      <c r="P442" t="str">
        <f>Z442</f>
        <v>0</v>
      </c>
      <c r="Q442" s="52" t="e">
        <f>BIN2HEX(LEFT(RIGHT(C442,32),4))&amp;BIN2HEX(LEFT(RIGHT(C442,28),4))&amp;BIN2HEX(LEFT(RIGHT(C442,24),4))&amp;BIN2HEX(LEFT(RIGHT(C442,20),4))&amp;BIN2HEX(LEFT(RIGHT(C442,16),4))&amp;BIN2HEX(LEFT(RIGHT(C442,12),4))&amp;BIN2HEX(LEFT(RIGHT(C442,8),4))&amp;BIN2HEX(LEFT(RIGHT(C442,4),4))</f>
        <v>#NUM!</v>
      </c>
      <c r="R442" s="320">
        <v>16</v>
      </c>
      <c r="S442" s="321"/>
      <c r="T442" s="311"/>
      <c r="U442" s="314"/>
      <c r="V442" s="321"/>
      <c r="W442" s="311"/>
      <c r="X442" s="314"/>
      <c r="Y442" s="314"/>
      <c r="Z442" s="314" t="str">
        <f t="shared" ref="Z442" si="150">BIN2HEX(S442&amp;T442&amp;U442&amp;V442&amp;W442&amp;X442&amp;Y442)</f>
        <v>0</v>
      </c>
      <c r="AA442" s="317"/>
      <c r="AD442" s="58"/>
      <c r="AE442" s="58"/>
      <c r="AF442" s="58"/>
      <c r="AG442" s="58"/>
    </row>
    <row r="443" spans="1:34">
      <c r="A443" s="55" t="s">
        <v>77</v>
      </c>
      <c r="B443" s="55">
        <v>1</v>
      </c>
      <c r="C443" s="51" t="s">
        <v>141</v>
      </c>
      <c r="D443" s="49" t="s">
        <v>7</v>
      </c>
      <c r="E443" s="49" t="s">
        <v>77</v>
      </c>
      <c r="F443" s="49" t="s">
        <v>68</v>
      </c>
      <c r="G443" s="49" t="s">
        <v>36</v>
      </c>
      <c r="H443" s="49" t="s">
        <v>6</v>
      </c>
      <c r="I443" s="50"/>
      <c r="Q443" s="52"/>
      <c r="R443" s="320"/>
      <c r="S443" s="322"/>
      <c r="T443" s="312"/>
      <c r="U443" s="315"/>
      <c r="V443" s="322"/>
      <c r="W443" s="312"/>
      <c r="X443" s="315"/>
      <c r="Y443" s="315"/>
      <c r="Z443" s="315"/>
      <c r="AA443" s="318"/>
      <c r="AD443" s="58">
        <f>BIN2DEC($AA442)*3</f>
        <v>0</v>
      </c>
      <c r="AE443" s="58">
        <f>ABS(BIN2DEC($U442)*3)</f>
        <v>0</v>
      </c>
      <c r="AF443" s="58">
        <f>ABS( BIN2DEC(V442)*3-BIN2DEC(Z442))</f>
        <v>0</v>
      </c>
      <c r="AG443" s="58">
        <f>BIN2DEC(X442&amp;Y442)+BIN2DEC(W442)*3</f>
        <v>0</v>
      </c>
      <c r="AH443">
        <f>AD443+AE443*4+AF443*16</f>
        <v>0</v>
      </c>
    </row>
    <row r="444" spans="1:34" ht="129.6">
      <c r="A444" s="55" t="s">
        <v>70</v>
      </c>
      <c r="B444" s="55">
        <v>3</v>
      </c>
      <c r="C444" s="51" t="s">
        <v>141</v>
      </c>
      <c r="D444" s="49" t="s">
        <v>81</v>
      </c>
      <c r="E444" s="49" t="s">
        <v>80</v>
      </c>
      <c r="F444" s="49" t="s">
        <v>68</v>
      </c>
      <c r="G444" s="49" t="s">
        <v>36</v>
      </c>
      <c r="H444" s="49" t="s">
        <v>6</v>
      </c>
      <c r="I444" s="50"/>
      <c r="Q444" s="52"/>
      <c r="R444" s="320"/>
      <c r="S444" s="322"/>
      <c r="T444" s="312"/>
      <c r="U444" s="315"/>
      <c r="V444" s="322"/>
      <c r="W444" s="312"/>
      <c r="X444" s="315"/>
      <c r="Y444" s="315"/>
      <c r="Z444" s="315"/>
      <c r="AA444" s="318"/>
      <c r="AD444" s="58">
        <f>BIN2DEC($AA442)*3</f>
        <v>0</v>
      </c>
      <c r="AE444" s="58">
        <f>ABS(BIN2DEC($U442)*3-1)</f>
        <v>1</v>
      </c>
      <c r="AF444" s="58">
        <f>ABS( BIN2DEC(V442)*3-BIN2DEC(Z442))</f>
        <v>0</v>
      </c>
      <c r="AG444" s="58">
        <f>BIN2DEC(X442&amp;Y442)+BIN2DEC(W442)*3</f>
        <v>0</v>
      </c>
      <c r="AH444">
        <f t="shared" ref="AH444:AH446" si="151">AD444+AE444*4+AF444*16</f>
        <v>4</v>
      </c>
    </row>
    <row r="445" spans="1:34">
      <c r="A445" s="55" t="s">
        <v>71</v>
      </c>
      <c r="B445" s="55">
        <v>1</v>
      </c>
      <c r="C445" s="51" t="s">
        <v>141</v>
      </c>
      <c r="D445" s="49" t="s">
        <v>7</v>
      </c>
      <c r="E445" s="49" t="s">
        <v>73</v>
      </c>
      <c r="F445" s="49" t="s">
        <v>68</v>
      </c>
      <c r="G445" s="49" t="s">
        <v>36</v>
      </c>
      <c r="H445" s="49" t="s">
        <v>6</v>
      </c>
      <c r="I445" s="50"/>
      <c r="Q445" s="52"/>
      <c r="R445" s="320"/>
      <c r="S445" s="322"/>
      <c r="T445" s="312"/>
      <c r="U445" s="315"/>
      <c r="V445" s="322"/>
      <c r="W445" s="312"/>
      <c r="X445" s="315"/>
      <c r="Y445" s="315"/>
      <c r="Z445" s="315"/>
      <c r="AA445" s="318"/>
      <c r="AD445" s="58">
        <f>ABS(BIN2DEC($AA442)*3-2)</f>
        <v>2</v>
      </c>
      <c r="AE445" s="58">
        <f>ABS(BIN2DEC($U442)*3)</f>
        <v>0</v>
      </c>
      <c r="AF445" s="58">
        <f>ABS( BIN2DEC(V442)*3-BIN2DEC(Z442))</f>
        <v>0</v>
      </c>
      <c r="AG445" s="58">
        <f>BIN2DEC(X442&amp;Y442)+BIN2DEC(W442)*3</f>
        <v>0</v>
      </c>
      <c r="AH445">
        <f t="shared" si="151"/>
        <v>2</v>
      </c>
    </row>
    <row r="446" spans="1:34" ht="15" thickBot="1">
      <c r="A446" s="55" t="s">
        <v>72</v>
      </c>
      <c r="B446" s="55">
        <v>1</v>
      </c>
      <c r="C446" s="51" t="s">
        <v>141</v>
      </c>
      <c r="D446" s="49" t="s">
        <v>7</v>
      </c>
      <c r="E446" s="49" t="s">
        <v>74</v>
      </c>
      <c r="F446" s="49" t="s">
        <v>68</v>
      </c>
      <c r="G446" s="49" t="s">
        <v>36</v>
      </c>
      <c r="H446" s="49" t="s">
        <v>6</v>
      </c>
      <c r="I446" s="50"/>
      <c r="Q446" s="52"/>
      <c r="R446" s="320"/>
      <c r="S446" s="323"/>
      <c r="T446" s="313"/>
      <c r="U446" s="316"/>
      <c r="V446" s="323"/>
      <c r="W446" s="313"/>
      <c r="X446" s="316"/>
      <c r="Y446" s="316"/>
      <c r="Z446" s="316"/>
      <c r="AA446" s="319"/>
      <c r="AD446" s="58">
        <f>ABS(BIN2DEC($AA442)*3-2)</f>
        <v>2</v>
      </c>
      <c r="AE446" s="58">
        <f>ABS(BIN2DEC($U442)*3-1)</f>
        <v>1</v>
      </c>
      <c r="AF446" s="58">
        <f>ABS( BIN2DEC(V442)*3-BIN2DEC(Z442))</f>
        <v>0</v>
      </c>
      <c r="AG446" s="58">
        <f>BIN2DEC(X442&amp;Y442)+BIN2DEC(W442)*3</f>
        <v>0</v>
      </c>
      <c r="AH446">
        <f t="shared" si="151"/>
        <v>6</v>
      </c>
    </row>
    <row r="447" spans="1:34">
      <c r="A447" s="55">
        <f>AA447</f>
        <v>0</v>
      </c>
      <c r="B447" s="55">
        <v>5</v>
      </c>
      <c r="C447" s="48" t="str">
        <f>IF(B447&gt;1,(23)&amp;":"&amp;(23-B447+1),(23-B447+1)&amp;":"&amp;(23-B447+1))</f>
        <v>23:19</v>
      </c>
      <c r="D447" s="49" t="s">
        <v>78</v>
      </c>
      <c r="E447" s="49" t="s">
        <v>69</v>
      </c>
      <c r="F447" s="49" t="s">
        <v>68</v>
      </c>
      <c r="G447" s="49" t="s">
        <v>36</v>
      </c>
      <c r="H447" s="49" t="s">
        <v>6</v>
      </c>
      <c r="I447" s="50"/>
      <c r="L447" t="str">
        <f>DEC2HEX(_xlfn.BITLSHIFT(HEX2DEC(P447),2))</f>
        <v>0</v>
      </c>
      <c r="N447">
        <v>3</v>
      </c>
      <c r="P447" t="str">
        <f>Z447</f>
        <v>0</v>
      </c>
      <c r="Q447" s="52" t="e">
        <f>BIN2HEX(LEFT(RIGHT(C447,32),4))&amp;BIN2HEX(LEFT(RIGHT(C447,28),4))&amp;BIN2HEX(LEFT(RIGHT(C447,24),4))&amp;BIN2HEX(LEFT(RIGHT(C447,20),4))&amp;BIN2HEX(LEFT(RIGHT(C447,16),4))&amp;BIN2HEX(LEFT(RIGHT(C447,12),4))&amp;BIN2HEX(LEFT(RIGHT(C447,8),4))&amp;BIN2HEX(LEFT(RIGHT(C447,4),4))</f>
        <v>#NUM!</v>
      </c>
      <c r="R447" s="320">
        <v>17</v>
      </c>
      <c r="S447" s="321"/>
      <c r="T447" s="311"/>
      <c r="U447" s="314"/>
      <c r="V447" s="321"/>
      <c r="W447" s="311"/>
      <c r="X447" s="314"/>
      <c r="Y447" s="314"/>
      <c r="Z447" s="314" t="str">
        <f t="shared" ref="Z447" si="152">BIN2HEX(S447&amp;T447&amp;U447&amp;V447&amp;W447&amp;X447&amp;Y447)</f>
        <v>0</v>
      </c>
      <c r="AA447" s="317"/>
      <c r="AD447" s="58"/>
      <c r="AE447" s="58"/>
      <c r="AF447" s="58"/>
      <c r="AG447" s="58"/>
    </row>
    <row r="448" spans="1:34">
      <c r="A448" s="55" t="s">
        <v>77</v>
      </c>
      <c r="B448" s="55">
        <v>1</v>
      </c>
      <c r="C448" s="51" t="s">
        <v>141</v>
      </c>
      <c r="D448" s="49" t="s">
        <v>7</v>
      </c>
      <c r="E448" s="49" t="s">
        <v>77</v>
      </c>
      <c r="F448" s="49" t="s">
        <v>68</v>
      </c>
      <c r="G448" s="49" t="s">
        <v>36</v>
      </c>
      <c r="H448" s="49" t="s">
        <v>6</v>
      </c>
      <c r="I448" s="50"/>
      <c r="Q448" s="52"/>
      <c r="R448" s="320"/>
      <c r="S448" s="322"/>
      <c r="T448" s="312"/>
      <c r="U448" s="315"/>
      <c r="V448" s="322"/>
      <c r="W448" s="312"/>
      <c r="X448" s="315"/>
      <c r="Y448" s="315"/>
      <c r="Z448" s="315"/>
      <c r="AA448" s="318"/>
      <c r="AD448" s="58">
        <f>BIN2DEC($AA447)*3</f>
        <v>0</v>
      </c>
      <c r="AE448" s="58">
        <f>ABS(BIN2DEC($U447)*3)</f>
        <v>0</v>
      </c>
      <c r="AF448" s="58">
        <f>ABS( BIN2DEC(V447)*3-BIN2DEC(Z447))</f>
        <v>0</v>
      </c>
      <c r="AG448" s="58">
        <f>BIN2DEC(X447&amp;Y447)+BIN2DEC(W447)*3</f>
        <v>0</v>
      </c>
      <c r="AH448">
        <f>AD448+AE448*4+AF448*16</f>
        <v>0</v>
      </c>
    </row>
    <row r="449" spans="1:34" ht="129.6">
      <c r="A449" s="55" t="s">
        <v>70</v>
      </c>
      <c r="B449" s="55">
        <v>3</v>
      </c>
      <c r="C449" s="51" t="s">
        <v>141</v>
      </c>
      <c r="D449" s="49" t="s">
        <v>81</v>
      </c>
      <c r="E449" s="49" t="s">
        <v>80</v>
      </c>
      <c r="F449" s="49" t="s">
        <v>68</v>
      </c>
      <c r="G449" s="49" t="s">
        <v>36</v>
      </c>
      <c r="H449" s="49" t="s">
        <v>6</v>
      </c>
      <c r="I449" s="50"/>
      <c r="Q449" s="52"/>
      <c r="R449" s="320"/>
      <c r="S449" s="322"/>
      <c r="T449" s="312"/>
      <c r="U449" s="315"/>
      <c r="V449" s="322"/>
      <c r="W449" s="312"/>
      <c r="X449" s="315"/>
      <c r="Y449" s="315"/>
      <c r="Z449" s="315"/>
      <c r="AA449" s="318"/>
      <c r="AD449" s="58">
        <f>BIN2DEC($AA447)*3</f>
        <v>0</v>
      </c>
      <c r="AE449" s="58">
        <f>ABS(BIN2DEC($U447)*3-1)</f>
        <v>1</v>
      </c>
      <c r="AF449" s="58">
        <f>ABS( BIN2DEC(V447)*3-BIN2DEC(Z447))</f>
        <v>0</v>
      </c>
      <c r="AG449" s="58">
        <f>BIN2DEC(X447&amp;Y447)+BIN2DEC(W447)*3</f>
        <v>0</v>
      </c>
      <c r="AH449">
        <f t="shared" ref="AH449:AH451" si="153">AD449+AE449*4+AF449*16</f>
        <v>4</v>
      </c>
    </row>
    <row r="450" spans="1:34">
      <c r="A450" s="55" t="s">
        <v>71</v>
      </c>
      <c r="B450" s="55">
        <v>1</v>
      </c>
      <c r="C450" s="51" t="s">
        <v>141</v>
      </c>
      <c r="D450" s="49" t="s">
        <v>7</v>
      </c>
      <c r="E450" s="49" t="s">
        <v>73</v>
      </c>
      <c r="F450" s="49" t="s">
        <v>68</v>
      </c>
      <c r="G450" s="49" t="s">
        <v>36</v>
      </c>
      <c r="H450" s="49" t="s">
        <v>6</v>
      </c>
      <c r="I450" s="50"/>
      <c r="Q450" s="52"/>
      <c r="R450" s="320"/>
      <c r="S450" s="322"/>
      <c r="T450" s="312"/>
      <c r="U450" s="315"/>
      <c r="V450" s="322"/>
      <c r="W450" s="312"/>
      <c r="X450" s="315"/>
      <c r="Y450" s="315"/>
      <c r="Z450" s="315"/>
      <c r="AA450" s="318"/>
      <c r="AD450" s="58">
        <f>ABS(BIN2DEC($AA447)*3-2)</f>
        <v>2</v>
      </c>
      <c r="AE450" s="58">
        <f>ABS(BIN2DEC($U447)*3)</f>
        <v>0</v>
      </c>
      <c r="AF450" s="58">
        <f>ABS( BIN2DEC(V447)*3-BIN2DEC(Z447))</f>
        <v>0</v>
      </c>
      <c r="AG450" s="58">
        <f>BIN2DEC(X447&amp;Y447)+BIN2DEC(W447)*3</f>
        <v>0</v>
      </c>
      <c r="AH450">
        <f t="shared" si="153"/>
        <v>2</v>
      </c>
    </row>
    <row r="451" spans="1:34" ht="15" thickBot="1">
      <c r="A451" s="55" t="s">
        <v>72</v>
      </c>
      <c r="B451" s="55">
        <v>1</v>
      </c>
      <c r="C451" s="51" t="s">
        <v>141</v>
      </c>
      <c r="D451" s="49" t="s">
        <v>7</v>
      </c>
      <c r="E451" s="49" t="s">
        <v>74</v>
      </c>
      <c r="F451" s="49" t="s">
        <v>68</v>
      </c>
      <c r="G451" s="49" t="s">
        <v>36</v>
      </c>
      <c r="H451" s="49" t="s">
        <v>6</v>
      </c>
      <c r="I451" s="50"/>
      <c r="Q451" s="52"/>
      <c r="R451" s="320"/>
      <c r="S451" s="323"/>
      <c r="T451" s="313"/>
      <c r="U451" s="316"/>
      <c r="V451" s="323"/>
      <c r="W451" s="313"/>
      <c r="X451" s="316"/>
      <c r="Y451" s="316"/>
      <c r="Z451" s="316"/>
      <c r="AA451" s="319"/>
      <c r="AD451" s="58">
        <f>ABS(BIN2DEC($AA447)*3-2)</f>
        <v>2</v>
      </c>
      <c r="AE451" s="58">
        <f>ABS(BIN2DEC($U447)*3-1)</f>
        <v>1</v>
      </c>
      <c r="AF451" s="58">
        <f>ABS( BIN2DEC(V447)*3-BIN2DEC(Z447))</f>
        <v>0</v>
      </c>
      <c r="AG451" s="58">
        <f>BIN2DEC(X447&amp;Y447)+BIN2DEC(W447)*3</f>
        <v>0</v>
      </c>
      <c r="AH451">
        <f t="shared" si="153"/>
        <v>6</v>
      </c>
    </row>
    <row r="452" spans="1:34">
      <c r="A452" s="55">
        <f>AA452</f>
        <v>0</v>
      </c>
      <c r="B452" s="55">
        <v>5</v>
      </c>
      <c r="C452" s="48" t="str">
        <f>IF(B452&gt;1,(23)&amp;":"&amp;(23-B452+1),(23-B452+1)&amp;":"&amp;(23-B452+1))</f>
        <v>23:19</v>
      </c>
      <c r="D452" s="49" t="s">
        <v>78</v>
      </c>
      <c r="E452" s="49" t="s">
        <v>69</v>
      </c>
      <c r="F452" s="49" t="s">
        <v>68</v>
      </c>
      <c r="G452" s="49" t="s">
        <v>36</v>
      </c>
      <c r="H452" s="49" t="s">
        <v>6</v>
      </c>
      <c r="I452" s="50"/>
      <c r="L452" t="str">
        <f>DEC2HEX(_xlfn.BITLSHIFT(HEX2DEC(P452),2))</f>
        <v>0</v>
      </c>
      <c r="N452">
        <v>3</v>
      </c>
      <c r="P452" t="str">
        <f>Z452</f>
        <v>0</v>
      </c>
      <c r="Q452" s="52" t="e">
        <f>BIN2HEX(LEFT(RIGHT(C452,32),4))&amp;BIN2HEX(LEFT(RIGHT(C452,28),4))&amp;BIN2HEX(LEFT(RIGHT(C452,24),4))&amp;BIN2HEX(LEFT(RIGHT(C452,20),4))&amp;BIN2HEX(LEFT(RIGHT(C452,16),4))&amp;BIN2HEX(LEFT(RIGHT(C452,12),4))&amp;BIN2HEX(LEFT(RIGHT(C452,8),4))&amp;BIN2HEX(LEFT(RIGHT(C452,4),4))</f>
        <v>#NUM!</v>
      </c>
      <c r="R452" s="320">
        <v>18</v>
      </c>
      <c r="S452" s="321"/>
      <c r="T452" s="311"/>
      <c r="U452" s="314"/>
      <c r="V452" s="321"/>
      <c r="W452" s="311"/>
      <c r="X452" s="314"/>
      <c r="Y452" s="314"/>
      <c r="Z452" s="314" t="str">
        <f t="shared" ref="Z452" si="154">BIN2HEX(S452&amp;T452&amp;U452&amp;V452&amp;W452&amp;X452&amp;Y452)</f>
        <v>0</v>
      </c>
      <c r="AA452" s="317"/>
      <c r="AD452" s="58"/>
      <c r="AE452" s="58"/>
      <c r="AF452" s="58"/>
      <c r="AG452" s="58"/>
    </row>
    <row r="453" spans="1:34">
      <c r="A453" s="55" t="s">
        <v>77</v>
      </c>
      <c r="B453" s="55">
        <v>1</v>
      </c>
      <c r="C453" s="51" t="s">
        <v>141</v>
      </c>
      <c r="D453" s="49" t="s">
        <v>7</v>
      </c>
      <c r="E453" s="49" t="s">
        <v>77</v>
      </c>
      <c r="F453" s="49" t="s">
        <v>68</v>
      </c>
      <c r="G453" s="49" t="s">
        <v>36</v>
      </c>
      <c r="H453" s="49" t="s">
        <v>6</v>
      </c>
      <c r="I453" s="50"/>
      <c r="Q453" s="52"/>
      <c r="R453" s="320"/>
      <c r="S453" s="322"/>
      <c r="T453" s="312"/>
      <c r="U453" s="315"/>
      <c r="V453" s="322"/>
      <c r="W453" s="312"/>
      <c r="X453" s="315"/>
      <c r="Y453" s="315"/>
      <c r="Z453" s="315"/>
      <c r="AA453" s="318"/>
      <c r="AD453" s="58">
        <f>BIN2DEC($AA452)*3</f>
        <v>0</v>
      </c>
      <c r="AE453" s="58">
        <f>ABS(BIN2DEC($U452)*3)</f>
        <v>0</v>
      </c>
      <c r="AF453" s="58">
        <f>ABS( BIN2DEC(V452)*3-BIN2DEC(Z452))</f>
        <v>0</v>
      </c>
      <c r="AG453" s="58">
        <f>BIN2DEC(X452&amp;Y452)+BIN2DEC(W452)*3</f>
        <v>0</v>
      </c>
      <c r="AH453">
        <f>AD453+AE453*4+AF453*16</f>
        <v>0</v>
      </c>
    </row>
    <row r="454" spans="1:34" ht="129.6">
      <c r="A454" s="55" t="s">
        <v>70</v>
      </c>
      <c r="B454" s="55">
        <v>3</v>
      </c>
      <c r="C454" s="51" t="s">
        <v>141</v>
      </c>
      <c r="D454" s="49" t="s">
        <v>81</v>
      </c>
      <c r="E454" s="49" t="s">
        <v>80</v>
      </c>
      <c r="F454" s="49" t="s">
        <v>68</v>
      </c>
      <c r="G454" s="49" t="s">
        <v>36</v>
      </c>
      <c r="H454" s="49" t="s">
        <v>6</v>
      </c>
      <c r="I454" s="50"/>
      <c r="Q454" s="52"/>
      <c r="R454" s="320"/>
      <c r="S454" s="322"/>
      <c r="T454" s="312"/>
      <c r="U454" s="315"/>
      <c r="V454" s="322"/>
      <c r="W454" s="312"/>
      <c r="X454" s="315"/>
      <c r="Y454" s="315"/>
      <c r="Z454" s="315"/>
      <c r="AA454" s="318"/>
      <c r="AD454" s="58">
        <f>BIN2DEC($AA452)*3</f>
        <v>0</v>
      </c>
      <c r="AE454" s="58">
        <f>ABS(BIN2DEC($U452)*3-1)</f>
        <v>1</v>
      </c>
      <c r="AF454" s="58">
        <f>ABS( BIN2DEC(V452)*3-BIN2DEC(Z452))</f>
        <v>0</v>
      </c>
      <c r="AG454" s="58">
        <f>BIN2DEC(X452&amp;Y452)+BIN2DEC(W452)*3</f>
        <v>0</v>
      </c>
      <c r="AH454">
        <f t="shared" ref="AH454:AH456" si="155">AD454+AE454*4+AF454*16</f>
        <v>4</v>
      </c>
    </row>
    <row r="455" spans="1:34">
      <c r="A455" s="55" t="s">
        <v>71</v>
      </c>
      <c r="B455" s="55">
        <v>1</v>
      </c>
      <c r="C455" s="51" t="s">
        <v>141</v>
      </c>
      <c r="D455" s="49" t="s">
        <v>7</v>
      </c>
      <c r="E455" s="49" t="s">
        <v>73</v>
      </c>
      <c r="F455" s="49" t="s">
        <v>68</v>
      </c>
      <c r="G455" s="49" t="s">
        <v>36</v>
      </c>
      <c r="H455" s="49" t="s">
        <v>6</v>
      </c>
      <c r="I455" s="50"/>
      <c r="Q455" s="52"/>
      <c r="R455" s="320"/>
      <c r="S455" s="322"/>
      <c r="T455" s="312"/>
      <c r="U455" s="315"/>
      <c r="V455" s="322"/>
      <c r="W455" s="312"/>
      <c r="X455" s="315"/>
      <c r="Y455" s="315"/>
      <c r="Z455" s="315"/>
      <c r="AA455" s="318"/>
      <c r="AD455" s="58">
        <f>ABS(BIN2DEC($AA452)*3-2)</f>
        <v>2</v>
      </c>
      <c r="AE455" s="58">
        <f>ABS(BIN2DEC($U452)*3)</f>
        <v>0</v>
      </c>
      <c r="AF455" s="58">
        <f>ABS( BIN2DEC(V452)*3-BIN2DEC(Z452))</f>
        <v>0</v>
      </c>
      <c r="AG455" s="58">
        <f>BIN2DEC(X452&amp;Y452)+BIN2DEC(W452)*3</f>
        <v>0</v>
      </c>
      <c r="AH455">
        <f t="shared" si="155"/>
        <v>2</v>
      </c>
    </row>
    <row r="456" spans="1:34" ht="15" thickBot="1">
      <c r="A456" s="55" t="s">
        <v>72</v>
      </c>
      <c r="B456" s="55">
        <v>1</v>
      </c>
      <c r="C456" s="51" t="s">
        <v>141</v>
      </c>
      <c r="D456" s="49" t="s">
        <v>7</v>
      </c>
      <c r="E456" s="49" t="s">
        <v>74</v>
      </c>
      <c r="F456" s="49" t="s">
        <v>68</v>
      </c>
      <c r="G456" s="49" t="s">
        <v>36</v>
      </c>
      <c r="H456" s="49" t="s">
        <v>6</v>
      </c>
      <c r="I456" s="50"/>
      <c r="Q456" s="52"/>
      <c r="R456" s="320"/>
      <c r="S456" s="323"/>
      <c r="T456" s="313"/>
      <c r="U456" s="316"/>
      <c r="V456" s="323"/>
      <c r="W456" s="313"/>
      <c r="X456" s="316"/>
      <c r="Y456" s="316"/>
      <c r="Z456" s="316"/>
      <c r="AA456" s="319"/>
      <c r="AD456" s="58">
        <f>ABS(BIN2DEC($AA452)*3-2)</f>
        <v>2</v>
      </c>
      <c r="AE456" s="58">
        <f>ABS(BIN2DEC($U452)*3-1)</f>
        <v>1</v>
      </c>
      <c r="AF456" s="58">
        <f>ABS( BIN2DEC(V452)*3-BIN2DEC(Z452))</f>
        <v>0</v>
      </c>
      <c r="AG456" s="58">
        <f>BIN2DEC(X452&amp;Y452)+BIN2DEC(W452)*3</f>
        <v>0</v>
      </c>
      <c r="AH456">
        <f t="shared" si="155"/>
        <v>6</v>
      </c>
    </row>
    <row r="457" spans="1:34">
      <c r="A457" s="55">
        <f>AA457</f>
        <v>0</v>
      </c>
      <c r="B457" s="55">
        <v>5</v>
      </c>
      <c r="C457" s="48" t="str">
        <f>IF(B457&gt;1,(23)&amp;":"&amp;(23-B457+1),(23-B457+1)&amp;":"&amp;(23-B457+1))</f>
        <v>23:19</v>
      </c>
      <c r="D457" s="49" t="s">
        <v>78</v>
      </c>
      <c r="E457" s="49" t="s">
        <v>69</v>
      </c>
      <c r="F457" s="49" t="s">
        <v>68</v>
      </c>
      <c r="G457" s="49" t="s">
        <v>36</v>
      </c>
      <c r="H457" s="49" t="s">
        <v>6</v>
      </c>
      <c r="I457" s="50"/>
      <c r="L457" t="str">
        <f>DEC2HEX(_xlfn.BITLSHIFT(HEX2DEC(P457),2))</f>
        <v>0</v>
      </c>
      <c r="N457">
        <v>3</v>
      </c>
      <c r="P457" t="str">
        <f>Z457</f>
        <v>0</v>
      </c>
      <c r="Q457" s="52" t="e">
        <f>BIN2HEX(LEFT(RIGHT(C457,32),4))&amp;BIN2HEX(LEFT(RIGHT(C457,28),4))&amp;BIN2HEX(LEFT(RIGHT(C457,24),4))&amp;BIN2HEX(LEFT(RIGHT(C457,20),4))&amp;BIN2HEX(LEFT(RIGHT(C457,16),4))&amp;BIN2HEX(LEFT(RIGHT(C457,12),4))&amp;BIN2HEX(LEFT(RIGHT(C457,8),4))&amp;BIN2HEX(LEFT(RIGHT(C457,4),4))</f>
        <v>#NUM!</v>
      </c>
      <c r="R457" s="320">
        <v>19</v>
      </c>
      <c r="S457" s="321"/>
      <c r="T457" s="311"/>
      <c r="U457" s="314"/>
      <c r="V457" s="321"/>
      <c r="W457" s="311"/>
      <c r="X457" s="314"/>
      <c r="Y457" s="314"/>
      <c r="Z457" s="314" t="str">
        <f t="shared" ref="Z457" si="156">BIN2HEX(S457&amp;T457&amp;U457&amp;V457&amp;W457&amp;X457&amp;Y457)</f>
        <v>0</v>
      </c>
      <c r="AA457" s="317"/>
      <c r="AD457" s="58"/>
      <c r="AE457" s="58"/>
      <c r="AF457" s="58"/>
      <c r="AG457" s="58"/>
    </row>
    <row r="458" spans="1:34">
      <c r="A458" s="55" t="s">
        <v>77</v>
      </c>
      <c r="B458" s="55">
        <v>1</v>
      </c>
      <c r="C458" s="51" t="s">
        <v>141</v>
      </c>
      <c r="D458" s="49" t="s">
        <v>7</v>
      </c>
      <c r="E458" s="49" t="s">
        <v>77</v>
      </c>
      <c r="F458" s="49" t="s">
        <v>68</v>
      </c>
      <c r="G458" s="49" t="s">
        <v>36</v>
      </c>
      <c r="H458" s="49" t="s">
        <v>6</v>
      </c>
      <c r="I458" s="50"/>
      <c r="Q458" s="52"/>
      <c r="R458" s="320"/>
      <c r="S458" s="322"/>
      <c r="T458" s="312"/>
      <c r="U458" s="315"/>
      <c r="V458" s="322"/>
      <c r="W458" s="312"/>
      <c r="X458" s="315"/>
      <c r="Y458" s="315"/>
      <c r="Z458" s="315"/>
      <c r="AA458" s="318"/>
      <c r="AD458" s="58">
        <f>BIN2DEC($AA457)*3</f>
        <v>0</v>
      </c>
      <c r="AE458" s="58">
        <f>ABS(BIN2DEC($U457)*3)</f>
        <v>0</v>
      </c>
      <c r="AF458" s="58">
        <f>ABS( BIN2DEC(V457)*3-BIN2DEC(Z457))</f>
        <v>0</v>
      </c>
      <c r="AG458" s="58">
        <f>BIN2DEC(X457&amp;Y457)+BIN2DEC(W457)*3</f>
        <v>0</v>
      </c>
      <c r="AH458">
        <f>AD458+AE458*4+AF458*16</f>
        <v>0</v>
      </c>
    </row>
    <row r="459" spans="1:34" ht="129.6">
      <c r="A459" s="55" t="s">
        <v>70</v>
      </c>
      <c r="B459" s="55">
        <v>3</v>
      </c>
      <c r="C459" s="51" t="s">
        <v>141</v>
      </c>
      <c r="D459" s="49" t="s">
        <v>81</v>
      </c>
      <c r="E459" s="49" t="s">
        <v>80</v>
      </c>
      <c r="F459" s="49" t="s">
        <v>68</v>
      </c>
      <c r="G459" s="49" t="s">
        <v>36</v>
      </c>
      <c r="H459" s="49" t="s">
        <v>6</v>
      </c>
      <c r="I459" s="50"/>
      <c r="Q459" s="52"/>
      <c r="R459" s="320"/>
      <c r="S459" s="322"/>
      <c r="T459" s="312"/>
      <c r="U459" s="315"/>
      <c r="V459" s="322"/>
      <c r="W459" s="312"/>
      <c r="X459" s="315"/>
      <c r="Y459" s="315"/>
      <c r="Z459" s="315"/>
      <c r="AA459" s="318"/>
      <c r="AD459" s="58">
        <f>BIN2DEC($AA457)*3</f>
        <v>0</v>
      </c>
      <c r="AE459" s="58">
        <f>ABS(BIN2DEC($U457)*3-1)</f>
        <v>1</v>
      </c>
      <c r="AF459" s="58">
        <f>ABS( BIN2DEC(V457)*3-BIN2DEC(Z457))</f>
        <v>0</v>
      </c>
      <c r="AG459" s="58">
        <f>BIN2DEC(X457&amp;Y457)+BIN2DEC(W457)*3</f>
        <v>0</v>
      </c>
      <c r="AH459">
        <f t="shared" ref="AH459:AH461" si="157">AD459+AE459*4+AF459*16</f>
        <v>4</v>
      </c>
    </row>
    <row r="460" spans="1:34">
      <c r="A460" s="55" t="s">
        <v>71</v>
      </c>
      <c r="B460" s="55">
        <v>1</v>
      </c>
      <c r="C460" s="51" t="s">
        <v>141</v>
      </c>
      <c r="D460" s="49" t="s">
        <v>7</v>
      </c>
      <c r="E460" s="49" t="s">
        <v>73</v>
      </c>
      <c r="F460" s="49" t="s">
        <v>68</v>
      </c>
      <c r="G460" s="49" t="s">
        <v>36</v>
      </c>
      <c r="H460" s="49" t="s">
        <v>6</v>
      </c>
      <c r="I460" s="50"/>
      <c r="Q460" s="52"/>
      <c r="R460" s="320"/>
      <c r="S460" s="322"/>
      <c r="T460" s="312"/>
      <c r="U460" s="315"/>
      <c r="V460" s="322"/>
      <c r="W460" s="312"/>
      <c r="X460" s="315"/>
      <c r="Y460" s="315"/>
      <c r="Z460" s="315"/>
      <c r="AA460" s="318"/>
      <c r="AD460" s="58">
        <f>ABS(BIN2DEC($AA457)*3-2)</f>
        <v>2</v>
      </c>
      <c r="AE460" s="58">
        <f>ABS(BIN2DEC($U457)*3)</f>
        <v>0</v>
      </c>
      <c r="AF460" s="58">
        <f>ABS( BIN2DEC(V457)*3-BIN2DEC(Z457))</f>
        <v>0</v>
      </c>
      <c r="AG460" s="58">
        <f>BIN2DEC(X457&amp;Y457)+BIN2DEC(W457)*3</f>
        <v>0</v>
      </c>
      <c r="AH460">
        <f t="shared" si="157"/>
        <v>2</v>
      </c>
    </row>
    <row r="461" spans="1:34" ht="15" thickBot="1">
      <c r="A461" s="55" t="s">
        <v>72</v>
      </c>
      <c r="B461" s="55">
        <v>1</v>
      </c>
      <c r="C461" s="51" t="s">
        <v>141</v>
      </c>
      <c r="D461" s="49" t="s">
        <v>7</v>
      </c>
      <c r="E461" s="49" t="s">
        <v>74</v>
      </c>
      <c r="F461" s="49" t="s">
        <v>68</v>
      </c>
      <c r="G461" s="49" t="s">
        <v>36</v>
      </c>
      <c r="H461" s="49" t="s">
        <v>6</v>
      </c>
      <c r="I461" s="50"/>
      <c r="Q461" s="52"/>
      <c r="R461" s="320"/>
      <c r="S461" s="323"/>
      <c r="T461" s="313"/>
      <c r="U461" s="316"/>
      <c r="V461" s="323"/>
      <c r="W461" s="313"/>
      <c r="X461" s="316"/>
      <c r="Y461" s="316"/>
      <c r="Z461" s="316"/>
      <c r="AA461" s="319"/>
      <c r="AD461" s="58">
        <f>ABS(BIN2DEC($AA457)*3-2)</f>
        <v>2</v>
      </c>
      <c r="AE461" s="58">
        <f>ABS(BIN2DEC($U457)*3-1)</f>
        <v>1</v>
      </c>
      <c r="AF461" s="58">
        <f>ABS( BIN2DEC(V457)*3-BIN2DEC(Z457))</f>
        <v>0</v>
      </c>
      <c r="AG461" s="58">
        <f>BIN2DEC(X457&amp;Y457)+BIN2DEC(W457)*3</f>
        <v>0</v>
      </c>
      <c r="AH461">
        <f t="shared" si="157"/>
        <v>6</v>
      </c>
    </row>
    <row r="462" spans="1:34">
      <c r="A462" s="55">
        <f>AA462</f>
        <v>0</v>
      </c>
      <c r="B462" s="55">
        <v>5</v>
      </c>
      <c r="C462" s="48" t="str">
        <f>IF(B462&gt;1,(23)&amp;":"&amp;(23-B462+1),(23-B462+1)&amp;":"&amp;(23-B462+1))</f>
        <v>23:19</v>
      </c>
      <c r="D462" s="49" t="s">
        <v>78</v>
      </c>
      <c r="E462" s="49" t="s">
        <v>69</v>
      </c>
      <c r="F462" s="49" t="s">
        <v>68</v>
      </c>
      <c r="G462" s="49" t="s">
        <v>36</v>
      </c>
      <c r="H462" s="49" t="s">
        <v>6</v>
      </c>
      <c r="I462" s="50"/>
      <c r="L462" t="str">
        <f>DEC2HEX(_xlfn.BITLSHIFT(HEX2DEC(P462),2))</f>
        <v>0</v>
      </c>
      <c r="N462">
        <v>3</v>
      </c>
      <c r="P462" t="str">
        <f>Z462</f>
        <v>0</v>
      </c>
      <c r="Q462" s="52" t="e">
        <f>BIN2HEX(LEFT(RIGHT(C462,32),4))&amp;BIN2HEX(LEFT(RIGHT(C462,28),4))&amp;BIN2HEX(LEFT(RIGHT(C462,24),4))&amp;BIN2HEX(LEFT(RIGHT(C462,20),4))&amp;BIN2HEX(LEFT(RIGHT(C462,16),4))&amp;BIN2HEX(LEFT(RIGHT(C462,12),4))&amp;BIN2HEX(LEFT(RIGHT(C462,8),4))&amp;BIN2HEX(LEFT(RIGHT(C462,4),4))</f>
        <v>#NUM!</v>
      </c>
      <c r="R462" s="320">
        <v>20</v>
      </c>
      <c r="S462" s="321"/>
      <c r="T462" s="311"/>
      <c r="U462" s="314"/>
      <c r="V462" s="321"/>
      <c r="W462" s="311"/>
      <c r="X462" s="314"/>
      <c r="Y462" s="314"/>
      <c r="Z462" s="314" t="str">
        <f t="shared" ref="Z462" si="158">BIN2HEX(S462&amp;T462&amp;U462&amp;V462&amp;W462&amp;X462&amp;Y462)</f>
        <v>0</v>
      </c>
      <c r="AA462" s="317"/>
      <c r="AD462" s="58"/>
      <c r="AE462" s="58"/>
      <c r="AF462" s="58"/>
      <c r="AG462" s="58"/>
    </row>
    <row r="463" spans="1:34">
      <c r="A463" s="55" t="s">
        <v>77</v>
      </c>
      <c r="B463" s="55">
        <v>1</v>
      </c>
      <c r="C463" s="51" t="s">
        <v>141</v>
      </c>
      <c r="D463" s="49" t="s">
        <v>7</v>
      </c>
      <c r="E463" s="49" t="s">
        <v>77</v>
      </c>
      <c r="F463" s="49" t="s">
        <v>68</v>
      </c>
      <c r="G463" s="49" t="s">
        <v>36</v>
      </c>
      <c r="H463" s="49" t="s">
        <v>6</v>
      </c>
      <c r="I463" s="50"/>
      <c r="Q463" s="52"/>
      <c r="R463" s="320"/>
      <c r="S463" s="322"/>
      <c r="T463" s="312"/>
      <c r="U463" s="315"/>
      <c r="V463" s="322"/>
      <c r="W463" s="312"/>
      <c r="X463" s="315"/>
      <c r="Y463" s="315"/>
      <c r="Z463" s="315"/>
      <c r="AA463" s="318"/>
      <c r="AD463" s="58">
        <f>BIN2DEC($AA462)*3</f>
        <v>0</v>
      </c>
      <c r="AE463" s="58">
        <f>ABS(BIN2DEC($U462)*3)</f>
        <v>0</v>
      </c>
      <c r="AF463" s="58">
        <f>ABS( BIN2DEC(V462)*3-BIN2DEC(Z462))</f>
        <v>0</v>
      </c>
      <c r="AG463" s="58">
        <f>BIN2DEC(X462&amp;Y462)+BIN2DEC(W462)*3</f>
        <v>0</v>
      </c>
      <c r="AH463">
        <f>AD463+AE463*4+AF463*16</f>
        <v>0</v>
      </c>
    </row>
    <row r="464" spans="1:34" ht="129.6">
      <c r="A464" s="55" t="s">
        <v>70</v>
      </c>
      <c r="B464" s="55">
        <v>3</v>
      </c>
      <c r="C464" s="51" t="s">
        <v>141</v>
      </c>
      <c r="D464" s="49" t="s">
        <v>81</v>
      </c>
      <c r="E464" s="49" t="s">
        <v>80</v>
      </c>
      <c r="F464" s="49" t="s">
        <v>68</v>
      </c>
      <c r="G464" s="49" t="s">
        <v>36</v>
      </c>
      <c r="H464" s="49" t="s">
        <v>6</v>
      </c>
      <c r="I464" s="50"/>
      <c r="Q464" s="52"/>
      <c r="R464" s="320"/>
      <c r="S464" s="322"/>
      <c r="T464" s="312"/>
      <c r="U464" s="315"/>
      <c r="V464" s="322"/>
      <c r="W464" s="312"/>
      <c r="X464" s="315"/>
      <c r="Y464" s="315"/>
      <c r="Z464" s="315"/>
      <c r="AA464" s="318"/>
      <c r="AD464" s="58">
        <f>BIN2DEC($AA462)*3</f>
        <v>0</v>
      </c>
      <c r="AE464" s="58">
        <f>ABS(BIN2DEC($U462)*3-1)</f>
        <v>1</v>
      </c>
      <c r="AF464" s="58">
        <f>ABS( BIN2DEC(V462)*3-BIN2DEC(Z462))</f>
        <v>0</v>
      </c>
      <c r="AG464" s="58">
        <f>BIN2DEC(X462&amp;Y462)+BIN2DEC(W462)*3</f>
        <v>0</v>
      </c>
      <c r="AH464">
        <f t="shared" ref="AH464:AH466" si="159">AD464+AE464*4+AF464*16</f>
        <v>4</v>
      </c>
    </row>
    <row r="465" spans="1:34">
      <c r="A465" s="55" t="s">
        <v>71</v>
      </c>
      <c r="B465" s="55">
        <v>1</v>
      </c>
      <c r="C465" s="51" t="s">
        <v>141</v>
      </c>
      <c r="D465" s="49" t="s">
        <v>7</v>
      </c>
      <c r="E465" s="49" t="s">
        <v>73</v>
      </c>
      <c r="F465" s="49" t="s">
        <v>68</v>
      </c>
      <c r="G465" s="49" t="s">
        <v>36</v>
      </c>
      <c r="H465" s="49" t="s">
        <v>6</v>
      </c>
      <c r="I465" s="50"/>
      <c r="Q465" s="52"/>
      <c r="R465" s="320"/>
      <c r="S465" s="322"/>
      <c r="T465" s="312"/>
      <c r="U465" s="315"/>
      <c r="V465" s="322"/>
      <c r="W465" s="312"/>
      <c r="X465" s="315"/>
      <c r="Y465" s="315"/>
      <c r="Z465" s="315"/>
      <c r="AA465" s="318"/>
      <c r="AD465" s="58">
        <f>ABS(BIN2DEC($AA462)*3-2)</f>
        <v>2</v>
      </c>
      <c r="AE465" s="58">
        <f>ABS(BIN2DEC($U462)*3)</f>
        <v>0</v>
      </c>
      <c r="AF465" s="58">
        <f>ABS( BIN2DEC(V462)*3-BIN2DEC(Z462))</f>
        <v>0</v>
      </c>
      <c r="AG465" s="58">
        <f>BIN2DEC(X462&amp;Y462)+BIN2DEC(W462)*3</f>
        <v>0</v>
      </c>
      <c r="AH465">
        <f t="shared" si="159"/>
        <v>2</v>
      </c>
    </row>
    <row r="466" spans="1:34" ht="15" thickBot="1">
      <c r="A466" s="55" t="s">
        <v>72</v>
      </c>
      <c r="B466" s="55">
        <v>1</v>
      </c>
      <c r="C466" s="51" t="s">
        <v>141</v>
      </c>
      <c r="D466" s="49" t="s">
        <v>7</v>
      </c>
      <c r="E466" s="49" t="s">
        <v>74</v>
      </c>
      <c r="F466" s="49" t="s">
        <v>68</v>
      </c>
      <c r="G466" s="49" t="s">
        <v>36</v>
      </c>
      <c r="H466" s="49" t="s">
        <v>6</v>
      </c>
      <c r="I466" s="50"/>
      <c r="Q466" s="52"/>
      <c r="R466" s="320"/>
      <c r="S466" s="323"/>
      <c r="T466" s="313"/>
      <c r="U466" s="316"/>
      <c r="V466" s="323"/>
      <c r="W466" s="313"/>
      <c r="X466" s="316"/>
      <c r="Y466" s="316"/>
      <c r="Z466" s="316"/>
      <c r="AA466" s="319"/>
      <c r="AD466" s="58">
        <f>ABS(BIN2DEC($AA462)*3-2)</f>
        <v>2</v>
      </c>
      <c r="AE466" s="58">
        <f>ABS(BIN2DEC($U462)*3-1)</f>
        <v>1</v>
      </c>
      <c r="AF466" s="58">
        <f>ABS( BIN2DEC(V462)*3-BIN2DEC(Z462))</f>
        <v>0</v>
      </c>
      <c r="AG466" s="58">
        <f>BIN2DEC(X462&amp;Y462)+BIN2DEC(W462)*3</f>
        <v>0</v>
      </c>
      <c r="AH466">
        <f t="shared" si="159"/>
        <v>6</v>
      </c>
    </row>
    <row r="467" spans="1:34">
      <c r="A467" s="55">
        <f>AA467</f>
        <v>0</v>
      </c>
      <c r="B467" s="55">
        <v>5</v>
      </c>
      <c r="C467" s="48" t="str">
        <f>IF(B467&gt;1,(23)&amp;":"&amp;(23-B467+1),(23-B467+1)&amp;":"&amp;(23-B467+1))</f>
        <v>23:19</v>
      </c>
      <c r="D467" s="49" t="s">
        <v>78</v>
      </c>
      <c r="E467" s="49" t="s">
        <v>69</v>
      </c>
      <c r="F467" s="49" t="s">
        <v>68</v>
      </c>
      <c r="G467" s="49" t="s">
        <v>36</v>
      </c>
      <c r="H467" s="49" t="s">
        <v>6</v>
      </c>
      <c r="I467" s="50"/>
      <c r="L467" t="str">
        <f>DEC2HEX(_xlfn.BITLSHIFT(HEX2DEC(P467),2))</f>
        <v>0</v>
      </c>
      <c r="N467">
        <v>3</v>
      </c>
      <c r="P467" t="str">
        <f>Z467</f>
        <v>0</v>
      </c>
      <c r="Q467" s="52" t="e">
        <f>BIN2HEX(LEFT(RIGHT(C467,32),4))&amp;BIN2HEX(LEFT(RIGHT(C467,28),4))&amp;BIN2HEX(LEFT(RIGHT(C467,24),4))&amp;BIN2HEX(LEFT(RIGHT(C467,20),4))&amp;BIN2HEX(LEFT(RIGHT(C467,16),4))&amp;BIN2HEX(LEFT(RIGHT(C467,12),4))&amp;BIN2HEX(LEFT(RIGHT(C467,8),4))&amp;BIN2HEX(LEFT(RIGHT(C467,4),4))</f>
        <v>#NUM!</v>
      </c>
      <c r="R467" s="320">
        <v>21</v>
      </c>
      <c r="S467" s="321"/>
      <c r="T467" s="311"/>
      <c r="U467" s="314"/>
      <c r="V467" s="321"/>
      <c r="W467" s="311"/>
      <c r="X467" s="314"/>
      <c r="Y467" s="314"/>
      <c r="Z467" s="314" t="str">
        <f t="shared" ref="Z467" si="160">BIN2HEX(S467&amp;T467&amp;U467&amp;V467&amp;W467&amp;X467&amp;Y467)</f>
        <v>0</v>
      </c>
      <c r="AA467" s="317"/>
      <c r="AD467" s="58"/>
      <c r="AE467" s="58"/>
      <c r="AF467" s="58"/>
      <c r="AG467" s="58"/>
    </row>
    <row r="468" spans="1:34">
      <c r="A468" s="55" t="s">
        <v>77</v>
      </c>
      <c r="B468" s="55">
        <v>1</v>
      </c>
      <c r="C468" s="51" t="s">
        <v>141</v>
      </c>
      <c r="D468" s="49" t="s">
        <v>7</v>
      </c>
      <c r="E468" s="49" t="s">
        <v>77</v>
      </c>
      <c r="F468" s="49" t="s">
        <v>68</v>
      </c>
      <c r="G468" s="49" t="s">
        <v>36</v>
      </c>
      <c r="H468" s="49" t="s">
        <v>6</v>
      </c>
      <c r="I468" s="50"/>
      <c r="Q468" s="52"/>
      <c r="R468" s="320"/>
      <c r="S468" s="322"/>
      <c r="T468" s="312"/>
      <c r="U468" s="315"/>
      <c r="V468" s="322"/>
      <c r="W468" s="312"/>
      <c r="X468" s="315"/>
      <c r="Y468" s="315"/>
      <c r="Z468" s="315"/>
      <c r="AA468" s="318"/>
      <c r="AD468" s="58">
        <f>BIN2DEC($AA467)*3</f>
        <v>0</v>
      </c>
      <c r="AE468" s="58">
        <f>ABS(BIN2DEC($U467)*3)</f>
        <v>0</v>
      </c>
      <c r="AF468" s="58">
        <f>ABS( BIN2DEC(V467)*3-BIN2DEC(Z467))</f>
        <v>0</v>
      </c>
      <c r="AG468" s="58">
        <f>BIN2DEC(X467&amp;Y467)+BIN2DEC(W467)*3</f>
        <v>0</v>
      </c>
      <c r="AH468">
        <f>AD468+AE468*4+AF468*16</f>
        <v>0</v>
      </c>
    </row>
    <row r="469" spans="1:34" ht="129.6">
      <c r="A469" s="55" t="s">
        <v>70</v>
      </c>
      <c r="B469" s="55">
        <v>3</v>
      </c>
      <c r="C469" s="51" t="s">
        <v>141</v>
      </c>
      <c r="D469" s="49" t="s">
        <v>81</v>
      </c>
      <c r="E469" s="49" t="s">
        <v>80</v>
      </c>
      <c r="F469" s="49" t="s">
        <v>68</v>
      </c>
      <c r="G469" s="49" t="s">
        <v>36</v>
      </c>
      <c r="H469" s="49" t="s">
        <v>6</v>
      </c>
      <c r="I469" s="50"/>
      <c r="Q469" s="52"/>
      <c r="R469" s="320"/>
      <c r="S469" s="322"/>
      <c r="T469" s="312"/>
      <c r="U469" s="315"/>
      <c r="V469" s="322"/>
      <c r="W469" s="312"/>
      <c r="X469" s="315"/>
      <c r="Y469" s="315"/>
      <c r="Z469" s="315"/>
      <c r="AA469" s="318"/>
      <c r="AD469" s="58">
        <f>BIN2DEC($AA467)*3</f>
        <v>0</v>
      </c>
      <c r="AE469" s="58">
        <f>ABS(BIN2DEC($U467)*3-1)</f>
        <v>1</v>
      </c>
      <c r="AF469" s="58">
        <f>ABS( BIN2DEC(V467)*3-BIN2DEC(Z467))</f>
        <v>0</v>
      </c>
      <c r="AG469" s="58">
        <f>BIN2DEC(X467&amp;Y467)+BIN2DEC(W467)*3</f>
        <v>0</v>
      </c>
      <c r="AH469">
        <f t="shared" ref="AH469:AH471" si="161">AD469+AE469*4+AF469*16</f>
        <v>4</v>
      </c>
    </row>
    <row r="470" spans="1:34">
      <c r="A470" s="55" t="s">
        <v>71</v>
      </c>
      <c r="B470" s="55">
        <v>1</v>
      </c>
      <c r="C470" s="51" t="s">
        <v>141</v>
      </c>
      <c r="D470" s="49" t="s">
        <v>7</v>
      </c>
      <c r="E470" s="49" t="s">
        <v>73</v>
      </c>
      <c r="F470" s="49" t="s">
        <v>68</v>
      </c>
      <c r="G470" s="49" t="s">
        <v>36</v>
      </c>
      <c r="H470" s="49" t="s">
        <v>6</v>
      </c>
      <c r="I470" s="50"/>
      <c r="Q470" s="52"/>
      <c r="R470" s="320"/>
      <c r="S470" s="322"/>
      <c r="T470" s="312"/>
      <c r="U470" s="315"/>
      <c r="V470" s="322"/>
      <c r="W470" s="312"/>
      <c r="X470" s="315"/>
      <c r="Y470" s="315"/>
      <c r="Z470" s="315"/>
      <c r="AA470" s="318"/>
      <c r="AD470" s="58">
        <f>ABS(BIN2DEC($AA467)*3-2)</f>
        <v>2</v>
      </c>
      <c r="AE470" s="58">
        <f>ABS(BIN2DEC($U467)*3)</f>
        <v>0</v>
      </c>
      <c r="AF470" s="58">
        <f>ABS( BIN2DEC(V467)*3-BIN2DEC(Z467))</f>
        <v>0</v>
      </c>
      <c r="AG470" s="58">
        <f>BIN2DEC(X467&amp;Y467)+BIN2DEC(W467)*3</f>
        <v>0</v>
      </c>
      <c r="AH470">
        <f t="shared" si="161"/>
        <v>2</v>
      </c>
    </row>
    <row r="471" spans="1:34" ht="15" thickBot="1">
      <c r="A471" s="55" t="s">
        <v>72</v>
      </c>
      <c r="B471" s="55">
        <v>1</v>
      </c>
      <c r="C471" s="51" t="s">
        <v>141</v>
      </c>
      <c r="D471" s="49" t="s">
        <v>7</v>
      </c>
      <c r="E471" s="49" t="s">
        <v>74</v>
      </c>
      <c r="F471" s="49" t="s">
        <v>68</v>
      </c>
      <c r="G471" s="49" t="s">
        <v>36</v>
      </c>
      <c r="H471" s="49" t="s">
        <v>6</v>
      </c>
      <c r="I471" s="50"/>
      <c r="Q471" s="52"/>
      <c r="R471" s="320"/>
      <c r="S471" s="323"/>
      <c r="T471" s="313"/>
      <c r="U471" s="316"/>
      <c r="V471" s="323"/>
      <c r="W471" s="313"/>
      <c r="X471" s="316"/>
      <c r="Y471" s="316"/>
      <c r="Z471" s="316"/>
      <c r="AA471" s="319"/>
      <c r="AD471" s="58">
        <f>ABS(BIN2DEC($AA467)*3-2)</f>
        <v>2</v>
      </c>
      <c r="AE471" s="58">
        <f>ABS(BIN2DEC($U467)*3-1)</f>
        <v>1</v>
      </c>
      <c r="AF471" s="58">
        <f>ABS( BIN2DEC(V467)*3-BIN2DEC(Z467))</f>
        <v>0</v>
      </c>
      <c r="AG471" s="58">
        <f>BIN2DEC(X467&amp;Y467)+BIN2DEC(W467)*3</f>
        <v>0</v>
      </c>
      <c r="AH471">
        <f t="shared" si="161"/>
        <v>6</v>
      </c>
    </row>
    <row r="472" spans="1:34">
      <c r="A472" s="55">
        <f>AA472</f>
        <v>0</v>
      </c>
      <c r="B472" s="55">
        <v>5</v>
      </c>
      <c r="C472" s="48" t="str">
        <f>IF(B472&gt;1,(23)&amp;":"&amp;(23-B472+1),(23-B472+1)&amp;":"&amp;(23-B472+1))</f>
        <v>23:19</v>
      </c>
      <c r="D472" s="49" t="s">
        <v>78</v>
      </c>
      <c r="E472" s="49" t="s">
        <v>69</v>
      </c>
      <c r="F472" s="49" t="s">
        <v>68</v>
      </c>
      <c r="G472" s="49" t="s">
        <v>36</v>
      </c>
      <c r="H472" s="49" t="s">
        <v>6</v>
      </c>
      <c r="I472" s="50"/>
      <c r="L472" t="str">
        <f>DEC2HEX(_xlfn.BITLSHIFT(HEX2DEC(P472),2))</f>
        <v>0</v>
      </c>
      <c r="N472">
        <v>3</v>
      </c>
      <c r="P472" t="str">
        <f>Z472</f>
        <v>0</v>
      </c>
      <c r="Q472" s="52" t="e">
        <f>BIN2HEX(LEFT(RIGHT(C472,32),4))&amp;BIN2HEX(LEFT(RIGHT(C472,28),4))&amp;BIN2HEX(LEFT(RIGHT(C472,24),4))&amp;BIN2HEX(LEFT(RIGHT(C472,20),4))&amp;BIN2HEX(LEFT(RIGHT(C472,16),4))&amp;BIN2HEX(LEFT(RIGHT(C472,12),4))&amp;BIN2HEX(LEFT(RIGHT(C472,8),4))&amp;BIN2HEX(LEFT(RIGHT(C472,4),4))</f>
        <v>#NUM!</v>
      </c>
      <c r="R472" s="320">
        <v>22</v>
      </c>
      <c r="S472" s="321"/>
      <c r="T472" s="311"/>
      <c r="U472" s="314"/>
      <c r="V472" s="321"/>
      <c r="W472" s="311"/>
      <c r="X472" s="314"/>
      <c r="Y472" s="314"/>
      <c r="Z472" s="314" t="str">
        <f t="shared" ref="Z472" si="162">BIN2HEX(S472&amp;T472&amp;U472&amp;V472&amp;W472&amp;X472&amp;Y472)</f>
        <v>0</v>
      </c>
      <c r="AA472" s="317"/>
      <c r="AD472" s="58"/>
      <c r="AE472" s="58"/>
      <c r="AF472" s="58"/>
      <c r="AG472" s="58"/>
    </row>
    <row r="473" spans="1:34">
      <c r="A473" s="55" t="s">
        <v>77</v>
      </c>
      <c r="B473" s="55">
        <v>1</v>
      </c>
      <c r="C473" s="51" t="s">
        <v>141</v>
      </c>
      <c r="D473" s="49" t="s">
        <v>7</v>
      </c>
      <c r="E473" s="49" t="s">
        <v>77</v>
      </c>
      <c r="F473" s="49" t="s">
        <v>68</v>
      </c>
      <c r="G473" s="49" t="s">
        <v>36</v>
      </c>
      <c r="H473" s="49" t="s">
        <v>6</v>
      </c>
      <c r="I473" s="50"/>
      <c r="Q473" s="52"/>
      <c r="R473" s="320"/>
      <c r="S473" s="322"/>
      <c r="T473" s="312"/>
      <c r="U473" s="315"/>
      <c r="V473" s="322"/>
      <c r="W473" s="312"/>
      <c r="X473" s="315"/>
      <c r="Y473" s="315"/>
      <c r="Z473" s="315"/>
      <c r="AA473" s="318"/>
      <c r="AD473" s="58">
        <f>BIN2DEC($AA472)*3</f>
        <v>0</v>
      </c>
      <c r="AE473" s="58">
        <f>ABS(BIN2DEC($U472)*3)</f>
        <v>0</v>
      </c>
      <c r="AF473" s="58">
        <f>ABS( BIN2DEC(V472)*3-BIN2DEC(Z472))</f>
        <v>0</v>
      </c>
      <c r="AG473" s="58">
        <f>BIN2DEC(X472&amp;Y472)+BIN2DEC(W472)*3</f>
        <v>0</v>
      </c>
      <c r="AH473">
        <f>AD473+AE473*4+AF473*16</f>
        <v>0</v>
      </c>
    </row>
    <row r="474" spans="1:34" ht="129.6">
      <c r="A474" s="55" t="s">
        <v>70</v>
      </c>
      <c r="B474" s="55">
        <v>3</v>
      </c>
      <c r="C474" s="51" t="s">
        <v>141</v>
      </c>
      <c r="D474" s="49" t="s">
        <v>81</v>
      </c>
      <c r="E474" s="49" t="s">
        <v>80</v>
      </c>
      <c r="F474" s="49" t="s">
        <v>68</v>
      </c>
      <c r="G474" s="49" t="s">
        <v>36</v>
      </c>
      <c r="H474" s="49" t="s">
        <v>6</v>
      </c>
      <c r="I474" s="50"/>
      <c r="Q474" s="52"/>
      <c r="R474" s="320"/>
      <c r="S474" s="322"/>
      <c r="T474" s="312"/>
      <c r="U474" s="315"/>
      <c r="V474" s="322"/>
      <c r="W474" s="312"/>
      <c r="X474" s="315"/>
      <c r="Y474" s="315"/>
      <c r="Z474" s="315"/>
      <c r="AA474" s="318"/>
      <c r="AD474" s="58">
        <f>BIN2DEC($AA472)*3</f>
        <v>0</v>
      </c>
      <c r="AE474" s="58">
        <f>ABS(BIN2DEC($U472)*3-1)</f>
        <v>1</v>
      </c>
      <c r="AF474" s="58">
        <f>ABS( BIN2DEC(V472)*3-BIN2DEC(Z472))</f>
        <v>0</v>
      </c>
      <c r="AG474" s="58">
        <f>BIN2DEC(X472&amp;Y472)+BIN2DEC(W472)*3</f>
        <v>0</v>
      </c>
      <c r="AH474">
        <f t="shared" ref="AH474:AH476" si="163">AD474+AE474*4+AF474*16</f>
        <v>4</v>
      </c>
    </row>
    <row r="475" spans="1:34">
      <c r="A475" s="55" t="s">
        <v>71</v>
      </c>
      <c r="B475" s="55">
        <v>1</v>
      </c>
      <c r="C475" s="51" t="s">
        <v>141</v>
      </c>
      <c r="D475" s="49" t="s">
        <v>7</v>
      </c>
      <c r="E475" s="49" t="s">
        <v>73</v>
      </c>
      <c r="F475" s="49" t="s">
        <v>68</v>
      </c>
      <c r="G475" s="49" t="s">
        <v>36</v>
      </c>
      <c r="H475" s="49" t="s">
        <v>6</v>
      </c>
      <c r="I475" s="50"/>
      <c r="Q475" s="52"/>
      <c r="R475" s="320"/>
      <c r="S475" s="322"/>
      <c r="T475" s="312"/>
      <c r="U475" s="315"/>
      <c r="V475" s="322"/>
      <c r="W475" s="312"/>
      <c r="X475" s="315"/>
      <c r="Y475" s="315"/>
      <c r="Z475" s="315"/>
      <c r="AA475" s="318"/>
      <c r="AD475" s="58">
        <f>ABS(BIN2DEC($AA472)*3-2)</f>
        <v>2</v>
      </c>
      <c r="AE475" s="58">
        <f>ABS(BIN2DEC($U472)*3)</f>
        <v>0</v>
      </c>
      <c r="AF475" s="58">
        <f>ABS( BIN2DEC(V472)*3-BIN2DEC(Z472))</f>
        <v>0</v>
      </c>
      <c r="AG475" s="58">
        <f>BIN2DEC(X472&amp;Y472)+BIN2DEC(W472)*3</f>
        <v>0</v>
      </c>
      <c r="AH475">
        <f t="shared" si="163"/>
        <v>2</v>
      </c>
    </row>
    <row r="476" spans="1:34" ht="15" thickBot="1">
      <c r="A476" s="55" t="s">
        <v>72</v>
      </c>
      <c r="B476" s="55">
        <v>1</v>
      </c>
      <c r="C476" s="51" t="s">
        <v>141</v>
      </c>
      <c r="D476" s="49" t="s">
        <v>7</v>
      </c>
      <c r="E476" s="49" t="s">
        <v>74</v>
      </c>
      <c r="F476" s="49" t="s">
        <v>68</v>
      </c>
      <c r="G476" s="49" t="s">
        <v>36</v>
      </c>
      <c r="H476" s="49" t="s">
        <v>6</v>
      </c>
      <c r="I476" s="50"/>
      <c r="Q476" s="52"/>
      <c r="R476" s="320"/>
      <c r="S476" s="323"/>
      <c r="T476" s="313"/>
      <c r="U476" s="316"/>
      <c r="V476" s="323"/>
      <c r="W476" s="313"/>
      <c r="X476" s="316"/>
      <c r="Y476" s="316"/>
      <c r="Z476" s="316"/>
      <c r="AA476" s="319"/>
      <c r="AD476" s="58">
        <f>ABS(BIN2DEC($AA472)*3-2)</f>
        <v>2</v>
      </c>
      <c r="AE476" s="58">
        <f>ABS(BIN2DEC($U472)*3-1)</f>
        <v>1</v>
      </c>
      <c r="AF476" s="58">
        <f>ABS( BIN2DEC(V472)*3-BIN2DEC(Z472))</f>
        <v>0</v>
      </c>
      <c r="AG476" s="58">
        <f>BIN2DEC(X472&amp;Y472)+BIN2DEC(W472)*3</f>
        <v>0</v>
      </c>
      <c r="AH476">
        <f t="shared" si="163"/>
        <v>6</v>
      </c>
    </row>
    <row r="477" spans="1:34">
      <c r="A477" s="55">
        <f>AA477</f>
        <v>0</v>
      </c>
      <c r="B477" s="55">
        <v>5</v>
      </c>
      <c r="C477" s="48" t="str">
        <f>IF(B477&gt;1,(23)&amp;":"&amp;(23-B477+1),(23-B477+1)&amp;":"&amp;(23-B477+1))</f>
        <v>23:19</v>
      </c>
      <c r="D477" s="49" t="s">
        <v>78</v>
      </c>
      <c r="E477" s="49" t="s">
        <v>69</v>
      </c>
      <c r="F477" s="49" t="s">
        <v>68</v>
      </c>
      <c r="G477" s="49" t="s">
        <v>36</v>
      </c>
      <c r="H477" s="49" t="s">
        <v>6</v>
      </c>
      <c r="I477" s="50"/>
      <c r="L477" t="str">
        <f>DEC2HEX(_xlfn.BITLSHIFT(HEX2DEC(P477),2))</f>
        <v>0</v>
      </c>
      <c r="N477">
        <v>3</v>
      </c>
      <c r="P477" t="str">
        <f>Z477</f>
        <v>0</v>
      </c>
      <c r="Q477" s="52" t="e">
        <f>BIN2HEX(LEFT(RIGHT(C477,32),4))&amp;BIN2HEX(LEFT(RIGHT(C477,28),4))&amp;BIN2HEX(LEFT(RIGHT(C477,24),4))&amp;BIN2HEX(LEFT(RIGHT(C477,20),4))&amp;BIN2HEX(LEFT(RIGHT(C477,16),4))&amp;BIN2HEX(LEFT(RIGHT(C477,12),4))&amp;BIN2HEX(LEFT(RIGHT(C477,8),4))&amp;BIN2HEX(LEFT(RIGHT(C477,4),4))</f>
        <v>#NUM!</v>
      </c>
      <c r="R477" s="320">
        <v>23</v>
      </c>
      <c r="S477" s="321"/>
      <c r="T477" s="311"/>
      <c r="U477" s="314"/>
      <c r="V477" s="321"/>
      <c r="W477" s="311"/>
      <c r="X477" s="314"/>
      <c r="Y477" s="314"/>
      <c r="Z477" s="314" t="str">
        <f t="shared" ref="Z477" si="164">BIN2HEX(S477&amp;T477&amp;U477&amp;V477&amp;W477&amp;X477&amp;Y477)</f>
        <v>0</v>
      </c>
      <c r="AA477" s="317"/>
      <c r="AD477" s="58"/>
      <c r="AE477" s="58"/>
      <c r="AF477" s="58"/>
      <c r="AG477" s="58"/>
    </row>
    <row r="478" spans="1:34">
      <c r="A478" s="55" t="s">
        <v>77</v>
      </c>
      <c r="B478" s="55">
        <v>1</v>
      </c>
      <c r="C478" s="51" t="s">
        <v>141</v>
      </c>
      <c r="D478" s="49" t="s">
        <v>7</v>
      </c>
      <c r="E478" s="49" t="s">
        <v>77</v>
      </c>
      <c r="F478" s="49" t="s">
        <v>68</v>
      </c>
      <c r="G478" s="49" t="s">
        <v>36</v>
      </c>
      <c r="H478" s="49" t="s">
        <v>6</v>
      </c>
      <c r="I478" s="50"/>
      <c r="Q478" s="52"/>
      <c r="R478" s="320"/>
      <c r="S478" s="322"/>
      <c r="T478" s="312"/>
      <c r="U478" s="315"/>
      <c r="V478" s="322"/>
      <c r="W478" s="312"/>
      <c r="X478" s="315"/>
      <c r="Y478" s="315"/>
      <c r="Z478" s="315"/>
      <c r="AA478" s="318"/>
      <c r="AD478" s="58">
        <f>BIN2DEC($AA477)*3</f>
        <v>0</v>
      </c>
      <c r="AE478" s="58">
        <f>ABS(BIN2DEC($U477)*3)</f>
        <v>0</v>
      </c>
      <c r="AF478" s="58">
        <f>ABS( BIN2DEC(V477)*3-BIN2DEC(Z477))</f>
        <v>0</v>
      </c>
      <c r="AG478" s="58">
        <f>BIN2DEC(X477&amp;Y477)+BIN2DEC(W477)*3</f>
        <v>0</v>
      </c>
      <c r="AH478">
        <f>AD478+AE478*4+AF478*16</f>
        <v>0</v>
      </c>
    </row>
    <row r="479" spans="1:34" ht="129.6">
      <c r="A479" s="55" t="s">
        <v>70</v>
      </c>
      <c r="B479" s="55">
        <v>3</v>
      </c>
      <c r="C479" s="51" t="s">
        <v>141</v>
      </c>
      <c r="D479" s="49" t="s">
        <v>81</v>
      </c>
      <c r="E479" s="49" t="s">
        <v>80</v>
      </c>
      <c r="F479" s="49" t="s">
        <v>68</v>
      </c>
      <c r="G479" s="49" t="s">
        <v>36</v>
      </c>
      <c r="H479" s="49" t="s">
        <v>6</v>
      </c>
      <c r="I479" s="50"/>
      <c r="Q479" s="52"/>
      <c r="R479" s="320"/>
      <c r="S479" s="322"/>
      <c r="T479" s="312"/>
      <c r="U479" s="315"/>
      <c r="V479" s="322"/>
      <c r="W479" s="312"/>
      <c r="X479" s="315"/>
      <c r="Y479" s="315"/>
      <c r="Z479" s="315"/>
      <c r="AA479" s="318"/>
      <c r="AD479" s="58">
        <f>BIN2DEC($AA477)*3</f>
        <v>0</v>
      </c>
      <c r="AE479" s="58">
        <f>ABS(BIN2DEC($U477)*3-1)</f>
        <v>1</v>
      </c>
      <c r="AF479" s="58">
        <f>ABS( BIN2DEC(V477)*3-BIN2DEC(Z477))</f>
        <v>0</v>
      </c>
      <c r="AG479" s="58">
        <f>BIN2DEC(X477&amp;Y477)+BIN2DEC(W477)*3</f>
        <v>0</v>
      </c>
      <c r="AH479">
        <f t="shared" ref="AH479:AH481" si="165">AD479+AE479*4+AF479*16</f>
        <v>4</v>
      </c>
    </row>
    <row r="480" spans="1:34">
      <c r="A480" s="55" t="s">
        <v>71</v>
      </c>
      <c r="B480" s="55">
        <v>1</v>
      </c>
      <c r="C480" s="51" t="s">
        <v>141</v>
      </c>
      <c r="D480" s="49" t="s">
        <v>7</v>
      </c>
      <c r="E480" s="49" t="s">
        <v>73</v>
      </c>
      <c r="F480" s="49" t="s">
        <v>68</v>
      </c>
      <c r="G480" s="49" t="s">
        <v>36</v>
      </c>
      <c r="H480" s="49" t="s">
        <v>6</v>
      </c>
      <c r="I480" s="50"/>
      <c r="Q480" s="52"/>
      <c r="R480" s="320"/>
      <c r="S480" s="322"/>
      <c r="T480" s="312"/>
      <c r="U480" s="315"/>
      <c r="V480" s="322"/>
      <c r="W480" s="312"/>
      <c r="X480" s="315"/>
      <c r="Y480" s="315"/>
      <c r="Z480" s="315"/>
      <c r="AA480" s="318"/>
      <c r="AD480" s="58">
        <f>ABS(BIN2DEC($AA477)*3-2)</f>
        <v>2</v>
      </c>
      <c r="AE480" s="58">
        <f>ABS(BIN2DEC($U477)*3)</f>
        <v>0</v>
      </c>
      <c r="AF480" s="58">
        <f>ABS( BIN2DEC(V477)*3-BIN2DEC(Z477))</f>
        <v>0</v>
      </c>
      <c r="AG480" s="58">
        <f>BIN2DEC(X477&amp;Y477)+BIN2DEC(W477)*3</f>
        <v>0</v>
      </c>
      <c r="AH480">
        <f t="shared" si="165"/>
        <v>2</v>
      </c>
    </row>
    <row r="481" spans="1:34" ht="15" thickBot="1">
      <c r="A481" s="55" t="s">
        <v>72</v>
      </c>
      <c r="B481" s="55">
        <v>1</v>
      </c>
      <c r="C481" s="51" t="s">
        <v>141</v>
      </c>
      <c r="D481" s="49" t="s">
        <v>7</v>
      </c>
      <c r="E481" s="49" t="s">
        <v>74</v>
      </c>
      <c r="F481" s="49" t="s">
        <v>68</v>
      </c>
      <c r="G481" s="49" t="s">
        <v>36</v>
      </c>
      <c r="H481" s="49" t="s">
        <v>6</v>
      </c>
      <c r="I481" s="50"/>
      <c r="Q481" s="52"/>
      <c r="R481" s="320"/>
      <c r="S481" s="323"/>
      <c r="T481" s="313"/>
      <c r="U481" s="316"/>
      <c r="V481" s="323"/>
      <c r="W481" s="313"/>
      <c r="X481" s="316"/>
      <c r="Y481" s="316"/>
      <c r="Z481" s="316"/>
      <c r="AA481" s="319"/>
      <c r="AD481" s="58">
        <f>ABS(BIN2DEC($AA477)*3-2)</f>
        <v>2</v>
      </c>
      <c r="AE481" s="58">
        <f>ABS(BIN2DEC($U477)*3-1)</f>
        <v>1</v>
      </c>
      <c r="AF481" s="58">
        <f>ABS( BIN2DEC(V477)*3-BIN2DEC(Z477))</f>
        <v>0</v>
      </c>
      <c r="AG481" s="58">
        <f>BIN2DEC(X477&amp;Y477)+BIN2DEC(W477)*3</f>
        <v>0</v>
      </c>
      <c r="AH481">
        <f t="shared" si="165"/>
        <v>6</v>
      </c>
    </row>
    <row r="482" spans="1:34">
      <c r="AD482" s="59"/>
      <c r="AE482" s="59"/>
      <c r="AF482" s="59"/>
      <c r="AG482" s="59"/>
    </row>
    <row r="483" spans="1:34">
      <c r="AD483" s="59"/>
      <c r="AE483" s="59"/>
      <c r="AF483" s="59"/>
      <c r="AG483" s="59"/>
    </row>
    <row r="484" spans="1:34">
      <c r="AD484" s="59"/>
      <c r="AE484" s="59"/>
      <c r="AF484" s="59"/>
      <c r="AG484" s="59"/>
    </row>
    <row r="485" spans="1:34">
      <c r="AD485" s="59"/>
      <c r="AE485" s="59"/>
      <c r="AF485" s="59"/>
      <c r="AG485" s="59"/>
    </row>
    <row r="486" spans="1:34">
      <c r="AD486" s="59"/>
      <c r="AE486" s="59"/>
      <c r="AF486" s="59"/>
      <c r="AG486" s="59"/>
    </row>
    <row r="487" spans="1:34">
      <c r="AD487" s="59"/>
      <c r="AE487" s="59"/>
      <c r="AF487" s="59"/>
      <c r="AG487" s="59"/>
    </row>
    <row r="488" spans="1:34">
      <c r="AD488" s="59"/>
      <c r="AE488" s="59"/>
      <c r="AF488" s="59"/>
      <c r="AG488" s="59"/>
    </row>
    <row r="489" spans="1:34">
      <c r="AD489" s="59"/>
      <c r="AE489" s="59"/>
      <c r="AF489" s="59"/>
      <c r="AG489" s="59"/>
    </row>
    <row r="490" spans="1:34">
      <c r="AD490" s="59"/>
      <c r="AE490" s="59"/>
      <c r="AF490" s="59"/>
      <c r="AG490" s="59"/>
    </row>
    <row r="491" spans="1:34">
      <c r="AD491" s="59"/>
      <c r="AE491" s="59"/>
      <c r="AF491" s="59"/>
      <c r="AG491" s="59"/>
    </row>
    <row r="492" spans="1:34">
      <c r="AD492" s="59"/>
      <c r="AE492" s="59"/>
      <c r="AF492" s="59"/>
      <c r="AG492" s="59"/>
    </row>
    <row r="493" spans="1:34">
      <c r="AD493" s="59"/>
      <c r="AE493" s="59"/>
      <c r="AF493" s="59"/>
      <c r="AG493" s="59"/>
    </row>
    <row r="494" spans="1:34">
      <c r="AD494" s="59"/>
      <c r="AE494" s="59"/>
      <c r="AF494" s="59"/>
      <c r="AG494" s="59"/>
    </row>
    <row r="495" spans="1:34">
      <c r="AD495" s="59"/>
      <c r="AE495" s="59"/>
      <c r="AF495" s="59"/>
      <c r="AG495" s="59"/>
    </row>
    <row r="496" spans="1:34">
      <c r="AD496" s="59"/>
      <c r="AE496" s="59"/>
      <c r="AF496" s="59"/>
      <c r="AG496" s="59"/>
    </row>
    <row r="497" spans="30:33">
      <c r="AD497" s="59"/>
      <c r="AE497" s="59"/>
      <c r="AF497" s="59"/>
      <c r="AG497" s="59"/>
    </row>
    <row r="498" spans="30:33">
      <c r="AD498" s="59"/>
      <c r="AE498" s="59"/>
      <c r="AF498" s="59"/>
      <c r="AG498" s="59"/>
    </row>
    <row r="499" spans="30:33">
      <c r="AD499" s="59"/>
      <c r="AE499" s="59"/>
      <c r="AF499" s="59"/>
      <c r="AG499" s="59"/>
    </row>
    <row r="500" spans="30:33">
      <c r="AD500" s="59"/>
      <c r="AE500" s="59"/>
      <c r="AF500" s="59"/>
      <c r="AG500" s="59"/>
    </row>
    <row r="501" spans="30:33">
      <c r="AD501" s="59"/>
      <c r="AE501" s="59"/>
      <c r="AF501" s="59"/>
      <c r="AG501" s="59"/>
    </row>
    <row r="502" spans="30:33">
      <c r="AD502" s="59"/>
      <c r="AE502" s="59"/>
      <c r="AF502" s="59"/>
      <c r="AG502" s="59"/>
    </row>
    <row r="503" spans="30:33">
      <c r="AD503" s="59"/>
      <c r="AE503" s="59"/>
      <c r="AF503" s="59"/>
      <c r="AG503" s="59"/>
    </row>
    <row r="504" spans="30:33">
      <c r="AD504" s="59"/>
      <c r="AE504" s="59"/>
      <c r="AF504" s="59"/>
      <c r="AG504" s="59"/>
    </row>
    <row r="505" spans="30:33">
      <c r="AD505" s="59"/>
      <c r="AE505" s="59"/>
      <c r="AF505" s="59"/>
      <c r="AG505" s="59"/>
    </row>
    <row r="506" spans="30:33">
      <c r="AD506" s="59"/>
      <c r="AE506" s="59"/>
      <c r="AF506" s="59"/>
      <c r="AG506" s="59"/>
    </row>
    <row r="507" spans="30:33">
      <c r="AD507" s="59"/>
      <c r="AE507" s="59"/>
      <c r="AF507" s="59"/>
      <c r="AG507" s="59"/>
    </row>
    <row r="508" spans="30:33">
      <c r="AD508" s="59"/>
      <c r="AE508" s="59"/>
      <c r="AF508" s="59"/>
      <c r="AG508" s="59"/>
    </row>
    <row r="509" spans="30:33">
      <c r="AD509" s="59"/>
      <c r="AE509" s="59"/>
      <c r="AF509" s="59"/>
      <c r="AG509" s="59"/>
    </row>
    <row r="510" spans="30:33">
      <c r="AD510" s="59"/>
      <c r="AE510" s="59"/>
      <c r="AF510" s="59"/>
      <c r="AG510" s="59"/>
    </row>
    <row r="511" spans="30:33">
      <c r="AD511" s="59"/>
      <c r="AE511" s="59"/>
      <c r="AF511" s="59"/>
      <c r="AG511" s="59"/>
    </row>
    <row r="512" spans="30:33">
      <c r="AD512" s="59"/>
      <c r="AE512" s="59"/>
      <c r="AF512" s="59"/>
      <c r="AG512" s="59"/>
    </row>
    <row r="513" spans="30:33">
      <c r="AD513" s="59"/>
      <c r="AE513" s="59"/>
      <c r="AF513" s="59"/>
      <c r="AG513" s="59"/>
    </row>
    <row r="514" spans="30:33">
      <c r="AD514" s="59"/>
      <c r="AE514" s="59"/>
      <c r="AF514" s="59"/>
      <c r="AG514" s="59"/>
    </row>
    <row r="515" spans="30:33">
      <c r="AD515" s="59"/>
      <c r="AE515" s="59"/>
      <c r="AF515" s="59"/>
      <c r="AG515" s="59"/>
    </row>
    <row r="516" spans="30:33">
      <c r="AD516" s="59"/>
      <c r="AE516" s="59"/>
      <c r="AF516" s="59"/>
      <c r="AG516" s="59"/>
    </row>
    <row r="517" spans="30:33">
      <c r="AD517" s="59"/>
      <c r="AE517" s="59"/>
      <c r="AF517" s="59"/>
      <c r="AG517" s="59"/>
    </row>
    <row r="518" spans="30:33">
      <c r="AD518" s="59"/>
      <c r="AE518" s="59"/>
      <c r="AF518" s="59"/>
      <c r="AG518" s="59"/>
    </row>
    <row r="519" spans="30:33">
      <c r="AD519" s="59"/>
      <c r="AE519" s="59"/>
      <c r="AF519" s="59"/>
      <c r="AG519" s="59"/>
    </row>
    <row r="520" spans="30:33">
      <c r="AD520" s="59"/>
      <c r="AE520" s="59"/>
      <c r="AF520" s="59"/>
      <c r="AG520" s="59"/>
    </row>
    <row r="521" spans="30:33">
      <c r="AD521" s="59"/>
      <c r="AE521" s="59"/>
      <c r="AF521" s="59"/>
      <c r="AG521" s="59"/>
    </row>
  </sheetData>
  <mergeCells count="961">
    <mergeCell ref="A1:I1"/>
    <mergeCell ref="R2:R6"/>
    <mergeCell ref="S2:S6"/>
    <mergeCell ref="T2:T6"/>
    <mergeCell ref="U2:U6"/>
    <mergeCell ref="AA2:AA6"/>
    <mergeCell ref="R7:R11"/>
    <mergeCell ref="S7:S11"/>
    <mergeCell ref="T7:T11"/>
    <mergeCell ref="U7:U11"/>
    <mergeCell ref="V7:V11"/>
    <mergeCell ref="W7:W11"/>
    <mergeCell ref="X7:X11"/>
    <mergeCell ref="Y7:Y11"/>
    <mergeCell ref="Z7:Z11"/>
    <mergeCell ref="AA7:AA11"/>
    <mergeCell ref="V2:V6"/>
    <mergeCell ref="W2:W6"/>
    <mergeCell ref="X2:X6"/>
    <mergeCell ref="Y2:Y6"/>
    <mergeCell ref="Z2:Z6"/>
    <mergeCell ref="W12:W16"/>
    <mergeCell ref="X12:X16"/>
    <mergeCell ref="Y12:Y16"/>
    <mergeCell ref="Z12:Z16"/>
    <mergeCell ref="AA12:AA16"/>
    <mergeCell ref="R12:R16"/>
    <mergeCell ref="S12:S16"/>
    <mergeCell ref="T12:T16"/>
    <mergeCell ref="U12:U16"/>
    <mergeCell ref="V12:V16"/>
    <mergeCell ref="W17:W21"/>
    <mergeCell ref="X17:X21"/>
    <mergeCell ref="Y17:Y21"/>
    <mergeCell ref="Z17:Z21"/>
    <mergeCell ref="AA17:AA21"/>
    <mergeCell ref="R17:R21"/>
    <mergeCell ref="S17:S21"/>
    <mergeCell ref="T17:T21"/>
    <mergeCell ref="U17:U21"/>
    <mergeCell ref="V17:V21"/>
    <mergeCell ref="W22:W26"/>
    <mergeCell ref="X22:X26"/>
    <mergeCell ref="Y22:Y26"/>
    <mergeCell ref="Z22:Z26"/>
    <mergeCell ref="AA22:AA26"/>
    <mergeCell ref="R22:R26"/>
    <mergeCell ref="S22:S26"/>
    <mergeCell ref="T22:T26"/>
    <mergeCell ref="U22:U26"/>
    <mergeCell ref="V22:V26"/>
    <mergeCell ref="W27:W31"/>
    <mergeCell ref="X27:X31"/>
    <mergeCell ref="Y27:Y31"/>
    <mergeCell ref="Z27:Z31"/>
    <mergeCell ref="AA27:AA31"/>
    <mergeCell ref="R27:R31"/>
    <mergeCell ref="S27:S31"/>
    <mergeCell ref="T27:T31"/>
    <mergeCell ref="U27:U31"/>
    <mergeCell ref="V27:V31"/>
    <mergeCell ref="W32:W36"/>
    <mergeCell ref="X32:X36"/>
    <mergeCell ref="Y32:Y36"/>
    <mergeCell ref="Z32:Z36"/>
    <mergeCell ref="AA32:AA36"/>
    <mergeCell ref="R32:R36"/>
    <mergeCell ref="S32:S36"/>
    <mergeCell ref="T32:T36"/>
    <mergeCell ref="U32:U36"/>
    <mergeCell ref="V32:V36"/>
    <mergeCell ref="W37:W41"/>
    <mergeCell ref="X37:X41"/>
    <mergeCell ref="Y37:Y41"/>
    <mergeCell ref="Z37:Z41"/>
    <mergeCell ref="AA37:AA41"/>
    <mergeCell ref="R37:R41"/>
    <mergeCell ref="S37:S41"/>
    <mergeCell ref="T37:T41"/>
    <mergeCell ref="U37:U41"/>
    <mergeCell ref="V37:V41"/>
    <mergeCell ref="W42:W46"/>
    <mergeCell ref="X42:X46"/>
    <mergeCell ref="Y42:Y46"/>
    <mergeCell ref="Z42:Z46"/>
    <mergeCell ref="AA42:AA46"/>
    <mergeCell ref="R42:R46"/>
    <mergeCell ref="S42:S46"/>
    <mergeCell ref="T42:T46"/>
    <mergeCell ref="U42:U46"/>
    <mergeCell ref="V42:V46"/>
    <mergeCell ref="W47:W51"/>
    <mergeCell ref="X47:X51"/>
    <mergeCell ref="Y47:Y51"/>
    <mergeCell ref="Z47:Z51"/>
    <mergeCell ref="AA47:AA51"/>
    <mergeCell ref="R47:R51"/>
    <mergeCell ref="S47:S51"/>
    <mergeCell ref="T47:T51"/>
    <mergeCell ref="U47:U51"/>
    <mergeCell ref="V47:V51"/>
    <mergeCell ref="W52:W56"/>
    <mergeCell ref="X52:X56"/>
    <mergeCell ref="Y52:Y56"/>
    <mergeCell ref="Z52:Z56"/>
    <mergeCell ref="AA52:AA56"/>
    <mergeCell ref="R52:R56"/>
    <mergeCell ref="S52:S56"/>
    <mergeCell ref="T52:T56"/>
    <mergeCell ref="U52:U56"/>
    <mergeCell ref="V52:V56"/>
    <mergeCell ref="W57:W61"/>
    <mergeCell ref="X57:X61"/>
    <mergeCell ref="Y57:Y61"/>
    <mergeCell ref="Z57:Z61"/>
    <mergeCell ref="AA57:AA61"/>
    <mergeCell ref="R57:R61"/>
    <mergeCell ref="S57:S61"/>
    <mergeCell ref="T57:T61"/>
    <mergeCell ref="U57:U61"/>
    <mergeCell ref="V57:V61"/>
    <mergeCell ref="W62:W66"/>
    <mergeCell ref="X62:X66"/>
    <mergeCell ref="Y62:Y66"/>
    <mergeCell ref="Z62:Z66"/>
    <mergeCell ref="AA62:AA66"/>
    <mergeCell ref="R62:R66"/>
    <mergeCell ref="S62:S66"/>
    <mergeCell ref="T62:T66"/>
    <mergeCell ref="U62:U66"/>
    <mergeCell ref="V62:V66"/>
    <mergeCell ref="W67:W71"/>
    <mergeCell ref="X67:X71"/>
    <mergeCell ref="Y67:Y71"/>
    <mergeCell ref="Z67:Z71"/>
    <mergeCell ref="AA67:AA71"/>
    <mergeCell ref="R67:R71"/>
    <mergeCell ref="S67:S71"/>
    <mergeCell ref="T67:T71"/>
    <mergeCell ref="U67:U71"/>
    <mergeCell ref="V67:V71"/>
    <mergeCell ref="W72:W76"/>
    <mergeCell ref="X72:X76"/>
    <mergeCell ref="Y72:Y76"/>
    <mergeCell ref="Z72:Z76"/>
    <mergeCell ref="AA72:AA76"/>
    <mergeCell ref="R72:R76"/>
    <mergeCell ref="S72:S76"/>
    <mergeCell ref="T72:T76"/>
    <mergeCell ref="U72:U76"/>
    <mergeCell ref="V72:V76"/>
    <mergeCell ref="W77:W81"/>
    <mergeCell ref="X77:X81"/>
    <mergeCell ref="Y77:Y81"/>
    <mergeCell ref="Z77:Z81"/>
    <mergeCell ref="AA77:AA81"/>
    <mergeCell ref="R77:R81"/>
    <mergeCell ref="S77:S81"/>
    <mergeCell ref="T77:T81"/>
    <mergeCell ref="U77:U81"/>
    <mergeCell ref="V77:V81"/>
    <mergeCell ref="W82:W86"/>
    <mergeCell ref="X82:X86"/>
    <mergeCell ref="Y82:Y86"/>
    <mergeCell ref="Z82:Z86"/>
    <mergeCell ref="AA82:AA86"/>
    <mergeCell ref="R82:R86"/>
    <mergeCell ref="S82:S86"/>
    <mergeCell ref="T82:T86"/>
    <mergeCell ref="U82:U86"/>
    <mergeCell ref="V82:V86"/>
    <mergeCell ref="W87:W91"/>
    <mergeCell ref="X87:X91"/>
    <mergeCell ref="Y87:Y91"/>
    <mergeCell ref="Z87:Z91"/>
    <mergeCell ref="AA87:AA91"/>
    <mergeCell ref="R87:R91"/>
    <mergeCell ref="S87:S91"/>
    <mergeCell ref="T87:T91"/>
    <mergeCell ref="U87:U91"/>
    <mergeCell ref="V87:V91"/>
    <mergeCell ref="W92:W96"/>
    <mergeCell ref="X92:X96"/>
    <mergeCell ref="Y92:Y96"/>
    <mergeCell ref="Z92:Z96"/>
    <mergeCell ref="AA92:AA96"/>
    <mergeCell ref="R92:R96"/>
    <mergeCell ref="S92:S96"/>
    <mergeCell ref="T92:T96"/>
    <mergeCell ref="U92:U96"/>
    <mergeCell ref="V92:V96"/>
    <mergeCell ref="W97:W101"/>
    <mergeCell ref="X97:X101"/>
    <mergeCell ref="Y97:Y101"/>
    <mergeCell ref="Z97:Z101"/>
    <mergeCell ref="AA97:AA101"/>
    <mergeCell ref="R97:R101"/>
    <mergeCell ref="S97:S101"/>
    <mergeCell ref="T97:T101"/>
    <mergeCell ref="U97:U101"/>
    <mergeCell ref="V97:V101"/>
    <mergeCell ref="W102:W106"/>
    <mergeCell ref="X102:X106"/>
    <mergeCell ref="Y102:Y106"/>
    <mergeCell ref="Z102:Z106"/>
    <mergeCell ref="AA102:AA106"/>
    <mergeCell ref="R102:R106"/>
    <mergeCell ref="S102:S106"/>
    <mergeCell ref="T102:T106"/>
    <mergeCell ref="U102:U106"/>
    <mergeCell ref="V102:V106"/>
    <mergeCell ref="W107:W111"/>
    <mergeCell ref="X107:X111"/>
    <mergeCell ref="Y107:Y111"/>
    <mergeCell ref="Z107:Z111"/>
    <mergeCell ref="AA107:AA111"/>
    <mergeCell ref="R107:R111"/>
    <mergeCell ref="S107:S111"/>
    <mergeCell ref="T107:T111"/>
    <mergeCell ref="U107:U111"/>
    <mergeCell ref="V107:V111"/>
    <mergeCell ref="W112:W116"/>
    <mergeCell ref="X112:X116"/>
    <mergeCell ref="Y112:Y116"/>
    <mergeCell ref="Z112:Z116"/>
    <mergeCell ref="AA112:AA116"/>
    <mergeCell ref="R112:R116"/>
    <mergeCell ref="S112:S116"/>
    <mergeCell ref="T112:T116"/>
    <mergeCell ref="U112:U116"/>
    <mergeCell ref="V112:V116"/>
    <mergeCell ref="W117:W121"/>
    <mergeCell ref="X117:X121"/>
    <mergeCell ref="Y117:Y121"/>
    <mergeCell ref="Z117:Z121"/>
    <mergeCell ref="AA117:AA121"/>
    <mergeCell ref="R117:R121"/>
    <mergeCell ref="S117:S121"/>
    <mergeCell ref="T117:T121"/>
    <mergeCell ref="U117:U121"/>
    <mergeCell ref="V117:V121"/>
    <mergeCell ref="W122:W126"/>
    <mergeCell ref="X122:X126"/>
    <mergeCell ref="Y122:Y126"/>
    <mergeCell ref="Z122:Z126"/>
    <mergeCell ref="AA122:AA126"/>
    <mergeCell ref="R122:R126"/>
    <mergeCell ref="S122:S126"/>
    <mergeCell ref="T122:T126"/>
    <mergeCell ref="U122:U126"/>
    <mergeCell ref="V122:V126"/>
    <mergeCell ref="W127:W131"/>
    <mergeCell ref="X127:X131"/>
    <mergeCell ref="Y127:Y131"/>
    <mergeCell ref="Z127:Z131"/>
    <mergeCell ref="AA127:AA131"/>
    <mergeCell ref="R127:R131"/>
    <mergeCell ref="S127:S131"/>
    <mergeCell ref="T127:T131"/>
    <mergeCell ref="U127:U131"/>
    <mergeCell ref="V127:V131"/>
    <mergeCell ref="W132:W136"/>
    <mergeCell ref="X132:X136"/>
    <mergeCell ref="Y132:Y136"/>
    <mergeCell ref="Z132:Z136"/>
    <mergeCell ref="AA132:AA136"/>
    <mergeCell ref="R132:R136"/>
    <mergeCell ref="S132:S136"/>
    <mergeCell ref="T132:T136"/>
    <mergeCell ref="U132:U136"/>
    <mergeCell ref="V132:V136"/>
    <mergeCell ref="W137:W141"/>
    <mergeCell ref="X137:X141"/>
    <mergeCell ref="Y137:Y141"/>
    <mergeCell ref="Z137:Z141"/>
    <mergeCell ref="AA137:AA141"/>
    <mergeCell ref="R137:R141"/>
    <mergeCell ref="S137:S141"/>
    <mergeCell ref="T137:T141"/>
    <mergeCell ref="U137:U141"/>
    <mergeCell ref="V137:V141"/>
    <mergeCell ref="W142:W146"/>
    <mergeCell ref="X142:X146"/>
    <mergeCell ref="Y142:Y146"/>
    <mergeCell ref="Z142:Z146"/>
    <mergeCell ref="AA142:AA146"/>
    <mergeCell ref="R142:R146"/>
    <mergeCell ref="S142:S146"/>
    <mergeCell ref="T142:T146"/>
    <mergeCell ref="U142:U146"/>
    <mergeCell ref="V142:V146"/>
    <mergeCell ref="W147:W151"/>
    <mergeCell ref="X147:X151"/>
    <mergeCell ref="Y147:Y151"/>
    <mergeCell ref="Z147:Z151"/>
    <mergeCell ref="AA147:AA151"/>
    <mergeCell ref="R147:R151"/>
    <mergeCell ref="S147:S151"/>
    <mergeCell ref="T147:T151"/>
    <mergeCell ref="U147:U151"/>
    <mergeCell ref="V147:V151"/>
    <mergeCell ref="W152:W156"/>
    <mergeCell ref="X152:X156"/>
    <mergeCell ref="Y152:Y156"/>
    <mergeCell ref="Z152:Z156"/>
    <mergeCell ref="AA152:AA156"/>
    <mergeCell ref="R152:R156"/>
    <mergeCell ref="S152:S156"/>
    <mergeCell ref="T152:T156"/>
    <mergeCell ref="U152:U156"/>
    <mergeCell ref="V152:V156"/>
    <mergeCell ref="W157:W161"/>
    <mergeCell ref="X157:X161"/>
    <mergeCell ref="Y157:Y161"/>
    <mergeCell ref="Z157:Z161"/>
    <mergeCell ref="AA157:AA161"/>
    <mergeCell ref="R157:R161"/>
    <mergeCell ref="S157:S161"/>
    <mergeCell ref="T157:T161"/>
    <mergeCell ref="U157:U161"/>
    <mergeCell ref="V157:V161"/>
    <mergeCell ref="W162:W166"/>
    <mergeCell ref="X162:X166"/>
    <mergeCell ref="Y162:Y166"/>
    <mergeCell ref="Z162:Z166"/>
    <mergeCell ref="AA162:AA166"/>
    <mergeCell ref="R162:R166"/>
    <mergeCell ref="S162:S166"/>
    <mergeCell ref="T162:T166"/>
    <mergeCell ref="U162:U166"/>
    <mergeCell ref="V162:V166"/>
    <mergeCell ref="W167:W171"/>
    <mergeCell ref="X167:X171"/>
    <mergeCell ref="Y167:Y171"/>
    <mergeCell ref="Z167:Z171"/>
    <mergeCell ref="AA167:AA171"/>
    <mergeCell ref="R167:R171"/>
    <mergeCell ref="S167:S171"/>
    <mergeCell ref="T167:T171"/>
    <mergeCell ref="U167:U171"/>
    <mergeCell ref="V167:V171"/>
    <mergeCell ref="W172:W176"/>
    <mergeCell ref="X172:X176"/>
    <mergeCell ref="Y172:Y176"/>
    <mergeCell ref="Z172:Z176"/>
    <mergeCell ref="AA172:AA176"/>
    <mergeCell ref="R172:R176"/>
    <mergeCell ref="S172:S176"/>
    <mergeCell ref="T172:T176"/>
    <mergeCell ref="U172:U176"/>
    <mergeCell ref="V172:V176"/>
    <mergeCell ref="W177:W181"/>
    <mergeCell ref="X177:X181"/>
    <mergeCell ref="Y177:Y181"/>
    <mergeCell ref="Z177:Z181"/>
    <mergeCell ref="AA177:AA181"/>
    <mergeCell ref="R177:R181"/>
    <mergeCell ref="S177:S181"/>
    <mergeCell ref="T177:T181"/>
    <mergeCell ref="U177:U181"/>
    <mergeCell ref="V177:V181"/>
    <mergeCell ref="W182:W186"/>
    <mergeCell ref="X182:X186"/>
    <mergeCell ref="Y182:Y186"/>
    <mergeCell ref="Z182:Z186"/>
    <mergeCell ref="AA182:AA186"/>
    <mergeCell ref="R182:R186"/>
    <mergeCell ref="S182:S186"/>
    <mergeCell ref="T182:T186"/>
    <mergeCell ref="U182:U186"/>
    <mergeCell ref="V182:V186"/>
    <mergeCell ref="W187:W191"/>
    <mergeCell ref="X187:X191"/>
    <mergeCell ref="Y187:Y191"/>
    <mergeCell ref="Z187:Z191"/>
    <mergeCell ref="AA187:AA191"/>
    <mergeCell ref="R187:R191"/>
    <mergeCell ref="S187:S191"/>
    <mergeCell ref="T187:T191"/>
    <mergeCell ref="U187:U191"/>
    <mergeCell ref="V187:V191"/>
    <mergeCell ref="W192:W196"/>
    <mergeCell ref="X192:X196"/>
    <mergeCell ref="Y192:Y196"/>
    <mergeCell ref="Z192:Z196"/>
    <mergeCell ref="AA192:AA196"/>
    <mergeCell ref="R192:R196"/>
    <mergeCell ref="S192:S196"/>
    <mergeCell ref="T192:T196"/>
    <mergeCell ref="U192:U196"/>
    <mergeCell ref="V192:V196"/>
    <mergeCell ref="W197:W201"/>
    <mergeCell ref="X197:X201"/>
    <mergeCell ref="Y197:Y201"/>
    <mergeCell ref="Z197:Z201"/>
    <mergeCell ref="AA197:AA201"/>
    <mergeCell ref="R197:R201"/>
    <mergeCell ref="S197:S201"/>
    <mergeCell ref="T197:T201"/>
    <mergeCell ref="U197:U201"/>
    <mergeCell ref="V197:V201"/>
    <mergeCell ref="W202:W206"/>
    <mergeCell ref="X202:X206"/>
    <mergeCell ref="Y202:Y206"/>
    <mergeCell ref="Z202:Z206"/>
    <mergeCell ref="AA202:AA206"/>
    <mergeCell ref="R202:R206"/>
    <mergeCell ref="S202:S206"/>
    <mergeCell ref="T202:T206"/>
    <mergeCell ref="U202:U206"/>
    <mergeCell ref="V202:V206"/>
    <mergeCell ref="W207:W211"/>
    <mergeCell ref="X207:X211"/>
    <mergeCell ref="Y207:Y211"/>
    <mergeCell ref="Z207:Z211"/>
    <mergeCell ref="AA207:AA211"/>
    <mergeCell ref="R207:R211"/>
    <mergeCell ref="S207:S211"/>
    <mergeCell ref="T207:T211"/>
    <mergeCell ref="U207:U211"/>
    <mergeCell ref="V207:V211"/>
    <mergeCell ref="W212:W216"/>
    <mergeCell ref="X212:X216"/>
    <mergeCell ref="Y212:Y216"/>
    <mergeCell ref="Z212:Z216"/>
    <mergeCell ref="AA212:AA216"/>
    <mergeCell ref="R212:R216"/>
    <mergeCell ref="S212:S216"/>
    <mergeCell ref="T212:T216"/>
    <mergeCell ref="U212:U216"/>
    <mergeCell ref="V212:V216"/>
    <mergeCell ref="W217:W221"/>
    <mergeCell ref="X217:X221"/>
    <mergeCell ref="Y217:Y221"/>
    <mergeCell ref="Z217:Z221"/>
    <mergeCell ref="AA217:AA221"/>
    <mergeCell ref="R217:R221"/>
    <mergeCell ref="S217:S221"/>
    <mergeCell ref="T217:T221"/>
    <mergeCell ref="U217:U221"/>
    <mergeCell ref="V217:V221"/>
    <mergeCell ref="W222:W226"/>
    <mergeCell ref="X222:X226"/>
    <mergeCell ref="Y222:Y226"/>
    <mergeCell ref="Z222:Z226"/>
    <mergeCell ref="AA222:AA226"/>
    <mergeCell ref="R222:R226"/>
    <mergeCell ref="S222:S226"/>
    <mergeCell ref="T222:T226"/>
    <mergeCell ref="U222:U226"/>
    <mergeCell ref="V222:V226"/>
    <mergeCell ref="W227:W231"/>
    <mergeCell ref="X227:X231"/>
    <mergeCell ref="Y227:Y231"/>
    <mergeCell ref="Z227:Z231"/>
    <mergeCell ref="AA227:AA231"/>
    <mergeCell ref="R227:R231"/>
    <mergeCell ref="S227:S231"/>
    <mergeCell ref="T227:T231"/>
    <mergeCell ref="U227:U231"/>
    <mergeCell ref="V227:V231"/>
    <mergeCell ref="W232:W236"/>
    <mergeCell ref="X232:X236"/>
    <mergeCell ref="Y232:Y236"/>
    <mergeCell ref="Z232:Z236"/>
    <mergeCell ref="AA232:AA236"/>
    <mergeCell ref="R232:R236"/>
    <mergeCell ref="S232:S236"/>
    <mergeCell ref="T232:T236"/>
    <mergeCell ref="U232:U236"/>
    <mergeCell ref="V232:V236"/>
    <mergeCell ref="W237:W241"/>
    <mergeCell ref="X237:X241"/>
    <mergeCell ref="Y237:Y241"/>
    <mergeCell ref="Z237:Z241"/>
    <mergeCell ref="AA237:AA241"/>
    <mergeCell ref="R237:R241"/>
    <mergeCell ref="S237:S241"/>
    <mergeCell ref="T237:T241"/>
    <mergeCell ref="U237:U241"/>
    <mergeCell ref="V237:V241"/>
    <mergeCell ref="W242:W246"/>
    <mergeCell ref="X242:X246"/>
    <mergeCell ref="Y242:Y246"/>
    <mergeCell ref="Z242:Z246"/>
    <mergeCell ref="AA242:AA246"/>
    <mergeCell ref="R242:R246"/>
    <mergeCell ref="S242:S246"/>
    <mergeCell ref="T242:T246"/>
    <mergeCell ref="U242:U246"/>
    <mergeCell ref="V242:V246"/>
    <mergeCell ref="W247:W251"/>
    <mergeCell ref="X247:X251"/>
    <mergeCell ref="Y247:Y251"/>
    <mergeCell ref="Z247:Z251"/>
    <mergeCell ref="AA247:AA251"/>
    <mergeCell ref="R247:R251"/>
    <mergeCell ref="S247:S251"/>
    <mergeCell ref="T247:T251"/>
    <mergeCell ref="U247:U251"/>
    <mergeCell ref="V247:V251"/>
    <mergeCell ref="W252:W256"/>
    <mergeCell ref="X252:X256"/>
    <mergeCell ref="Y252:Y256"/>
    <mergeCell ref="Z252:Z256"/>
    <mergeCell ref="AA252:AA256"/>
    <mergeCell ref="R252:R256"/>
    <mergeCell ref="S252:S256"/>
    <mergeCell ref="T252:T256"/>
    <mergeCell ref="U252:U256"/>
    <mergeCell ref="V252:V256"/>
    <mergeCell ref="W257:W261"/>
    <mergeCell ref="X257:X261"/>
    <mergeCell ref="Y257:Y261"/>
    <mergeCell ref="Z257:Z261"/>
    <mergeCell ref="AA257:AA261"/>
    <mergeCell ref="R257:R261"/>
    <mergeCell ref="S257:S261"/>
    <mergeCell ref="T257:T261"/>
    <mergeCell ref="U257:U261"/>
    <mergeCell ref="V257:V261"/>
    <mergeCell ref="W262:W266"/>
    <mergeCell ref="X262:X266"/>
    <mergeCell ref="Y262:Y266"/>
    <mergeCell ref="Z262:Z266"/>
    <mergeCell ref="AA262:AA266"/>
    <mergeCell ref="R262:R266"/>
    <mergeCell ref="S262:S266"/>
    <mergeCell ref="T262:T266"/>
    <mergeCell ref="U262:U266"/>
    <mergeCell ref="V262:V266"/>
    <mergeCell ref="W267:W271"/>
    <mergeCell ref="X267:X271"/>
    <mergeCell ref="Y267:Y271"/>
    <mergeCell ref="Z267:Z271"/>
    <mergeCell ref="AA267:AA271"/>
    <mergeCell ref="R267:R271"/>
    <mergeCell ref="S267:S271"/>
    <mergeCell ref="T267:T271"/>
    <mergeCell ref="U267:U271"/>
    <mergeCell ref="V267:V271"/>
    <mergeCell ref="W272:W276"/>
    <mergeCell ref="X272:X276"/>
    <mergeCell ref="Y272:Y276"/>
    <mergeCell ref="Z272:Z276"/>
    <mergeCell ref="AA272:AA276"/>
    <mergeCell ref="R272:R276"/>
    <mergeCell ref="S272:S276"/>
    <mergeCell ref="T272:T276"/>
    <mergeCell ref="U272:U276"/>
    <mergeCell ref="V272:V276"/>
    <mergeCell ref="W277:W281"/>
    <mergeCell ref="X277:X281"/>
    <mergeCell ref="Y277:Y281"/>
    <mergeCell ref="Z277:Z281"/>
    <mergeCell ref="AA277:AA281"/>
    <mergeCell ref="R277:R281"/>
    <mergeCell ref="S277:S281"/>
    <mergeCell ref="T277:T281"/>
    <mergeCell ref="U277:U281"/>
    <mergeCell ref="V277:V281"/>
    <mergeCell ref="W282:W286"/>
    <mergeCell ref="X282:X286"/>
    <mergeCell ref="Y282:Y286"/>
    <mergeCell ref="Z282:Z286"/>
    <mergeCell ref="AA282:AA286"/>
    <mergeCell ref="R282:R286"/>
    <mergeCell ref="S282:S286"/>
    <mergeCell ref="T282:T286"/>
    <mergeCell ref="U282:U286"/>
    <mergeCell ref="V282:V286"/>
    <mergeCell ref="W287:W291"/>
    <mergeCell ref="X287:X291"/>
    <mergeCell ref="Y287:Y291"/>
    <mergeCell ref="Z287:Z291"/>
    <mergeCell ref="AA287:AA291"/>
    <mergeCell ref="R287:R291"/>
    <mergeCell ref="S287:S291"/>
    <mergeCell ref="T287:T291"/>
    <mergeCell ref="U287:U291"/>
    <mergeCell ref="V287:V291"/>
    <mergeCell ref="W292:W296"/>
    <mergeCell ref="X292:X296"/>
    <mergeCell ref="Y292:Y296"/>
    <mergeCell ref="Z292:Z296"/>
    <mergeCell ref="AA292:AA296"/>
    <mergeCell ref="R292:R296"/>
    <mergeCell ref="S292:S296"/>
    <mergeCell ref="T292:T296"/>
    <mergeCell ref="U292:U296"/>
    <mergeCell ref="V292:V296"/>
    <mergeCell ref="W297:W301"/>
    <mergeCell ref="X297:X301"/>
    <mergeCell ref="Y297:Y301"/>
    <mergeCell ref="Z297:Z301"/>
    <mergeCell ref="AA297:AA301"/>
    <mergeCell ref="R297:R301"/>
    <mergeCell ref="S297:S301"/>
    <mergeCell ref="T297:T301"/>
    <mergeCell ref="U297:U301"/>
    <mergeCell ref="V297:V301"/>
    <mergeCell ref="W302:W306"/>
    <mergeCell ref="X302:X306"/>
    <mergeCell ref="Y302:Y306"/>
    <mergeCell ref="Z302:Z306"/>
    <mergeCell ref="AA302:AA306"/>
    <mergeCell ref="R302:R306"/>
    <mergeCell ref="S302:S306"/>
    <mergeCell ref="T302:T306"/>
    <mergeCell ref="U302:U306"/>
    <mergeCell ref="V302:V306"/>
    <mergeCell ref="W307:W311"/>
    <mergeCell ref="X307:X311"/>
    <mergeCell ref="Y307:Y311"/>
    <mergeCell ref="Z307:Z311"/>
    <mergeCell ref="AA307:AA311"/>
    <mergeCell ref="R307:R311"/>
    <mergeCell ref="S307:S311"/>
    <mergeCell ref="T307:T311"/>
    <mergeCell ref="U307:U311"/>
    <mergeCell ref="V307:V311"/>
    <mergeCell ref="W312:W316"/>
    <mergeCell ref="X312:X316"/>
    <mergeCell ref="Y312:Y316"/>
    <mergeCell ref="Z312:Z316"/>
    <mergeCell ref="AA312:AA316"/>
    <mergeCell ref="R312:R316"/>
    <mergeCell ref="S312:S316"/>
    <mergeCell ref="T312:T316"/>
    <mergeCell ref="U312:U316"/>
    <mergeCell ref="V312:V316"/>
    <mergeCell ref="W317:W321"/>
    <mergeCell ref="X317:X321"/>
    <mergeCell ref="Y317:Y321"/>
    <mergeCell ref="Z317:Z321"/>
    <mergeCell ref="AA317:AA321"/>
    <mergeCell ref="R317:R321"/>
    <mergeCell ref="S317:S321"/>
    <mergeCell ref="T317:T321"/>
    <mergeCell ref="U317:U321"/>
    <mergeCell ref="V317:V321"/>
    <mergeCell ref="W322:W326"/>
    <mergeCell ref="X322:X326"/>
    <mergeCell ref="Y322:Y326"/>
    <mergeCell ref="Z322:Z326"/>
    <mergeCell ref="AA322:AA326"/>
    <mergeCell ref="R322:R326"/>
    <mergeCell ref="S322:S326"/>
    <mergeCell ref="T322:T326"/>
    <mergeCell ref="U322:U326"/>
    <mergeCell ref="V322:V326"/>
    <mergeCell ref="W327:W331"/>
    <mergeCell ref="X327:X331"/>
    <mergeCell ref="Y327:Y331"/>
    <mergeCell ref="Z327:Z331"/>
    <mergeCell ref="AA327:AA331"/>
    <mergeCell ref="R327:R331"/>
    <mergeCell ref="S327:S331"/>
    <mergeCell ref="T327:T331"/>
    <mergeCell ref="U327:U331"/>
    <mergeCell ref="V327:V331"/>
    <mergeCell ref="W332:W336"/>
    <mergeCell ref="X332:X336"/>
    <mergeCell ref="Y332:Y336"/>
    <mergeCell ref="Z332:Z336"/>
    <mergeCell ref="AA332:AA336"/>
    <mergeCell ref="R332:R336"/>
    <mergeCell ref="S332:S336"/>
    <mergeCell ref="T332:T336"/>
    <mergeCell ref="U332:U336"/>
    <mergeCell ref="V332:V336"/>
    <mergeCell ref="W337:W341"/>
    <mergeCell ref="X337:X341"/>
    <mergeCell ref="Y337:Y341"/>
    <mergeCell ref="Z337:Z341"/>
    <mergeCell ref="AA337:AA341"/>
    <mergeCell ref="R337:R341"/>
    <mergeCell ref="S337:S341"/>
    <mergeCell ref="T337:T341"/>
    <mergeCell ref="U337:U341"/>
    <mergeCell ref="V337:V341"/>
    <mergeCell ref="W342:W346"/>
    <mergeCell ref="X342:X346"/>
    <mergeCell ref="Y342:Y346"/>
    <mergeCell ref="Z342:Z346"/>
    <mergeCell ref="AA342:AA346"/>
    <mergeCell ref="R342:R346"/>
    <mergeCell ref="S342:S346"/>
    <mergeCell ref="T342:T346"/>
    <mergeCell ref="U342:U346"/>
    <mergeCell ref="V342:V346"/>
    <mergeCell ref="W347:W351"/>
    <mergeCell ref="X347:X351"/>
    <mergeCell ref="Y347:Y351"/>
    <mergeCell ref="Z347:Z351"/>
    <mergeCell ref="AA347:AA351"/>
    <mergeCell ref="R347:R351"/>
    <mergeCell ref="S347:S351"/>
    <mergeCell ref="T347:T351"/>
    <mergeCell ref="U347:U351"/>
    <mergeCell ref="V347:V351"/>
    <mergeCell ref="W352:W356"/>
    <mergeCell ref="X352:X356"/>
    <mergeCell ref="Y352:Y356"/>
    <mergeCell ref="Z352:Z356"/>
    <mergeCell ref="AA352:AA356"/>
    <mergeCell ref="R352:R356"/>
    <mergeCell ref="S352:S356"/>
    <mergeCell ref="T352:T356"/>
    <mergeCell ref="U352:U356"/>
    <mergeCell ref="V352:V356"/>
    <mergeCell ref="W357:W361"/>
    <mergeCell ref="X357:X361"/>
    <mergeCell ref="Y357:Y361"/>
    <mergeCell ref="Z357:Z361"/>
    <mergeCell ref="AA357:AA361"/>
    <mergeCell ref="R357:R361"/>
    <mergeCell ref="S357:S361"/>
    <mergeCell ref="T357:T361"/>
    <mergeCell ref="U357:U361"/>
    <mergeCell ref="V357:V361"/>
    <mergeCell ref="W362:W366"/>
    <mergeCell ref="X362:X366"/>
    <mergeCell ref="Y362:Y366"/>
    <mergeCell ref="Z362:Z366"/>
    <mergeCell ref="AA362:AA366"/>
    <mergeCell ref="R362:R366"/>
    <mergeCell ref="S362:S366"/>
    <mergeCell ref="T362:T366"/>
    <mergeCell ref="U362:U366"/>
    <mergeCell ref="V362:V366"/>
    <mergeCell ref="W367:W371"/>
    <mergeCell ref="X367:X371"/>
    <mergeCell ref="Y367:Y371"/>
    <mergeCell ref="Z367:Z371"/>
    <mergeCell ref="AA367:AA371"/>
    <mergeCell ref="R367:R371"/>
    <mergeCell ref="S367:S371"/>
    <mergeCell ref="T367:T371"/>
    <mergeCell ref="U367:U371"/>
    <mergeCell ref="V367:V371"/>
    <mergeCell ref="W372:W376"/>
    <mergeCell ref="X372:X376"/>
    <mergeCell ref="Y372:Y376"/>
    <mergeCell ref="Z372:Z376"/>
    <mergeCell ref="AA372:AA376"/>
    <mergeCell ref="R372:R376"/>
    <mergeCell ref="S372:S376"/>
    <mergeCell ref="T372:T376"/>
    <mergeCell ref="U372:U376"/>
    <mergeCell ref="V372:V376"/>
    <mergeCell ref="W377:W381"/>
    <mergeCell ref="X377:X381"/>
    <mergeCell ref="Y377:Y381"/>
    <mergeCell ref="Z377:Z381"/>
    <mergeCell ref="AA377:AA381"/>
    <mergeCell ref="R377:R381"/>
    <mergeCell ref="S377:S381"/>
    <mergeCell ref="T377:T381"/>
    <mergeCell ref="U377:U381"/>
    <mergeCell ref="V377:V381"/>
    <mergeCell ref="W382:W386"/>
    <mergeCell ref="X382:X386"/>
    <mergeCell ref="Y382:Y386"/>
    <mergeCell ref="Z382:Z386"/>
    <mergeCell ref="AA382:AA386"/>
    <mergeCell ref="R382:R386"/>
    <mergeCell ref="S382:S386"/>
    <mergeCell ref="T382:T386"/>
    <mergeCell ref="U382:U386"/>
    <mergeCell ref="V382:V386"/>
    <mergeCell ref="W387:W391"/>
    <mergeCell ref="X387:X391"/>
    <mergeCell ref="Y387:Y391"/>
    <mergeCell ref="Z387:Z391"/>
    <mergeCell ref="AA387:AA391"/>
    <mergeCell ref="R387:R391"/>
    <mergeCell ref="S387:S391"/>
    <mergeCell ref="T387:T391"/>
    <mergeCell ref="U387:U391"/>
    <mergeCell ref="V387:V391"/>
    <mergeCell ref="W392:W396"/>
    <mergeCell ref="X392:X396"/>
    <mergeCell ref="Y392:Y396"/>
    <mergeCell ref="Z392:Z396"/>
    <mergeCell ref="AA392:AA396"/>
    <mergeCell ref="R392:R396"/>
    <mergeCell ref="S392:S396"/>
    <mergeCell ref="T392:T396"/>
    <mergeCell ref="U392:U396"/>
    <mergeCell ref="V392:V396"/>
    <mergeCell ref="W397:W401"/>
    <mergeCell ref="X397:X401"/>
    <mergeCell ref="Y397:Y401"/>
    <mergeCell ref="Z397:Z401"/>
    <mergeCell ref="AA397:AA401"/>
    <mergeCell ref="R397:R401"/>
    <mergeCell ref="S397:S401"/>
    <mergeCell ref="T397:T401"/>
    <mergeCell ref="U397:U401"/>
    <mergeCell ref="V397:V401"/>
    <mergeCell ref="W402:W406"/>
    <mergeCell ref="X402:X406"/>
    <mergeCell ref="Y402:Y406"/>
    <mergeCell ref="Z402:Z406"/>
    <mergeCell ref="AA402:AA406"/>
    <mergeCell ref="R402:R406"/>
    <mergeCell ref="S402:S406"/>
    <mergeCell ref="T402:T406"/>
    <mergeCell ref="U402:U406"/>
    <mergeCell ref="V402:V406"/>
    <mergeCell ref="W407:W411"/>
    <mergeCell ref="X407:X411"/>
    <mergeCell ref="Y407:Y411"/>
    <mergeCell ref="Z407:Z411"/>
    <mergeCell ref="AA407:AA411"/>
    <mergeCell ref="R407:R411"/>
    <mergeCell ref="S407:S411"/>
    <mergeCell ref="T407:T411"/>
    <mergeCell ref="U407:U411"/>
    <mergeCell ref="V407:V411"/>
    <mergeCell ref="W412:W416"/>
    <mergeCell ref="X412:X416"/>
    <mergeCell ref="Y412:Y416"/>
    <mergeCell ref="Z412:Z416"/>
    <mergeCell ref="AA412:AA416"/>
    <mergeCell ref="R412:R416"/>
    <mergeCell ref="S412:S416"/>
    <mergeCell ref="T412:T416"/>
    <mergeCell ref="U412:U416"/>
    <mergeCell ref="V412:V416"/>
    <mergeCell ref="W417:W421"/>
    <mergeCell ref="X417:X421"/>
    <mergeCell ref="Y417:Y421"/>
    <mergeCell ref="Z417:Z421"/>
    <mergeCell ref="AA417:AA421"/>
    <mergeCell ref="R417:R421"/>
    <mergeCell ref="S417:S421"/>
    <mergeCell ref="T417:T421"/>
    <mergeCell ref="U417:U421"/>
    <mergeCell ref="V417:V421"/>
    <mergeCell ref="W422:W426"/>
    <mergeCell ref="X422:X426"/>
    <mergeCell ref="Y422:Y426"/>
    <mergeCell ref="Z422:Z426"/>
    <mergeCell ref="AA422:AA426"/>
    <mergeCell ref="R422:R426"/>
    <mergeCell ref="S422:S426"/>
    <mergeCell ref="T422:T426"/>
    <mergeCell ref="U422:U426"/>
    <mergeCell ref="V422:V426"/>
    <mergeCell ref="W427:W431"/>
    <mergeCell ref="X427:X431"/>
    <mergeCell ref="Y427:Y431"/>
    <mergeCell ref="Z427:Z431"/>
    <mergeCell ref="AA427:AA431"/>
    <mergeCell ref="R427:R431"/>
    <mergeCell ref="S427:S431"/>
    <mergeCell ref="T427:T431"/>
    <mergeCell ref="U427:U431"/>
    <mergeCell ref="V427:V431"/>
    <mergeCell ref="W432:W436"/>
    <mergeCell ref="X432:X436"/>
    <mergeCell ref="Y432:Y436"/>
    <mergeCell ref="Z432:Z436"/>
    <mergeCell ref="AA432:AA436"/>
    <mergeCell ref="R432:R436"/>
    <mergeCell ref="S432:S436"/>
    <mergeCell ref="T432:T436"/>
    <mergeCell ref="U432:U436"/>
    <mergeCell ref="V432:V436"/>
    <mergeCell ref="W437:W441"/>
    <mergeCell ref="X437:X441"/>
    <mergeCell ref="Y437:Y441"/>
    <mergeCell ref="Z437:Z441"/>
    <mergeCell ref="AA437:AA441"/>
    <mergeCell ref="R437:R441"/>
    <mergeCell ref="S437:S441"/>
    <mergeCell ref="T437:T441"/>
    <mergeCell ref="U437:U441"/>
    <mergeCell ref="V437:V441"/>
    <mergeCell ref="W442:W446"/>
    <mergeCell ref="X442:X446"/>
    <mergeCell ref="Y442:Y446"/>
    <mergeCell ref="Z442:Z446"/>
    <mergeCell ref="AA442:AA446"/>
    <mergeCell ref="R442:R446"/>
    <mergeCell ref="S442:S446"/>
    <mergeCell ref="T442:T446"/>
    <mergeCell ref="U442:U446"/>
    <mergeCell ref="V442:V446"/>
    <mergeCell ref="W447:W451"/>
    <mergeCell ref="X447:X451"/>
    <mergeCell ref="Y447:Y451"/>
    <mergeCell ref="Z447:Z451"/>
    <mergeCell ref="AA447:AA451"/>
    <mergeCell ref="R447:R451"/>
    <mergeCell ref="S447:S451"/>
    <mergeCell ref="T447:T451"/>
    <mergeCell ref="U447:U451"/>
    <mergeCell ref="V447:V451"/>
    <mergeCell ref="W452:W456"/>
    <mergeCell ref="X452:X456"/>
    <mergeCell ref="Y452:Y456"/>
    <mergeCell ref="Z452:Z456"/>
    <mergeCell ref="AA452:AA456"/>
    <mergeCell ref="R452:R456"/>
    <mergeCell ref="S452:S456"/>
    <mergeCell ref="T452:T456"/>
    <mergeCell ref="U452:U456"/>
    <mergeCell ref="V452:V456"/>
    <mergeCell ref="W457:W461"/>
    <mergeCell ref="X457:X461"/>
    <mergeCell ref="Y457:Y461"/>
    <mergeCell ref="Z457:Z461"/>
    <mergeCell ref="AA457:AA461"/>
    <mergeCell ref="R457:R461"/>
    <mergeCell ref="S457:S461"/>
    <mergeCell ref="T457:T461"/>
    <mergeCell ref="U457:U461"/>
    <mergeCell ref="V457:V461"/>
    <mergeCell ref="W462:W466"/>
    <mergeCell ref="X462:X466"/>
    <mergeCell ref="Y462:Y466"/>
    <mergeCell ref="Z462:Z466"/>
    <mergeCell ref="AA462:AA466"/>
    <mergeCell ref="R462:R466"/>
    <mergeCell ref="S462:S466"/>
    <mergeCell ref="T462:T466"/>
    <mergeCell ref="U462:U466"/>
    <mergeCell ref="V462:V466"/>
    <mergeCell ref="W467:W471"/>
    <mergeCell ref="X467:X471"/>
    <mergeCell ref="Y467:Y471"/>
    <mergeCell ref="Z467:Z471"/>
    <mergeCell ref="AA467:AA471"/>
    <mergeCell ref="R467:R471"/>
    <mergeCell ref="S467:S471"/>
    <mergeCell ref="T467:T471"/>
    <mergeCell ref="U467:U471"/>
    <mergeCell ref="V467:V471"/>
    <mergeCell ref="W472:W476"/>
    <mergeCell ref="X472:X476"/>
    <mergeCell ref="Y472:Y476"/>
    <mergeCell ref="Z472:Z476"/>
    <mergeCell ref="AA472:AA476"/>
    <mergeCell ref="R472:R476"/>
    <mergeCell ref="S472:S476"/>
    <mergeCell ref="T472:T476"/>
    <mergeCell ref="U472:U476"/>
    <mergeCell ref="V472:V476"/>
    <mergeCell ref="W477:W481"/>
    <mergeCell ref="X477:X481"/>
    <mergeCell ref="Y477:Y481"/>
    <mergeCell ref="Z477:Z481"/>
    <mergeCell ref="AA477:AA481"/>
    <mergeCell ref="R477:R481"/>
    <mergeCell ref="S477:S481"/>
    <mergeCell ref="T477:T481"/>
    <mergeCell ref="U477:U481"/>
    <mergeCell ref="V477:V481"/>
  </mergeCells>
  <dataValidations disablePrompts="1" count="4">
    <dataValidation type="list" allowBlank="1" sqref="G1:G481" xr:uid="{00000000-0002-0000-0100-000000000000}">
      <formula1>"Default, Soft Strap, Hard Strap, Fuse"</formula1>
    </dataValidation>
    <dataValidation allowBlank="1" showInputMessage="1" sqref="D1" xr:uid="{00000000-0002-0000-0100-000001000000}"/>
    <dataValidation type="list" allowBlank="1" showInputMessage="1" showErrorMessage="1" sqref="H2:H481" xr:uid="{00000000-0002-0000-0100-000002000000}">
      <formula1>BOOLEAN</formula1>
    </dataValidation>
    <dataValidation type="list" allowBlank="1" showInputMessage="1" showErrorMessage="1" sqref="F2:F481" xr:uid="{00000000-0002-0000-0100-000003000000}">
      <formula1>"WR,RO"</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9:H15"/>
  <sheetViews>
    <sheetView workbookViewId="0">
      <selection activeCell="A10" sqref="A10"/>
    </sheetView>
  </sheetViews>
  <sheetFormatPr defaultRowHeight="14.4"/>
  <cols>
    <col min="1" max="1" width="13.44140625" customWidth="1"/>
  </cols>
  <sheetData>
    <row r="9" spans="1:8">
      <c r="D9" t="s">
        <v>17</v>
      </c>
    </row>
    <row r="10" spans="1:8">
      <c r="A10" t="s">
        <v>5</v>
      </c>
      <c r="C10" t="s">
        <v>15</v>
      </c>
      <c r="D10" t="s">
        <v>18</v>
      </c>
      <c r="F10" t="s">
        <v>11</v>
      </c>
      <c r="H10" t="s">
        <v>8</v>
      </c>
    </row>
    <row r="11" spans="1:8">
      <c r="A11" t="s">
        <v>20</v>
      </c>
      <c r="C11" t="s">
        <v>16</v>
      </c>
      <c r="D11" t="s">
        <v>19</v>
      </c>
      <c r="F11" t="s">
        <v>12</v>
      </c>
      <c r="H11" t="s">
        <v>6</v>
      </c>
    </row>
    <row r="12" spans="1:8">
      <c r="A12" t="s">
        <v>9</v>
      </c>
      <c r="C12" t="s">
        <v>13</v>
      </c>
    </row>
    <row r="13" spans="1:8">
      <c r="A13" t="s">
        <v>10</v>
      </c>
    </row>
    <row r="14" spans="1:8">
      <c r="A14" t="s">
        <v>14</v>
      </c>
    </row>
    <row r="15" spans="1:8">
      <c r="A15" t="s">
        <v>22</v>
      </c>
    </row>
  </sheetData>
  <customSheetViews>
    <customSheetView guid="{2BBBE5B5-B14C-4BF7-9B95-9EEB3666FF3B}" state="hidden">
      <selection activeCell="D22" sqref="D22"/>
      <pageMargins left="0.7" right="0.7" top="0.75" bottom="0.75" header="0.51180555555555551" footer="0.51180555555555551"/>
      <pageSetup firstPageNumber="0" orientation="portrait" horizontalDpi="300" verticalDpi="300"/>
      <headerFooter alignWithMargins="0"/>
    </customSheetView>
  </customSheetViews>
  <pageMargins left="0.7" right="0.7" top="0.75" bottom="0.75" header="0.51180555555555551" footer="0.51180555555555551"/>
  <pageSetup firstPageNumber="0" orientation="portrait" horizontalDpi="300" verticalDpi="30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H26"/>
  <sheetViews>
    <sheetView workbookViewId="0">
      <selection activeCell="A40" sqref="A40"/>
    </sheetView>
  </sheetViews>
  <sheetFormatPr defaultRowHeight="14.4"/>
  <cols>
    <col min="1" max="1" width="9.5546875" bestFit="1" customWidth="1"/>
    <col min="2" max="2" width="14" bestFit="1" customWidth="1"/>
  </cols>
  <sheetData>
    <row r="1" spans="1:8" ht="15" thickBot="1">
      <c r="A1" s="9" t="s">
        <v>27</v>
      </c>
      <c r="B1" s="11" t="s">
        <v>28</v>
      </c>
      <c r="C1" s="10"/>
      <c r="D1" s="11"/>
      <c r="E1" s="10"/>
      <c r="F1" s="11"/>
      <c r="G1" s="10"/>
      <c r="H1" s="11"/>
    </row>
    <row r="2" spans="1:8">
      <c r="A2" s="6" t="s">
        <v>25</v>
      </c>
      <c r="B2" s="4" t="s">
        <v>30</v>
      </c>
      <c r="C2" s="3"/>
      <c r="D2" s="4"/>
      <c r="E2" s="3"/>
      <c r="F2" s="4"/>
      <c r="G2" s="3"/>
      <c r="H2" s="4"/>
    </row>
    <row r="3" spans="1:8">
      <c r="A3" s="6" t="s">
        <v>26</v>
      </c>
      <c r="B3" s="4" t="s">
        <v>29</v>
      </c>
      <c r="C3" s="3"/>
      <c r="D3" s="4"/>
      <c r="E3" s="3"/>
      <c r="F3" s="4"/>
      <c r="G3" s="3"/>
      <c r="H3" s="4"/>
    </row>
    <row r="4" spans="1:8">
      <c r="A4" s="6"/>
      <c r="B4" s="4" t="s">
        <v>31</v>
      </c>
      <c r="C4" s="3"/>
      <c r="D4" s="4"/>
      <c r="E4" s="3"/>
      <c r="F4" s="4"/>
      <c r="G4" s="3"/>
      <c r="H4" s="4"/>
    </row>
    <row r="5" spans="1:8">
      <c r="A5" s="6"/>
      <c r="B5" s="4" t="s">
        <v>32</v>
      </c>
      <c r="C5" s="3"/>
      <c r="D5" s="4"/>
      <c r="E5" s="3"/>
      <c r="F5" s="4"/>
      <c r="G5" s="3"/>
      <c r="H5" s="4"/>
    </row>
    <row r="6" spans="1:8">
      <c r="A6" s="6"/>
      <c r="B6" s="4"/>
      <c r="C6" s="3"/>
      <c r="D6" s="4"/>
      <c r="E6" s="3"/>
      <c r="F6" s="4"/>
      <c r="G6" s="3"/>
      <c r="H6" s="4"/>
    </row>
    <row r="7" spans="1:8">
      <c r="A7" s="6"/>
      <c r="B7" s="4"/>
      <c r="C7" s="3"/>
      <c r="D7" s="4"/>
      <c r="E7" s="3"/>
      <c r="F7" s="4"/>
      <c r="G7" s="3"/>
      <c r="H7" s="4"/>
    </row>
    <row r="8" spans="1:8">
      <c r="A8" s="6"/>
      <c r="B8" s="4"/>
      <c r="C8" s="3"/>
      <c r="D8" s="4"/>
      <c r="E8" s="3"/>
      <c r="F8" s="4"/>
      <c r="G8" s="3"/>
      <c r="H8" s="4"/>
    </row>
    <row r="9" spans="1:8">
      <c r="A9" s="6"/>
      <c r="B9" s="4"/>
      <c r="C9" s="3"/>
      <c r="D9" s="4"/>
      <c r="E9" s="3"/>
      <c r="F9" s="4"/>
      <c r="G9" s="3"/>
      <c r="H9" s="4"/>
    </row>
    <row r="10" spans="1:8">
      <c r="A10" s="6"/>
      <c r="B10" s="4"/>
      <c r="C10" s="3"/>
      <c r="D10" s="4"/>
      <c r="E10" s="3"/>
      <c r="F10" s="4"/>
      <c r="G10" s="3"/>
      <c r="H10" s="4"/>
    </row>
    <row r="11" spans="1:8">
      <c r="A11" s="6"/>
      <c r="B11" s="4"/>
      <c r="C11" s="3"/>
      <c r="D11" s="4"/>
      <c r="E11" s="3"/>
      <c r="F11" s="4"/>
      <c r="G11" s="3"/>
      <c r="H11" s="4"/>
    </row>
    <row r="12" spans="1:8">
      <c r="A12" s="6"/>
      <c r="B12" s="4"/>
      <c r="C12" s="3"/>
      <c r="D12" s="4"/>
      <c r="E12" s="3"/>
      <c r="F12" s="4"/>
      <c r="G12" s="3"/>
      <c r="H12" s="4"/>
    </row>
    <row r="13" spans="1:8">
      <c r="A13" s="6"/>
      <c r="B13" s="4"/>
      <c r="C13" s="3"/>
      <c r="D13" s="4"/>
      <c r="E13" s="3"/>
      <c r="F13" s="4"/>
      <c r="G13" s="3"/>
      <c r="H13" s="4"/>
    </row>
    <row r="14" spans="1:8">
      <c r="A14" s="6"/>
      <c r="B14" s="4"/>
      <c r="C14" s="3"/>
      <c r="D14" s="4"/>
      <c r="E14" s="3"/>
      <c r="F14" s="4"/>
      <c r="G14" s="3"/>
      <c r="H14" s="4"/>
    </row>
    <row r="15" spans="1:8">
      <c r="A15" s="6"/>
      <c r="B15" s="4"/>
      <c r="C15" s="3"/>
      <c r="D15" s="4"/>
      <c r="E15" s="3"/>
      <c r="F15" s="4"/>
      <c r="G15" s="3"/>
      <c r="H15" s="4"/>
    </row>
    <row r="16" spans="1:8">
      <c r="A16" s="6"/>
      <c r="B16" s="4"/>
      <c r="C16" s="3"/>
      <c r="D16" s="4"/>
      <c r="E16" s="3"/>
      <c r="F16" s="4"/>
      <c r="G16" s="3"/>
      <c r="H16" s="4"/>
    </row>
    <row r="17" spans="1:8">
      <c r="A17" s="6"/>
      <c r="B17" s="4"/>
      <c r="C17" s="3"/>
      <c r="D17" s="4"/>
      <c r="E17" s="3"/>
      <c r="F17" s="4"/>
      <c r="G17" s="3"/>
      <c r="H17" s="4"/>
    </row>
    <row r="18" spans="1:8">
      <c r="A18" s="6"/>
      <c r="B18" s="4"/>
      <c r="C18" s="3"/>
      <c r="D18" s="4"/>
      <c r="E18" s="3"/>
      <c r="F18" s="4"/>
      <c r="G18" s="3"/>
      <c r="H18" s="4"/>
    </row>
    <row r="19" spans="1:8">
      <c r="A19" s="6"/>
      <c r="B19" s="4"/>
      <c r="C19" s="3"/>
      <c r="D19" s="4"/>
      <c r="E19" s="3"/>
      <c r="F19" s="4"/>
      <c r="G19" s="3"/>
      <c r="H19" s="4"/>
    </row>
    <row r="20" spans="1:8">
      <c r="A20" s="6"/>
      <c r="B20" s="4"/>
      <c r="C20" s="3"/>
      <c r="D20" s="4"/>
      <c r="E20" s="3"/>
      <c r="F20" s="4"/>
      <c r="G20" s="3"/>
      <c r="H20" s="4"/>
    </row>
    <row r="21" spans="1:8">
      <c r="A21" s="6"/>
      <c r="B21" s="4"/>
      <c r="C21" s="3"/>
      <c r="D21" s="4"/>
      <c r="E21" s="3"/>
      <c r="F21" s="4"/>
      <c r="G21" s="3"/>
      <c r="H21" s="4"/>
    </row>
    <row r="22" spans="1:8">
      <c r="A22" s="6"/>
      <c r="B22" s="4"/>
      <c r="C22" s="3"/>
      <c r="D22" s="4"/>
      <c r="E22" s="3"/>
      <c r="F22" s="4"/>
      <c r="G22" s="3"/>
      <c r="H22" s="4"/>
    </row>
    <row r="23" spans="1:8">
      <c r="A23" s="6"/>
      <c r="B23" s="4"/>
      <c r="C23" s="3"/>
      <c r="D23" s="4"/>
      <c r="E23" s="3"/>
      <c r="F23" s="4"/>
      <c r="G23" s="3"/>
      <c r="H23" s="4"/>
    </row>
    <row r="24" spans="1:8">
      <c r="A24" s="6"/>
      <c r="B24" s="4"/>
      <c r="C24" s="3"/>
      <c r="D24" s="4"/>
      <c r="E24" s="3"/>
      <c r="F24" s="4"/>
      <c r="G24" s="3"/>
      <c r="H24" s="4"/>
    </row>
    <row r="25" spans="1:8">
      <c r="A25" s="6"/>
      <c r="B25" s="4"/>
      <c r="C25" s="3"/>
      <c r="D25" s="4"/>
      <c r="E25" s="3"/>
      <c r="F25" s="4"/>
      <c r="G25" s="3"/>
      <c r="H25" s="4"/>
    </row>
    <row r="26" spans="1:8" ht="15" thickBot="1">
      <c r="A26" s="7"/>
      <c r="B26" s="5"/>
      <c r="C26" s="8"/>
      <c r="D26" s="5"/>
      <c r="E26" s="8"/>
      <c r="F26" s="5"/>
      <c r="G26" s="8"/>
      <c r="H26" s="5"/>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0">
    <tabColor rgb="FFFF0000"/>
  </sheetPr>
  <dimension ref="A1:C68"/>
  <sheetViews>
    <sheetView workbookViewId="0">
      <selection activeCell="H13" sqref="H13"/>
    </sheetView>
  </sheetViews>
  <sheetFormatPr defaultRowHeight="14.4"/>
  <cols>
    <col min="1" max="1" width="17" style="15" bestFit="1" customWidth="1"/>
    <col min="2" max="2" width="55" style="16" customWidth="1"/>
    <col min="3" max="3" width="10.6640625" style="15" bestFit="1" customWidth="1"/>
  </cols>
  <sheetData>
    <row r="1" spans="1:3">
      <c r="A1" s="12" t="s">
        <v>37</v>
      </c>
      <c r="B1" s="14" t="s">
        <v>38</v>
      </c>
      <c r="C1" s="13" t="s">
        <v>35</v>
      </c>
    </row>
    <row r="2" spans="1:3">
      <c r="A2" s="329" t="s">
        <v>42</v>
      </c>
      <c r="B2" s="16" t="s">
        <v>41</v>
      </c>
      <c r="C2" s="19" t="s">
        <v>40</v>
      </c>
    </row>
    <row r="3" spans="1:3" ht="28.8">
      <c r="A3" s="330"/>
      <c r="B3" s="16" t="s">
        <v>39</v>
      </c>
      <c r="C3" s="19" t="s">
        <v>40</v>
      </c>
    </row>
    <row r="4" spans="1:3" ht="43.2">
      <c r="A4" s="329" t="s">
        <v>44</v>
      </c>
      <c r="B4" s="16" t="s">
        <v>43</v>
      </c>
      <c r="C4" s="20">
        <v>41337</v>
      </c>
    </row>
    <row r="5" spans="1:3" ht="43.2">
      <c r="A5" s="330"/>
      <c r="B5" s="16" t="s">
        <v>45</v>
      </c>
      <c r="C5" s="20">
        <v>41337</v>
      </c>
    </row>
    <row r="6" spans="1:3" ht="57.6">
      <c r="A6" s="329" t="s">
        <v>46</v>
      </c>
      <c r="B6" s="16" t="s">
        <v>50</v>
      </c>
      <c r="C6" s="15" t="s">
        <v>52</v>
      </c>
    </row>
    <row r="7" spans="1:3" ht="28.8">
      <c r="A7" s="331"/>
      <c r="B7" s="18" t="s">
        <v>49</v>
      </c>
      <c r="C7" s="15" t="s">
        <v>52</v>
      </c>
    </row>
    <row r="8" spans="1:3" ht="57.6">
      <c r="A8" s="331"/>
      <c r="B8" s="18" t="s">
        <v>51</v>
      </c>
      <c r="C8" s="15" t="s">
        <v>52</v>
      </c>
    </row>
    <row r="9" spans="1:3" ht="43.2">
      <c r="A9" s="331"/>
      <c r="B9" s="16" t="s">
        <v>47</v>
      </c>
      <c r="C9" s="15" t="s">
        <v>52</v>
      </c>
    </row>
    <row r="10" spans="1:3" ht="43.2">
      <c r="A10" s="330"/>
      <c r="B10" s="16" t="s">
        <v>48</v>
      </c>
      <c r="C10" s="15" t="s">
        <v>52</v>
      </c>
    </row>
    <row r="11" spans="1:3" ht="43.2">
      <c r="A11" s="329" t="s">
        <v>61</v>
      </c>
      <c r="B11" s="16" t="s">
        <v>53</v>
      </c>
      <c r="C11" s="20">
        <v>41515</v>
      </c>
    </row>
    <row r="12" spans="1:3" ht="43.2">
      <c r="A12" s="331"/>
      <c r="B12" s="16" t="s">
        <v>54</v>
      </c>
      <c r="C12" s="20">
        <v>41515</v>
      </c>
    </row>
    <row r="13" spans="1:3" ht="43.2">
      <c r="A13" s="331"/>
      <c r="B13" s="16" t="s">
        <v>55</v>
      </c>
      <c r="C13" s="20">
        <v>41515</v>
      </c>
    </row>
    <row r="14" spans="1:3" ht="43.2">
      <c r="A14" s="331"/>
      <c r="B14" s="16" t="s">
        <v>56</v>
      </c>
      <c r="C14" s="20">
        <v>41515</v>
      </c>
    </row>
    <row r="15" spans="1:3" ht="43.2">
      <c r="A15" s="331"/>
      <c r="B15" s="16" t="s">
        <v>57</v>
      </c>
      <c r="C15" s="20">
        <v>41515</v>
      </c>
    </row>
    <row r="16" spans="1:3" ht="43.2">
      <c r="A16" s="331"/>
      <c r="B16" s="16" t="s">
        <v>58</v>
      </c>
      <c r="C16" s="20">
        <v>41515</v>
      </c>
    </row>
    <row r="17" spans="1:3" ht="43.2">
      <c r="A17" s="331"/>
      <c r="B17" s="16" t="s">
        <v>59</v>
      </c>
      <c r="C17" s="20">
        <v>41520</v>
      </c>
    </row>
    <row r="18" spans="1:3" ht="43.2">
      <c r="A18" s="330"/>
      <c r="B18" s="16" t="s">
        <v>60</v>
      </c>
      <c r="C18" s="20">
        <v>41520</v>
      </c>
    </row>
    <row r="19" spans="1:3" ht="57.6">
      <c r="A19" s="329" t="s">
        <v>62</v>
      </c>
      <c r="B19" s="16" t="s">
        <v>65</v>
      </c>
      <c r="C19" s="20">
        <v>41541</v>
      </c>
    </row>
    <row r="20" spans="1:3" ht="57.6">
      <c r="A20" s="331"/>
      <c r="B20" s="16" t="s">
        <v>64</v>
      </c>
      <c r="C20" s="21">
        <v>41541</v>
      </c>
    </row>
    <row r="21" spans="1:3" ht="28.8">
      <c r="A21" s="331"/>
      <c r="B21" s="18" t="s">
        <v>67</v>
      </c>
      <c r="C21" s="21">
        <v>41541</v>
      </c>
    </row>
    <row r="22" spans="1:3" ht="43.2">
      <c r="A22" s="331"/>
      <c r="B22" s="16" t="s">
        <v>63</v>
      </c>
      <c r="C22" s="21">
        <v>41541</v>
      </c>
    </row>
    <row r="23" spans="1:3" ht="28.8">
      <c r="A23" s="330"/>
      <c r="B23" s="16" t="s">
        <v>66</v>
      </c>
      <c r="C23" s="21">
        <v>41541</v>
      </c>
    </row>
    <row r="24" spans="1:3" ht="43.2">
      <c r="B24" s="16" t="s">
        <v>75</v>
      </c>
      <c r="C24" s="20">
        <v>42872</v>
      </c>
    </row>
    <row r="25" spans="1:3" ht="43.2">
      <c r="B25" s="16" t="s">
        <v>76</v>
      </c>
      <c r="C25" s="20">
        <v>42872</v>
      </c>
    </row>
    <row r="26" spans="1:3" ht="28.8">
      <c r="B26" s="16" t="s">
        <v>85</v>
      </c>
      <c r="C26" s="20">
        <v>43705</v>
      </c>
    </row>
    <row r="27" spans="1:3" ht="43.2">
      <c r="B27" s="16" t="s">
        <v>86</v>
      </c>
      <c r="C27" s="20">
        <v>43705</v>
      </c>
    </row>
    <row r="28" spans="1:3" ht="43.2">
      <c r="B28" s="16" t="s">
        <v>87</v>
      </c>
      <c r="C28" s="20">
        <v>43705</v>
      </c>
    </row>
    <row r="29" spans="1:3" ht="43.2">
      <c r="B29" s="16" t="s">
        <v>89</v>
      </c>
      <c r="C29" s="20">
        <v>43705</v>
      </c>
    </row>
    <row r="30" spans="1:3" ht="43.2">
      <c r="B30" s="16" t="s">
        <v>90</v>
      </c>
      <c r="C30" s="20">
        <v>43705</v>
      </c>
    </row>
    <row r="31" spans="1:3" ht="43.2">
      <c r="B31" s="16" t="s">
        <v>91</v>
      </c>
      <c r="C31" s="20">
        <v>43705</v>
      </c>
    </row>
    <row r="32" spans="1:3" ht="43.2">
      <c r="B32" s="16" t="s">
        <v>92</v>
      </c>
      <c r="C32" s="20">
        <v>43705</v>
      </c>
    </row>
    <row r="33" spans="2:3" ht="43.2">
      <c r="B33" s="16" t="s">
        <v>93</v>
      </c>
      <c r="C33" s="20">
        <v>43705</v>
      </c>
    </row>
    <row r="34" spans="2:3" ht="43.2">
      <c r="B34" s="16" t="s">
        <v>94</v>
      </c>
      <c r="C34" s="20">
        <v>43705</v>
      </c>
    </row>
    <row r="35" spans="2:3" ht="43.2">
      <c r="B35" s="16" t="s">
        <v>95</v>
      </c>
      <c r="C35" s="20">
        <v>43705</v>
      </c>
    </row>
    <row r="36" spans="2:3" ht="43.2">
      <c r="B36" s="16" t="s">
        <v>96</v>
      </c>
      <c r="C36" s="20">
        <v>43705</v>
      </c>
    </row>
    <row r="37" spans="2:3" ht="43.2">
      <c r="B37" s="16" t="s">
        <v>98</v>
      </c>
      <c r="C37" s="20">
        <v>43767</v>
      </c>
    </row>
    <row r="38" spans="2:3" ht="43.2">
      <c r="B38" s="16" t="s">
        <v>99</v>
      </c>
      <c r="C38" s="20">
        <v>43767</v>
      </c>
    </row>
    <row r="39" spans="2:3" ht="43.2">
      <c r="B39" s="16" t="s">
        <v>100</v>
      </c>
      <c r="C39" s="20">
        <v>43767</v>
      </c>
    </row>
    <row r="40" spans="2:3" ht="43.2">
      <c r="B40" s="16" t="s">
        <v>101</v>
      </c>
      <c r="C40" s="20">
        <v>43767</v>
      </c>
    </row>
    <row r="41" spans="2:3" ht="43.2">
      <c r="B41" s="16" t="s">
        <v>102</v>
      </c>
      <c r="C41" s="20">
        <v>43767</v>
      </c>
    </row>
    <row r="42" spans="2:3" ht="43.2">
      <c r="B42" s="16" t="s">
        <v>102</v>
      </c>
      <c r="C42" s="20">
        <v>43767</v>
      </c>
    </row>
    <row r="43" spans="2:3" ht="43.2">
      <c r="B43" s="16" t="s">
        <v>101</v>
      </c>
      <c r="C43" s="20">
        <v>43767</v>
      </c>
    </row>
    <row r="44" spans="2:3" ht="43.2">
      <c r="B44" s="16" t="s">
        <v>103</v>
      </c>
      <c r="C44" s="20">
        <v>43767</v>
      </c>
    </row>
    <row r="45" spans="2:3" ht="43.2">
      <c r="B45" s="16" t="s">
        <v>104</v>
      </c>
      <c r="C45" s="20">
        <v>43767</v>
      </c>
    </row>
    <row r="46" spans="2:3" ht="43.2">
      <c r="B46" s="16" t="s">
        <v>105</v>
      </c>
      <c r="C46" s="20">
        <v>43767</v>
      </c>
    </row>
    <row r="47" spans="2:3" ht="43.2">
      <c r="B47" s="16" t="s">
        <v>106</v>
      </c>
      <c r="C47" s="20">
        <v>43767</v>
      </c>
    </row>
    <row r="48" spans="2:3" ht="43.2">
      <c r="B48" s="16" t="s">
        <v>107</v>
      </c>
      <c r="C48" s="20">
        <v>43767</v>
      </c>
    </row>
    <row r="49" spans="2:3" ht="43.2">
      <c r="B49" s="16" t="s">
        <v>108</v>
      </c>
      <c r="C49" s="20">
        <v>43767</v>
      </c>
    </row>
    <row r="50" spans="2:3" ht="43.2">
      <c r="B50" s="16" t="s">
        <v>103</v>
      </c>
      <c r="C50" s="20">
        <v>43767</v>
      </c>
    </row>
    <row r="51" spans="2:3" ht="43.2">
      <c r="B51" s="16" t="s">
        <v>107</v>
      </c>
      <c r="C51" s="20">
        <v>43767</v>
      </c>
    </row>
    <row r="52" spans="2:3" ht="43.2">
      <c r="B52" s="16" t="s">
        <v>105</v>
      </c>
      <c r="C52" s="20">
        <v>43767</v>
      </c>
    </row>
    <row r="53" spans="2:3" ht="43.2">
      <c r="B53" s="16" t="s">
        <v>109</v>
      </c>
      <c r="C53" s="20">
        <v>43767</v>
      </c>
    </row>
    <row r="54" spans="2:3" ht="43.2">
      <c r="B54" s="16" t="s">
        <v>110</v>
      </c>
      <c r="C54" s="20">
        <v>43768</v>
      </c>
    </row>
    <row r="55" spans="2:3" ht="43.2">
      <c r="B55" s="16" t="s">
        <v>111</v>
      </c>
      <c r="C55" s="20">
        <v>43768</v>
      </c>
    </row>
    <row r="56" spans="2:3" ht="43.2">
      <c r="B56" s="16" t="s">
        <v>112</v>
      </c>
      <c r="C56" s="20">
        <v>43768</v>
      </c>
    </row>
    <row r="57" spans="2:3" ht="43.2">
      <c r="B57" s="16" t="s">
        <v>113</v>
      </c>
      <c r="C57" s="20">
        <v>43773</v>
      </c>
    </row>
    <row r="58" spans="2:3" ht="43.2">
      <c r="B58" s="16" t="s">
        <v>114</v>
      </c>
      <c r="C58" s="20">
        <v>43773</v>
      </c>
    </row>
    <row r="59" spans="2:3" ht="43.2">
      <c r="B59" s="16" t="s">
        <v>115</v>
      </c>
      <c r="C59" s="20">
        <v>43773</v>
      </c>
    </row>
    <row r="60" spans="2:3" ht="43.2">
      <c r="B60" s="16" t="s">
        <v>116</v>
      </c>
      <c r="C60" s="20">
        <v>43773</v>
      </c>
    </row>
    <row r="61" spans="2:3" ht="43.2">
      <c r="B61" s="16" t="s">
        <v>117</v>
      </c>
      <c r="C61" s="20">
        <v>43773</v>
      </c>
    </row>
    <row r="62" spans="2:3" ht="43.2">
      <c r="B62" s="16" t="s">
        <v>118</v>
      </c>
      <c r="C62" s="20">
        <v>43773</v>
      </c>
    </row>
    <row r="63" spans="2:3" ht="43.2">
      <c r="B63" s="16" t="s">
        <v>119</v>
      </c>
      <c r="C63" s="20">
        <v>43773</v>
      </c>
    </row>
    <row r="64" spans="2:3" ht="43.2">
      <c r="B64" s="16" t="s">
        <v>120</v>
      </c>
      <c r="C64" s="20">
        <v>43773</v>
      </c>
    </row>
    <row r="65" spans="2:3" ht="43.2">
      <c r="B65" s="16" t="s">
        <v>121</v>
      </c>
      <c r="C65" s="20">
        <v>43773</v>
      </c>
    </row>
    <row r="66" spans="2:3" ht="43.2">
      <c r="B66" s="16" t="s">
        <v>122</v>
      </c>
      <c r="C66" s="20">
        <v>43773</v>
      </c>
    </row>
    <row r="67" spans="2:3" ht="43.2">
      <c r="B67" s="16" t="s">
        <v>123</v>
      </c>
      <c r="C67" s="20">
        <v>43773</v>
      </c>
    </row>
    <row r="68" spans="2:3" ht="43.2">
      <c r="B68" s="16" t="s">
        <v>124</v>
      </c>
      <c r="C68" s="20">
        <v>43773</v>
      </c>
    </row>
  </sheetData>
  <mergeCells count="5">
    <mergeCell ref="A2:A3"/>
    <mergeCell ref="A4:A5"/>
    <mergeCell ref="A6:A10"/>
    <mergeCell ref="A11:A18"/>
    <mergeCell ref="A19:A23"/>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A843C0F9E50B914A96F8D271432EBC33" ma:contentTypeVersion="0" ma:contentTypeDescription="Create a new document." ma:contentTypeScope="" ma:versionID="5e835c43eb47666319830cdb216a1441">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56C059C-0B93-40BB-9822-6178BB3A15BC}">
  <ds:schemaRefs>
    <ds:schemaRef ds:uri="http://schemas.microsoft.com/sharepoint/v3/contenttype/forms"/>
  </ds:schemaRefs>
</ds:datastoreItem>
</file>

<file path=customXml/itemProps2.xml><?xml version="1.0" encoding="utf-8"?>
<ds:datastoreItem xmlns:ds="http://schemas.openxmlformats.org/officeDocument/2006/customXml" ds:itemID="{A6FEDBEE-D3F8-4B1A-80EF-A24D04DB9439}">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www.w3.org/XML/1998/namespace"/>
    <ds:schemaRef ds:uri="http://purl.org/dc/dcmitype/"/>
  </ds:schemaRefs>
</ds:datastoreItem>
</file>

<file path=customXml/itemProps3.xml><?xml version="1.0" encoding="utf-8"?>
<ds:datastoreItem xmlns:ds="http://schemas.openxmlformats.org/officeDocument/2006/customXml" ds:itemID="{8B4EE478-C465-497B-9ECD-59BED905152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7</vt:i4>
      </vt:variant>
    </vt:vector>
  </HeadingPairs>
  <TitlesOfParts>
    <vt:vector size="12" baseType="lpstr">
      <vt:lpstr>ADPLL_Config</vt:lpstr>
      <vt:lpstr>Sheet1</vt:lpstr>
      <vt:lpstr>Sheet2</vt:lpstr>
      <vt:lpstr>lists</vt:lpstr>
      <vt:lpstr>rel-notes</vt:lpstr>
      <vt:lpstr>BLOCK_NAMES</vt:lpstr>
      <vt:lpstr>BOOLEAN</vt:lpstr>
      <vt:lpstr>DEFAULT_TYPE</vt:lpstr>
      <vt:lpstr>hw_type</vt:lpstr>
      <vt:lpstr>hwclr</vt:lpstr>
      <vt:lpstr>hwtype</vt:lpstr>
      <vt:lpstr>REG_TYPE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Yom Tov, Chanan</dc:creator>
  <cp:keywords>CTPClassification=CTP_IC:VisualMarkings=, CTPClassification=CTP_IC</cp:keywords>
  <cp:lastModifiedBy>Kovshov, Marina</cp:lastModifiedBy>
  <dcterms:created xsi:type="dcterms:W3CDTF">2011-12-18T09:45:58Z</dcterms:created>
  <dcterms:modified xsi:type="dcterms:W3CDTF">2021-02-22T13:48:58Z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30837630-41b3-4fe5-bbd2-a1cb15a001f7</vt:lpwstr>
  </property>
  <property fmtid="{D5CDD505-2E9C-101B-9397-08002B2CF9AE}" pid="3" name="CTP_BU">
    <vt:lpwstr>MIXED SIGNAL IP SOL GROUP</vt:lpwstr>
  </property>
  <property fmtid="{D5CDD505-2E9C-101B-9397-08002B2CF9AE}" pid="4" name="CTP_TimeStamp">
    <vt:lpwstr>2020-06-10 13:28:32Z</vt:lpwstr>
  </property>
  <property fmtid="{D5CDD505-2E9C-101B-9397-08002B2CF9AE}" pid="5" name="ContentTypeId">
    <vt:lpwstr>0x010100A843C0F9E50B914A96F8D271432EBC33</vt:lpwstr>
  </property>
  <property fmtid="{D5CDD505-2E9C-101B-9397-08002B2CF9AE}" pid="6" name="CTPClassification">
    <vt:lpwstr>CTP_IC</vt:lpwstr>
  </property>
  <property fmtid="{D5CDD505-2E9C-101B-9397-08002B2CF9AE}" pid="7" name="MSIP_Label_9aa06179-68b3-4e2b-b09b-a2424735516b_Enabled">
    <vt:lpwstr>True</vt:lpwstr>
  </property>
  <property fmtid="{D5CDD505-2E9C-101B-9397-08002B2CF9AE}" pid="8" name="MSIP_Label_9aa06179-68b3-4e2b-b09b-a2424735516b_SiteId">
    <vt:lpwstr>46c98d88-e344-4ed4-8496-4ed7712e255d</vt:lpwstr>
  </property>
  <property fmtid="{D5CDD505-2E9C-101B-9397-08002B2CF9AE}" pid="9" name="MSIP_Label_9aa06179-68b3-4e2b-b09b-a2424735516b_Owner">
    <vt:lpwstr>marina.kovshov@intel.com</vt:lpwstr>
  </property>
  <property fmtid="{D5CDD505-2E9C-101B-9397-08002B2CF9AE}" pid="10" name="MSIP_Label_9aa06179-68b3-4e2b-b09b-a2424735516b_SetDate">
    <vt:lpwstr>2021-02-18T08:02:15.4561838Z</vt:lpwstr>
  </property>
  <property fmtid="{D5CDD505-2E9C-101B-9397-08002B2CF9AE}" pid="11" name="MSIP_Label_9aa06179-68b3-4e2b-b09b-a2424735516b_Name">
    <vt:lpwstr>Intel Confidential</vt:lpwstr>
  </property>
  <property fmtid="{D5CDD505-2E9C-101B-9397-08002B2CF9AE}" pid="12" name="MSIP_Label_9aa06179-68b3-4e2b-b09b-a2424735516b_Application">
    <vt:lpwstr>Microsoft Azure Information Protection</vt:lpwstr>
  </property>
  <property fmtid="{D5CDD505-2E9C-101B-9397-08002B2CF9AE}" pid="13" name="MSIP_Label_9aa06179-68b3-4e2b-b09b-a2424735516b_ActionId">
    <vt:lpwstr>400a9de0-6b75-4285-b5cd-f98b9c23f37d</vt:lpwstr>
  </property>
  <property fmtid="{D5CDD505-2E9C-101B-9397-08002B2CF9AE}" pid="14" name="MSIP_Label_9aa06179-68b3-4e2b-b09b-a2424735516b_Extended_MSFT_Method">
    <vt:lpwstr>Automatic</vt:lpwstr>
  </property>
  <property fmtid="{D5CDD505-2E9C-101B-9397-08002B2CF9AE}" pid="15" name="Sensitivity">
    <vt:lpwstr>Intel Confidential</vt:lpwstr>
  </property>
</Properties>
</file>