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kovshov\Desktop\soconline\"/>
    </mc:Choice>
  </mc:AlternateContent>
  <xr:revisionPtr revIDLastSave="0" documentId="13_ncr:1_{8D3D4A5C-61DD-4760-A375-1F7AD4840E2F}" xr6:coauthVersionLast="41" xr6:coauthVersionMax="41" xr10:uidLastSave="{00000000-0000-0000-0000-000000000000}"/>
  <bookViews>
    <workbookView xWindow="-108" yWindow="-108" windowWidth="23256" windowHeight="12576" xr2:uid="{00000000-000D-0000-FFFF-FFFF00000000}"/>
  </bookViews>
  <sheets>
    <sheet name="FLC_RX" sheetId="21" r:id="rId1"/>
    <sheet name="Sheet2" sheetId="2" state="hidden" r:id="rId2"/>
    <sheet name="lists" sheetId="19" state="hidden" r:id="rId3"/>
  </sheets>
  <functionGroups builtInGroupCount="19"/>
  <externalReferences>
    <externalReference r:id="rId4"/>
  </externalReferences>
  <definedNames>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62" i="21" l="1"/>
  <c r="E360" i="21"/>
  <c r="E358" i="21"/>
  <c r="E356" i="21"/>
  <c r="E354" i="21"/>
  <c r="E352" i="21"/>
  <c r="E350" i="21"/>
  <c r="E348" i="21"/>
  <c r="E346" i="21"/>
  <c r="E344" i="21"/>
  <c r="E342" i="21"/>
  <c r="E340" i="21"/>
  <c r="E338" i="21"/>
  <c r="E336" i="21"/>
  <c r="E334" i="21"/>
  <c r="E323" i="21"/>
  <c r="E321" i="21"/>
  <c r="E319" i="21"/>
  <c r="E315" i="21"/>
  <c r="E310" i="21"/>
  <c r="E308" i="21"/>
  <c r="E302" i="21"/>
  <c r="E294" i="21"/>
  <c r="E288" i="21"/>
  <c r="E286" i="21"/>
  <c r="E277" i="21"/>
  <c r="E270" i="21"/>
  <c r="E263" i="21"/>
  <c r="E256" i="21"/>
  <c r="E250" i="21"/>
  <c r="E248" i="21"/>
  <c r="E241" i="21"/>
  <c r="E223" i="21"/>
  <c r="E214" i="21"/>
  <c r="E205" i="21"/>
  <c r="E196" i="21"/>
  <c r="E187" i="21"/>
  <c r="E178" i="21"/>
  <c r="E169" i="21"/>
  <c r="E160" i="21"/>
  <c r="E151" i="21"/>
  <c r="E142" i="21"/>
  <c r="E133" i="21"/>
  <c r="E124" i="21"/>
  <c r="E115" i="21"/>
  <c r="E106" i="21"/>
  <c r="E104" i="21"/>
  <c r="E102" i="21"/>
  <c r="E100" i="21"/>
  <c r="E98" i="21"/>
  <c r="E96" i="21"/>
  <c r="E94" i="21"/>
  <c r="E85" i="21"/>
  <c r="E77" i="21"/>
  <c r="E69" i="21"/>
  <c r="E61" i="21"/>
  <c r="E55" i="21"/>
  <c r="E48" i="21"/>
  <c r="E41" i="21"/>
  <c r="E34" i="21"/>
  <c r="E24" i="21"/>
  <c r="E16" i="21"/>
  <c r="E13" i="21"/>
  <c r="E3" i="21"/>
  <c r="E325" i="21"/>
  <c r="E326" i="21"/>
  <c r="E327" i="21"/>
  <c r="E328" i="21" s="1"/>
  <c r="E329" i="21" s="1"/>
  <c r="E330" i="21" s="1"/>
  <c r="E331" i="21" s="1"/>
  <c r="E332" i="21"/>
  <c r="E324" i="21"/>
  <c r="E317" i="21"/>
  <c r="E316" i="21"/>
  <c r="E312" i="21"/>
  <c r="E313" i="21"/>
  <c r="E311" i="21"/>
  <c r="E304" i="21"/>
  <c r="E305" i="21"/>
  <c r="E306" i="21" s="1"/>
  <c r="E303" i="21"/>
  <c r="E296" i="21"/>
  <c r="E297" i="21"/>
  <c r="E298" i="21" s="1"/>
  <c r="E299" i="21" s="1"/>
  <c r="E300" i="21" s="1"/>
  <c r="E295" i="21"/>
  <c r="E290" i="21"/>
  <c r="E291" i="21"/>
  <c r="E292" i="21"/>
  <c r="E289" i="21"/>
  <c r="E279" i="21"/>
  <c r="E280" i="21"/>
  <c r="E281" i="21" s="1"/>
  <c r="E282" i="21"/>
  <c r="E283" i="21" s="1"/>
  <c r="E284" i="21" s="1"/>
  <c r="E278" i="21"/>
  <c r="E271" i="21"/>
  <c r="E272" i="21"/>
  <c r="E273" i="21" s="1"/>
  <c r="E274" i="21" s="1"/>
  <c r="E275" i="21" s="1"/>
  <c r="E264" i="21"/>
  <c r="E265" i="21"/>
  <c r="E266" i="21" s="1"/>
  <c r="E267" i="21" s="1"/>
  <c r="E268" i="21" s="1"/>
  <c r="E258" i="21"/>
  <c r="E259" i="21"/>
  <c r="E260" i="21" s="1"/>
  <c r="E261" i="21" s="1"/>
  <c r="E257" i="21"/>
  <c r="E252" i="21"/>
  <c r="E253" i="21"/>
  <c r="E254" i="21"/>
  <c r="E251" i="21"/>
  <c r="E243" i="21"/>
  <c r="E244" i="21"/>
  <c r="E245" i="21"/>
  <c r="E246" i="21"/>
  <c r="E242" i="21"/>
  <c r="E225" i="21"/>
  <c r="E226" i="21"/>
  <c r="E227" i="21"/>
  <c r="E228" i="21"/>
  <c r="E229" i="21" s="1"/>
  <c r="E230" i="21"/>
  <c r="E231" i="21"/>
  <c r="E232" i="21"/>
  <c r="E233" i="21" s="1"/>
  <c r="E234" i="21" s="1"/>
  <c r="E235" i="21" s="1"/>
  <c r="E236" i="21" s="1"/>
  <c r="E237" i="21" s="1"/>
  <c r="E238" i="21" s="1"/>
  <c r="E239" i="21" s="1"/>
  <c r="E224" i="21"/>
  <c r="E215" i="21"/>
  <c r="E216" i="21" s="1"/>
  <c r="E217" i="21" s="1"/>
  <c r="E218" i="21"/>
  <c r="E219" i="21" s="1"/>
  <c r="E220" i="21" s="1"/>
  <c r="E221" i="21" s="1"/>
  <c r="E206" i="21"/>
  <c r="E207" i="21" s="1"/>
  <c r="E208" i="21" s="1"/>
  <c r="E209" i="21"/>
  <c r="E210" i="21" s="1"/>
  <c r="E211" i="21" s="1"/>
  <c r="E212" i="21" s="1"/>
  <c r="E197" i="21"/>
  <c r="E198" i="21" s="1"/>
  <c r="E199" i="21" s="1"/>
  <c r="E200" i="21"/>
  <c r="E201" i="21" s="1"/>
  <c r="E202" i="21" s="1"/>
  <c r="E203" i="21" s="1"/>
  <c r="E188" i="21"/>
  <c r="E189" i="21" s="1"/>
  <c r="E190" i="21" s="1"/>
  <c r="E191" i="21"/>
  <c r="E192" i="21" s="1"/>
  <c r="E193" i="21" s="1"/>
  <c r="E194" i="21" s="1"/>
  <c r="E179" i="21"/>
  <c r="E180" i="21" s="1"/>
  <c r="E181" i="21" s="1"/>
  <c r="E182" i="21"/>
  <c r="E183" i="21" s="1"/>
  <c r="E184" i="21" s="1"/>
  <c r="E185" i="21" s="1"/>
  <c r="E170" i="21"/>
  <c r="E171" i="21"/>
  <c r="E172" i="21" s="1"/>
  <c r="E173" i="21"/>
  <c r="E174" i="21" s="1"/>
  <c r="E175" i="21" s="1"/>
  <c r="E176" i="21" s="1"/>
  <c r="E161" i="21"/>
  <c r="E162" i="21" s="1"/>
  <c r="E163" i="21" s="1"/>
  <c r="E164" i="21"/>
  <c r="E165" i="21" s="1"/>
  <c r="E166" i="21" s="1"/>
  <c r="E167" i="21" s="1"/>
  <c r="E152" i="21"/>
  <c r="E153" i="21" s="1"/>
  <c r="E154" i="21" s="1"/>
  <c r="E155" i="21"/>
  <c r="E156" i="21" s="1"/>
  <c r="E157" i="21" s="1"/>
  <c r="E158" i="21" s="1"/>
  <c r="E143" i="21"/>
  <c r="E144" i="21" s="1"/>
  <c r="E145" i="21" s="1"/>
  <c r="E146" i="21"/>
  <c r="E147" i="21" s="1"/>
  <c r="E148" i="21" s="1"/>
  <c r="E149" i="21" s="1"/>
  <c r="E134" i="21"/>
  <c r="E135" i="21" s="1"/>
  <c r="E136" i="21" s="1"/>
  <c r="E137" i="21"/>
  <c r="E138" i="21" s="1"/>
  <c r="E139" i="21" s="1"/>
  <c r="E140" i="21" s="1"/>
  <c r="E125" i="21"/>
  <c r="E126" i="21" s="1"/>
  <c r="E127" i="21" s="1"/>
  <c r="E128" i="21"/>
  <c r="E129" i="21" s="1"/>
  <c r="E130" i="21" s="1"/>
  <c r="E131" i="21" s="1"/>
  <c r="E116" i="21"/>
  <c r="E117" i="21" s="1"/>
  <c r="E118" i="21" s="1"/>
  <c r="E119" i="21"/>
  <c r="E120" i="21" s="1"/>
  <c r="E121" i="21" s="1"/>
  <c r="E122" i="21" s="1"/>
  <c r="E108" i="21"/>
  <c r="E109" i="21"/>
  <c r="E110" i="21" s="1"/>
  <c r="E111" i="21"/>
  <c r="E112" i="21" s="1"/>
  <c r="E113" i="21" s="1"/>
  <c r="E107" i="21"/>
  <c r="E87" i="21"/>
  <c r="E88" i="21"/>
  <c r="E89" i="21"/>
  <c r="E90" i="21"/>
  <c r="E91" i="21"/>
  <c r="E92" i="21" s="1"/>
  <c r="E86" i="21"/>
  <c r="E78" i="21"/>
  <c r="E79" i="21" s="1"/>
  <c r="E80" i="21"/>
  <c r="E81" i="21"/>
  <c r="E82" i="21" s="1"/>
  <c r="E83" i="21" s="1"/>
  <c r="E70" i="21"/>
  <c r="E71" i="21" s="1"/>
  <c r="E72" i="21" s="1"/>
  <c r="E73" i="21"/>
  <c r="E74" i="21" s="1"/>
  <c r="E75" i="21" s="1"/>
  <c r="E63" i="21"/>
  <c r="E64" i="21"/>
  <c r="E65" i="21"/>
  <c r="E66" i="21" s="1"/>
  <c r="E67" i="21" s="1"/>
  <c r="E62" i="21"/>
  <c r="E57" i="21"/>
  <c r="E58" i="21"/>
  <c r="E59" i="21"/>
  <c r="E56" i="21"/>
  <c r="E50" i="21"/>
  <c r="E51" i="21"/>
  <c r="E52" i="21" s="1"/>
  <c r="E53" i="21"/>
  <c r="E49" i="21"/>
  <c r="E43" i="21"/>
  <c r="E44" i="21"/>
  <c r="E45" i="21"/>
  <c r="E46" i="21" s="1"/>
  <c r="E42" i="21"/>
  <c r="E36" i="21"/>
  <c r="E37" i="21"/>
  <c r="E38" i="21"/>
  <c r="E39" i="21" s="1"/>
  <c r="E35" i="21"/>
  <c r="E26" i="21"/>
  <c r="E27" i="21"/>
  <c r="E28" i="21"/>
  <c r="E29" i="21"/>
  <c r="E30" i="21" s="1"/>
  <c r="E31" i="21" s="1"/>
  <c r="E32" i="21" s="1"/>
  <c r="E25" i="21"/>
  <c r="E18" i="21"/>
  <c r="E19" i="21"/>
  <c r="E20" i="21" s="1"/>
  <c r="E21" i="21" s="1"/>
  <c r="E22" i="21" s="1"/>
  <c r="E17" i="21"/>
  <c r="E14" i="21"/>
  <c r="E4" i="21"/>
  <c r="E5" i="21" s="1"/>
  <c r="E6" i="21" s="1"/>
  <c r="E7" i="21" s="1"/>
  <c r="E8" i="21" s="1"/>
  <c r="E9" i="21" s="1"/>
  <c r="E10" i="21" s="1"/>
  <c r="E11" i="21" s="1"/>
  <c r="P318" i="21" l="1"/>
  <c r="L318" i="21"/>
  <c r="Q314" i="21"/>
  <c r="P314" i="21"/>
  <c r="L314" i="21"/>
  <c r="Q309" i="21"/>
  <c r="P309" i="21"/>
  <c r="L309" i="21"/>
  <c r="Q301" i="21"/>
  <c r="P301" i="21"/>
  <c r="L301" i="21"/>
  <c r="P293" i="21"/>
  <c r="L293" i="21"/>
  <c r="P287" i="21"/>
  <c r="L287" i="21"/>
  <c r="P285" i="21"/>
  <c r="L285" i="21"/>
  <c r="P276" i="21"/>
  <c r="L276" i="21"/>
  <c r="C276" i="21"/>
  <c r="C314" i="21"/>
  <c r="C287" i="21"/>
  <c r="C255" i="21"/>
  <c r="C293" i="21"/>
  <c r="C262" i="21"/>
  <c r="C269" i="21"/>
  <c r="C320" i="21"/>
  <c r="C309" i="21"/>
  <c r="P269" i="21" l="1"/>
  <c r="L269" i="21"/>
  <c r="P262" i="21"/>
  <c r="L262" i="21"/>
  <c r="Q255" i="21"/>
  <c r="P255" i="21"/>
  <c r="L255" i="21"/>
  <c r="P249" i="21"/>
  <c r="L249" i="21"/>
  <c r="C301" i="21"/>
  <c r="L322" i="21" l="1"/>
  <c r="P322" i="21"/>
  <c r="P324" i="21"/>
  <c r="Q324" i="21"/>
  <c r="P326" i="21"/>
  <c r="Q326" i="21"/>
  <c r="P328" i="21"/>
  <c r="Q328" i="21"/>
  <c r="P330" i="21"/>
  <c r="Q330" i="21"/>
  <c r="P361" i="21"/>
  <c r="L361" i="21"/>
  <c r="P359" i="21"/>
  <c r="L359" i="21"/>
  <c r="P357" i="21"/>
  <c r="L357" i="21"/>
  <c r="P355" i="21"/>
  <c r="L355" i="21"/>
  <c r="P353" i="21"/>
  <c r="L353" i="21"/>
  <c r="P351" i="21"/>
  <c r="L351" i="21"/>
  <c r="P349" i="21"/>
  <c r="L349" i="21"/>
  <c r="P347" i="21"/>
  <c r="L347" i="21"/>
  <c r="P345" i="21"/>
  <c r="L345" i="21"/>
  <c r="P343" i="21"/>
  <c r="L343" i="21"/>
  <c r="P341" i="21"/>
  <c r="L341" i="21"/>
  <c r="P339" i="21"/>
  <c r="L339" i="21"/>
  <c r="P337" i="21"/>
  <c r="L337" i="21"/>
  <c r="P335" i="21"/>
  <c r="L335" i="21"/>
  <c r="P333" i="21"/>
  <c r="L333" i="21"/>
  <c r="P320" i="21"/>
  <c r="L320" i="21"/>
  <c r="P307" i="21"/>
  <c r="L307" i="21"/>
  <c r="P240" i="21"/>
  <c r="L240" i="21"/>
  <c r="P247" i="21"/>
  <c r="L247" i="21"/>
  <c r="P222" i="21"/>
  <c r="L222" i="21"/>
  <c r="B222" i="21"/>
  <c r="P213" i="21"/>
  <c r="L213" i="21"/>
  <c r="B213" i="21"/>
  <c r="P204" i="21"/>
  <c r="L204" i="21"/>
  <c r="B204" i="21"/>
  <c r="P195" i="21"/>
  <c r="L195" i="21"/>
  <c r="B195" i="21"/>
  <c r="P186" i="21"/>
  <c r="L186" i="21"/>
  <c r="B186" i="21"/>
  <c r="P177" i="21"/>
  <c r="L177" i="21"/>
  <c r="B177" i="21"/>
  <c r="P168" i="21"/>
  <c r="L168" i="21"/>
  <c r="B168" i="21"/>
  <c r="P159" i="21"/>
  <c r="L159" i="21"/>
  <c r="B159" i="21"/>
  <c r="P150" i="21"/>
  <c r="L150" i="21"/>
  <c r="B150" i="21"/>
  <c r="P141" i="21"/>
  <c r="L141" i="21"/>
  <c r="B141" i="21"/>
  <c r="P132" i="21"/>
  <c r="L132" i="21"/>
  <c r="B132" i="21"/>
  <c r="P123" i="21"/>
  <c r="L123" i="21"/>
  <c r="B123" i="21"/>
  <c r="P114" i="21"/>
  <c r="L114" i="21"/>
  <c r="B114" i="21"/>
  <c r="P105" i="21"/>
  <c r="L105" i="21"/>
  <c r="B105" i="21"/>
  <c r="P103" i="21"/>
  <c r="L103" i="21"/>
  <c r="P101" i="21"/>
  <c r="L101" i="21"/>
  <c r="P99" i="21"/>
  <c r="L99" i="21"/>
  <c r="P97" i="21"/>
  <c r="L97" i="21"/>
  <c r="P95" i="21"/>
  <c r="L95" i="21"/>
  <c r="L93" i="21"/>
  <c r="P93" i="21"/>
  <c r="C159" i="21"/>
  <c r="C357" i="21"/>
  <c r="C150" i="21"/>
  <c r="C168" i="21"/>
  <c r="C177" i="21"/>
  <c r="C359" i="21"/>
  <c r="C99" i="21"/>
  <c r="C105" i="21"/>
  <c r="C141" i="21"/>
  <c r="C213" i="21"/>
  <c r="C132" i="21"/>
  <c r="C247" i="21"/>
  <c r="C339" i="21"/>
  <c r="C186" i="21"/>
  <c r="C333" i="21"/>
  <c r="C285" i="21"/>
  <c r="C345" i="21"/>
  <c r="C222" i="21"/>
  <c r="C249" i="21"/>
  <c r="C123" i="21"/>
  <c r="C240" i="21"/>
  <c r="C361" i="21"/>
  <c r="C101" i="21"/>
  <c r="C307" i="21"/>
  <c r="C337" i="21"/>
  <c r="C347" i="21"/>
  <c r="C103" i="21"/>
  <c r="C97" i="21"/>
  <c r="C353" i="21"/>
  <c r="C322" i="21"/>
  <c r="C335" i="21"/>
  <c r="C195" i="21"/>
  <c r="C318" i="21"/>
  <c r="C341" i="21"/>
  <c r="C343" i="21"/>
  <c r="C114" i="21"/>
  <c r="C355" i="21"/>
  <c r="C349" i="21"/>
  <c r="C351" i="21"/>
  <c r="C204" i="21"/>
  <c r="Q249" i="21" l="1"/>
  <c r="Q276" i="21"/>
  <c r="Q285" i="21"/>
  <c r="Q287" i="21"/>
  <c r="Q293" i="21"/>
  <c r="Q318" i="21"/>
  <c r="Q322" i="21"/>
  <c r="Q269" i="21"/>
  <c r="Q262" i="21"/>
  <c r="Q361" i="21"/>
  <c r="Q359" i="21"/>
  <c r="Q357" i="21"/>
  <c r="Q355" i="21"/>
  <c r="Q353" i="21"/>
  <c r="Q351" i="21"/>
  <c r="Q349" i="21"/>
  <c r="Q347" i="21"/>
  <c r="Q345" i="21"/>
  <c r="Q343" i="21"/>
  <c r="Q341" i="21"/>
  <c r="Q339" i="21"/>
  <c r="Q337" i="21"/>
  <c r="Q335" i="21"/>
  <c r="Q333" i="21"/>
  <c r="Q320" i="21"/>
  <c r="Q307" i="21"/>
  <c r="Q240" i="21"/>
  <c r="Q247" i="21"/>
  <c r="Q150" i="21"/>
  <c r="Q186" i="21"/>
  <c r="Q123" i="21"/>
  <c r="Q159" i="21"/>
  <c r="Q195" i="21"/>
  <c r="Q132" i="21"/>
  <c r="Q168" i="21"/>
  <c r="Q204" i="21"/>
  <c r="Q114" i="21"/>
  <c r="Q222" i="21"/>
  <c r="Q105" i="21"/>
  <c r="Q141" i="21"/>
  <c r="Q177" i="21"/>
  <c r="Q213" i="21"/>
  <c r="Q103" i="21"/>
  <c r="Q101" i="21"/>
  <c r="Q99" i="21"/>
  <c r="Q97" i="21"/>
  <c r="L84" i="21"/>
  <c r="P84" i="21"/>
  <c r="P87" i="21"/>
  <c r="Q87" i="21"/>
  <c r="L76" i="21"/>
  <c r="P76" i="21"/>
  <c r="P79" i="21"/>
  <c r="Q79" i="21"/>
  <c r="L68" i="21"/>
  <c r="P68" i="21"/>
  <c r="P71" i="21"/>
  <c r="Q71" i="21"/>
  <c r="L60" i="21"/>
  <c r="P60" i="21"/>
  <c r="P63" i="21"/>
  <c r="Q63" i="21"/>
  <c r="L54" i="21"/>
  <c r="P54" i="21"/>
  <c r="P57" i="21"/>
  <c r="Q57" i="21"/>
  <c r="L47" i="21"/>
  <c r="P47" i="21"/>
  <c r="P50" i="21"/>
  <c r="Q50" i="21"/>
  <c r="P53" i="21"/>
  <c r="Q53" i="21"/>
  <c r="L40" i="21"/>
  <c r="P40" i="21"/>
  <c r="P43" i="21"/>
  <c r="Q43" i="21"/>
  <c r="P46" i="21"/>
  <c r="Q46" i="21"/>
  <c r="L33" i="21"/>
  <c r="P33" i="21"/>
  <c r="P36" i="21"/>
  <c r="Q36" i="21"/>
  <c r="P39" i="21"/>
  <c r="Q39" i="21"/>
  <c r="L23" i="21"/>
  <c r="P23" i="21"/>
  <c r="P26" i="21"/>
  <c r="Q26" i="21"/>
  <c r="P29" i="21"/>
  <c r="Q29" i="21"/>
  <c r="L15" i="21"/>
  <c r="P15" i="21"/>
  <c r="P18" i="21"/>
  <c r="Q18" i="21"/>
  <c r="P21" i="21"/>
  <c r="Q21" i="21"/>
  <c r="L12" i="21"/>
  <c r="P12" i="21"/>
  <c r="P2" i="21"/>
  <c r="L2" i="21"/>
  <c r="C95" i="21"/>
  <c r="C54" i="21"/>
  <c r="C93" i="21"/>
  <c r="C23" i="21"/>
  <c r="C60" i="21"/>
  <c r="C76" i="21"/>
  <c r="C40" i="21"/>
  <c r="C12" i="21"/>
  <c r="C15" i="21"/>
  <c r="C2" i="21"/>
  <c r="C47" i="21"/>
  <c r="C68" i="21"/>
  <c r="C33" i="21"/>
  <c r="C84" i="21"/>
  <c r="Q54" i="21" l="1"/>
  <c r="Q47" i="21"/>
  <c r="Q40" i="21"/>
  <c r="Q33" i="21"/>
  <c r="Q60" i="21"/>
  <c r="Q68" i="21"/>
  <c r="Q76" i="21"/>
  <c r="Q84" i="21"/>
  <c r="Q93" i="21"/>
  <c r="Q95" i="21"/>
  <c r="Q15" i="21"/>
  <c r="Q23" i="21"/>
  <c r="Q12" i="21"/>
  <c r="Q2" i="21"/>
</calcChain>
</file>

<file path=xl/sharedStrings.xml><?xml version="1.0" encoding="utf-8"?>
<sst xmlns="http://schemas.openxmlformats.org/spreadsheetml/2006/main" count="1894" uniqueCount="448">
  <si>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</si>
  <si>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</si>
  <si>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</si>
  <si>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</si>
  <si>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</si>
  <si>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</si>
  <si>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</si>
  <si>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</si>
  <si>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</si>
  <si>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</si>
  <si>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</si>
  <si>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</si>
  <si>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</si>
  <si>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</si>
  <si>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</si>
  <si>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</si>
  <si>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</si>
  <si>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</si>
  <si>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</si>
  <si>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</si>
  <si>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</si>
  <si>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</si>
  <si>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</si>
  <si>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</si>
  <si>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</si>
  <si>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</si>
  <si>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</si>
  <si>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</si>
  <si>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</si>
  <si>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</si>
  <si>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</si>
  <si>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</si>
  <si>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</si>
  <si>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Default value</t>
  </si>
  <si>
    <t>Reg Name</t>
  </si>
  <si>
    <t>Sus Well</t>
  </si>
  <si>
    <t>Default</t>
  </si>
  <si>
    <t>RW</t>
  </si>
  <si>
    <t>1'b1</t>
  </si>
  <si>
    <t>Reg Soconline Offset</t>
  </si>
  <si>
    <t>user define</t>
  </si>
  <si>
    <t>2'b0</t>
  </si>
  <si>
    <t>3'b0</t>
  </si>
  <si>
    <t xml:space="preserve">Domain </t>
  </si>
  <si>
    <t>decoder pin</t>
  </si>
  <si>
    <t>5'b0</t>
  </si>
  <si>
    <t>4'b0</t>
  </si>
  <si>
    <t>SA ADDRESS</t>
  </si>
  <si>
    <t>Default Value(HEX)</t>
  </si>
  <si>
    <t>8'b0</t>
  </si>
  <si>
    <t>9'b0</t>
  </si>
  <si>
    <t>7'b0</t>
  </si>
  <si>
    <t>odac_range</t>
  </si>
  <si>
    <t>20'b0</t>
  </si>
  <si>
    <t>afe_inp_rtrm_slc</t>
  </si>
  <si>
    <t>rtrm_monen</t>
  </si>
  <si>
    <t>6'b0</t>
  </si>
  <si>
    <t>32'b0</t>
  </si>
  <si>
    <t>afe_st1_config</t>
  </si>
  <si>
    <t>afe_st2_config</t>
  </si>
  <si>
    <t>afe_st3_config</t>
  </si>
  <si>
    <t>local_bias_reg0</t>
  </si>
  <si>
    <t>d_master</t>
  </si>
  <si>
    <t>PMOS: MASTER</t>
  </si>
  <si>
    <t>d_50_0</t>
  </si>
  <si>
    <t>PMOS: ADC-LDO</t>
  </si>
  <si>
    <t>d_50_1</t>
  </si>
  <si>
    <t>PMOS: AFE</t>
  </si>
  <si>
    <t>d_50_2</t>
  </si>
  <si>
    <t>PMOS: TX-LDO</t>
  </si>
  <si>
    <t>d_50_3</t>
  </si>
  <si>
    <t>PMOS: RX-REFGEN</t>
  </si>
  <si>
    <t>d_100_0</t>
  </si>
  <si>
    <t>PMOS: TX-PLL</t>
  </si>
  <si>
    <t>d_100_1</t>
  </si>
  <si>
    <t>PMOS: TX-DRV</t>
  </si>
  <si>
    <t>d_100_2</t>
  </si>
  <si>
    <t>4'b0111</t>
  </si>
  <si>
    <t>local_bias_reg1</t>
  </si>
  <si>
    <t>d_100_3</t>
  </si>
  <si>
    <t>d_100_4</t>
  </si>
  <si>
    <t>d_100_5</t>
  </si>
  <si>
    <t>d_100_6</t>
  </si>
  <si>
    <t>d_100_7</t>
  </si>
  <si>
    <t>d_100_8</t>
  </si>
  <si>
    <t>d_100_9</t>
  </si>
  <si>
    <t>d_100_10</t>
  </si>
  <si>
    <t>local_bias_reg2</t>
  </si>
  <si>
    <t>d_100_11</t>
  </si>
  <si>
    <t>d_100_12</t>
  </si>
  <si>
    <t>d_100_13</t>
  </si>
  <si>
    <t>d_100_14</t>
  </si>
  <si>
    <t>d_100_15</t>
  </si>
  <si>
    <t>d_100_16</t>
  </si>
  <si>
    <t>d_100_17</t>
  </si>
  <si>
    <t>d_100_18</t>
  </si>
  <si>
    <t>local_bias_reg3</t>
  </si>
  <si>
    <t>d_100_19</t>
  </si>
  <si>
    <t>PMOS: TX-CLKPATH</t>
  </si>
  <si>
    <t>d_100_20</t>
  </si>
  <si>
    <t>PMOS: TX-SPARE</t>
  </si>
  <si>
    <t>d_100_21</t>
  </si>
  <si>
    <t>d_100_22</t>
  </si>
  <si>
    <t>d_100_23</t>
  </si>
  <si>
    <t>d_100_24</t>
  </si>
  <si>
    <t>d_100_25</t>
  </si>
  <si>
    <t>PMOS: DCO</t>
  </si>
  <si>
    <t>d_100_26</t>
  </si>
  <si>
    <t>PMOS: ADC-FFE</t>
  </si>
  <si>
    <t>local_bias_reg4</t>
  </si>
  <si>
    <t>d_100_27</t>
  </si>
  <si>
    <t>PMOS: ADC-SUMMER</t>
  </si>
  <si>
    <t>d_100_28</t>
  </si>
  <si>
    <t>d_400_0</t>
  </si>
  <si>
    <t>d_400_1</t>
  </si>
  <si>
    <t>d_400_2</t>
  </si>
  <si>
    <t>d_dcmon</t>
  </si>
  <si>
    <t>PMOS: LB - DCMON</t>
  </si>
  <si>
    <t>d_spare_50_0</t>
  </si>
  <si>
    <t>PMOS: LB - SPARES</t>
  </si>
  <si>
    <t>d_spare_50_1</t>
  </si>
  <si>
    <t>local_bias_reg5</t>
  </si>
  <si>
    <t>local_bias_reg6</t>
  </si>
  <si>
    <t>local_bias_reg7</t>
  </si>
  <si>
    <t>local_bias_reg8</t>
  </si>
  <si>
    <t>local_bias_reg9</t>
  </si>
  <si>
    <t>local_bias_reg10</t>
  </si>
  <si>
    <t>local_bias_reg11</t>
  </si>
  <si>
    <t>local_bias_reg12</t>
  </si>
  <si>
    <t>local_bias_reg13</t>
  </si>
  <si>
    <t>d_spare_50_2</t>
  </si>
  <si>
    <t>d_spare_50_3</t>
  </si>
  <si>
    <t>d_spare_50_4</t>
  </si>
  <si>
    <t>d_spare_50_5</t>
  </si>
  <si>
    <t>d_spare_50_6</t>
  </si>
  <si>
    <t>d_spare_50_7</t>
  </si>
  <si>
    <t>d_spare_50_8</t>
  </si>
  <si>
    <t>d_spare_50_9</t>
  </si>
  <si>
    <t>d_spare_50_10</t>
  </si>
  <si>
    <t>d_spare_50_11</t>
  </si>
  <si>
    <t>d_spare_50_12</t>
  </si>
  <si>
    <t>d_spare_50_13</t>
  </si>
  <si>
    <t>d_spare_50_14</t>
  </si>
  <si>
    <t>d_spare_50_15</t>
  </si>
  <si>
    <t>d_spare_50_16</t>
  </si>
  <si>
    <t>d_spare_50_17</t>
  </si>
  <si>
    <t>NMOS: MASTER</t>
  </si>
  <si>
    <t>NMOS: ADC-PREBUFFER</t>
  </si>
  <si>
    <t>d_50_4</t>
  </si>
  <si>
    <t>NMOS: RX-COMPARATOR</t>
  </si>
  <si>
    <t>d_50_5</t>
  </si>
  <si>
    <t>NMOS: PHASE DETECTOR</t>
  </si>
  <si>
    <t>d_50_6</t>
  </si>
  <si>
    <t>NMOS: AFE</t>
  </si>
  <si>
    <t>NMOS: TX-PLL</t>
  </si>
  <si>
    <t>NMOS: TX-DRV</t>
  </si>
  <si>
    <t>NMOS: DCO</t>
  </si>
  <si>
    <t>d_200_0</t>
  </si>
  <si>
    <t>NMOS: LB-PMOS REF</t>
  </si>
  <si>
    <t>d_200_1</t>
  </si>
  <si>
    <t>d_200_2</t>
  </si>
  <si>
    <t>d_200_3</t>
  </si>
  <si>
    <t>d_200_4</t>
  </si>
  <si>
    <t>NMOS: LB - DCMON</t>
  </si>
  <si>
    <t>NMOS: LB - SPARES</t>
  </si>
  <si>
    <t>d_spare_100_0</t>
  </si>
  <si>
    <t>d_spare_100_1</t>
  </si>
  <si>
    <t>d_spare_200_0</t>
  </si>
  <si>
    <t>d_spare_200_1</t>
  </si>
  <si>
    <t>float</t>
  </si>
  <si>
    <t>en_dcmon0</t>
  </si>
  <si>
    <t>PMOS: DCMON - en</t>
  </si>
  <si>
    <t>en_dcmon1</t>
  </si>
  <si>
    <t>en_dcmon_cur0</t>
  </si>
  <si>
    <t>en_dcmon_cur1</t>
  </si>
  <si>
    <t>NMOS: DCMON -  en</t>
  </si>
  <si>
    <t>reg_spare0</t>
  </si>
  <si>
    <t>reg_2f0p</t>
  </si>
  <si>
    <t>reg_2f0n</t>
  </si>
  <si>
    <t>reg_afc</t>
  </si>
  <si>
    <t>9'b001100000</t>
  </si>
  <si>
    <t>9'b010100000</t>
  </si>
  <si>
    <t>reg_spare1</t>
  </si>
  <si>
    <t>reg_bti_clkgate</t>
  </si>
  <si>
    <t>29'b0</t>
  </si>
  <si>
    <t>reg_spare2</t>
  </si>
  <si>
    <t>float_0</t>
  </si>
  <si>
    <t>float_1</t>
  </si>
  <si>
    <t>float_2</t>
  </si>
  <si>
    <t>float_3</t>
  </si>
  <si>
    <t>en_acmp</t>
  </si>
  <si>
    <t>en_amon</t>
  </si>
  <si>
    <t>rgen_bitrm1p0</t>
  </si>
  <si>
    <t>rgen_bvtrm1p0</t>
  </si>
  <si>
    <t>3'b010</t>
  </si>
  <si>
    <t>odac_en</t>
  </si>
  <si>
    <t>nocon</t>
  </si>
  <si>
    <t>C</t>
  </si>
  <si>
    <t>1C</t>
  </si>
  <si>
    <t>2C</t>
  </si>
  <si>
    <t>3C</t>
  </si>
  <si>
    <t>5'b00011</t>
  </si>
  <si>
    <t>4'b0000</t>
  </si>
  <si>
    <t>spare</t>
  </si>
  <si>
    <t>Setting maximum current from supply for CM Keeper output</t>
  </si>
  <si>
    <t>Setting maximum current to ground for CM Keeper output</t>
  </si>
  <si>
    <t>4C</t>
  </si>
  <si>
    <t>14'b0</t>
  </si>
  <si>
    <t>3'b100</t>
  </si>
  <si>
    <t>5C</t>
  </si>
  <si>
    <t>6C</t>
  </si>
  <si>
    <t>7C</t>
  </si>
  <si>
    <t>afe_amon_reg_sp</t>
  </si>
  <si>
    <t>inp_monen</t>
  </si>
  <si>
    <t>rgen_monen</t>
  </si>
  <si>
    <t>st1_monen</t>
  </si>
  <si>
    <t>st2_monen</t>
  </si>
  <si>
    <t>st3_monen</t>
  </si>
  <si>
    <t>afe_amon</t>
  </si>
  <si>
    <t>afe_refgen_1</t>
  </si>
  <si>
    <t>afe_bias_reg_sp</t>
  </si>
  <si>
    <t>bias_en_iref</t>
  </si>
  <si>
    <t>afe_bivcm</t>
  </si>
  <si>
    <t>afe_bivcm_reg_sp</t>
  </si>
  <si>
    <t>st1_bivcm_p</t>
  </si>
  <si>
    <t>st1_bivcm_n</t>
  </si>
  <si>
    <t>st2_bivcm_p</t>
  </si>
  <si>
    <t>st2_bivcm_n</t>
  </si>
  <si>
    <t>st3_bivcm_p</t>
  </si>
  <si>
    <t>st3_bivcm_n</t>
  </si>
  <si>
    <t>afe_inp_rtrm_reg_sp</t>
  </si>
  <si>
    <t>in_bypass</t>
  </si>
  <si>
    <t>inp_trmc</t>
  </si>
  <si>
    <t>inp_trmp0</t>
  </si>
  <si>
    <t>inp_trmp1</t>
  </si>
  <si>
    <t>inp_trmp2</t>
  </si>
  <si>
    <t>rtrm_vcm_swt</t>
  </si>
  <si>
    <t>rtrm_btune</t>
  </si>
  <si>
    <t>afe_slicer_in</t>
  </si>
  <si>
    <t>afe_odac_0_reg_sp</t>
  </si>
  <si>
    <t>odac1_gmsb</t>
  </si>
  <si>
    <t>odac2_gmsb</t>
  </si>
  <si>
    <t>odac3_gmsb</t>
  </si>
  <si>
    <t>afe_odac_1_reg_sp</t>
  </si>
  <si>
    <t>odac1_glsb</t>
  </si>
  <si>
    <t>odac2_glsb</t>
  </si>
  <si>
    <t>odac3_glsb</t>
  </si>
  <si>
    <t>odac1_gdmc</t>
  </si>
  <si>
    <t>odac2_gdmc</t>
  </si>
  <si>
    <t>afe_refgen_0_reg_sp</t>
  </si>
  <si>
    <t>rgen_bvcmprt1p0</t>
  </si>
  <si>
    <t>rgen_bitrm0p5</t>
  </si>
  <si>
    <t>rgen_bvtrm0p5</t>
  </si>
  <si>
    <t>afe_refgen_1_reg_sp</t>
  </si>
  <si>
    <t>rgen_bsel3</t>
  </si>
  <si>
    <t>rgen_bsel2</t>
  </si>
  <si>
    <t>rgen_bsel1</t>
  </si>
  <si>
    <t>rgen_bseli</t>
  </si>
  <si>
    <t>afe_odac_1</t>
  </si>
  <si>
    <t>afe_odac_0</t>
  </si>
  <si>
    <t>afe_refgen_0</t>
  </si>
  <si>
    <t>afe_st1_sd_config</t>
  </si>
  <si>
    <t>afe_st1_config_0_reg_sp</t>
  </si>
  <si>
    <t>st1_en_vcmbf</t>
  </si>
  <si>
    <t>st1_bctune</t>
  </si>
  <si>
    <t>st1_grload</t>
  </si>
  <si>
    <t>st1_vcmnshift</t>
  </si>
  <si>
    <t>st1_ggain_p</t>
  </si>
  <si>
    <t>st1_ggain_n</t>
  </si>
  <si>
    <t>afe_st2_config_reg_sp</t>
  </si>
  <si>
    <t>st2_en_vcmbf</t>
  </si>
  <si>
    <t>st2_bctune</t>
  </si>
  <si>
    <t>st2_brload</t>
  </si>
  <si>
    <t>st2_vcmshift</t>
  </si>
  <si>
    <t>st2_ggain_p</t>
  </si>
  <si>
    <t>st2_ggain_n</t>
  </si>
  <si>
    <t>afe_st3_config_reg_sp</t>
  </si>
  <si>
    <t>st3_en_vcmbf</t>
  </si>
  <si>
    <t>st3_bctune</t>
  </si>
  <si>
    <t>st3_brload</t>
  </si>
  <si>
    <t>st3_vcmshift</t>
  </si>
  <si>
    <t>st3_ggain_p</t>
  </si>
  <si>
    <t>st3_ggain_n</t>
  </si>
  <si>
    <t>swresp_r_gray</t>
  </si>
  <si>
    <t>swresp_l_gray</t>
  </si>
  <si>
    <t>swresn_r_gray</t>
  </si>
  <si>
    <t>swresn_l_gray</t>
  </si>
  <si>
    <t>swcapp_r_gray</t>
  </si>
  <si>
    <t>swcapp_l_gray</t>
  </si>
  <si>
    <t>swcapn_r_gray</t>
  </si>
  <si>
    <t>swcapn_l_gray</t>
  </si>
  <si>
    <t>afe_spare_0</t>
  </si>
  <si>
    <t>afe_spare_1</t>
  </si>
  <si>
    <t>16'b0</t>
  </si>
  <si>
    <t>19'b0</t>
  </si>
  <si>
    <t>13'b0</t>
  </si>
  <si>
    <t>15'b0</t>
  </si>
  <si>
    <t>refgen_adcfe</t>
  </si>
  <si>
    <t>ffe_cm_in_vref</t>
  </si>
  <si>
    <t>ffe_cm_out_vref</t>
  </si>
  <si>
    <t>ffe_cas_vref</t>
  </si>
  <si>
    <t>prebuf_cm_in_vref</t>
  </si>
  <si>
    <t>prebuf_cm_out_vref</t>
  </si>
  <si>
    <t>ldo_pi_vref_1</t>
  </si>
  <si>
    <t>ldo_pi_vref_0</t>
  </si>
  <si>
    <t>pi_pd_out</t>
  </si>
  <si>
    <t>pi_vp_15</t>
  </si>
  <si>
    <t>pi_and_pi_ldo</t>
  </si>
  <si>
    <t>pi_vref_1</t>
  </si>
  <si>
    <t>pi_vn_0</t>
  </si>
  <si>
    <t>pi_vn_4</t>
  </si>
  <si>
    <t>pi_vn_3</t>
  </si>
  <si>
    <t>pi_vn_2</t>
  </si>
  <si>
    <t>pi_vn_1</t>
  </si>
  <si>
    <t>pi_vn_9</t>
  </si>
  <si>
    <t>pi_vn_8</t>
  </si>
  <si>
    <t>pi_vn_7</t>
  </si>
  <si>
    <t>pi_vn_6</t>
  </si>
  <si>
    <t>pi_vn_5</t>
  </si>
  <si>
    <t>pi_vref_2</t>
  </si>
  <si>
    <t>pi_vref_3</t>
  </si>
  <si>
    <t>pi_vp_14</t>
  </si>
  <si>
    <t>pi_vp_13</t>
  </si>
  <si>
    <t>pi_vp_12</t>
  </si>
  <si>
    <t>pi_vp_11</t>
  </si>
  <si>
    <t>pi_vp_10</t>
  </si>
  <si>
    <t>comparator_reg</t>
  </si>
  <si>
    <t>comparator_sp</t>
  </si>
  <si>
    <t>en</t>
  </si>
  <si>
    <t>pre_cmp_selp</t>
  </si>
  <si>
    <t>pre_cmp_seln</t>
  </si>
  <si>
    <t>ofstp_sgn</t>
  </si>
  <si>
    <t>ofstp</t>
  </si>
  <si>
    <t>ofstn_sgn</t>
  </si>
  <si>
    <t>ofstn</t>
  </si>
  <si>
    <t>comparator_sp_reg</t>
  </si>
  <si>
    <t>postbuff_ffe_gm</t>
  </si>
  <si>
    <t>ffe_gm_vref_3</t>
  </si>
  <si>
    <t>ffe_gm_vref_2</t>
  </si>
  <si>
    <t>ffe_gm_vref_1</t>
  </si>
  <si>
    <t>ffe_gm_vref_0</t>
  </si>
  <si>
    <t>ldo_th1_porvref</t>
  </si>
  <si>
    <t>ldo_th2_boostvref</t>
  </si>
  <si>
    <t>ldo_sar_vref_0</t>
  </si>
  <si>
    <t>adc_opc_high_vref</t>
  </si>
  <si>
    <t>adc_opc_low_vref</t>
  </si>
  <si>
    <t>cmp_vref</t>
  </si>
  <si>
    <t>vref_ldo_rx</t>
  </si>
  <si>
    <t>vref_ldo_tx</t>
  </si>
  <si>
    <t>ldo_tx_clk_path_vref_1</t>
  </si>
  <si>
    <t>ldo_tx_clk_path_vref_0</t>
  </si>
  <si>
    <t>ldo_dco_vref_1</t>
  </si>
  <si>
    <t>ldo_dco_vref_0</t>
  </si>
  <si>
    <t>DCO calibration</t>
  </si>
  <si>
    <t>DCO config</t>
  </si>
  <si>
    <t>reg_fine_prop_divsel</t>
  </si>
  <si>
    <t>amon</t>
  </si>
  <si>
    <t>dcmon_en</t>
  </si>
  <si>
    <t>afe_dcmon_en</t>
  </si>
  <si>
    <t>vref_dcmon_en</t>
  </si>
  <si>
    <t>lclbias_dcmon_en</t>
  </si>
  <si>
    <t>divtop_dcmon_en</t>
  </si>
  <si>
    <t>prebuf_dcmon_en</t>
  </si>
  <si>
    <t>pstbuf_dcmon_en</t>
  </si>
  <si>
    <t>tx_dcmon_en</t>
  </si>
  <si>
    <t>0p75v regulator reference select; default value Vcc1p5/2; step 75mV</t>
  </si>
  <si>
    <t>Stage CM reference select; default value Vcc1p5/2;step 12.5mV</t>
  </si>
  <si>
    <t>Offset DAC msb bit control (Gray Code)</t>
  </si>
  <si>
    <t>Offset DAC lsb bit control (Gray Code)</t>
  </si>
  <si>
    <t>Offset DAC enable</t>
  </si>
  <si>
    <t>comp_en</t>
  </si>
  <si>
    <t>enable amon output to cmp</t>
  </si>
  <si>
    <t xml:space="preserve">enable amon output </t>
  </si>
  <si>
    <t>enable afe to amon</t>
  </si>
  <si>
    <t>enable refgen to amon</t>
  </si>
  <si>
    <t>enable lcl bias to amon</t>
  </si>
  <si>
    <t>anable divtop to amon</t>
  </si>
  <si>
    <t>enable prebuf to amon</t>
  </si>
  <si>
    <t>enable postbuf to amon</t>
  </si>
  <si>
    <t>aenable tx to amon</t>
  </si>
  <si>
    <t>increases ODAC range by 2 (decrease resolution by 2)</t>
  </si>
  <si>
    <t>enable reference currents</t>
  </si>
  <si>
    <t>lowest Offset DAC current resolution</t>
  </si>
  <si>
    <t>0p75v regulator maximum output stage current select</t>
  </si>
  <si>
    <t>na</t>
  </si>
  <si>
    <t>1V (vcc_1p5 * 2/3) protection trim. Resolution is 50mV.</t>
  </si>
  <si>
    <r>
      <t>3'b</t>
    </r>
    <r>
      <rPr>
        <sz val="11"/>
        <color rgb="FF000000"/>
        <rFont val="Calibri"/>
        <family val="2"/>
      </rPr>
      <t>0</t>
    </r>
  </si>
  <si>
    <t>5'b1</t>
  </si>
  <si>
    <r>
      <t>5'b</t>
    </r>
    <r>
      <rPr>
        <sz val="11"/>
        <color rgb="FF000000"/>
        <rFont val="Calibri"/>
        <family val="2"/>
      </rPr>
      <t>0</t>
    </r>
  </si>
  <si>
    <t>enable CM keeper</t>
  </si>
  <si>
    <t>noConn</t>
  </si>
  <si>
    <t>6'b110000</t>
  </si>
  <si>
    <t>trim Rload, GRAY encoding</t>
  </si>
  <si>
    <t>6'b010000</t>
  </si>
  <si>
    <t>trim Rload, binary encoding</t>
  </si>
  <si>
    <t>shift CM during gain control</t>
  </si>
  <si>
    <t>gain control- pmos, GRAY encoding</t>
  </si>
  <si>
    <t>gain control- nmos, GRAY encoding</t>
  </si>
  <si>
    <t>4'b1000</t>
  </si>
  <si>
    <t>SD res ctl, GRAY encoding, logical high is received by switch's gate in series with resistor</t>
  </si>
  <si>
    <t>SD cap ctl, GRAY encoding, logical high is received by switch's gate in series with capacitor</t>
  </si>
  <si>
    <t>enable afe outputs to cmp</t>
  </si>
  <si>
    <t>enable afe outputs to dcmon</t>
  </si>
  <si>
    <t>input network to amon enable</t>
  </si>
  <si>
    <t>refgen to amon enable</t>
  </si>
  <si>
    <t>rtrm to amon enable</t>
  </si>
  <si>
    <t>st1 to amon enable</t>
  </si>
  <si>
    <t>st2 to amon enable</t>
  </si>
  <si>
    <t>st3 to amon enable</t>
  </si>
  <si>
    <t>5'b10000</t>
  </si>
  <si>
    <t>spares</t>
  </si>
  <si>
    <t>sel_adcffe_4 - 600mV to 850mV</t>
  </si>
  <si>
    <t>sel_adcffe_3 - 600mV to 850mV</t>
  </si>
  <si>
    <t>sel_adcffe_2 - 600mV to 850mV</t>
  </si>
  <si>
    <t>sel_adcffe_1 - 500mV to 845mV</t>
  </si>
  <si>
    <t>sel_adcffe_0 - 200mV to 500mV</t>
  </si>
  <si>
    <t>6'b000011</t>
  </si>
  <si>
    <t>6'b000101</t>
  </si>
  <si>
    <t>6'b000100</t>
  </si>
  <si>
    <t>sel_ldoth2_0 - 650mV to 800mV</t>
  </si>
  <si>
    <t>sel_ldoth1_0 - 850mV to 900mV</t>
  </si>
  <si>
    <t>sel_ldosar_1 - 500mV to 800mV</t>
  </si>
  <si>
    <t>sel_ldosar_0  - 500mV to 800mV</t>
  </si>
  <si>
    <t>sel_ldopi_1 - 750mV to 850mV</t>
  </si>
  <si>
    <t>sel_ldopi_0 - 650mV to 750mV</t>
  </si>
  <si>
    <t>pi vref control (in next release this reference voltage will be generated in a dedicated refgen)</t>
  </si>
  <si>
    <t>6'b011111</t>
  </si>
  <si>
    <t>DCO DFX</t>
  </si>
  <si>
    <t>ldo tx vref</t>
  </si>
  <si>
    <t>ldo dco vref</t>
  </si>
  <si>
    <t>8'b01111111</t>
  </si>
  <si>
    <t>sar vref</t>
  </si>
  <si>
    <t>cmp vref</t>
  </si>
  <si>
    <t>ffe unit 0 vref</t>
  </si>
  <si>
    <t>ffe unit 1 vref</t>
  </si>
  <si>
    <t>ffe unit 2 vref</t>
  </si>
  <si>
    <t>ffe unit 3 vref</t>
  </si>
  <si>
    <t>pd vref(in next release this reference voltage will be generated in a dedicated refgen)</t>
  </si>
  <si>
    <t>2'b11</t>
  </si>
  <si>
    <t>comparator en</t>
  </si>
  <si>
    <t>abs value of ofset calibration</t>
  </si>
  <si>
    <t>sign of ofset calibration</t>
  </si>
  <si>
    <t>comparator p input select</t>
  </si>
  <si>
    <t>comparator n input select</t>
  </si>
  <si>
    <t>8'b10000000</t>
  </si>
  <si>
    <t>6'b100000</t>
  </si>
  <si>
    <t>10'b1000000000</t>
  </si>
  <si>
    <t>GRAY CODE, termination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</si>
</sst>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0"/>
      <name val="Neo Sans Intel"/>
      <family val="2"/>
    </font>
    <font>
      <sz val="11"/>
      <color rgb="FF000000"/>
      <name val="Calibri"/>
      <family val="2"/>
    </font>
    <font>
      <b/>
      <sz val="11"/>
      <color theme="5" tint="-0.249977111117893"/>
      <name val="Calibri"/>
      <family val="2"/>
    </font>
  </fonts>
  <fills count="30">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BBF2FD"/>
        <bgColor indexed="26"/>
      </patternFill>
    </fill>
    <fill>
      <patternFill patternType="solid">
        <fgColor rgb="FFBBF2FD"/>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top style="medium">
        <color indexed="64"/>
      </top>
      <bottom/>
      <diagonal/>
    </border>
  </borders>
  <cellStyleXfs count="59">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8" borderId="0" applyNumberFormat="0" applyBorder="0" applyAlignment="0" applyProtection="0"/>
    <xf numFmtId="0" fontId="20"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5" fillId="0" borderId="0"/>
    <xf numFmtId="0" fontId="15" fillId="0" borderId="0"/>
    <xf numFmtId="0" fontId="21" fillId="0" borderId="0"/>
    <xf numFmtId="0" fontId="20" fillId="23" borderId="7" applyNumberForma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4" fillId="24" borderId="0" applyNumberFormat="0" applyBorder="0" applyAlignment="0" applyProtection="0"/>
    <xf numFmtId="0" fontId="25" fillId="25" borderId="12" applyNumberFormat="0" applyAlignment="0" applyProtection="0"/>
    <xf numFmtId="0" fontId="16" fillId="20" borderId="21" applyNumberFormat="0" applyAlignment="0" applyProtection="0"/>
    <xf numFmtId="0" fontId="20" fillId="23" borderId="20" applyNumberFormat="0" applyAlignment="0" applyProtection="0"/>
    <xf numFmtId="0" fontId="18" fillId="0" borderId="26" applyNumberFormat="0" applyFill="0" applyAlignment="0" applyProtection="0"/>
    <xf numFmtId="0" fontId="16" fillId="20" borderId="25" applyNumberFormat="0" applyAlignment="0" applyProtection="0"/>
    <xf numFmtId="0" fontId="20" fillId="23" borderId="24" applyNumberFormat="0" applyAlignment="0" applyProtection="0"/>
    <xf numFmtId="0" fontId="12" fillId="7" borderId="19" applyNumberFormat="0" applyAlignment="0" applyProtection="0"/>
    <xf numFmtId="0" fontId="12" fillId="7" borderId="23" applyNumberFormat="0" applyAlignment="0" applyProtection="0"/>
    <xf numFmtId="0" fontId="5" fillId="20" borderId="19" applyNumberFormat="0" applyAlignment="0" applyProtection="0"/>
    <xf numFmtId="0" fontId="5" fillId="20" borderId="23" applyNumberFormat="0" applyAlignment="0" applyProtection="0"/>
    <xf numFmtId="0" fontId="2" fillId="0" borderId="0"/>
    <xf numFmtId="0" fontId="18" fillId="0" borderId="22" applyNumberFormat="0" applyFill="0" applyAlignment="0" applyProtection="0"/>
    <xf numFmtId="0" fontId="1" fillId="0" borderId="0"/>
  </cellStyleXfs>
  <cellXfs count="82">
    <xf numFmtId="0" fontId="0" fillId="0" borderId="0" xfId="0"/>
    <xf numFmtId="0" fontId="0" fillId="0" borderId="0" xfId="0" applyFill="1" applyBorder="1" applyAlignment="1">
      <alignment wrapText="1"/>
    </xf>
    <xf numFmtId="0" fontId="0" fillId="0" borderId="0" xfId="0" applyBorder="1"/>
    <xf numFmtId="0" fontId="0" fillId="0" borderId="14" xfId="0" applyBorder="1"/>
    <xf numFmtId="0" fontId="0" fillId="0" borderId="15" xfId="0" applyBorder="1"/>
    <xf numFmtId="0" fontId="0" fillId="0" borderId="10" xfId="0" applyBorder="1"/>
    <xf numFmtId="0" fontId="0" fillId="0" borderId="11" xfId="0" applyBorder="1"/>
    <xf numFmtId="0" fontId="0" fillId="0" borderId="16" xfId="0" applyBorder="1"/>
    <xf numFmtId="0" fontId="0" fillId="0" borderId="17" xfId="0" applyBorder="1"/>
    <xf numFmtId="0" fontId="0" fillId="0" borderId="18" xfId="0" applyBorder="1"/>
    <xf numFmtId="0" fontId="0" fillId="0" borderId="13" xfId="0" applyBorder="1"/>
    <xf numFmtId="0" fontId="23" fillId="27" borderId="37" xfId="36" applyNumberFormat="1" applyFont="1" applyFill="1" applyBorder="1" applyAlignment="1" applyProtection="1">
      <alignment horizontal="center" vertical="center" wrapText="1"/>
    </xf>
    <xf numFmtId="0" fontId="23" fillId="27" borderId="28" xfId="36" applyNumberFormat="1" applyFont="1" applyFill="1" applyBorder="1" applyAlignment="1" applyProtection="1">
      <alignment horizontal="center" vertical="center" wrapText="1"/>
    </xf>
    <xf numFmtId="0" fontId="23" fillId="27" borderId="44" xfId="36" applyNumberFormat="1" applyFont="1" applyFill="1" applyBorder="1" applyAlignment="1" applyProtection="1">
      <alignment horizontal="center" vertical="center" wrapText="1"/>
    </xf>
    <xf numFmtId="0" fontId="23" fillId="27" borderId="35" xfId="36" applyNumberFormat="1" applyFont="1" applyFill="1" applyBorder="1" applyAlignment="1" applyProtection="1">
      <alignment horizontal="center" vertical="center" wrapText="1"/>
    </xf>
    <xf numFmtId="0" fontId="23" fillId="27" borderId="45" xfId="36" applyNumberFormat="1" applyFont="1" applyFill="1" applyBorder="1" applyAlignment="1" applyProtection="1">
      <alignment horizontal="center" vertical="center" wrapText="1"/>
    </xf>
    <xf numFmtId="0" fontId="23" fillId="27" borderId="27" xfId="36" applyNumberFormat="1" applyFont="1" applyFill="1" applyBorder="1" applyAlignment="1" applyProtection="1">
      <alignment horizontal="center" vertical="center" wrapText="1"/>
    </xf>
    <xf numFmtId="0" fontId="0" fillId="0" borderId="48" xfId="0" applyBorder="1"/>
    <xf numFmtId="0" fontId="0" fillId="0" borderId="52" xfId="0" applyBorder="1"/>
    <xf numFmtId="0" fontId="0" fillId="0" borderId="49" xfId="0" applyBorder="1"/>
    <xf numFmtId="49" fontId="0" fillId="0" borderId="49" xfId="0" applyNumberFormat="1" applyBorder="1"/>
    <xf numFmtId="0" fontId="0" fillId="0" borderId="31" xfId="0" applyBorder="1"/>
    <xf numFmtId="0" fontId="0" fillId="0" borderId="27" xfId="0" applyBorder="1"/>
    <xf numFmtId="49" fontId="22" fillId="0" borderId="52" xfId="0" applyNumberFormat="1" applyFont="1" applyFill="1" applyBorder="1" applyAlignment="1">
      <alignment horizontal="center" vertical="center" wrapText="1"/>
    </xf>
    <xf numFmtId="0" fontId="26" fillId="0" borderId="52" xfId="37" applyFont="1" applyBorder="1" applyAlignment="1">
      <alignment horizontal="center" vertical="center" wrapText="1"/>
    </xf>
    <xf numFmtId="0" fontId="22" fillId="0" borderId="52" xfId="0" applyFont="1" applyBorder="1" applyAlignment="1">
      <alignment horizontal="center" vertical="center" wrapText="1"/>
    </xf>
    <xf numFmtId="0" fontId="22" fillId="26" borderId="50" xfId="0" applyFont="1" applyFill="1" applyBorder="1" applyAlignment="1">
      <alignment horizontal="center" vertical="center" wrapText="1"/>
    </xf>
    <xf numFmtId="0" fontId="22" fillId="26" borderId="31" xfId="0" applyFont="1" applyFill="1" applyBorder="1" applyAlignment="1">
      <alignment horizontal="center" vertical="center" wrapText="1"/>
    </xf>
    <xf numFmtId="0" fontId="22" fillId="26" borderId="52" xfId="0" applyFont="1" applyFill="1" applyBorder="1" applyAlignment="1">
      <alignment horizontal="center" vertical="center" wrapText="1"/>
    </xf>
    <xf numFmtId="0" fontId="22" fillId="26" borderId="54" xfId="0" applyFont="1" applyFill="1" applyBorder="1" applyAlignment="1">
      <alignment horizontal="center" vertical="center" wrapText="1"/>
    </xf>
    <xf numFmtId="0" fontId="22" fillId="26" borderId="55" xfId="0" applyFont="1" applyFill="1" applyBorder="1" applyAlignment="1">
      <alignment horizontal="center" vertical="center" wrapText="1"/>
    </xf>
    <xf numFmtId="0" fontId="0" fillId="0" borderId="51" xfId="0" applyFill="1" applyBorder="1" applyAlignment="1">
      <alignment wrapText="1"/>
    </xf>
    <xf numFmtId="49" fontId="22" fillId="26" borderId="52" xfId="0" applyNumberFormat="1" applyFont="1" applyFill="1" applyBorder="1" applyAlignment="1">
      <alignment horizontal="center" vertical="center" wrapText="1"/>
    </xf>
    <xf numFmtId="0" fontId="23" fillId="27" borderId="32" xfId="36" applyNumberFormat="1" applyFont="1" applyFill="1" applyBorder="1" applyAlignment="1" applyProtection="1">
      <alignment horizontal="center" vertical="center" wrapText="1"/>
    </xf>
    <xf numFmtId="0" fontId="22" fillId="26" borderId="58" xfId="0" applyFont="1" applyFill="1" applyBorder="1" applyAlignment="1">
      <alignment horizontal="center" vertical="center" wrapText="1"/>
    </xf>
    <xf numFmtId="0" fontId="22" fillId="26" borderId="30" xfId="0" applyFont="1" applyFill="1" applyBorder="1" applyAlignment="1">
      <alignment horizontal="center" vertical="center" wrapText="1"/>
    </xf>
    <xf numFmtId="0" fontId="0" fillId="0" borderId="49" xfId="0" applyFont="1" applyBorder="1"/>
    <xf numFmtId="0" fontId="23" fillId="27" borderId="32" xfId="36" applyNumberFormat="1" applyFont="1" applyFill="1" applyBorder="1" applyAlignment="1" applyProtection="1">
      <alignment horizontal="center" vertical="center" wrapText="1"/>
    </xf>
    <xf numFmtId="0" fontId="23" fillId="27" borderId="28" xfId="36" applyNumberFormat="1" applyFont="1" applyFill="1" applyBorder="1" applyAlignment="1" applyProtection="1">
      <alignment horizontal="center" vertical="center" wrapText="1"/>
    </xf>
    <xf numFmtId="0" fontId="23" fillId="27" borderId="27" xfId="36" applyNumberFormat="1" applyFont="1" applyFill="1" applyBorder="1" applyAlignment="1" applyProtection="1">
      <alignment horizontal="center" vertical="center" wrapText="1"/>
    </xf>
    <xf numFmtId="0" fontId="23" fillId="22" borderId="48" xfId="36" applyNumberFormat="1" applyFont="1" applyBorder="1" applyAlignment="1" applyProtection="1">
      <alignment horizontal="center" vertical="center" wrapText="1"/>
    </xf>
    <xf numFmtId="0" fontId="23" fillId="22" borderId="49" xfId="36" applyNumberFormat="1" applyFont="1" applyBorder="1" applyAlignment="1" applyProtection="1">
      <alignment horizontal="center" vertical="center" wrapText="1"/>
    </xf>
    <xf numFmtId="0" fontId="28" fillId="29" borderId="47" xfId="0" applyFont="1" applyFill="1" applyBorder="1" applyAlignment="1">
      <alignment horizontal="center" vertical="center"/>
    </xf>
    <xf numFmtId="0" fontId="28" fillId="29" borderId="56" xfId="0" applyFont="1" applyFill="1" applyBorder="1" applyAlignment="1">
      <alignment horizontal="center" vertical="center"/>
    </xf>
    <xf numFmtId="0" fontId="28" fillId="29" borderId="49" xfId="0" applyFont="1" applyFill="1" applyBorder="1" applyAlignment="1">
      <alignment horizontal="center" vertical="center"/>
    </xf>
    <xf numFmtId="0" fontId="28" fillId="29" borderId="32" xfId="0" applyFont="1" applyFill="1" applyBorder="1" applyAlignment="1">
      <alignment horizontal="center" vertical="center"/>
    </xf>
    <xf numFmtId="0" fontId="28" fillId="29" borderId="28" xfId="0" applyFont="1" applyFill="1" applyBorder="1" applyAlignment="1">
      <alignment horizontal="center" vertical="center"/>
    </xf>
    <xf numFmtId="0" fontId="28" fillId="29" borderId="27" xfId="0" applyFont="1" applyFill="1" applyBorder="1" applyAlignment="1">
      <alignment horizontal="center" vertical="center"/>
    </xf>
    <xf numFmtId="0" fontId="23" fillId="27" borderId="46" xfId="36" applyNumberFormat="1" applyFont="1" applyFill="1" applyBorder="1" applyAlignment="1" applyProtection="1">
      <alignment horizontal="center" vertical="center" wrapText="1"/>
    </xf>
    <xf numFmtId="0" fontId="23" fillId="27" borderId="57" xfId="36" applyNumberFormat="1" applyFont="1" applyFill="1" applyBorder="1" applyAlignment="1" applyProtection="1">
      <alignment horizontal="center" vertical="center" wrapText="1"/>
    </xf>
    <xf numFmtId="0" fontId="23" fillId="27" borderId="53" xfId="36" applyNumberFormat="1" applyFont="1" applyFill="1" applyBorder="1" applyAlignment="1" applyProtection="1">
      <alignment horizontal="center" vertical="center" wrapText="1"/>
    </xf>
    <xf numFmtId="0" fontId="23" fillId="27" borderId="35" xfId="36" applyNumberFormat="1" applyFont="1" applyFill="1" applyBorder="1" applyAlignment="1" applyProtection="1">
      <alignment horizontal="center" vertical="center" wrapText="1"/>
    </xf>
    <xf numFmtId="0" fontId="23" fillId="27" borderId="45" xfId="36" applyNumberFormat="1" applyFont="1" applyFill="1" applyBorder="1" applyAlignment="1" applyProtection="1">
      <alignment horizontal="center" vertical="center" wrapText="1"/>
    </xf>
    <xf numFmtId="0" fontId="23" fillId="22" borderId="53" xfId="36" applyNumberFormat="1" applyFont="1" applyBorder="1" applyAlignment="1" applyProtection="1">
      <alignment horizontal="center" vertical="center" wrapText="1"/>
    </xf>
    <xf numFmtId="0" fontId="23" fillId="27" borderId="37" xfId="36" applyNumberFormat="1" applyFont="1" applyFill="1" applyBorder="1" applyAlignment="1" applyProtection="1">
      <alignment horizontal="center" vertical="center" wrapText="1"/>
    </xf>
    <xf numFmtId="0" fontId="23" fillId="27" borderId="44" xfId="36" applyNumberFormat="1" applyFont="1" applyFill="1" applyBorder="1" applyAlignment="1" applyProtection="1">
      <alignment horizontal="center" vertical="center" wrapText="1"/>
    </xf>
    <xf numFmtId="0" fontId="23" fillId="27" borderId="36" xfId="36" applyNumberFormat="1" applyFont="1" applyFill="1" applyBorder="1" applyAlignment="1" applyProtection="1">
      <alignment horizontal="center" vertical="center" wrapText="1"/>
    </xf>
    <xf numFmtId="0" fontId="23" fillId="27" borderId="29" xfId="36" applyNumberFormat="1" applyFont="1" applyFill="1" applyBorder="1" applyAlignment="1" applyProtection="1">
      <alignment horizontal="center" vertical="center" wrapText="1"/>
    </xf>
    <xf numFmtId="0" fontId="23" fillId="27" borderId="14" xfId="36" applyNumberFormat="1" applyFont="1" applyFill="1" applyBorder="1" applyAlignment="1" applyProtection="1">
      <alignment horizontal="center" vertical="center" wrapText="1"/>
    </xf>
    <xf numFmtId="0" fontId="23" fillId="27" borderId="15" xfId="36" applyNumberFormat="1" applyFont="1" applyFill="1" applyBorder="1" applyAlignment="1" applyProtection="1">
      <alignment horizontal="center" vertical="center" wrapText="1"/>
    </xf>
    <xf numFmtId="0" fontId="23" fillId="28" borderId="41" xfId="36" applyNumberFormat="1" applyFont="1" applyFill="1" applyBorder="1" applyAlignment="1" applyProtection="1">
      <alignment horizontal="center" vertical="center" wrapText="1"/>
    </xf>
    <xf numFmtId="0" fontId="23" fillId="28" borderId="42" xfId="36" applyNumberFormat="1" applyFont="1" applyFill="1" applyBorder="1" applyAlignment="1" applyProtection="1">
      <alignment horizontal="center" vertical="center" wrapText="1"/>
    </xf>
    <xf numFmtId="0" fontId="23" fillId="28" borderId="43" xfId="36" applyNumberFormat="1" applyFont="1" applyFill="1" applyBorder="1" applyAlignment="1" applyProtection="1">
      <alignment horizontal="center" vertical="center" wrapText="1"/>
    </xf>
    <xf numFmtId="0" fontId="23" fillId="28" borderId="37" xfId="36" applyNumberFormat="1" applyFont="1" applyFill="1" applyBorder="1" applyAlignment="1" applyProtection="1">
      <alignment horizontal="center" vertical="center" wrapText="1"/>
    </xf>
    <xf numFmtId="0" fontId="23" fillId="28" borderId="28" xfId="36" applyNumberFormat="1" applyFont="1" applyFill="1" applyBorder="1" applyAlignment="1" applyProtection="1">
      <alignment horizontal="center" vertical="center" wrapText="1"/>
    </xf>
    <xf numFmtId="0" fontId="23" fillId="28" borderId="44" xfId="36" applyNumberFormat="1" applyFont="1" applyFill="1" applyBorder="1" applyAlignment="1" applyProtection="1">
      <alignment horizontal="center" vertical="center" wrapText="1"/>
    </xf>
    <xf numFmtId="0" fontId="23" fillId="22" borderId="38" xfId="36" applyNumberFormat="1" applyFont="1" applyBorder="1" applyAlignment="1" applyProtection="1">
      <alignment horizontal="center" vertical="center" wrapText="1"/>
    </xf>
    <xf numFmtId="0" fontId="23" fillId="22" borderId="39" xfId="36" applyNumberFormat="1" applyFont="1" applyBorder="1" applyAlignment="1" applyProtection="1">
      <alignment horizontal="center" vertical="center" wrapText="1"/>
    </xf>
    <xf numFmtId="0" fontId="23" fillId="22" borderId="40" xfId="36" applyNumberFormat="1" applyFont="1" applyBorder="1" applyAlignment="1" applyProtection="1">
      <alignment horizontal="center" vertical="center" wrapText="1"/>
    </xf>
    <xf numFmtId="0" fontId="23" fillId="27" borderId="34" xfId="36" applyNumberFormat="1" applyFont="1" applyFill="1" applyBorder="1" applyAlignment="1" applyProtection="1">
      <alignment horizontal="center" vertical="center" wrapText="1"/>
    </xf>
    <xf numFmtId="0" fontId="23" fillId="28" borderId="29" xfId="36" applyNumberFormat="1" applyFont="1" applyFill="1" applyBorder="1" applyAlignment="1" applyProtection="1">
      <alignment horizontal="center" vertical="center" wrapText="1"/>
    </xf>
    <xf numFmtId="0" fontId="23" fillId="28" borderId="14" xfId="36" applyNumberFormat="1" applyFont="1" applyFill="1" applyBorder="1" applyAlignment="1" applyProtection="1">
      <alignment horizontal="center" vertical="center" wrapText="1"/>
    </xf>
    <xf numFmtId="0" fontId="23" fillId="28" borderId="15" xfId="36" applyNumberFormat="1" applyFont="1" applyFill="1" applyBorder="1" applyAlignment="1" applyProtection="1">
      <alignment horizontal="center" vertical="center" wrapText="1"/>
    </xf>
    <xf numFmtId="0" fontId="23" fillId="28" borderId="34" xfId="36" applyNumberFormat="1" applyFont="1" applyFill="1" applyBorder="1" applyAlignment="1" applyProtection="1">
      <alignment horizontal="center" vertical="center" wrapText="1"/>
    </xf>
    <xf numFmtId="0" fontId="23" fillId="28" borderId="33" xfId="36" applyNumberFormat="1" applyFont="1" applyFill="1" applyBorder="1" applyAlignment="1" applyProtection="1">
      <alignment horizontal="center" vertical="center" wrapText="1"/>
    </xf>
    <xf numFmtId="0" fontId="23" fillId="22" borderId="50" xfId="36" applyNumberFormat="1" applyFont="1" applyBorder="1" applyAlignment="1" applyProtection="1">
      <alignment horizontal="center" vertical="center" wrapText="1"/>
    </xf>
    <xf numFmtId="0" fontId="23" fillId="22" borderId="51" xfId="36" applyNumberFormat="1" applyFont="1" applyBorder="1" applyAlignment="1" applyProtection="1">
      <alignment horizontal="center" vertical="center" wrapText="1"/>
    </xf>
    <xf numFmtId="0" fontId="23" fillId="22" borderId="52" xfId="36" applyNumberFormat="1" applyFont="1" applyBorder="1" applyAlignment="1" applyProtection="1">
      <alignment horizontal="center" vertical="center" wrapText="1"/>
    </xf>
    <xf numFmtId="0" fontId="23" fillId="27" borderId="59" xfId="36" applyNumberFormat="1" applyFont="1" applyFill="1" applyBorder="1" applyAlignment="1" applyProtection="1">
      <alignment horizontal="center" vertical="center" wrapText="1"/>
    </xf>
    <xf numFmtId="0" fontId="0" fillId="0" borderId="49" xfId="0" applyNumberFormat="1" applyBorder="1"/>
    <xf numFmtId="0" fontId="22" fillId="26" borderId="52" xfId="0" applyNumberFormat="1" applyFont="1" applyFill="1" applyBorder="1" applyAlignment="1">
      <alignment horizontal="center" vertical="center" wrapText="1"/>
    </xf>
    <xf numFmtId="0" fontId="0" fillId="0" borderId="0" xfId="0" applyNumberFormat="1"/>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3" xfId="58" xr:uid="{FE9D1D86-7B45-4C7C-BC67-550AFF10726D}"/>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0"/>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B911F-9BB4-4B20-97F0-E5DC36046421}">
  <dimension ref="A1:CM362"/>
  <sheetViews>
    <sheetView tabSelected="1" topLeftCell="A337" workbookViewId="0">
      <selection activeCell="G365" sqref="G365"/>
    </sheetView>
  </sheetViews>
  <sheetFormatPr defaultRowHeight="14.4"/>
  <cols>
    <col min="1" max="1" width="18.33203125" bestFit="1" customWidth="1"/>
    <col min="2" max="2" width="10.33203125" customWidth="1"/>
    <col min="3" max="3" width="24.5546875" customWidth="1"/>
    <col min="5" max="5" width="8.88671875" style="81"/>
    <col min="6" max="6" width="14.5546875" bestFit="1" customWidth="1"/>
    <col min="7" max="7" width="57.6640625" bestFit="1" customWidth="1"/>
    <col min="12" max="12" width="19.5546875" bestFit="1" customWidth="1"/>
    <col min="13" max="13" width="10.6640625" bestFit="1" customWidth="1"/>
    <col min="15" max="15" width="11.33203125" bestFit="1" customWidth="1"/>
    <col min="16" max="16" width="12.88671875" bestFit="1" customWidth="1"/>
    <col min="17" max="17" width="17.6640625" bestFit="1" customWidth="1"/>
  </cols>
  <sheetData>
    <row r="1" spans="1:91" s="31" customFormat="1" ht="18.600000000000001" customHeight="1">
      <c r="A1" s="26" t="s">
        <v>34</v>
      </c>
      <c r="B1" s="27" t="s">
        <v>21</v>
      </c>
      <c r="C1" s="27" t="s">
        <v>0</v>
      </c>
      <c r="D1" s="28" t="s">
        <v>1</v>
      </c>
      <c r="E1" s="80" t="s">
        <v>2</v>
      </c>
      <c r="F1" s="32" t="s">
        <v>33</v>
      </c>
      <c r="G1" s="28" t="s">
        <v>3</v>
      </c>
      <c r="H1" s="28" t="s">
        <v>24</v>
      </c>
      <c r="I1" s="28" t="s">
        <v>23</v>
      </c>
      <c r="J1" s="28" t="s">
        <v>35</v>
      </c>
      <c r="K1" s="28" t="s">
        <v>4</v>
      </c>
      <c r="L1" s="29" t="s">
        <v>39</v>
      </c>
      <c r="M1" s="30" t="s">
        <v>40</v>
      </c>
      <c r="N1" s="30" t="s">
        <v>43</v>
      </c>
      <c r="O1" s="34" t="s">
        <v>44</v>
      </c>
      <c r="P1" s="26" t="s">
        <v>47</v>
      </c>
      <c r="Q1" s="35" t="s">
        <v>48</v>
      </c>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17" customFormat="1" ht="14.4" customHeight="1">
      <c r="A2" s="42" t="s">
        <v>218</v>
      </c>
      <c r="B2" s="45">
        <v>0</v>
      </c>
      <c r="C2" s="40" t="str">
        <f>bitConcat(F3:F11)</f>
        <v>32'b00000000000000000000000000000000</v>
      </c>
      <c r="D2" s="40"/>
      <c r="E2" s="40"/>
      <c r="F2" s="40"/>
      <c r="G2" s="40"/>
      <c r="H2" s="40"/>
      <c r="I2" s="40"/>
      <c r="J2" s="40"/>
      <c r="K2" s="41"/>
      <c r="L2" s="37" t="str">
        <f>DEC2HEX(_xlfn.BITLSHIFT(N2,7)+4*O2)</f>
        <v>500</v>
      </c>
      <c r="M2" s="37"/>
      <c r="N2" s="37">
        <v>10</v>
      </c>
      <c r="O2" s="37">
        <v>0</v>
      </c>
      <c r="P2" s="37" t="str">
        <f>DEC2HEX(_xlfn.BITLSHIFT(N2,5)+O2*4)</f>
        <v>140</v>
      </c>
      <c r="Q2" s="37" t="str">
        <f>BIN2HEX(LEFT(RIGHT(C2,32),4))&amp;BIN2HEX(LEFT(RIGHT(C2,28),4))&amp;BIN2HEX(LEFT(RIGHT(C2,24),4))&amp;BIN2HEX(LEFT(RIGHT(C2,20),4))&amp;BIN2HEX(LEFT(RIGHT(C2,16),4))&amp;BIN2HEX(LEFT(RIGHT(C2,12),4))&amp;BIN2HEX(LEFT(RIGHT(C2,8),4))&amp;BIN2HEX(LEFT(RIGHT(C2,4),4))</f>
        <v>00000000</v>
      </c>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17" customFormat="1">
      <c r="A3" s="43"/>
      <c r="B3" s="46"/>
      <c r="C3" s="19" t="s">
        <v>212</v>
      </c>
      <c r="D3" s="18">
        <v>8</v>
      </c>
      <c r="E3" s="18" t="str">
        <f>IF(D3&gt;1,(31)&amp;":"&amp;(31-D3+1),(31-D3+1)&amp;":"&amp;(31-D3+1))</f>
        <v>31:24</v>
      </c>
      <c r="F3" s="18" t="s">
        <v>49</v>
      </c>
      <c r="G3" s="18" t="s">
        <v>203</v>
      </c>
      <c r="H3" s="23" t="s">
        <v>37</v>
      </c>
      <c r="I3" s="24" t="s">
        <v>36</v>
      </c>
      <c r="J3" s="25" t="s">
        <v>6</v>
      </c>
      <c r="K3" s="18"/>
      <c r="L3" s="38"/>
      <c r="M3" s="38"/>
      <c r="N3" s="38"/>
      <c r="O3" s="38"/>
      <c r="P3" s="38"/>
      <c r="Q3" s="38"/>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17" customFormat="1">
      <c r="A4" s="43"/>
      <c r="B4" s="46"/>
      <c r="C4" s="19" t="s">
        <v>190</v>
      </c>
      <c r="D4" s="19">
        <v>1</v>
      </c>
      <c r="E4" s="79" t="str">
        <f>(MID(str_cnvt(E3),SEARCH(":",str_cnvt(E3))+1,2)-1) &amp; ":" &amp; (MID(str_cnvt(E3),SEARCH(":",str_cnvt(E3))+1,2)-D4)</f>
        <v>23:23</v>
      </c>
      <c r="F4" s="19" t="s">
        <v>7</v>
      </c>
      <c r="G4" s="19" t="s">
        <v>401</v>
      </c>
      <c r="H4" s="23" t="s">
        <v>37</v>
      </c>
      <c r="I4" s="24" t="s">
        <v>36</v>
      </c>
      <c r="J4" s="25" t="s">
        <v>6</v>
      </c>
      <c r="K4" s="19"/>
      <c r="L4" s="38"/>
      <c r="M4" s="38"/>
      <c r="N4" s="38"/>
      <c r="O4" s="38"/>
      <c r="P4" s="38"/>
      <c r="Q4" s="38"/>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17" customFormat="1">
      <c r="A5" s="43"/>
      <c r="B5" s="46"/>
      <c r="C5" s="19" t="s">
        <v>191</v>
      </c>
      <c r="D5" s="19">
        <v>1</v>
      </c>
      <c r="E5" s="79" t="str">
        <f>(MID(str_cnvt(E4),SEARCH(":",str_cnvt(E4))+1,2)-1) &amp; ":" &amp; (MID(str_cnvt(E4),SEARCH(":",str_cnvt(E4))+1,2)-D5)</f>
        <v>22:22</v>
      </c>
      <c r="F5" s="19" t="s">
        <v>7</v>
      </c>
      <c r="G5" s="19" t="s">
        <v>402</v>
      </c>
      <c r="H5" s="23" t="s">
        <v>37</v>
      </c>
      <c r="I5" s="24" t="s">
        <v>36</v>
      </c>
      <c r="J5" s="25" t="s">
        <v>6</v>
      </c>
      <c r="K5" s="19"/>
      <c r="L5" s="38"/>
      <c r="M5" s="38"/>
      <c r="N5" s="38"/>
      <c r="O5" s="38"/>
      <c r="P5" s="38"/>
      <c r="Q5" s="38"/>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17" customFormat="1">
      <c r="A6" s="43"/>
      <c r="B6" s="46"/>
      <c r="C6" s="19" t="s">
        <v>213</v>
      </c>
      <c r="D6" s="19">
        <v>2</v>
      </c>
      <c r="E6" s="79" t="str">
        <f>(MID(str_cnvt(E5),SEARCH(":",str_cnvt(E5))+1,2)-1) &amp; ":" &amp; (MID(str_cnvt(E5),SEARCH(":",str_cnvt(E5))+1,2)-D6)</f>
        <v>21:20</v>
      </c>
      <c r="F6" s="19" t="s">
        <v>41</v>
      </c>
      <c r="G6" s="19" t="s">
        <v>403</v>
      </c>
      <c r="H6" s="23" t="s">
        <v>37</v>
      </c>
      <c r="I6" s="24" t="s">
        <v>36</v>
      </c>
      <c r="J6" s="25" t="s">
        <v>6</v>
      </c>
      <c r="K6" s="19"/>
      <c r="L6" s="38"/>
      <c r="M6" s="38"/>
      <c r="N6" s="38"/>
      <c r="O6" s="38"/>
      <c r="P6" s="38"/>
      <c r="Q6" s="38"/>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17" customFormat="1">
      <c r="A7" s="43"/>
      <c r="B7" s="46"/>
      <c r="C7" s="19" t="s">
        <v>214</v>
      </c>
      <c r="D7" s="19">
        <v>6</v>
      </c>
      <c r="E7" s="79" t="str">
        <f>(MID(str_cnvt(E6),SEARCH(":",str_cnvt(E6))+1,2)-1) &amp; ":" &amp; (MID(str_cnvt(E6),SEARCH(":",str_cnvt(E6))+1,2)-D7)</f>
        <v>19:14</v>
      </c>
      <c r="F7" s="19" t="s">
        <v>56</v>
      </c>
      <c r="G7" s="19" t="s">
        <v>404</v>
      </c>
      <c r="H7" s="23" t="s">
        <v>37</v>
      </c>
      <c r="I7" s="24" t="s">
        <v>36</v>
      </c>
      <c r="J7" s="25" t="s">
        <v>6</v>
      </c>
      <c r="K7" s="19"/>
      <c r="L7" s="38"/>
      <c r="M7" s="38"/>
      <c r="N7" s="38"/>
      <c r="O7" s="38"/>
      <c r="P7" s="38"/>
      <c r="Q7" s="38"/>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17" customFormat="1">
      <c r="A8" s="43"/>
      <c r="B8" s="46"/>
      <c r="C8" s="19" t="s">
        <v>55</v>
      </c>
      <c r="D8" s="19">
        <v>2</v>
      </c>
      <c r="E8" s="79" t="str">
        <f>(MID(str_cnvt(E7),SEARCH(":",str_cnvt(E7))+1,2)-1) &amp; ":" &amp; (MID(str_cnvt(E7),SEARCH(":",str_cnvt(E7))+1,2)-D8)</f>
        <v>13:12</v>
      </c>
      <c r="F8" s="19" t="s">
        <v>41</v>
      </c>
      <c r="G8" s="19" t="s">
        <v>405</v>
      </c>
      <c r="H8" s="23" t="s">
        <v>37</v>
      </c>
      <c r="I8" s="24" t="s">
        <v>36</v>
      </c>
      <c r="J8" s="25" t="s">
        <v>6</v>
      </c>
      <c r="K8" s="19"/>
      <c r="L8" s="38"/>
      <c r="M8" s="38"/>
      <c r="N8" s="38"/>
      <c r="O8" s="38"/>
      <c r="P8" s="38"/>
      <c r="Q8" s="3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17" customFormat="1">
      <c r="A9" s="43"/>
      <c r="B9" s="46"/>
      <c r="C9" s="19" t="s">
        <v>215</v>
      </c>
      <c r="D9" s="19">
        <v>4</v>
      </c>
      <c r="E9" s="79" t="str">
        <f>(MID(str_cnvt(E8),SEARCH(":",str_cnvt(E8))+1,2)-1) &amp; ":" &amp; (MID(str_cnvt(E8),SEARCH(":",str_cnvt(E8))+1,2)-D9)</f>
        <v>11:8</v>
      </c>
      <c r="F9" s="19" t="s">
        <v>46</v>
      </c>
      <c r="G9" s="19" t="s">
        <v>406</v>
      </c>
      <c r="H9" s="23" t="s">
        <v>37</v>
      </c>
      <c r="I9" s="24" t="s">
        <v>36</v>
      </c>
      <c r="J9" s="25" t="s">
        <v>6</v>
      </c>
      <c r="K9" s="19"/>
      <c r="L9" s="38"/>
      <c r="M9" s="38"/>
      <c r="N9" s="38"/>
      <c r="O9" s="38"/>
      <c r="P9" s="38"/>
      <c r="Q9" s="38"/>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c r="A10" s="43"/>
      <c r="B10" s="46"/>
      <c r="C10" s="19" t="s">
        <v>216</v>
      </c>
      <c r="D10" s="19">
        <v>4</v>
      </c>
      <c r="E10" s="79" t="str">
        <f>(MID(str_cnvt(E9),SEARCH(":",str_cnvt(E9))+1,2)-1) &amp; ":" &amp; (MID(str_cnvt(E9),SEARCH(":",str_cnvt(E9))+1,2)-D10)</f>
        <v>7:4</v>
      </c>
      <c r="F10" s="19" t="s">
        <v>46</v>
      </c>
      <c r="G10" s="19" t="s">
        <v>407</v>
      </c>
      <c r="H10" s="23" t="s">
        <v>37</v>
      </c>
      <c r="I10" s="24" t="s">
        <v>36</v>
      </c>
      <c r="J10" s="25" t="s">
        <v>6</v>
      </c>
      <c r="K10" s="19"/>
      <c r="L10" s="38"/>
      <c r="M10" s="38"/>
      <c r="N10" s="38"/>
      <c r="O10" s="38"/>
      <c r="P10" s="38"/>
      <c r="Q10" s="38"/>
    </row>
    <row r="11" spans="1:91">
      <c r="A11" s="44"/>
      <c r="B11" s="47"/>
      <c r="C11" s="20" t="s">
        <v>217</v>
      </c>
      <c r="D11" s="19">
        <v>4</v>
      </c>
      <c r="E11" s="79" t="str">
        <f>(MID(str_cnvt(E10),SEARCH(":",str_cnvt(E10))+1,2)-1) &amp; ":" &amp; (MID(str_cnvt(E10),SEARCH(":",str_cnvt(E10))+1,2)-D11)</f>
        <v>3:0</v>
      </c>
      <c r="F11" s="20" t="s">
        <v>46</v>
      </c>
      <c r="G11" s="19" t="s">
        <v>408</v>
      </c>
      <c r="H11" s="23" t="s">
        <v>37</v>
      </c>
      <c r="I11" s="23" t="s">
        <v>36</v>
      </c>
      <c r="J11" s="23" t="s">
        <v>6</v>
      </c>
      <c r="K11" s="20"/>
      <c r="L11" s="39"/>
      <c r="M11" s="39"/>
      <c r="N11" s="39"/>
      <c r="O11" s="39"/>
      <c r="P11" s="39"/>
      <c r="Q11" s="39"/>
    </row>
    <row r="12" spans="1:91">
      <c r="A12" s="42" t="s">
        <v>219</v>
      </c>
      <c r="B12" s="42">
        <v>4</v>
      </c>
      <c r="C12" s="40" t="str">
        <f>bitConcat(F13:F14)</f>
        <v>32'b00000000000000000000000000000000</v>
      </c>
      <c r="D12" s="40"/>
      <c r="E12" s="40"/>
      <c r="F12" s="40"/>
      <c r="G12" s="40"/>
      <c r="H12" s="40"/>
      <c r="I12" s="40"/>
      <c r="J12" s="40"/>
      <c r="K12" s="41"/>
      <c r="L12" s="37" t="str">
        <f>DEC2HEX(_xlfn.BITLSHIFT(N12,7)+4*O12)</f>
        <v>504</v>
      </c>
      <c r="M12" s="33"/>
      <c r="N12" s="37">
        <v>10</v>
      </c>
      <c r="O12" s="37">
        <v>1</v>
      </c>
      <c r="P12" s="37" t="str">
        <f>DEC2HEX(_xlfn.BITLSHIFT(N12,5)+O12*4)</f>
        <v>144</v>
      </c>
      <c r="Q12" s="37" t="str">
        <f>BIN2HEX(LEFT(RIGHT(C12,32),4))&amp;BIN2HEX(LEFT(RIGHT(C12,28),4))&amp;BIN2HEX(LEFT(RIGHT(C12,24),4))&amp;BIN2HEX(LEFT(RIGHT(C12,20),4))&amp;BIN2HEX(LEFT(RIGHT(C12,16),4))&amp;BIN2HEX(LEFT(RIGHT(C12,12),4))&amp;BIN2HEX(LEFT(RIGHT(C12,8),4))&amp;BIN2HEX(LEFT(RIGHT(C12,4),4))</f>
        <v>00000000</v>
      </c>
    </row>
    <row r="13" spans="1:91">
      <c r="A13" s="43"/>
      <c r="B13" s="43"/>
      <c r="C13" s="19" t="s">
        <v>220</v>
      </c>
      <c r="D13" s="19">
        <v>29</v>
      </c>
      <c r="E13" s="18" t="str">
        <f>IF(D13&gt;1,(31)&amp;":"&amp;(31-D13+1),(31-D13+1)&amp;":"&amp;(31-D13+1))</f>
        <v>31:3</v>
      </c>
      <c r="F13" s="19" t="s">
        <v>184</v>
      </c>
      <c r="G13" s="19" t="s">
        <v>203</v>
      </c>
      <c r="H13" s="23" t="s">
        <v>37</v>
      </c>
      <c r="I13" s="23" t="s">
        <v>36</v>
      </c>
      <c r="J13" s="23" t="s">
        <v>6</v>
      </c>
      <c r="K13" s="19"/>
      <c r="L13" s="38"/>
      <c r="M13" s="12"/>
      <c r="N13" s="38"/>
      <c r="O13" s="38"/>
      <c r="P13" s="38"/>
      <c r="Q13" s="38"/>
    </row>
    <row r="14" spans="1:91">
      <c r="A14" s="43"/>
      <c r="B14" s="44"/>
      <c r="C14" s="19" t="s">
        <v>221</v>
      </c>
      <c r="D14" s="19">
        <v>3</v>
      </c>
      <c r="E14" s="79" t="str">
        <f>(MID(str_cnvt(E13),SEARCH(":",str_cnvt(E13))+1,2)-1) &amp; ":" &amp; (MID(str_cnvt(E13),SEARCH(":",str_cnvt(E13))+1,2)-D14)</f>
        <v>2:0</v>
      </c>
      <c r="F14" s="19" t="s">
        <v>42</v>
      </c>
      <c r="G14" s="19" t="s">
        <v>381</v>
      </c>
      <c r="H14" s="23" t="s">
        <v>37</v>
      </c>
      <c r="I14" s="23" t="s">
        <v>36</v>
      </c>
      <c r="J14" s="23" t="s">
        <v>6</v>
      </c>
      <c r="K14" s="19"/>
      <c r="L14" s="39"/>
      <c r="M14" s="16"/>
      <c r="N14" s="39"/>
      <c r="O14" s="39"/>
      <c r="P14" s="39"/>
      <c r="Q14" s="39"/>
    </row>
    <row r="15" spans="1:91">
      <c r="A15" s="42" t="s">
        <v>222</v>
      </c>
      <c r="B15" s="42">
        <v>8</v>
      </c>
      <c r="C15" s="40" t="str">
        <f>bitConcat(F16:F22)</f>
        <v>32'b00000000000000000000000000000000</v>
      </c>
      <c r="D15" s="40"/>
      <c r="E15" s="40"/>
      <c r="F15" s="40"/>
      <c r="G15" s="40"/>
      <c r="H15" s="40"/>
      <c r="I15" s="40"/>
      <c r="J15" s="40"/>
      <c r="K15" s="41"/>
      <c r="L15" s="37" t="str">
        <f t="shared" ref="L15" si="0">DEC2HEX(_xlfn.BITLSHIFT(N15,7)+4*O15)</f>
        <v>508</v>
      </c>
      <c r="M15" s="37"/>
      <c r="N15" s="37">
        <v>10</v>
      </c>
      <c r="O15" s="37">
        <v>2</v>
      </c>
      <c r="P15" s="37" t="str">
        <f t="shared" ref="P15" si="1">DEC2HEX(_xlfn.BITLSHIFT(N15,5)+O15*4)</f>
        <v>148</v>
      </c>
      <c r="Q15" s="37" t="str">
        <f t="shared" ref="Q15" si="2">BIN2HEX(LEFT(RIGHT(C15,32),4))&amp;BIN2HEX(LEFT(RIGHT(C15,28),4))&amp;BIN2HEX(LEFT(RIGHT(C15,24),4))&amp;BIN2HEX(LEFT(RIGHT(C15,20),4))&amp;BIN2HEX(LEFT(RIGHT(C15,16),4))&amp;BIN2HEX(LEFT(RIGHT(C15,12),4))&amp;BIN2HEX(LEFT(RIGHT(C15,8),4))&amp;BIN2HEX(LEFT(RIGHT(C15,4),4))</f>
        <v>00000000</v>
      </c>
    </row>
    <row r="16" spans="1:91">
      <c r="A16" s="43"/>
      <c r="B16" s="43"/>
      <c r="C16" s="20" t="s">
        <v>223</v>
      </c>
      <c r="D16" s="20">
        <v>20</v>
      </c>
      <c r="E16" s="18" t="str">
        <f>IF(D16&gt;1,(31)&amp;":"&amp;(31-D16+1),(31-D16+1)&amp;":"&amp;(31-D16+1))</f>
        <v>31:12</v>
      </c>
      <c r="F16" s="20" t="s">
        <v>53</v>
      </c>
      <c r="G16" s="20" t="s">
        <v>203</v>
      </c>
      <c r="H16" s="23" t="s">
        <v>37</v>
      </c>
      <c r="I16" s="23" t="s">
        <v>36</v>
      </c>
      <c r="J16" s="23" t="s">
        <v>6</v>
      </c>
      <c r="K16" s="20"/>
      <c r="L16" s="38"/>
      <c r="M16" s="38"/>
      <c r="N16" s="38"/>
      <c r="O16" s="38"/>
      <c r="P16" s="38"/>
      <c r="Q16" s="38"/>
    </row>
    <row r="17" spans="1:17">
      <c r="A17" s="43"/>
      <c r="B17" s="43"/>
      <c r="C17" s="20" t="s">
        <v>224</v>
      </c>
      <c r="D17" s="20">
        <v>2</v>
      </c>
      <c r="E17" s="79" t="str">
        <f>(MID(str_cnvt(E16),SEARCH(":",str_cnvt(E16))+1,2)-1) &amp; ":" &amp; (MID(str_cnvt(E16),SEARCH(":",str_cnvt(E16))+1,2)-D17)</f>
        <v>11:10</v>
      </c>
      <c r="F17" s="20" t="s">
        <v>41</v>
      </c>
      <c r="G17" s="18" t="s">
        <v>204</v>
      </c>
      <c r="H17" s="23" t="s">
        <v>37</v>
      </c>
      <c r="I17" s="23" t="s">
        <v>36</v>
      </c>
      <c r="J17" s="23" t="s">
        <v>6</v>
      </c>
      <c r="K17" s="20"/>
      <c r="L17" s="38"/>
      <c r="M17" s="38"/>
      <c r="N17" s="38"/>
      <c r="O17" s="38"/>
      <c r="P17" s="38"/>
      <c r="Q17" s="38"/>
    </row>
    <row r="18" spans="1:17">
      <c r="A18" s="43"/>
      <c r="B18" s="43"/>
      <c r="C18" s="20" t="s">
        <v>225</v>
      </c>
      <c r="D18" s="20">
        <v>2</v>
      </c>
      <c r="E18" s="79" t="str">
        <f>(MID(str_cnvt(E17),SEARCH(":",str_cnvt(E17))+1,2)-1) &amp; ":" &amp; (MID(str_cnvt(E17),SEARCH(":",str_cnvt(E17))+1,2)-D18)</f>
        <v>9:8</v>
      </c>
      <c r="F18" s="20" t="s">
        <v>41</v>
      </c>
      <c r="G18" s="18" t="s">
        <v>205</v>
      </c>
      <c r="H18" s="23" t="s">
        <v>37</v>
      </c>
      <c r="I18" s="23" t="s">
        <v>36</v>
      </c>
      <c r="J18" s="23" t="s">
        <v>6</v>
      </c>
      <c r="K18" s="20"/>
      <c r="L18" s="38"/>
      <c r="M18" s="38"/>
      <c r="N18" s="38">
        <v>10</v>
      </c>
      <c r="O18" s="38">
        <v>1</v>
      </c>
      <c r="P18" s="38" t="str">
        <f t="shared" ref="P18" si="3">DEC2HEX(_xlfn.BITLSHIFT(N18,5)+O18*4)</f>
        <v>144</v>
      </c>
      <c r="Q18" s="38" t="e">
        <f t="shared" ref="Q18" si="4">BIN2HEX(LEFT(RIGHT(C18,32),4))&amp;BIN2HEX(LEFT(RIGHT(C18,28),4))&amp;BIN2HEX(LEFT(RIGHT(C18,24),4))&amp;BIN2HEX(LEFT(RIGHT(C18,20),4))&amp;BIN2HEX(LEFT(RIGHT(C18,16),4))&amp;BIN2HEX(LEFT(RIGHT(C18,12),4))&amp;BIN2HEX(LEFT(RIGHT(C18,8),4))&amp;BIN2HEX(LEFT(RIGHT(C18,4),4))</f>
        <v>#NUM!</v>
      </c>
    </row>
    <row r="19" spans="1:17">
      <c r="A19" s="43"/>
      <c r="B19" s="43"/>
      <c r="C19" s="20" t="s">
        <v>226</v>
      </c>
      <c r="D19" s="20">
        <v>2</v>
      </c>
      <c r="E19" s="79" t="str">
        <f>(MID(str_cnvt(E18),SEARCH(":",str_cnvt(E18))+1,2)-1) &amp; ":" &amp; (MID(str_cnvt(E18),SEARCH(":",str_cnvt(E18))+1,2)-D19)</f>
        <v>7:6</v>
      </c>
      <c r="F19" s="20" t="s">
        <v>41</v>
      </c>
      <c r="G19" s="18" t="s">
        <v>204</v>
      </c>
      <c r="H19" s="23" t="s">
        <v>37</v>
      </c>
      <c r="I19" s="23" t="s">
        <v>36</v>
      </c>
      <c r="J19" s="23" t="s">
        <v>6</v>
      </c>
      <c r="K19" s="20"/>
      <c r="L19" s="38"/>
      <c r="M19" s="38"/>
      <c r="N19" s="38"/>
      <c r="O19" s="38"/>
      <c r="P19" s="38"/>
      <c r="Q19" s="38"/>
    </row>
    <row r="20" spans="1:17">
      <c r="A20" s="43"/>
      <c r="B20" s="43"/>
      <c r="C20" s="20" t="s">
        <v>227</v>
      </c>
      <c r="D20" s="20">
        <v>2</v>
      </c>
      <c r="E20" s="79" t="str">
        <f>(MID(str_cnvt(E19),SEARCH(":",str_cnvt(E19))+1,2)-1) &amp; ":" &amp; (MID(str_cnvt(E19),SEARCH(":",str_cnvt(E19))+1,2)-D20)</f>
        <v>5:4</v>
      </c>
      <c r="F20" s="20" t="s">
        <v>41</v>
      </c>
      <c r="G20" s="18" t="s">
        <v>205</v>
      </c>
      <c r="H20" s="23" t="s">
        <v>37</v>
      </c>
      <c r="I20" s="23" t="s">
        <v>36</v>
      </c>
      <c r="J20" s="23" t="s">
        <v>6</v>
      </c>
      <c r="K20" s="20"/>
      <c r="L20" s="38"/>
      <c r="M20" s="38"/>
      <c r="N20" s="38"/>
      <c r="O20" s="38"/>
      <c r="P20" s="38"/>
      <c r="Q20" s="38"/>
    </row>
    <row r="21" spans="1:17">
      <c r="A21" s="43"/>
      <c r="B21" s="43"/>
      <c r="C21" s="20" t="s">
        <v>228</v>
      </c>
      <c r="D21" s="20">
        <v>2</v>
      </c>
      <c r="E21" s="79" t="str">
        <f>(MID(str_cnvt(E20),SEARCH(":",str_cnvt(E20))+1,2)-1) &amp; ":" &amp; (MID(str_cnvt(E20),SEARCH(":",str_cnvt(E20))+1,2)-D21)</f>
        <v>3:2</v>
      </c>
      <c r="F21" s="20" t="s">
        <v>41</v>
      </c>
      <c r="G21" s="18" t="s">
        <v>204</v>
      </c>
      <c r="H21" s="23" t="s">
        <v>37</v>
      </c>
      <c r="I21" s="23" t="s">
        <v>36</v>
      </c>
      <c r="J21" s="23" t="s">
        <v>6</v>
      </c>
      <c r="K21" s="20"/>
      <c r="L21" s="38"/>
      <c r="M21" s="38"/>
      <c r="N21" s="38">
        <v>10</v>
      </c>
      <c r="O21" s="38">
        <v>1</v>
      </c>
      <c r="P21" s="38" t="str">
        <f t="shared" ref="P21" si="5">DEC2HEX(_xlfn.BITLSHIFT(N21,5)+O21*4)</f>
        <v>144</v>
      </c>
      <c r="Q21" s="38" t="e">
        <f t="shared" ref="Q21" si="6">BIN2HEX(LEFT(RIGHT(C21,32),4))&amp;BIN2HEX(LEFT(RIGHT(C21,28),4))&amp;BIN2HEX(LEFT(RIGHT(C21,24),4))&amp;BIN2HEX(LEFT(RIGHT(C21,20),4))&amp;BIN2HEX(LEFT(RIGHT(C21,16),4))&amp;BIN2HEX(LEFT(RIGHT(C21,12),4))&amp;BIN2HEX(LEFT(RIGHT(C21,8),4))&amp;BIN2HEX(LEFT(RIGHT(C21,4),4))</f>
        <v>#NUM!</v>
      </c>
    </row>
    <row r="22" spans="1:17">
      <c r="A22" s="44"/>
      <c r="B22" s="44"/>
      <c r="C22" s="20" t="s">
        <v>229</v>
      </c>
      <c r="D22" s="20">
        <v>2</v>
      </c>
      <c r="E22" s="79" t="str">
        <f>(MID(str_cnvt(E21),SEARCH(":",str_cnvt(E21))+1,2)-1) &amp; ":" &amp; (MID(str_cnvt(E21),SEARCH(":",str_cnvt(E21))+1,2)-D22)</f>
        <v>1:0</v>
      </c>
      <c r="F22" s="20" t="s">
        <v>41</v>
      </c>
      <c r="G22" s="18" t="s">
        <v>205</v>
      </c>
      <c r="H22" s="23" t="s">
        <v>37</v>
      </c>
      <c r="I22" s="23" t="s">
        <v>36</v>
      </c>
      <c r="J22" s="23" t="s">
        <v>6</v>
      </c>
      <c r="K22" s="20"/>
      <c r="L22" s="39"/>
      <c r="M22" s="39"/>
      <c r="N22" s="39"/>
      <c r="O22" s="39"/>
      <c r="P22" s="39"/>
      <c r="Q22" s="39"/>
    </row>
    <row r="23" spans="1:17">
      <c r="A23" s="42" t="s">
        <v>54</v>
      </c>
      <c r="B23" s="42" t="s">
        <v>197</v>
      </c>
      <c r="C23" s="40" t="str">
        <f>bitConcat(F24:F32)</f>
        <v>32'b00000000000000000000000001000000</v>
      </c>
      <c r="D23" s="40"/>
      <c r="E23" s="40"/>
      <c r="F23" s="40"/>
      <c r="G23" s="40"/>
      <c r="H23" s="40"/>
      <c r="I23" s="40"/>
      <c r="J23" s="40"/>
      <c r="K23" s="41"/>
      <c r="L23" s="37" t="str">
        <f t="shared" ref="L23" si="7">DEC2HEX(_xlfn.BITLSHIFT(N23,7)+4*O23)</f>
        <v>50C</v>
      </c>
      <c r="M23" s="37"/>
      <c r="N23" s="37">
        <v>10</v>
      </c>
      <c r="O23" s="37">
        <v>3</v>
      </c>
      <c r="P23" s="37" t="str">
        <f t="shared" ref="P23" si="8">DEC2HEX(_xlfn.BITLSHIFT(N23,5)+O23*4)</f>
        <v>14C</v>
      </c>
      <c r="Q23" s="37" t="str">
        <f t="shared" ref="Q23" si="9">BIN2HEX(LEFT(RIGHT(C23,32),4))&amp;BIN2HEX(LEFT(RIGHT(C23,28),4))&amp;BIN2HEX(LEFT(RIGHT(C23,24),4))&amp;BIN2HEX(LEFT(RIGHT(C23,20),4))&amp;BIN2HEX(LEFT(RIGHT(C23,16),4))&amp;BIN2HEX(LEFT(RIGHT(C23,12),4))&amp;BIN2HEX(LEFT(RIGHT(C23,8),4))&amp;BIN2HEX(LEFT(RIGHT(C23,4),4))</f>
        <v>00000040</v>
      </c>
    </row>
    <row r="24" spans="1:17">
      <c r="A24" s="43"/>
      <c r="B24" s="43"/>
      <c r="C24" s="20" t="s">
        <v>230</v>
      </c>
      <c r="D24" s="20">
        <v>14</v>
      </c>
      <c r="E24" s="18" t="str">
        <f>IF(D24&gt;1,(31)&amp;":"&amp;(31-D24+1),(31-D24+1)&amp;":"&amp;(31-D24+1))</f>
        <v>31:18</v>
      </c>
      <c r="F24" s="20" t="s">
        <v>207</v>
      </c>
      <c r="G24" s="20" t="s">
        <v>203</v>
      </c>
      <c r="H24" s="23" t="s">
        <v>37</v>
      </c>
      <c r="I24" s="23" t="s">
        <v>36</v>
      </c>
      <c r="J24" s="23" t="s">
        <v>6</v>
      </c>
      <c r="K24" s="20"/>
      <c r="L24" s="38"/>
      <c r="M24" s="38"/>
      <c r="N24" s="38"/>
      <c r="O24" s="38">
        <v>0.500000000000003</v>
      </c>
      <c r="P24" s="38"/>
      <c r="Q24" s="38"/>
    </row>
    <row r="25" spans="1:17">
      <c r="A25" s="43"/>
      <c r="B25" s="43"/>
      <c r="C25" s="20" t="s">
        <v>231</v>
      </c>
      <c r="D25" s="20">
        <v>1</v>
      </c>
      <c r="E25" s="79" t="str">
        <f>(MID(str_cnvt(E24),SEARCH(":",str_cnvt(E24))+1,2)-1) &amp; ":" &amp; (MID(str_cnvt(E24),SEARCH(":",str_cnvt(E24))+1,2)-D25)</f>
        <v>17:17</v>
      </c>
      <c r="F25" s="20" t="s">
        <v>7</v>
      </c>
      <c r="G25" s="20" t="s">
        <v>196</v>
      </c>
      <c r="H25" s="23" t="s">
        <v>37</v>
      </c>
      <c r="I25" s="23" t="s">
        <v>36</v>
      </c>
      <c r="J25" s="23" t="s">
        <v>6</v>
      </c>
      <c r="K25" s="20"/>
      <c r="L25" s="38"/>
      <c r="M25" s="38"/>
      <c r="N25" s="38"/>
      <c r="O25" s="38">
        <v>0.33333333333333298</v>
      </c>
      <c r="P25" s="38"/>
      <c r="Q25" s="38"/>
    </row>
    <row r="26" spans="1:17">
      <c r="A26" s="43"/>
      <c r="B26" s="43"/>
      <c r="C26" s="20" t="s">
        <v>232</v>
      </c>
      <c r="D26" s="20">
        <v>3</v>
      </c>
      <c r="E26" s="79" t="str">
        <f>(MID(str_cnvt(E25),SEARCH(":",str_cnvt(E25))+1,2)-1) &amp; ":" &amp; (MID(str_cnvt(E25),SEARCH(":",str_cnvt(E25))+1,2)-D26)</f>
        <v>16:14</v>
      </c>
      <c r="F26" s="20" t="s">
        <v>42</v>
      </c>
      <c r="G26" s="20" t="s">
        <v>196</v>
      </c>
      <c r="H26" s="23" t="s">
        <v>37</v>
      </c>
      <c r="I26" s="23" t="s">
        <v>36</v>
      </c>
      <c r="J26" s="23" t="s">
        <v>6</v>
      </c>
      <c r="K26" s="20"/>
      <c r="L26" s="38"/>
      <c r="M26" s="38"/>
      <c r="N26" s="38">
        <v>10</v>
      </c>
      <c r="O26" s="38">
        <v>0.16666666666666299</v>
      </c>
      <c r="P26" s="38" t="str">
        <f t="shared" ref="P26" si="10">DEC2HEX(_xlfn.BITLSHIFT(N26,5)+O26*4)</f>
        <v>140</v>
      </c>
      <c r="Q26" s="38" t="e">
        <f t="shared" ref="Q26" si="11">BIN2HEX(LEFT(RIGHT(C26,32),4))&amp;BIN2HEX(LEFT(RIGHT(C26,28),4))&amp;BIN2HEX(LEFT(RIGHT(C26,24),4))&amp;BIN2HEX(LEFT(RIGHT(C26,20),4))&amp;BIN2HEX(LEFT(RIGHT(C26,16),4))&amp;BIN2HEX(LEFT(RIGHT(C26,12),4))&amp;BIN2HEX(LEFT(RIGHT(C26,8),4))&amp;BIN2HEX(LEFT(RIGHT(C26,4),4))</f>
        <v>#NUM!</v>
      </c>
    </row>
    <row r="27" spans="1:17">
      <c r="A27" s="43"/>
      <c r="B27" s="43"/>
      <c r="C27" s="20" t="s">
        <v>233</v>
      </c>
      <c r="D27" s="20">
        <v>2</v>
      </c>
      <c r="E27" s="79" t="str">
        <f>(MID(str_cnvt(E26),SEARCH(":",str_cnvt(E26))+1,2)-1) &amp; ":" &amp; (MID(str_cnvt(E26),SEARCH(":",str_cnvt(E26))+1,2)-D27)</f>
        <v>13:12</v>
      </c>
      <c r="F27" s="20" t="s">
        <v>41</v>
      </c>
      <c r="G27" s="20" t="s">
        <v>196</v>
      </c>
      <c r="H27" s="23" t="s">
        <v>37</v>
      </c>
      <c r="I27" s="23" t="s">
        <v>36</v>
      </c>
      <c r="J27" s="23" t="s">
        <v>6</v>
      </c>
      <c r="K27" s="20"/>
      <c r="L27" s="38"/>
      <c r="M27" s="38"/>
      <c r="N27" s="38"/>
      <c r="O27" s="38">
        <v>3.1086244689504399E-15</v>
      </c>
      <c r="P27" s="38"/>
      <c r="Q27" s="38"/>
    </row>
    <row r="28" spans="1:17">
      <c r="A28" s="43"/>
      <c r="B28" s="43"/>
      <c r="C28" s="20" t="s">
        <v>234</v>
      </c>
      <c r="D28" s="20">
        <v>2</v>
      </c>
      <c r="E28" s="79" t="str">
        <f>(MID(str_cnvt(E27),SEARCH(":",str_cnvt(E27))+1,2)-1) &amp; ":" &amp; (MID(str_cnvt(E27),SEARCH(":",str_cnvt(E27))+1,2)-D28)</f>
        <v>11:10</v>
      </c>
      <c r="F28" s="20" t="s">
        <v>41</v>
      </c>
      <c r="G28" s="20" t="s">
        <v>196</v>
      </c>
      <c r="H28" s="23" t="s">
        <v>37</v>
      </c>
      <c r="I28" s="23" t="s">
        <v>36</v>
      </c>
      <c r="J28" s="23" t="s">
        <v>6</v>
      </c>
      <c r="K28" s="20"/>
      <c r="L28" s="38"/>
      <c r="M28" s="38"/>
      <c r="N28" s="38"/>
      <c r="O28" s="38">
        <v>-0.16666666666666699</v>
      </c>
      <c r="P28" s="38"/>
      <c r="Q28" s="38"/>
    </row>
    <row r="29" spans="1:17">
      <c r="A29" s="43"/>
      <c r="B29" s="43"/>
      <c r="C29" s="20" t="s">
        <v>235</v>
      </c>
      <c r="D29" s="20">
        <v>2</v>
      </c>
      <c r="E29" s="79" t="str">
        <f>(MID(str_cnvt(E28),SEARCH(":",str_cnvt(E28))+1,2)-1) &amp; ":" &amp; (MID(str_cnvt(E28),SEARCH(":",str_cnvt(E28))+1,2)-D29)</f>
        <v>9:8</v>
      </c>
      <c r="F29" s="20" t="s">
        <v>41</v>
      </c>
      <c r="G29" s="20" t="s">
        <v>196</v>
      </c>
      <c r="H29" s="23" t="s">
        <v>37</v>
      </c>
      <c r="I29" s="23" t="s">
        <v>36</v>
      </c>
      <c r="J29" s="23" t="s">
        <v>6</v>
      </c>
      <c r="K29" s="20"/>
      <c r="L29" s="38"/>
      <c r="M29" s="38"/>
      <c r="N29" s="38">
        <v>10</v>
      </c>
      <c r="O29" s="38">
        <v>-0.33333333333333698</v>
      </c>
      <c r="P29" s="38" t="str">
        <f t="shared" ref="P29" si="12">DEC2HEX(_xlfn.BITLSHIFT(N29,5)+O29*4)</f>
        <v>13E</v>
      </c>
      <c r="Q29" s="38" t="e">
        <f t="shared" ref="Q29" si="13">BIN2HEX(LEFT(RIGHT(C29,32),4))&amp;BIN2HEX(LEFT(RIGHT(C29,28),4))&amp;BIN2HEX(LEFT(RIGHT(C29,24),4))&amp;BIN2HEX(LEFT(RIGHT(C29,20),4))&amp;BIN2HEX(LEFT(RIGHT(C29,16),4))&amp;BIN2HEX(LEFT(RIGHT(C29,12),4))&amp;BIN2HEX(LEFT(RIGHT(C29,8),4))&amp;BIN2HEX(LEFT(RIGHT(C29,4),4))</f>
        <v>#NUM!</v>
      </c>
    </row>
    <row r="30" spans="1:17">
      <c r="A30" s="43"/>
      <c r="B30" s="43"/>
      <c r="C30" s="20" t="s">
        <v>236</v>
      </c>
      <c r="D30" s="20">
        <v>1</v>
      </c>
      <c r="E30" s="79" t="str">
        <f>(MID(str_cnvt(E29),SEARCH(":",str_cnvt(E29))+1,2)-1) &amp; ":" &amp; (MID(str_cnvt(E29),SEARCH(":",str_cnvt(E29))+1,2)-D30)</f>
        <v>7:7</v>
      </c>
      <c r="F30" s="20" t="s">
        <v>7</v>
      </c>
      <c r="G30" s="20" t="s">
        <v>196</v>
      </c>
      <c r="H30" s="23" t="s">
        <v>37</v>
      </c>
      <c r="I30" s="23" t="s">
        <v>36</v>
      </c>
      <c r="J30" s="23" t="s">
        <v>6</v>
      </c>
      <c r="K30" s="20"/>
      <c r="L30" s="38"/>
      <c r="M30" s="38"/>
      <c r="N30" s="38"/>
      <c r="O30" s="38"/>
      <c r="P30" s="38"/>
      <c r="Q30" s="38"/>
    </row>
    <row r="31" spans="1:17">
      <c r="A31" s="43"/>
      <c r="B31" s="43"/>
      <c r="C31" s="20" t="s">
        <v>237</v>
      </c>
      <c r="D31" s="20">
        <v>6</v>
      </c>
      <c r="E31" s="79" t="str">
        <f>(MID(str_cnvt(E30),SEARCH(":",str_cnvt(E30))+1,2)-1) &amp; ":" &amp; (MID(str_cnvt(E30),SEARCH(":",str_cnvt(E30))+1,2)-D31)</f>
        <v>6:1</v>
      </c>
      <c r="F31" s="20" t="s">
        <v>445</v>
      </c>
      <c r="G31" s="20" t="s">
        <v>447</v>
      </c>
      <c r="H31" s="23" t="s">
        <v>37</v>
      </c>
      <c r="I31" s="23" t="s">
        <v>36</v>
      </c>
      <c r="J31" s="23" t="s">
        <v>6</v>
      </c>
      <c r="K31" s="20"/>
      <c r="L31" s="38"/>
      <c r="M31" s="38"/>
      <c r="N31" s="38"/>
      <c r="O31" s="38"/>
      <c r="P31" s="38"/>
      <c r="Q31" s="38"/>
    </row>
    <row r="32" spans="1:17">
      <c r="A32" s="44"/>
      <c r="B32" s="44"/>
      <c r="C32" s="20" t="s">
        <v>238</v>
      </c>
      <c r="D32" s="20">
        <v>1</v>
      </c>
      <c r="E32" s="79" t="str">
        <f>(MID(str_cnvt(E31),SEARCH(":",str_cnvt(E31))+1,2)-1) &amp; ":" &amp; (MID(str_cnvt(E31),SEARCH(":",str_cnvt(E31))+1,2)-D32)</f>
        <v>0:0</v>
      </c>
      <c r="F32" s="20" t="s">
        <v>7</v>
      </c>
      <c r="G32" s="20"/>
      <c r="H32" s="23" t="s">
        <v>37</v>
      </c>
      <c r="I32" s="23" t="s">
        <v>36</v>
      </c>
      <c r="J32" s="23" t="s">
        <v>6</v>
      </c>
      <c r="K32" s="20"/>
      <c r="L32" s="39"/>
      <c r="M32" s="39"/>
      <c r="N32" s="39"/>
      <c r="O32" s="39"/>
      <c r="P32" s="39"/>
      <c r="Q32" s="39"/>
    </row>
    <row r="33" spans="1:17">
      <c r="A33" s="42" t="s">
        <v>259</v>
      </c>
      <c r="B33" s="42">
        <v>10</v>
      </c>
      <c r="C33" s="40" t="str">
        <f>bitConcat(F34:F39)</f>
        <v>32'b00000000000000010000000000000000</v>
      </c>
      <c r="D33" s="40"/>
      <c r="E33" s="40"/>
      <c r="F33" s="40"/>
      <c r="G33" s="40"/>
      <c r="H33" s="40"/>
      <c r="I33" s="40"/>
      <c r="J33" s="40"/>
      <c r="K33" s="41"/>
      <c r="L33" s="37" t="str">
        <f t="shared" ref="L33" si="14">DEC2HEX(_xlfn.BITLSHIFT(N33,7)+4*O33)</f>
        <v>510</v>
      </c>
      <c r="M33" s="37"/>
      <c r="N33" s="37">
        <v>10</v>
      </c>
      <c r="O33" s="37">
        <v>4</v>
      </c>
      <c r="P33" s="37" t="str">
        <f t="shared" ref="P33" si="15">DEC2HEX(_xlfn.BITLSHIFT(N33,5)+O33*4)</f>
        <v>150</v>
      </c>
      <c r="Q33" s="37" t="str">
        <f t="shared" ref="Q33" si="16">BIN2HEX(LEFT(RIGHT(C33,32),4))&amp;BIN2HEX(LEFT(RIGHT(C33,28),4))&amp;BIN2HEX(LEFT(RIGHT(C33,24),4))&amp;BIN2HEX(LEFT(RIGHT(C33,20),4))&amp;BIN2HEX(LEFT(RIGHT(C33,16),4))&amp;BIN2HEX(LEFT(RIGHT(C33,12),4))&amp;BIN2HEX(LEFT(RIGHT(C33,8),4))&amp;BIN2HEX(LEFT(RIGHT(C33,4),4))</f>
        <v>00010000</v>
      </c>
    </row>
    <row r="34" spans="1:17">
      <c r="A34" s="43"/>
      <c r="B34" s="43"/>
      <c r="C34" s="20" t="s">
        <v>239</v>
      </c>
      <c r="D34" s="20">
        <v>15</v>
      </c>
      <c r="E34" s="18" t="str">
        <f>IF(D34&gt;1,(31)&amp;":"&amp;(31-D34+1),(31-D34+1)&amp;":"&amp;(31-D34+1))</f>
        <v>31:17</v>
      </c>
      <c r="F34" s="20" t="s">
        <v>296</v>
      </c>
      <c r="G34" s="20" t="s">
        <v>203</v>
      </c>
      <c r="H34" s="23" t="s">
        <v>37</v>
      </c>
      <c r="I34" s="23" t="s">
        <v>36</v>
      </c>
      <c r="J34" s="23" t="s">
        <v>6</v>
      </c>
      <c r="K34" s="20"/>
      <c r="L34" s="38"/>
      <c r="M34" s="38"/>
      <c r="N34" s="38"/>
      <c r="O34" s="38">
        <v>-1.5833333333333399</v>
      </c>
      <c r="P34" s="38"/>
      <c r="Q34" s="38"/>
    </row>
    <row r="35" spans="1:17">
      <c r="A35" s="43"/>
      <c r="B35" s="43"/>
      <c r="C35" s="20" t="s">
        <v>195</v>
      </c>
      <c r="D35" s="20">
        <v>1</v>
      </c>
      <c r="E35" s="79" t="str">
        <f>(MID(str_cnvt(E34),SEARCH(":",str_cnvt(E34))+1,2)-1) &amp; ":" &amp; (MID(str_cnvt(E34),SEARCH(":",str_cnvt(E34))+1,2)-D35)</f>
        <v>16:16</v>
      </c>
      <c r="F35" s="20" t="s">
        <v>38</v>
      </c>
      <c r="G35" s="20" t="s">
        <v>369</v>
      </c>
      <c r="H35" s="23" t="s">
        <v>37</v>
      </c>
      <c r="I35" s="23" t="s">
        <v>36</v>
      </c>
      <c r="J35" s="23" t="s">
        <v>6</v>
      </c>
      <c r="K35" s="20"/>
      <c r="L35" s="38"/>
      <c r="M35" s="38"/>
      <c r="N35" s="38"/>
      <c r="O35" s="38">
        <v>-2</v>
      </c>
      <c r="P35" s="38"/>
      <c r="Q35" s="38"/>
    </row>
    <row r="36" spans="1:17">
      <c r="A36" s="43"/>
      <c r="B36" s="43"/>
      <c r="C36" s="20" t="s">
        <v>52</v>
      </c>
      <c r="D36" s="20">
        <v>1</v>
      </c>
      <c r="E36" s="79" t="str">
        <f>(MID(str_cnvt(E35),SEARCH(":",str_cnvt(E35))+1,2)-1) &amp; ":" &amp; (MID(str_cnvt(E35),SEARCH(":",str_cnvt(E35))+1,2)-D36)</f>
        <v>15:15</v>
      </c>
      <c r="F36" s="20" t="s">
        <v>7</v>
      </c>
      <c r="G36" s="21" t="s">
        <v>380</v>
      </c>
      <c r="H36" s="23" t="s">
        <v>37</v>
      </c>
      <c r="I36" s="23" t="s">
        <v>36</v>
      </c>
      <c r="J36" s="23" t="s">
        <v>6</v>
      </c>
      <c r="K36" s="20"/>
      <c r="L36" s="38"/>
      <c r="M36" s="38"/>
      <c r="N36" s="38">
        <v>10</v>
      </c>
      <c r="O36" s="38">
        <v>-2.4166666666666701</v>
      </c>
      <c r="P36" s="38" t="str">
        <f t="shared" ref="P36" si="17">DEC2HEX(_xlfn.BITLSHIFT(N36,5)+O36*4)</f>
        <v>136</v>
      </c>
      <c r="Q36" s="38" t="e">
        <f t="shared" ref="Q36" si="18">BIN2HEX(LEFT(RIGHT(C36,32),4))&amp;BIN2HEX(LEFT(RIGHT(C36,28),4))&amp;BIN2HEX(LEFT(RIGHT(C36,24),4))&amp;BIN2HEX(LEFT(RIGHT(C36,20),4))&amp;BIN2HEX(LEFT(RIGHT(C36,16),4))&amp;BIN2HEX(LEFT(RIGHT(C36,12),4))&amp;BIN2HEX(LEFT(RIGHT(C36,8),4))&amp;BIN2HEX(LEFT(RIGHT(C36,4),4))</f>
        <v>#NUM!</v>
      </c>
    </row>
    <row r="37" spans="1:17">
      <c r="A37" s="43"/>
      <c r="B37" s="43"/>
      <c r="C37" s="20" t="s">
        <v>240</v>
      </c>
      <c r="D37" s="20">
        <v>5</v>
      </c>
      <c r="E37" s="79" t="str">
        <f>(MID(str_cnvt(E36),SEARCH(":",str_cnvt(E36))+1,2)-1) &amp; ":" &amp; (MID(str_cnvt(E36),SEARCH(":",str_cnvt(E36))+1,2)-D37)</f>
        <v>14:10</v>
      </c>
      <c r="F37" s="36" t="s">
        <v>388</v>
      </c>
      <c r="G37" s="21" t="s">
        <v>367</v>
      </c>
      <c r="H37" s="23" t="s">
        <v>37</v>
      </c>
      <c r="I37" s="23" t="s">
        <v>36</v>
      </c>
      <c r="J37" s="23" t="s">
        <v>6</v>
      </c>
      <c r="K37" s="20"/>
      <c r="L37" s="38"/>
      <c r="M37" s="38"/>
      <c r="N37" s="38"/>
      <c r="O37" s="38">
        <v>-2.8333333333333401</v>
      </c>
      <c r="P37" s="38"/>
      <c r="Q37" s="38"/>
    </row>
    <row r="38" spans="1:17">
      <c r="A38" s="43"/>
      <c r="B38" s="43"/>
      <c r="C38" s="20" t="s">
        <v>241</v>
      </c>
      <c r="D38" s="20">
        <v>5</v>
      </c>
      <c r="E38" s="79" t="str">
        <f>(MID(str_cnvt(E37),SEARCH(":",str_cnvt(E37))+1,2)-1) &amp; ":" &amp; (MID(str_cnvt(E37),SEARCH(":",str_cnvt(E37))+1,2)-D38)</f>
        <v>9:5</v>
      </c>
      <c r="F38" s="36" t="s">
        <v>388</v>
      </c>
      <c r="G38" s="21" t="s">
        <v>367</v>
      </c>
      <c r="H38" s="23" t="s">
        <v>37</v>
      </c>
      <c r="I38" s="23" t="s">
        <v>36</v>
      </c>
      <c r="J38" s="23" t="s">
        <v>6</v>
      </c>
      <c r="K38" s="20"/>
      <c r="L38" s="38"/>
      <c r="M38" s="38"/>
      <c r="N38" s="38"/>
      <c r="O38" s="38">
        <v>-3.2500000000000102</v>
      </c>
      <c r="P38" s="38"/>
      <c r="Q38" s="38"/>
    </row>
    <row r="39" spans="1:17">
      <c r="A39" s="44"/>
      <c r="B39" s="44"/>
      <c r="C39" s="20" t="s">
        <v>242</v>
      </c>
      <c r="D39" s="20">
        <v>5</v>
      </c>
      <c r="E39" s="79" t="str">
        <f>(MID(str_cnvt(E38),SEARCH(":",str_cnvt(E38))+1,2)-1) &amp; ":" &amp; (MID(str_cnvt(E38),SEARCH(":",str_cnvt(E38))+1,2)-D39)</f>
        <v>4:0</v>
      </c>
      <c r="F39" s="36" t="s">
        <v>388</v>
      </c>
      <c r="G39" s="21" t="s">
        <v>367</v>
      </c>
      <c r="H39" s="23" t="s">
        <v>37</v>
      </c>
      <c r="I39" s="23" t="s">
        <v>36</v>
      </c>
      <c r="J39" s="23" t="s">
        <v>6</v>
      </c>
      <c r="K39" s="20"/>
      <c r="L39" s="39"/>
      <c r="M39" s="39"/>
      <c r="N39" s="39">
        <v>10</v>
      </c>
      <c r="O39" s="39">
        <v>-3.6666666666666701</v>
      </c>
      <c r="P39" s="39" t="str">
        <f t="shared" ref="P39:P40" si="19">DEC2HEX(_xlfn.BITLSHIFT(N39,5)+O39*4)</f>
        <v>131</v>
      </c>
      <c r="Q39" s="39" t="e">
        <f t="shared" ref="Q39:Q40" si="20">BIN2HEX(LEFT(RIGHT(C39,32),4))&amp;BIN2HEX(LEFT(RIGHT(C39,28),4))&amp;BIN2HEX(LEFT(RIGHT(C39,24),4))&amp;BIN2HEX(LEFT(RIGHT(C39,20),4))&amp;BIN2HEX(LEFT(RIGHT(C39,16),4))&amp;BIN2HEX(LEFT(RIGHT(C39,12),4))&amp;BIN2HEX(LEFT(RIGHT(C39,8),4))&amp;BIN2HEX(LEFT(RIGHT(C39,4),4))</f>
        <v>#NUM!</v>
      </c>
    </row>
    <row r="40" spans="1:17">
      <c r="A40" s="42" t="s">
        <v>258</v>
      </c>
      <c r="B40" s="42">
        <v>14</v>
      </c>
      <c r="C40" s="40" t="str">
        <f>bitConcat(F41:F46)</f>
        <v>32'b00000000000000000000000000000000</v>
      </c>
      <c r="D40" s="40"/>
      <c r="E40" s="40"/>
      <c r="F40" s="40"/>
      <c r="G40" s="40"/>
      <c r="H40" s="40"/>
      <c r="I40" s="40"/>
      <c r="J40" s="40"/>
      <c r="K40" s="41"/>
      <c r="L40" s="37" t="str">
        <f t="shared" ref="L40" si="21">DEC2HEX(_xlfn.BITLSHIFT(N40,7)+4*O40)</f>
        <v>514</v>
      </c>
      <c r="M40" s="37"/>
      <c r="N40" s="37">
        <v>10</v>
      </c>
      <c r="O40" s="37">
        <v>5</v>
      </c>
      <c r="P40" s="37" t="str">
        <f t="shared" si="19"/>
        <v>154</v>
      </c>
      <c r="Q40" s="37" t="str">
        <f t="shared" si="20"/>
        <v>00000000</v>
      </c>
    </row>
    <row r="41" spans="1:17">
      <c r="A41" s="43"/>
      <c r="B41" s="43"/>
      <c r="C41" s="20" t="s">
        <v>243</v>
      </c>
      <c r="D41" s="20">
        <v>13</v>
      </c>
      <c r="E41" s="18" t="str">
        <f>IF(D41&gt;1,(31)&amp;":"&amp;(31-D41+1),(31-D41+1)&amp;":"&amp;(31-D41+1))</f>
        <v>31:19</v>
      </c>
      <c r="F41" s="20" t="s">
        <v>295</v>
      </c>
      <c r="G41" s="20" t="s">
        <v>203</v>
      </c>
      <c r="H41" s="23" t="s">
        <v>37</v>
      </c>
      <c r="I41" s="23" t="s">
        <v>36</v>
      </c>
      <c r="J41" s="23" t="s">
        <v>6</v>
      </c>
      <c r="K41" s="20"/>
      <c r="L41" s="38"/>
      <c r="M41" s="38"/>
      <c r="N41" s="38"/>
      <c r="O41" s="38">
        <v>-6.5297619047619104</v>
      </c>
      <c r="P41" s="38"/>
      <c r="Q41" s="38"/>
    </row>
    <row r="42" spans="1:17">
      <c r="A42" s="43"/>
      <c r="B42" s="43"/>
      <c r="C42" s="20" t="s">
        <v>244</v>
      </c>
      <c r="D42" s="20">
        <v>3</v>
      </c>
      <c r="E42" s="79" t="str">
        <f>(MID(str_cnvt(E41),SEARCH(":",str_cnvt(E41))+1,2)-1) &amp; ":" &amp; (MID(str_cnvt(E41),SEARCH(":",str_cnvt(E41))+1,2)-D42)</f>
        <v>18:16</v>
      </c>
      <c r="F42" s="36" t="s">
        <v>386</v>
      </c>
      <c r="G42" s="20" t="s">
        <v>368</v>
      </c>
      <c r="H42" s="23" t="s">
        <v>37</v>
      </c>
      <c r="I42" s="23" t="s">
        <v>36</v>
      </c>
      <c r="J42" s="23" t="s">
        <v>6</v>
      </c>
      <c r="K42" s="20"/>
      <c r="L42" s="38"/>
      <c r="M42" s="38"/>
      <c r="N42" s="38"/>
      <c r="O42" s="38">
        <v>-7.5</v>
      </c>
      <c r="P42" s="38"/>
      <c r="Q42" s="38"/>
    </row>
    <row r="43" spans="1:17">
      <c r="A43" s="43"/>
      <c r="B43" s="43"/>
      <c r="C43" s="20" t="s">
        <v>245</v>
      </c>
      <c r="D43" s="20">
        <v>3</v>
      </c>
      <c r="E43" s="79" t="str">
        <f>(MID(str_cnvt(E42),SEARCH(":",str_cnvt(E42))+1,2)-1) &amp; ":" &amp; (MID(str_cnvt(E42),SEARCH(":",str_cnvt(E42))+1,2)-D43)</f>
        <v>15:13</v>
      </c>
      <c r="F43" s="36" t="s">
        <v>42</v>
      </c>
      <c r="G43" s="20" t="s">
        <v>368</v>
      </c>
      <c r="H43" s="23" t="s">
        <v>37</v>
      </c>
      <c r="I43" s="23" t="s">
        <v>36</v>
      </c>
      <c r="J43" s="23" t="s">
        <v>6</v>
      </c>
      <c r="K43" s="20"/>
      <c r="L43" s="38"/>
      <c r="M43" s="38"/>
      <c r="N43" s="38">
        <v>10</v>
      </c>
      <c r="O43" s="38">
        <v>-8.4702380952381002</v>
      </c>
      <c r="P43" s="38" t="str">
        <f t="shared" ref="P43" si="22">DEC2HEX(_xlfn.BITLSHIFT(N43,5)+O43*4)</f>
        <v>11E</v>
      </c>
      <c r="Q43" s="38" t="e">
        <f t="shared" ref="Q43" si="23">BIN2HEX(LEFT(RIGHT(C43,32),4))&amp;BIN2HEX(LEFT(RIGHT(C43,28),4))&amp;BIN2HEX(LEFT(RIGHT(C43,24),4))&amp;BIN2HEX(LEFT(RIGHT(C43,20),4))&amp;BIN2HEX(LEFT(RIGHT(C43,16),4))&amp;BIN2HEX(LEFT(RIGHT(C43,12),4))&amp;BIN2HEX(LEFT(RIGHT(C43,8),4))&amp;BIN2HEX(LEFT(RIGHT(C43,4),4))</f>
        <v>#NUM!</v>
      </c>
    </row>
    <row r="44" spans="1:17">
      <c r="A44" s="43"/>
      <c r="B44" s="43"/>
      <c r="C44" s="20" t="s">
        <v>246</v>
      </c>
      <c r="D44" s="20">
        <v>3</v>
      </c>
      <c r="E44" s="79" t="str">
        <f>(MID(str_cnvt(E43),SEARCH(":",str_cnvt(E43))+1,2)-1) &amp; ":" &amp; (MID(str_cnvt(E43),SEARCH(":",str_cnvt(E43))+1,2)-D44)</f>
        <v>12:10</v>
      </c>
      <c r="F44" s="36" t="s">
        <v>42</v>
      </c>
      <c r="G44" s="20" t="s">
        <v>368</v>
      </c>
      <c r="H44" s="23" t="s">
        <v>37</v>
      </c>
      <c r="I44" s="23" t="s">
        <v>36</v>
      </c>
      <c r="J44" s="23" t="s">
        <v>6</v>
      </c>
      <c r="K44" s="20"/>
      <c r="L44" s="38"/>
      <c r="M44" s="38"/>
      <c r="N44" s="38"/>
      <c r="O44" s="38">
        <v>-9.4404761904762395</v>
      </c>
      <c r="P44" s="38"/>
      <c r="Q44" s="38"/>
    </row>
    <row r="45" spans="1:17">
      <c r="A45" s="43"/>
      <c r="B45" s="43"/>
      <c r="C45" s="20" t="s">
        <v>247</v>
      </c>
      <c r="D45" s="20">
        <v>5</v>
      </c>
      <c r="E45" s="79" t="str">
        <f>(MID(str_cnvt(E44),SEARCH(":",str_cnvt(E44))+1,2)-1) &amp; ":" &amp; (MID(str_cnvt(E44),SEARCH(":",str_cnvt(E44))+1,2)-D45)</f>
        <v>9:5</v>
      </c>
      <c r="F45" s="20" t="s">
        <v>45</v>
      </c>
      <c r="G45" s="20" t="s">
        <v>382</v>
      </c>
      <c r="H45" s="23" t="s">
        <v>37</v>
      </c>
      <c r="I45" s="23" t="s">
        <v>36</v>
      </c>
      <c r="J45" s="23" t="s">
        <v>6</v>
      </c>
      <c r="K45" s="20"/>
      <c r="L45" s="38"/>
      <c r="M45" s="38"/>
      <c r="N45" s="38"/>
      <c r="O45" s="38">
        <v>-10.410714285714301</v>
      </c>
      <c r="P45" s="38"/>
      <c r="Q45" s="38"/>
    </row>
    <row r="46" spans="1:17">
      <c r="A46" s="44"/>
      <c r="B46" s="44"/>
      <c r="C46" s="20" t="s">
        <v>248</v>
      </c>
      <c r="D46" s="20">
        <v>5</v>
      </c>
      <c r="E46" s="79" t="str">
        <f>(MID(str_cnvt(E45),SEARCH(":",str_cnvt(E45))+1,2)-1) &amp; ":" &amp; (MID(str_cnvt(E45),SEARCH(":",str_cnvt(E45))+1,2)-D46)</f>
        <v>4:0</v>
      </c>
      <c r="F46" s="20" t="s">
        <v>387</v>
      </c>
      <c r="G46" s="20" t="s">
        <v>382</v>
      </c>
      <c r="H46" s="23" t="s">
        <v>37</v>
      </c>
      <c r="I46" s="23" t="s">
        <v>36</v>
      </c>
      <c r="J46" s="23" t="s">
        <v>6</v>
      </c>
      <c r="K46" s="20"/>
      <c r="L46" s="39"/>
      <c r="M46" s="39"/>
      <c r="N46" s="39">
        <v>10</v>
      </c>
      <c r="O46" s="39">
        <v>-11.3809523809523</v>
      </c>
      <c r="P46" s="39" t="str">
        <f t="shared" ref="P46:P47" si="24">DEC2HEX(_xlfn.BITLSHIFT(N46,5)+O46*4)</f>
        <v>112</v>
      </c>
      <c r="Q46" s="39" t="e">
        <f t="shared" ref="Q46:Q47" si="25">BIN2HEX(LEFT(RIGHT(C46,32),4))&amp;BIN2HEX(LEFT(RIGHT(C46,28),4))&amp;BIN2HEX(LEFT(RIGHT(C46,24),4))&amp;BIN2HEX(LEFT(RIGHT(C46,20),4))&amp;BIN2HEX(LEFT(RIGHT(C46,16),4))&amp;BIN2HEX(LEFT(RIGHT(C46,12),4))&amp;BIN2HEX(LEFT(RIGHT(C46,8),4))&amp;BIN2HEX(LEFT(RIGHT(C46,4),4))</f>
        <v>#NUM!</v>
      </c>
    </row>
    <row r="47" spans="1:17">
      <c r="A47" s="42" t="s">
        <v>260</v>
      </c>
      <c r="B47" s="42">
        <v>18</v>
      </c>
      <c r="C47" s="40" t="str">
        <f>bitConcat(F48:F53)</f>
        <v>32'b00000000000000000000100000010010</v>
      </c>
      <c r="D47" s="40"/>
      <c r="E47" s="40"/>
      <c r="F47" s="40"/>
      <c r="G47" s="40"/>
      <c r="H47" s="40"/>
      <c r="I47" s="40"/>
      <c r="J47" s="40"/>
      <c r="K47" s="41"/>
      <c r="L47" s="37" t="str">
        <f t="shared" ref="L47" si="26">DEC2HEX(_xlfn.BITLSHIFT(N47,7)+4*O47)</f>
        <v>518</v>
      </c>
      <c r="M47" s="37"/>
      <c r="N47" s="37">
        <v>10</v>
      </c>
      <c r="O47" s="37">
        <v>6</v>
      </c>
      <c r="P47" s="37" t="str">
        <f t="shared" si="24"/>
        <v>158</v>
      </c>
      <c r="Q47" s="37" t="str">
        <f t="shared" si="25"/>
        <v>00000812</v>
      </c>
    </row>
    <row r="48" spans="1:17">
      <c r="A48" s="43"/>
      <c r="B48" s="43"/>
      <c r="C48" s="20" t="s">
        <v>249</v>
      </c>
      <c r="D48" s="20">
        <v>19</v>
      </c>
      <c r="E48" s="18" t="str">
        <f>IF(D48&gt;1,(31)&amp;":"&amp;(31-D48+1),(31-D48+1)&amp;":"&amp;(31-D48+1))</f>
        <v>31:13</v>
      </c>
      <c r="F48" s="20" t="s">
        <v>294</v>
      </c>
      <c r="G48" s="20" t="s">
        <v>203</v>
      </c>
      <c r="H48" s="23" t="s">
        <v>37</v>
      </c>
      <c r="I48" s="23" t="s">
        <v>36</v>
      </c>
      <c r="J48" s="23" t="s">
        <v>6</v>
      </c>
      <c r="K48" s="20"/>
      <c r="L48" s="38"/>
      <c r="M48" s="38"/>
      <c r="N48" s="38"/>
      <c r="O48" s="38">
        <v>-17.4698129251701</v>
      </c>
      <c r="P48" s="38"/>
      <c r="Q48" s="38"/>
    </row>
    <row r="49" spans="1:17">
      <c r="A49" s="43"/>
      <c r="B49" s="43"/>
      <c r="C49" s="20" t="s">
        <v>250</v>
      </c>
      <c r="D49" s="20">
        <v>3</v>
      </c>
      <c r="E49" s="79" t="str">
        <f>(MID(str_cnvt(E48),SEARCH(":",str_cnvt(E48))+1,2)-1) &amp; ":" &amp; (MID(str_cnvt(E48),SEARCH(":",str_cnvt(E48))+1,2)-D49)</f>
        <v>12:10</v>
      </c>
      <c r="F49" s="20" t="s">
        <v>194</v>
      </c>
      <c r="G49" s="20" t="s">
        <v>385</v>
      </c>
      <c r="H49" s="23" t="s">
        <v>37</v>
      </c>
      <c r="I49" s="23" t="s">
        <v>36</v>
      </c>
      <c r="J49" s="23" t="s">
        <v>6</v>
      </c>
      <c r="K49" s="20"/>
      <c r="L49" s="38"/>
      <c r="M49" s="38"/>
      <c r="N49" s="38"/>
      <c r="O49" s="38">
        <v>-19.571428571428601</v>
      </c>
      <c r="P49" s="38"/>
      <c r="Q49" s="38"/>
    </row>
    <row r="50" spans="1:17">
      <c r="A50" s="43"/>
      <c r="B50" s="43"/>
      <c r="C50" s="20" t="s">
        <v>192</v>
      </c>
      <c r="D50" s="20">
        <v>2</v>
      </c>
      <c r="E50" s="79" t="str">
        <f>(MID(str_cnvt(E49),SEARCH(":",str_cnvt(E49))+1,2)-1) &amp; ":" &amp; (MID(str_cnvt(E49),SEARCH(":",str_cnvt(E49))+1,2)-D50)</f>
        <v>9:8</v>
      </c>
      <c r="F50" s="18" t="s">
        <v>41</v>
      </c>
      <c r="G50" s="18" t="s">
        <v>383</v>
      </c>
      <c r="H50" s="23" t="s">
        <v>37</v>
      </c>
      <c r="I50" s="23" t="s">
        <v>36</v>
      </c>
      <c r="J50" s="23" t="s">
        <v>6</v>
      </c>
      <c r="K50" s="20"/>
      <c r="L50" s="38"/>
      <c r="M50" s="38"/>
      <c r="N50" s="38">
        <v>10</v>
      </c>
      <c r="O50" s="38">
        <v>-21.673044217687099</v>
      </c>
      <c r="P50" s="38" t="str">
        <f t="shared" ref="P50" si="27">DEC2HEX(_xlfn.BITLSHIFT(N50,5)+O50*4)</f>
        <v>E9</v>
      </c>
      <c r="Q50" s="38" t="e">
        <f t="shared" ref="Q50" si="28">BIN2HEX(LEFT(RIGHT(C50,32),4))&amp;BIN2HEX(LEFT(RIGHT(C50,28),4))&amp;BIN2HEX(LEFT(RIGHT(C50,24),4))&amp;BIN2HEX(LEFT(RIGHT(C50,20),4))&amp;BIN2HEX(LEFT(RIGHT(C50,16),4))&amp;BIN2HEX(LEFT(RIGHT(C50,12),4))&amp;BIN2HEX(LEFT(RIGHT(C50,8),4))&amp;BIN2HEX(LEFT(RIGHT(C50,4),4))</f>
        <v>#NUM!</v>
      </c>
    </row>
    <row r="51" spans="1:17">
      <c r="A51" s="43"/>
      <c r="B51" s="43"/>
      <c r="C51" s="20" t="s">
        <v>251</v>
      </c>
      <c r="D51" s="20">
        <v>2</v>
      </c>
      <c r="E51" s="79" t="str">
        <f>(MID(str_cnvt(E50),SEARCH(":",str_cnvt(E50))+1,2)-1) &amp; ":" &amp; (MID(str_cnvt(E50),SEARCH(":",str_cnvt(E50))+1,2)-D51)</f>
        <v>7:6</v>
      </c>
      <c r="F51" s="18" t="s">
        <v>41</v>
      </c>
      <c r="G51" s="18" t="s">
        <v>384</v>
      </c>
      <c r="H51" s="23" t="s">
        <v>37</v>
      </c>
      <c r="I51" s="23" t="s">
        <v>36</v>
      </c>
      <c r="J51" s="23" t="s">
        <v>6</v>
      </c>
      <c r="K51" s="20"/>
      <c r="L51" s="38"/>
      <c r="M51" s="38"/>
      <c r="N51" s="38"/>
      <c r="O51" s="38">
        <v>-23.774659863945601</v>
      </c>
      <c r="P51" s="38"/>
      <c r="Q51" s="38"/>
    </row>
    <row r="52" spans="1:17">
      <c r="A52" s="43"/>
      <c r="B52" s="43"/>
      <c r="C52" s="20" t="s">
        <v>193</v>
      </c>
      <c r="D52" s="20">
        <v>3</v>
      </c>
      <c r="E52" s="79" t="str">
        <f>(MID(str_cnvt(E51),SEARCH(":",str_cnvt(E51))+1,2)-1) &amp; ":" &amp; (MID(str_cnvt(E51),SEARCH(":",str_cnvt(E51))+1,2)-D52)</f>
        <v>5:3</v>
      </c>
      <c r="F52" s="19" t="s">
        <v>194</v>
      </c>
      <c r="G52" s="18" t="s">
        <v>365</v>
      </c>
      <c r="H52" s="23" t="s">
        <v>37</v>
      </c>
      <c r="I52" s="23" t="s">
        <v>36</v>
      </c>
      <c r="J52" s="23" t="s">
        <v>6</v>
      </c>
      <c r="K52" s="20"/>
      <c r="L52" s="38"/>
      <c r="M52" s="38"/>
      <c r="N52" s="38"/>
      <c r="O52" s="38">
        <v>-25.876275510204099</v>
      </c>
      <c r="P52" s="38"/>
      <c r="Q52" s="38"/>
    </row>
    <row r="53" spans="1:17">
      <c r="A53" s="44"/>
      <c r="B53" s="44"/>
      <c r="C53" s="20" t="s">
        <v>252</v>
      </c>
      <c r="D53" s="20">
        <v>3</v>
      </c>
      <c r="E53" s="79" t="str">
        <f>(MID(str_cnvt(E52),SEARCH(":",str_cnvt(E52))+1,2)-1) &amp; ":" &amp; (MID(str_cnvt(E52),SEARCH(":",str_cnvt(E52))+1,2)-D53)</f>
        <v>2:0</v>
      </c>
      <c r="F53" s="19" t="s">
        <v>194</v>
      </c>
      <c r="G53" s="18" t="s">
        <v>384</v>
      </c>
      <c r="H53" s="23" t="s">
        <v>37</v>
      </c>
      <c r="I53" s="23" t="s">
        <v>36</v>
      </c>
      <c r="J53" s="23" t="s">
        <v>6</v>
      </c>
      <c r="K53" s="20"/>
      <c r="L53" s="39"/>
      <c r="M53" s="39"/>
      <c r="N53" s="39">
        <v>10</v>
      </c>
      <c r="O53" s="39">
        <v>-27.977891156462601</v>
      </c>
      <c r="P53" s="39" t="str">
        <f t="shared" ref="P53:P54" si="29">DEC2HEX(_xlfn.BITLSHIFT(N53,5)+O53*4)</f>
        <v>D0</v>
      </c>
      <c r="Q53" s="39" t="e">
        <f t="shared" ref="Q53:Q54" si="30">BIN2HEX(LEFT(RIGHT(C53,32),4))&amp;BIN2HEX(LEFT(RIGHT(C53,28),4))&amp;BIN2HEX(LEFT(RIGHT(C53,24),4))&amp;BIN2HEX(LEFT(RIGHT(C53,20),4))&amp;BIN2HEX(LEFT(RIGHT(C53,16),4))&amp;BIN2HEX(LEFT(RIGHT(C53,12),4))&amp;BIN2HEX(LEFT(RIGHT(C53,8),4))&amp;BIN2HEX(LEFT(RIGHT(C53,4),4))</f>
        <v>#NUM!</v>
      </c>
    </row>
    <row r="54" spans="1:17">
      <c r="A54" s="42" t="s">
        <v>219</v>
      </c>
      <c r="B54" s="42" t="s">
        <v>198</v>
      </c>
      <c r="C54" s="40" t="str">
        <f>bitConcat(F55:F59)</f>
        <v>32'b00000000000000000111011101110111</v>
      </c>
      <c r="D54" s="40"/>
      <c r="E54" s="40"/>
      <c r="F54" s="40"/>
      <c r="G54" s="40"/>
      <c r="H54" s="40"/>
      <c r="I54" s="40"/>
      <c r="J54" s="40"/>
      <c r="K54" s="41"/>
      <c r="L54" s="37" t="str">
        <f t="shared" ref="L54" si="31">DEC2HEX(_xlfn.BITLSHIFT(N54,7)+4*O54)</f>
        <v>51C</v>
      </c>
      <c r="M54" s="37"/>
      <c r="N54" s="37">
        <v>10</v>
      </c>
      <c r="O54" s="37">
        <v>7</v>
      </c>
      <c r="P54" s="37" t="str">
        <f t="shared" si="29"/>
        <v>15C</v>
      </c>
      <c r="Q54" s="37" t="str">
        <f t="shared" si="30"/>
        <v>00007777</v>
      </c>
    </row>
    <row r="55" spans="1:17">
      <c r="A55" s="43"/>
      <c r="B55" s="43"/>
      <c r="C55" s="20" t="s">
        <v>253</v>
      </c>
      <c r="D55" s="20">
        <v>16</v>
      </c>
      <c r="E55" s="18" t="str">
        <f>IF(D55&gt;1,(31)&amp;":"&amp;(31-D55+1),(31-D55+1)&amp;":"&amp;(31-D55+1))</f>
        <v>31:16</v>
      </c>
      <c r="F55" s="20" t="s">
        <v>293</v>
      </c>
      <c r="G55" s="20" t="s">
        <v>203</v>
      </c>
      <c r="H55" s="23" t="s">
        <v>37</v>
      </c>
      <c r="I55" s="23" t="s">
        <v>36</v>
      </c>
      <c r="J55" s="23" t="s">
        <v>6</v>
      </c>
      <c r="K55" s="20"/>
      <c r="L55" s="38"/>
      <c r="M55" s="38"/>
      <c r="N55" s="38"/>
      <c r="O55" s="38">
        <v>-40.575771379980601</v>
      </c>
      <c r="P55" s="38"/>
      <c r="Q55" s="38"/>
    </row>
    <row r="56" spans="1:17">
      <c r="A56" s="43"/>
      <c r="B56" s="43"/>
      <c r="C56" s="20" t="s">
        <v>254</v>
      </c>
      <c r="D56" s="20">
        <v>4</v>
      </c>
      <c r="E56" s="79" t="str">
        <f>(MID(str_cnvt(E55),SEARCH(":",str_cnvt(E55))+1,2)-1) &amp; ":" &amp; (MID(str_cnvt(E55),SEARCH(":",str_cnvt(E55))+1,2)-D56)</f>
        <v>15:12</v>
      </c>
      <c r="F56" s="19" t="s">
        <v>77</v>
      </c>
      <c r="G56" s="21" t="s">
        <v>366</v>
      </c>
      <c r="H56" s="23" t="s">
        <v>37</v>
      </c>
      <c r="I56" s="23" t="s">
        <v>36</v>
      </c>
      <c r="J56" s="23" t="s">
        <v>6</v>
      </c>
      <c r="K56" s="20"/>
      <c r="L56" s="38"/>
      <c r="M56" s="38"/>
      <c r="N56" s="38"/>
      <c r="O56" s="38">
        <v>-44.966836734693899</v>
      </c>
      <c r="P56" s="38"/>
      <c r="Q56" s="38"/>
    </row>
    <row r="57" spans="1:17">
      <c r="A57" s="43"/>
      <c r="B57" s="43"/>
      <c r="C57" s="20" t="s">
        <v>255</v>
      </c>
      <c r="D57" s="20">
        <v>4</v>
      </c>
      <c r="E57" s="79" t="str">
        <f>(MID(str_cnvt(E56),SEARCH(":",str_cnvt(E56))+1,2)-1) &amp; ":" &amp; (MID(str_cnvt(E56),SEARCH(":",str_cnvt(E56))+1,2)-D57)</f>
        <v>11:8</v>
      </c>
      <c r="F57" s="19" t="s">
        <v>77</v>
      </c>
      <c r="G57" s="21" t="s">
        <v>366</v>
      </c>
      <c r="H57" s="23" t="s">
        <v>37</v>
      </c>
      <c r="I57" s="23" t="s">
        <v>36</v>
      </c>
      <c r="J57" s="23" t="s">
        <v>6</v>
      </c>
      <c r="K57" s="20"/>
      <c r="L57" s="38"/>
      <c r="M57" s="38"/>
      <c r="N57" s="38">
        <v>10</v>
      </c>
      <c r="O57" s="38">
        <v>-49.357902089407197</v>
      </c>
      <c r="P57" s="38" t="str">
        <f t="shared" ref="P57" si="32">DEC2HEX(_xlfn.BITLSHIFT(N57,5)+O57*4)</f>
        <v>7A</v>
      </c>
      <c r="Q57" s="38" t="e">
        <f t="shared" ref="Q57" si="33">BIN2HEX(LEFT(RIGHT(C57,32),4))&amp;BIN2HEX(LEFT(RIGHT(C57,28),4))&amp;BIN2HEX(LEFT(RIGHT(C57,24),4))&amp;BIN2HEX(LEFT(RIGHT(C57,20),4))&amp;BIN2HEX(LEFT(RIGHT(C57,16),4))&amp;BIN2HEX(LEFT(RIGHT(C57,12),4))&amp;BIN2HEX(LEFT(RIGHT(C57,8),4))&amp;BIN2HEX(LEFT(RIGHT(C57,4),4))</f>
        <v>#NUM!</v>
      </c>
    </row>
    <row r="58" spans="1:17">
      <c r="A58" s="43"/>
      <c r="B58" s="43"/>
      <c r="C58" s="20" t="s">
        <v>256</v>
      </c>
      <c r="D58" s="20">
        <v>4</v>
      </c>
      <c r="E58" s="79" t="str">
        <f>(MID(str_cnvt(E57),SEARCH(":",str_cnvt(E57))+1,2)-1) &amp; ":" &amp; (MID(str_cnvt(E57),SEARCH(":",str_cnvt(E57))+1,2)-D58)</f>
        <v>7:4</v>
      </c>
      <c r="F58" s="19" t="s">
        <v>77</v>
      </c>
      <c r="G58" s="21" t="s">
        <v>366</v>
      </c>
      <c r="H58" s="23" t="s">
        <v>37</v>
      </c>
      <c r="I58" s="23" t="s">
        <v>36</v>
      </c>
      <c r="J58" s="23" t="s">
        <v>6</v>
      </c>
      <c r="K58" s="20"/>
      <c r="L58" s="38"/>
      <c r="M58" s="38"/>
      <c r="N58" s="38"/>
      <c r="O58" s="38">
        <v>-53.748967444120602</v>
      </c>
      <c r="P58" s="38"/>
      <c r="Q58" s="38"/>
    </row>
    <row r="59" spans="1:17">
      <c r="A59" s="44"/>
      <c r="B59" s="44"/>
      <c r="C59" s="20" t="s">
        <v>257</v>
      </c>
      <c r="D59" s="20">
        <v>4</v>
      </c>
      <c r="E59" s="79" t="str">
        <f>(MID(str_cnvt(E58),SEARCH(":",str_cnvt(E58))+1,2)-1) &amp; ":" &amp; (MID(str_cnvt(E58),SEARCH(":",str_cnvt(E58))+1,2)-D59)</f>
        <v>3:0</v>
      </c>
      <c r="F59" s="19" t="s">
        <v>77</v>
      </c>
      <c r="G59" s="21" t="s">
        <v>366</v>
      </c>
      <c r="H59" s="23" t="s">
        <v>37</v>
      </c>
      <c r="I59" s="23" t="s">
        <v>36</v>
      </c>
      <c r="J59" s="23" t="s">
        <v>6</v>
      </c>
      <c r="K59" s="20"/>
      <c r="L59" s="39"/>
      <c r="M59" s="39"/>
      <c r="N59" s="39"/>
      <c r="O59" s="39">
        <v>-58.1400327988339</v>
      </c>
      <c r="P59" s="39"/>
      <c r="Q59" s="39"/>
    </row>
    <row r="60" spans="1:17">
      <c r="A60" s="42" t="s">
        <v>58</v>
      </c>
      <c r="B60" s="42">
        <v>20</v>
      </c>
      <c r="C60" s="40" t="str">
        <f>bitConcat(F61:F67)</f>
        <v>32'b00000000010001100000000000000000</v>
      </c>
      <c r="D60" s="40"/>
      <c r="E60" s="40"/>
      <c r="F60" s="40"/>
      <c r="G60" s="40"/>
      <c r="H60" s="40"/>
      <c r="I60" s="40"/>
      <c r="J60" s="40"/>
      <c r="K60" s="41"/>
      <c r="L60" s="37" t="str">
        <f t="shared" ref="L60" si="34">DEC2HEX(_xlfn.BITLSHIFT(N60,7)+4*O60)</f>
        <v>520</v>
      </c>
      <c r="M60" s="37"/>
      <c r="N60" s="37">
        <v>10</v>
      </c>
      <c r="O60" s="37">
        <v>8</v>
      </c>
      <c r="P60" s="37" t="str">
        <f t="shared" ref="P60" si="35">DEC2HEX(_xlfn.BITLSHIFT(N60,5)+O60*4)</f>
        <v>160</v>
      </c>
      <c r="Q60" s="37" t="str">
        <f t="shared" ref="Q60" si="36">BIN2HEX(LEFT(RIGHT(C60,32),4))&amp;BIN2HEX(LEFT(RIGHT(C60,28),4))&amp;BIN2HEX(LEFT(RIGHT(C60,24),4))&amp;BIN2HEX(LEFT(RIGHT(C60,20),4))&amp;BIN2HEX(LEFT(RIGHT(C60,16),4))&amp;BIN2HEX(LEFT(RIGHT(C60,12),4))&amp;BIN2HEX(LEFT(RIGHT(C60,8),4))&amp;BIN2HEX(LEFT(RIGHT(C60,4),4))</f>
        <v>00460000</v>
      </c>
    </row>
    <row r="61" spans="1:17">
      <c r="A61" s="43"/>
      <c r="B61" s="43"/>
      <c r="C61" s="20" t="s">
        <v>262</v>
      </c>
      <c r="D61" s="20">
        <v>9</v>
      </c>
      <c r="E61" s="18" t="str">
        <f>IF(D61&gt;1,(31)&amp;":"&amp;(31-D61+1),(31-D61+1)&amp;":"&amp;(31-D61+1))</f>
        <v>31:23</v>
      </c>
      <c r="F61" s="20" t="s">
        <v>50</v>
      </c>
      <c r="G61" s="20" t="s">
        <v>203</v>
      </c>
      <c r="H61" s="23" t="s">
        <v>37</v>
      </c>
      <c r="I61" s="23" t="s">
        <v>36</v>
      </c>
      <c r="J61" s="23" t="s">
        <v>6</v>
      </c>
      <c r="K61" s="20"/>
      <c r="L61" s="38"/>
      <c r="M61" s="38"/>
      <c r="N61" s="38"/>
      <c r="O61" s="38">
        <v>-87.4863092345783</v>
      </c>
      <c r="P61" s="38"/>
      <c r="Q61" s="38"/>
    </row>
    <row r="62" spans="1:17">
      <c r="A62" s="43"/>
      <c r="B62" s="43"/>
      <c r="C62" s="20" t="s">
        <v>263</v>
      </c>
      <c r="D62" s="20">
        <v>1</v>
      </c>
      <c r="E62" s="79" t="str">
        <f>(MID(str_cnvt(E61),SEARCH(":",str_cnvt(E61))+1,2)-1) &amp; ":" &amp; (MID(str_cnvt(E61),SEARCH(":",str_cnvt(E61))+1,2)-D62)</f>
        <v>22:22</v>
      </c>
      <c r="F62" s="20" t="s">
        <v>38</v>
      </c>
      <c r="G62" s="20" t="s">
        <v>389</v>
      </c>
      <c r="H62" s="23" t="s">
        <v>37</v>
      </c>
      <c r="I62" s="23" t="s">
        <v>36</v>
      </c>
      <c r="J62" s="23" t="s">
        <v>6</v>
      </c>
      <c r="K62" s="20"/>
      <c r="L62" s="38"/>
      <c r="M62" s="38"/>
      <c r="N62" s="38"/>
      <c r="O62" s="38">
        <v>-98.046618307186904</v>
      </c>
      <c r="P62" s="38"/>
      <c r="Q62" s="38"/>
    </row>
    <row r="63" spans="1:17">
      <c r="A63" s="43"/>
      <c r="B63" s="43"/>
      <c r="C63" s="20" t="s">
        <v>264</v>
      </c>
      <c r="D63" s="20">
        <v>3</v>
      </c>
      <c r="E63" s="79" t="str">
        <f>(MID(str_cnvt(E62),SEARCH(":",str_cnvt(E62))+1,2)-1) &amp; ":" &amp; (MID(str_cnvt(E62),SEARCH(":",str_cnvt(E62))+1,2)-D63)</f>
        <v>21:19</v>
      </c>
      <c r="F63" s="20" t="s">
        <v>42</v>
      </c>
      <c r="G63" s="20" t="s">
        <v>390</v>
      </c>
      <c r="H63" s="23" t="s">
        <v>37</v>
      </c>
      <c r="I63" s="23" t="s">
        <v>36</v>
      </c>
      <c r="J63" s="23" t="s">
        <v>6</v>
      </c>
      <c r="K63" s="20"/>
      <c r="L63" s="38"/>
      <c r="M63" s="38"/>
      <c r="N63" s="38">
        <v>10</v>
      </c>
      <c r="O63" s="38">
        <v>-108.60692737979601</v>
      </c>
      <c r="P63" s="38" t="str">
        <f t="shared" ref="P63" si="37">DEC2HEX(_xlfn.BITLSHIFT(N63,5)+O63*4)</f>
        <v>FFFFFFFF8E</v>
      </c>
      <c r="Q63" s="38" t="e">
        <f t="shared" ref="Q63" si="38">BIN2HEX(LEFT(RIGHT(C63,32),4))&amp;BIN2HEX(LEFT(RIGHT(C63,28),4))&amp;BIN2HEX(LEFT(RIGHT(C63,24),4))&amp;BIN2HEX(LEFT(RIGHT(C63,20),4))&amp;BIN2HEX(LEFT(RIGHT(C63,16),4))&amp;BIN2HEX(LEFT(RIGHT(C63,12),4))&amp;BIN2HEX(LEFT(RIGHT(C63,8),4))&amp;BIN2HEX(LEFT(RIGHT(C63,4),4))</f>
        <v>#NUM!</v>
      </c>
    </row>
    <row r="64" spans="1:17">
      <c r="A64" s="43"/>
      <c r="B64" s="43"/>
      <c r="C64" s="20" t="s">
        <v>265</v>
      </c>
      <c r="D64" s="20">
        <v>6</v>
      </c>
      <c r="E64" s="79" t="str">
        <f>(MID(str_cnvt(E63),SEARCH(":",str_cnvt(E63))+1,2)-1) &amp; ":" &amp; (MID(str_cnvt(E63),SEARCH(":",str_cnvt(E63))+1,2)-D64)</f>
        <v>18:13</v>
      </c>
      <c r="F64" s="20" t="s">
        <v>391</v>
      </c>
      <c r="G64" s="20" t="s">
        <v>392</v>
      </c>
      <c r="H64" s="23" t="s">
        <v>37</v>
      </c>
      <c r="I64" s="23" t="s">
        <v>36</v>
      </c>
      <c r="J64" s="23" t="s">
        <v>6</v>
      </c>
      <c r="K64" s="20"/>
      <c r="L64" s="38"/>
      <c r="M64" s="38"/>
      <c r="N64" s="38"/>
      <c r="O64" s="38">
        <v>-119.16723645240501</v>
      </c>
      <c r="P64" s="38"/>
      <c r="Q64" s="38"/>
    </row>
    <row r="65" spans="1:17">
      <c r="A65" s="43"/>
      <c r="B65" s="43"/>
      <c r="C65" s="20" t="s">
        <v>266</v>
      </c>
      <c r="D65" s="20">
        <v>1</v>
      </c>
      <c r="E65" s="79" t="str">
        <f>(MID(str_cnvt(E64),SEARCH(":",str_cnvt(E64))+1,2)-1) &amp; ":" &amp; (MID(str_cnvt(E64),SEARCH(":",str_cnvt(E64))+1,2)-D65)</f>
        <v>12:12</v>
      </c>
      <c r="F65" s="20" t="s">
        <v>7</v>
      </c>
      <c r="G65" s="20" t="s">
        <v>390</v>
      </c>
      <c r="H65" s="23" t="s">
        <v>37</v>
      </c>
      <c r="I65" s="23" t="s">
        <v>36</v>
      </c>
      <c r="J65" s="23" t="s">
        <v>6</v>
      </c>
      <c r="K65" s="20"/>
      <c r="L65" s="38"/>
      <c r="M65" s="38"/>
      <c r="N65" s="38"/>
      <c r="O65" s="38">
        <v>-129.727545525013</v>
      </c>
      <c r="P65" s="38"/>
      <c r="Q65" s="38"/>
    </row>
    <row r="66" spans="1:17">
      <c r="A66" s="43"/>
      <c r="B66" s="43"/>
      <c r="C66" s="20" t="s">
        <v>267</v>
      </c>
      <c r="D66" s="20">
        <v>6</v>
      </c>
      <c r="E66" s="79" t="str">
        <f>(MID(str_cnvt(E65),SEARCH(":",str_cnvt(E65))+1,2)-1) &amp; ":" &amp; (MID(str_cnvt(E65),SEARCH(":",str_cnvt(E65))+1,2)-D66)</f>
        <v>11:6</v>
      </c>
      <c r="F66" s="20" t="s">
        <v>56</v>
      </c>
      <c r="G66" s="20" t="s">
        <v>390</v>
      </c>
      <c r="H66" s="23" t="s">
        <v>37</v>
      </c>
      <c r="I66" s="23" t="s">
        <v>36</v>
      </c>
      <c r="J66" s="23" t="s">
        <v>6</v>
      </c>
      <c r="K66" s="20"/>
      <c r="L66" s="38"/>
      <c r="M66" s="38"/>
      <c r="N66" s="38"/>
      <c r="O66" s="38"/>
      <c r="P66" s="38"/>
      <c r="Q66" s="38"/>
    </row>
    <row r="67" spans="1:17">
      <c r="A67" s="44"/>
      <c r="B67" s="44"/>
      <c r="C67" s="20" t="s">
        <v>268</v>
      </c>
      <c r="D67" s="20">
        <v>6</v>
      </c>
      <c r="E67" s="79" t="str">
        <f>(MID(str_cnvt(E66),SEARCH(":",str_cnvt(E66))+1,2)-1) &amp; ":" &amp; (MID(str_cnvt(E66),SEARCH(":",str_cnvt(E66))+1,2)-D67)</f>
        <v>5:0</v>
      </c>
      <c r="F67" s="20" t="s">
        <v>56</v>
      </c>
      <c r="G67" s="20" t="s">
        <v>390</v>
      </c>
      <c r="H67" s="23" t="s">
        <v>37</v>
      </c>
      <c r="I67" s="23" t="s">
        <v>36</v>
      </c>
      <c r="J67" s="23" t="s">
        <v>6</v>
      </c>
      <c r="K67" s="20"/>
      <c r="L67" s="39"/>
      <c r="M67" s="39"/>
      <c r="N67" s="39"/>
      <c r="O67" s="39"/>
      <c r="P67" s="39"/>
      <c r="Q67" s="39"/>
    </row>
    <row r="68" spans="1:17">
      <c r="A68" s="42" t="s">
        <v>59</v>
      </c>
      <c r="B68" s="42">
        <v>24</v>
      </c>
      <c r="C68" s="40" t="str">
        <f>bitConcat(F69:F75)</f>
        <v>32'b00000000010000100000000000000000</v>
      </c>
      <c r="D68" s="40"/>
      <c r="E68" s="40"/>
      <c r="F68" s="40"/>
      <c r="G68" s="40"/>
      <c r="H68" s="40"/>
      <c r="I68" s="40"/>
      <c r="J68" s="40"/>
      <c r="K68" s="41"/>
      <c r="L68" s="37" t="str">
        <f t="shared" ref="L68" si="39">DEC2HEX(_xlfn.BITLSHIFT(N68,7)+4*O68)</f>
        <v>524</v>
      </c>
      <c r="M68" s="37"/>
      <c r="N68" s="37">
        <v>10</v>
      </c>
      <c r="O68" s="37">
        <v>9</v>
      </c>
      <c r="P68" s="37" t="str">
        <f t="shared" ref="P68" si="40">DEC2HEX(_xlfn.BITLSHIFT(N68,5)+O68*4)</f>
        <v>164</v>
      </c>
      <c r="Q68" s="37" t="str">
        <f t="shared" ref="Q68" si="41">BIN2HEX(LEFT(RIGHT(C68,32),4))&amp;BIN2HEX(LEFT(RIGHT(C68,28),4))&amp;BIN2HEX(LEFT(RIGHT(C68,24),4))&amp;BIN2HEX(LEFT(RIGHT(C68,20),4))&amp;BIN2HEX(LEFT(RIGHT(C68,16),4))&amp;BIN2HEX(LEFT(RIGHT(C68,12),4))&amp;BIN2HEX(LEFT(RIGHT(C68,8),4))&amp;BIN2HEX(LEFT(RIGHT(C68,4),4))</f>
        <v>00420000</v>
      </c>
    </row>
    <row r="69" spans="1:17">
      <c r="A69" s="43"/>
      <c r="B69" s="43"/>
      <c r="C69" s="20" t="s">
        <v>269</v>
      </c>
      <c r="D69" s="20">
        <v>9</v>
      </c>
      <c r="E69" s="18" t="str">
        <f>IF(D69&gt;1,(31)&amp;":"&amp;(31-D69+1),(31-D69+1)&amp;":"&amp;(31-D69+1))</f>
        <v>31:23</v>
      </c>
      <c r="F69" s="20" t="s">
        <v>50</v>
      </c>
      <c r="G69" s="20" t="s">
        <v>203</v>
      </c>
      <c r="H69" s="23" t="s">
        <v>37</v>
      </c>
      <c r="I69" s="23" t="s">
        <v>36</v>
      </c>
      <c r="J69" s="23" t="s">
        <v>6</v>
      </c>
      <c r="K69" s="20"/>
      <c r="L69" s="38"/>
      <c r="M69" s="38"/>
      <c r="N69" s="38"/>
      <c r="O69" s="38">
        <v>-191.289116128312</v>
      </c>
      <c r="P69" s="38"/>
      <c r="Q69" s="38"/>
    </row>
    <row r="70" spans="1:17">
      <c r="A70" s="43"/>
      <c r="B70" s="43"/>
      <c r="C70" s="20" t="s">
        <v>270</v>
      </c>
      <c r="D70" s="20">
        <v>1</v>
      </c>
      <c r="E70" s="79" t="str">
        <f>(MID(str_cnvt(E69),SEARCH(":",str_cnvt(E69))+1,2)-1) &amp; ":" &amp; (MID(str_cnvt(E69),SEARCH(":",str_cnvt(E69))+1,2)-D70)</f>
        <v>22:22</v>
      </c>
      <c r="F70" s="20" t="s">
        <v>38</v>
      </c>
      <c r="G70" s="20" t="s">
        <v>389</v>
      </c>
      <c r="H70" s="23" t="s">
        <v>37</v>
      </c>
      <c r="I70" s="23" t="s">
        <v>36</v>
      </c>
      <c r="J70" s="23" t="s">
        <v>6</v>
      </c>
      <c r="K70" s="20"/>
      <c r="L70" s="38"/>
      <c r="M70" s="38"/>
      <c r="N70" s="38"/>
      <c r="O70" s="38">
        <v>-213.981710938345</v>
      </c>
      <c r="P70" s="38"/>
      <c r="Q70" s="38"/>
    </row>
    <row r="71" spans="1:17">
      <c r="A71" s="43"/>
      <c r="B71" s="43"/>
      <c r="C71" s="20" t="s">
        <v>271</v>
      </c>
      <c r="D71" s="20">
        <v>3</v>
      </c>
      <c r="E71" s="79" t="str">
        <f>(MID(str_cnvt(E70),SEARCH(":",str_cnvt(E70))+1,2)-1) &amp; ":" &amp; (MID(str_cnvt(E70),SEARCH(":",str_cnvt(E70))+1,2)-D71)</f>
        <v>21:19</v>
      </c>
      <c r="F71" s="20" t="s">
        <v>42</v>
      </c>
      <c r="G71" s="20" t="s">
        <v>390</v>
      </c>
      <c r="H71" s="23" t="s">
        <v>37</v>
      </c>
      <c r="I71" s="23" t="s">
        <v>36</v>
      </c>
      <c r="J71" s="23" t="s">
        <v>6</v>
      </c>
      <c r="K71" s="20"/>
      <c r="L71" s="38"/>
      <c r="M71" s="38"/>
      <c r="N71" s="38">
        <v>10</v>
      </c>
      <c r="O71" s="38">
        <v>-236.674305748378</v>
      </c>
      <c r="P71" s="38" t="str">
        <f t="shared" ref="P71" si="42">DEC2HEX(_xlfn.BITLSHIFT(N71,5)+O71*4)</f>
        <v>FFFFFFFD8E</v>
      </c>
      <c r="Q71" s="38" t="e">
        <f t="shared" ref="Q71" si="43">BIN2HEX(LEFT(RIGHT(C71,32),4))&amp;BIN2HEX(LEFT(RIGHT(C71,28),4))&amp;BIN2HEX(LEFT(RIGHT(C71,24),4))&amp;BIN2HEX(LEFT(RIGHT(C71,20),4))&amp;BIN2HEX(LEFT(RIGHT(C71,16),4))&amp;BIN2HEX(LEFT(RIGHT(C71,12),4))&amp;BIN2HEX(LEFT(RIGHT(C71,8),4))&amp;BIN2HEX(LEFT(RIGHT(C71,4),4))</f>
        <v>#NUM!</v>
      </c>
    </row>
    <row r="72" spans="1:17">
      <c r="A72" s="43"/>
      <c r="B72" s="43"/>
      <c r="C72" s="20" t="s">
        <v>272</v>
      </c>
      <c r="D72" s="20">
        <v>6</v>
      </c>
      <c r="E72" s="79" t="str">
        <f>(MID(str_cnvt(E71),SEARCH(":",str_cnvt(E71))+1,2)-1) &amp; ":" &amp; (MID(str_cnvt(E71),SEARCH(":",str_cnvt(E71))+1,2)-D72)</f>
        <v>18:13</v>
      </c>
      <c r="F72" s="20" t="s">
        <v>393</v>
      </c>
      <c r="G72" s="20" t="s">
        <v>394</v>
      </c>
      <c r="H72" s="23" t="s">
        <v>37</v>
      </c>
      <c r="I72" s="23" t="s">
        <v>36</v>
      </c>
      <c r="J72" s="23" t="s">
        <v>6</v>
      </c>
      <c r="K72" s="20"/>
      <c r="L72" s="38"/>
      <c r="M72" s="38"/>
      <c r="N72" s="38"/>
      <c r="O72" s="38">
        <v>-259.36690055841098</v>
      </c>
      <c r="P72" s="38"/>
      <c r="Q72" s="38"/>
    </row>
    <row r="73" spans="1:17">
      <c r="A73" s="43"/>
      <c r="B73" s="43"/>
      <c r="C73" s="20" t="s">
        <v>273</v>
      </c>
      <c r="D73" s="20">
        <v>1</v>
      </c>
      <c r="E73" s="79" t="str">
        <f>(MID(str_cnvt(E72),SEARCH(":",str_cnvt(E72))+1,2)-1) &amp; ":" &amp; (MID(str_cnvt(E72),SEARCH(":",str_cnvt(E72))+1,2)-D73)</f>
        <v>12:12</v>
      </c>
      <c r="F73" s="20" t="s">
        <v>7</v>
      </c>
      <c r="G73" s="20" t="s">
        <v>395</v>
      </c>
      <c r="H73" s="23" t="s">
        <v>37</v>
      </c>
      <c r="I73" s="23" t="s">
        <v>36</v>
      </c>
      <c r="J73" s="23" t="s">
        <v>6</v>
      </c>
      <c r="K73" s="20"/>
      <c r="L73" s="38"/>
      <c r="M73" s="38"/>
      <c r="N73" s="38"/>
      <c r="O73" s="38">
        <v>-282.059495368444</v>
      </c>
      <c r="P73" s="38"/>
      <c r="Q73" s="38"/>
    </row>
    <row r="74" spans="1:17">
      <c r="A74" s="43"/>
      <c r="B74" s="43"/>
      <c r="C74" s="20" t="s">
        <v>274</v>
      </c>
      <c r="D74" s="20">
        <v>6</v>
      </c>
      <c r="E74" s="79" t="str">
        <f>(MID(str_cnvt(E73),SEARCH(":",str_cnvt(E73))+1,2)-1) &amp; ":" &amp; (MID(str_cnvt(E73),SEARCH(":",str_cnvt(E73))+1,2)-D74)</f>
        <v>11:6</v>
      </c>
      <c r="F74" s="20" t="s">
        <v>56</v>
      </c>
      <c r="G74" s="20" t="s">
        <v>396</v>
      </c>
      <c r="H74" s="23" t="s">
        <v>37</v>
      </c>
      <c r="I74" s="23" t="s">
        <v>36</v>
      </c>
      <c r="J74" s="23" t="s">
        <v>6</v>
      </c>
      <c r="K74" s="20"/>
      <c r="L74" s="38"/>
      <c r="M74" s="38"/>
      <c r="N74" s="38"/>
      <c r="O74" s="38"/>
      <c r="P74" s="38"/>
      <c r="Q74" s="38"/>
    </row>
    <row r="75" spans="1:17">
      <c r="A75" s="44"/>
      <c r="B75" s="44"/>
      <c r="C75" s="20" t="s">
        <v>275</v>
      </c>
      <c r="D75" s="20">
        <v>6</v>
      </c>
      <c r="E75" s="79" t="str">
        <f>(MID(str_cnvt(E74),SEARCH(":",str_cnvt(E74))+1,2)-1) &amp; ":" &amp; (MID(str_cnvt(E74),SEARCH(":",str_cnvt(E74))+1,2)-D75)</f>
        <v>5:0</v>
      </c>
      <c r="F75" s="20" t="s">
        <v>56</v>
      </c>
      <c r="G75" s="20" t="s">
        <v>397</v>
      </c>
      <c r="H75" s="23" t="s">
        <v>37</v>
      </c>
      <c r="I75" s="23" t="s">
        <v>36</v>
      </c>
      <c r="J75" s="23" t="s">
        <v>6</v>
      </c>
      <c r="K75" s="20"/>
      <c r="L75" s="39"/>
      <c r="M75" s="39"/>
      <c r="N75" s="39"/>
      <c r="O75" s="39"/>
      <c r="P75" s="39"/>
      <c r="Q75" s="39"/>
    </row>
    <row r="76" spans="1:17">
      <c r="A76" s="42" t="s">
        <v>60</v>
      </c>
      <c r="B76" s="42">
        <v>28</v>
      </c>
      <c r="C76" s="40" t="str">
        <f>bitConcat(F77:F83)</f>
        <v>32'b00000000010000100000000000000000</v>
      </c>
      <c r="D76" s="40"/>
      <c r="E76" s="40"/>
      <c r="F76" s="40"/>
      <c r="G76" s="40"/>
      <c r="H76" s="40"/>
      <c r="I76" s="40"/>
      <c r="J76" s="40"/>
      <c r="K76" s="41"/>
      <c r="L76" s="37" t="str">
        <f t="shared" ref="L76" si="44">DEC2HEX(_xlfn.BITLSHIFT(N76,7)+4*O76)</f>
        <v>528</v>
      </c>
      <c r="M76" s="37"/>
      <c r="N76" s="37">
        <v>10</v>
      </c>
      <c r="O76" s="37">
        <v>10</v>
      </c>
      <c r="P76" s="37" t="str">
        <f t="shared" ref="P76" si="45">DEC2HEX(_xlfn.BITLSHIFT(N76,5)+O76*4)</f>
        <v>168</v>
      </c>
      <c r="Q76" s="37" t="str">
        <f t="shared" ref="Q76" si="46">BIN2HEX(LEFT(RIGHT(C76,32),4))&amp;BIN2HEX(LEFT(RIGHT(C76,28),4))&amp;BIN2HEX(LEFT(RIGHT(C76,24),4))&amp;BIN2HEX(LEFT(RIGHT(C76,20),4))&amp;BIN2HEX(LEFT(RIGHT(C76,16),4))&amp;BIN2HEX(LEFT(RIGHT(C76,12),4))&amp;BIN2HEX(LEFT(RIGHT(C76,8),4))&amp;BIN2HEX(LEFT(RIGHT(C76,4),4))</f>
        <v>00420000</v>
      </c>
    </row>
    <row r="77" spans="1:17">
      <c r="A77" s="43"/>
      <c r="B77" s="43"/>
      <c r="C77" s="20" t="s">
        <v>276</v>
      </c>
      <c r="D77" s="20">
        <v>9</v>
      </c>
      <c r="E77" s="18" t="str">
        <f>IF(D77&gt;1,(31)&amp;":"&amp;(31-D77+1),(31-D77+1)&amp;":"&amp;(31-D77+1))</f>
        <v>31:23</v>
      </c>
      <c r="F77" s="20" t="s">
        <v>50</v>
      </c>
      <c r="G77" s="20" t="s">
        <v>203</v>
      </c>
      <c r="H77" s="23" t="s">
        <v>37</v>
      </c>
      <c r="I77" s="23" t="s">
        <v>36</v>
      </c>
      <c r="J77" s="23" t="s">
        <v>6</v>
      </c>
      <c r="K77" s="20"/>
      <c r="L77" s="38"/>
      <c r="M77" s="38"/>
      <c r="N77" s="38"/>
      <c r="O77" s="38">
        <v>-412.01445704483302</v>
      </c>
      <c r="P77" s="38"/>
      <c r="Q77" s="38"/>
    </row>
    <row r="78" spans="1:17">
      <c r="A78" s="43"/>
      <c r="B78" s="43"/>
      <c r="C78" s="20" t="s">
        <v>277</v>
      </c>
      <c r="D78" s="20">
        <v>1</v>
      </c>
      <c r="E78" s="79" t="str">
        <f>(MID(str_cnvt(E77),SEARCH(":",str_cnvt(E77))+1,2)-1) &amp; ":" &amp; (MID(str_cnvt(E77),SEARCH(":",str_cnvt(E77))+1,2)-D78)</f>
        <v>22:22</v>
      </c>
      <c r="F78" s="20" t="s">
        <v>38</v>
      </c>
      <c r="G78" s="20" t="s">
        <v>389</v>
      </c>
      <c r="H78" s="23" t="s">
        <v>37</v>
      </c>
      <c r="I78" s="23" t="s">
        <v>36</v>
      </c>
      <c r="J78" s="23" t="s">
        <v>6</v>
      </c>
      <c r="K78" s="20"/>
      <c r="L78" s="38"/>
      <c r="M78" s="38"/>
      <c r="N78" s="38"/>
      <c r="O78" s="38">
        <v>-460.07798347176299</v>
      </c>
      <c r="P78" s="38"/>
      <c r="Q78" s="38"/>
    </row>
    <row r="79" spans="1:17">
      <c r="A79" s="43"/>
      <c r="B79" s="43"/>
      <c r="C79" s="20" t="s">
        <v>278</v>
      </c>
      <c r="D79" s="20">
        <v>3</v>
      </c>
      <c r="E79" s="79" t="str">
        <f>(MID(str_cnvt(E78),SEARCH(":",str_cnvt(E78))+1,2)-1) &amp; ":" &amp; (MID(str_cnvt(E78),SEARCH(":",str_cnvt(E78))+1,2)-D79)</f>
        <v>21:19</v>
      </c>
      <c r="F79" s="20" t="s">
        <v>42</v>
      </c>
      <c r="G79" s="20" t="s">
        <v>390</v>
      </c>
      <c r="H79" s="23" t="s">
        <v>37</v>
      </c>
      <c r="I79" s="23" t="s">
        <v>36</v>
      </c>
      <c r="J79" s="23" t="s">
        <v>6</v>
      </c>
      <c r="K79" s="20"/>
      <c r="L79" s="38"/>
      <c r="M79" s="38"/>
      <c r="N79" s="38">
        <v>10</v>
      </c>
      <c r="O79" s="38">
        <v>-508.14150989869302</v>
      </c>
      <c r="P79" s="38" t="str">
        <f t="shared" ref="P79" si="47">DEC2HEX(_xlfn.BITLSHIFT(N79,5)+O79*4)</f>
        <v>FFFFFFF950</v>
      </c>
      <c r="Q79" s="38" t="e">
        <f t="shared" ref="Q79" si="48">BIN2HEX(LEFT(RIGHT(C79,32),4))&amp;BIN2HEX(LEFT(RIGHT(C79,28),4))&amp;BIN2HEX(LEFT(RIGHT(C79,24),4))&amp;BIN2HEX(LEFT(RIGHT(C79,20),4))&amp;BIN2HEX(LEFT(RIGHT(C79,16),4))&amp;BIN2HEX(LEFT(RIGHT(C79,12),4))&amp;BIN2HEX(LEFT(RIGHT(C79,8),4))&amp;BIN2HEX(LEFT(RIGHT(C79,4),4))</f>
        <v>#NUM!</v>
      </c>
    </row>
    <row r="80" spans="1:17">
      <c r="A80" s="43"/>
      <c r="B80" s="43"/>
      <c r="C80" s="20" t="s">
        <v>279</v>
      </c>
      <c r="D80" s="20">
        <v>6</v>
      </c>
      <c r="E80" s="79" t="str">
        <f>(MID(str_cnvt(E79),SEARCH(":",str_cnvt(E79))+1,2)-1) &amp; ":" &amp; (MID(str_cnvt(E79),SEARCH(":",str_cnvt(E79))+1,2)-D80)</f>
        <v>18:13</v>
      </c>
      <c r="F80" s="20" t="s">
        <v>393</v>
      </c>
      <c r="G80" s="20" t="s">
        <v>394</v>
      </c>
      <c r="H80" s="23" t="s">
        <v>37</v>
      </c>
      <c r="I80" s="23" t="s">
        <v>36</v>
      </c>
      <c r="J80" s="23" t="s">
        <v>6</v>
      </c>
      <c r="K80" s="20"/>
      <c r="L80" s="38"/>
      <c r="M80" s="38"/>
      <c r="N80" s="38"/>
      <c r="O80" s="38">
        <v>-556.20503632562304</v>
      </c>
      <c r="P80" s="38"/>
      <c r="Q80" s="38"/>
    </row>
    <row r="81" spans="1:17">
      <c r="A81" s="43"/>
      <c r="B81" s="43"/>
      <c r="C81" s="20" t="s">
        <v>280</v>
      </c>
      <c r="D81" s="20">
        <v>1</v>
      </c>
      <c r="E81" s="79" t="str">
        <f>(MID(str_cnvt(E80),SEARCH(":",str_cnvt(E80))+1,2)-1) &amp; ":" &amp; (MID(str_cnvt(E80),SEARCH(":",str_cnvt(E80))+1,2)-D81)</f>
        <v>12:12</v>
      </c>
      <c r="F81" s="20" t="s">
        <v>7</v>
      </c>
      <c r="G81" s="20" t="s">
        <v>395</v>
      </c>
      <c r="H81" s="23" t="s">
        <v>37</v>
      </c>
      <c r="I81" s="23" t="s">
        <v>36</v>
      </c>
      <c r="J81" s="23" t="s">
        <v>6</v>
      </c>
      <c r="K81" s="20"/>
      <c r="L81" s="38"/>
      <c r="M81" s="38"/>
      <c r="N81" s="38"/>
      <c r="O81" s="38">
        <v>-604.26856275255295</v>
      </c>
      <c r="P81" s="38"/>
      <c r="Q81" s="38"/>
    </row>
    <row r="82" spans="1:17">
      <c r="A82" s="43"/>
      <c r="B82" s="43"/>
      <c r="C82" s="20" t="s">
        <v>281</v>
      </c>
      <c r="D82" s="20">
        <v>6</v>
      </c>
      <c r="E82" s="79" t="str">
        <f>(MID(str_cnvt(E81),SEARCH(":",str_cnvt(E81))+1,2)-1) &amp; ":" &amp; (MID(str_cnvt(E81),SEARCH(":",str_cnvt(E81))+1,2)-D82)</f>
        <v>11:6</v>
      </c>
      <c r="F82" s="20" t="s">
        <v>56</v>
      </c>
      <c r="G82" s="20" t="s">
        <v>396</v>
      </c>
      <c r="H82" s="23" t="s">
        <v>37</v>
      </c>
      <c r="I82" s="23" t="s">
        <v>36</v>
      </c>
      <c r="J82" s="23" t="s">
        <v>6</v>
      </c>
      <c r="K82" s="20"/>
      <c r="L82" s="38"/>
      <c r="M82" s="38"/>
      <c r="N82" s="38"/>
      <c r="O82" s="38"/>
      <c r="P82" s="38"/>
      <c r="Q82" s="38"/>
    </row>
    <row r="83" spans="1:17">
      <c r="A83" s="44"/>
      <c r="B83" s="44"/>
      <c r="C83" s="20" t="s">
        <v>282</v>
      </c>
      <c r="D83" s="20">
        <v>6</v>
      </c>
      <c r="E83" s="79" t="str">
        <f>(MID(str_cnvt(E82),SEARCH(":",str_cnvt(E82))+1,2)-1) &amp; ":" &amp; (MID(str_cnvt(E82),SEARCH(":",str_cnvt(E82))+1,2)-D83)</f>
        <v>5:0</v>
      </c>
      <c r="F83" s="20" t="s">
        <v>56</v>
      </c>
      <c r="G83" s="20" t="s">
        <v>397</v>
      </c>
      <c r="H83" s="23" t="s">
        <v>37</v>
      </c>
      <c r="I83" s="23" t="s">
        <v>36</v>
      </c>
      <c r="J83" s="23" t="s">
        <v>6</v>
      </c>
      <c r="K83" s="20"/>
      <c r="L83" s="39"/>
      <c r="M83" s="39"/>
      <c r="N83" s="39"/>
      <c r="O83" s="39"/>
      <c r="P83" s="39"/>
      <c r="Q83" s="39"/>
    </row>
    <row r="84" spans="1:17">
      <c r="A84" s="42" t="s">
        <v>261</v>
      </c>
      <c r="B84" s="45" t="s">
        <v>199</v>
      </c>
      <c r="C84" s="40" t="str">
        <f>bitConcat(F85:F92)</f>
        <v>32'b10001000100010000000000000000000</v>
      </c>
      <c r="D84" s="40"/>
      <c r="E84" s="40"/>
      <c r="F84" s="40"/>
      <c r="G84" s="40"/>
      <c r="H84" s="40"/>
      <c r="I84" s="40"/>
      <c r="J84" s="40"/>
      <c r="K84" s="41"/>
      <c r="L84" s="48" t="str">
        <f t="shared" ref="L84" si="49">DEC2HEX(_xlfn.BITLSHIFT(N84,7)+4*O84)</f>
        <v>52C</v>
      </c>
      <c r="M84" s="48"/>
      <c r="N84" s="48">
        <v>10</v>
      </c>
      <c r="O84" s="48">
        <v>11</v>
      </c>
      <c r="P84" s="48" t="str">
        <f t="shared" ref="P84" si="50">DEC2HEX(_xlfn.BITLSHIFT(N84,5)+O84*4)</f>
        <v>16C</v>
      </c>
      <c r="Q84" s="37" t="str">
        <f t="shared" ref="Q84" si="51">BIN2HEX(LEFT(RIGHT(C84,32),4))&amp;BIN2HEX(LEFT(RIGHT(C84,28),4))&amp;BIN2HEX(LEFT(RIGHT(C84,24),4))&amp;BIN2HEX(LEFT(RIGHT(C84,20),4))&amp;BIN2HEX(LEFT(RIGHT(C84,16),4))&amp;BIN2HEX(LEFT(RIGHT(C84,12),4))&amp;BIN2HEX(LEFT(RIGHT(C84,8),4))&amp;BIN2HEX(LEFT(RIGHT(C84,4),4))</f>
        <v>88880000</v>
      </c>
    </row>
    <row r="85" spans="1:17">
      <c r="A85" s="43"/>
      <c r="B85" s="46"/>
      <c r="C85" s="20" t="s">
        <v>283</v>
      </c>
      <c r="D85" s="20">
        <v>4</v>
      </c>
      <c r="E85" s="18" t="str">
        <f>IF(D85&gt;1,(31)&amp;":"&amp;(31-D85+1),(31-D85+1)&amp;":"&amp;(31-D85+1))</f>
        <v>31:28</v>
      </c>
      <c r="F85" s="20" t="s">
        <v>398</v>
      </c>
      <c r="G85" s="20" t="s">
        <v>399</v>
      </c>
      <c r="H85" s="23" t="s">
        <v>37</v>
      </c>
      <c r="I85" s="23" t="s">
        <v>36</v>
      </c>
      <c r="J85" s="23" t="s">
        <v>6</v>
      </c>
      <c r="K85" s="20"/>
      <c r="L85" s="49"/>
      <c r="M85" s="49"/>
      <c r="N85" s="49"/>
      <c r="O85" s="49">
        <v>-878.46748732922401</v>
      </c>
      <c r="P85" s="49"/>
      <c r="Q85" s="38"/>
    </row>
    <row r="86" spans="1:17">
      <c r="A86" s="43"/>
      <c r="B86" s="46"/>
      <c r="C86" s="20" t="s">
        <v>284</v>
      </c>
      <c r="D86" s="20">
        <v>4</v>
      </c>
      <c r="E86" s="79" t="str">
        <f>(MID(str_cnvt(E85),SEARCH(":",str_cnvt(E85))+1,2)-1) &amp; ":" &amp; (MID(str_cnvt(E85),SEARCH(":",str_cnvt(E85))+1,2)-D86)</f>
        <v>27:24</v>
      </c>
      <c r="F86" s="20" t="s">
        <v>398</v>
      </c>
      <c r="G86" s="20" t="s">
        <v>399</v>
      </c>
      <c r="H86" s="23" t="s">
        <v>37</v>
      </c>
      <c r="I86" s="23" t="s">
        <v>36</v>
      </c>
      <c r="J86" s="23" t="s">
        <v>6</v>
      </c>
      <c r="K86" s="20"/>
      <c r="L86" s="49"/>
      <c r="M86" s="49"/>
      <c r="N86" s="49"/>
      <c r="O86" s="49">
        <v>-979.95257527299702</v>
      </c>
      <c r="P86" s="49"/>
      <c r="Q86" s="38"/>
    </row>
    <row r="87" spans="1:17">
      <c r="A87" s="43"/>
      <c r="B87" s="46"/>
      <c r="C87" s="20" t="s">
        <v>285</v>
      </c>
      <c r="D87" s="20">
        <v>4</v>
      </c>
      <c r="E87" s="79" t="str">
        <f>(MID(str_cnvt(E86),SEARCH(":",str_cnvt(E86))+1,2)-1) &amp; ":" &amp; (MID(str_cnvt(E86),SEARCH(":",str_cnvt(E86))+1,2)-D87)</f>
        <v>23:20</v>
      </c>
      <c r="F87" s="20" t="s">
        <v>398</v>
      </c>
      <c r="G87" s="20" t="s">
        <v>399</v>
      </c>
      <c r="H87" s="23" t="s">
        <v>37</v>
      </c>
      <c r="I87" s="23" t="s">
        <v>36</v>
      </c>
      <c r="J87" s="23" t="s">
        <v>6</v>
      </c>
      <c r="K87" s="20"/>
      <c r="L87" s="49"/>
      <c r="M87" s="49"/>
      <c r="N87" s="49">
        <v>10</v>
      </c>
      <c r="O87" s="49">
        <v>-1081.43766321677</v>
      </c>
      <c r="P87" s="49" t="str">
        <f t="shared" ref="P87" si="52">DEC2HEX(_xlfn.BITLSHIFT(N87,5)+O87*4)</f>
        <v>FFFFFFF05B</v>
      </c>
      <c r="Q87" s="38" t="e">
        <f t="shared" ref="Q87" si="53">BIN2HEX(LEFT(RIGHT(C87,32),4))&amp;BIN2HEX(LEFT(RIGHT(C87,28),4))&amp;BIN2HEX(LEFT(RIGHT(C87,24),4))&amp;BIN2HEX(LEFT(RIGHT(C87,20),4))&amp;BIN2HEX(LEFT(RIGHT(C87,16),4))&amp;BIN2HEX(LEFT(RIGHT(C87,12),4))&amp;BIN2HEX(LEFT(RIGHT(C87,8),4))&amp;BIN2HEX(LEFT(RIGHT(C87,4),4))</f>
        <v>#NUM!</v>
      </c>
    </row>
    <row r="88" spans="1:17">
      <c r="A88" s="43"/>
      <c r="B88" s="46"/>
      <c r="C88" s="20" t="s">
        <v>286</v>
      </c>
      <c r="D88" s="20">
        <v>4</v>
      </c>
      <c r="E88" s="79" t="str">
        <f>(MID(str_cnvt(E87),SEARCH(":",str_cnvt(E87))+1,2)-1) &amp; ":" &amp; (MID(str_cnvt(E87),SEARCH(":",str_cnvt(E87))+1,2)-D88)</f>
        <v>19:16</v>
      </c>
      <c r="F88" s="20" t="s">
        <v>398</v>
      </c>
      <c r="G88" s="20" t="s">
        <v>399</v>
      </c>
      <c r="H88" s="23" t="s">
        <v>37</v>
      </c>
      <c r="I88" s="23" t="s">
        <v>36</v>
      </c>
      <c r="J88" s="23" t="s">
        <v>6</v>
      </c>
      <c r="K88" s="20"/>
      <c r="L88" s="49"/>
      <c r="M88" s="49"/>
      <c r="N88" s="49"/>
      <c r="O88" s="49">
        <v>-1182.92275116054</v>
      </c>
      <c r="P88" s="49"/>
      <c r="Q88" s="38"/>
    </row>
    <row r="89" spans="1:17">
      <c r="A89" s="43"/>
      <c r="B89" s="46"/>
      <c r="C89" s="20" t="s">
        <v>287</v>
      </c>
      <c r="D89" s="20">
        <v>4</v>
      </c>
      <c r="E89" s="79" t="str">
        <f>(MID(str_cnvt(E88),SEARCH(":",str_cnvt(E88))+1,2)-1) &amp; ":" &amp; (MID(str_cnvt(E88),SEARCH(":",str_cnvt(E88))+1,2)-D89)</f>
        <v>15:12</v>
      </c>
      <c r="F89" s="20" t="s">
        <v>202</v>
      </c>
      <c r="G89" s="20" t="s">
        <v>400</v>
      </c>
      <c r="H89" s="23" t="s">
        <v>37</v>
      </c>
      <c r="I89" s="23" t="s">
        <v>36</v>
      </c>
      <c r="J89" s="23" t="s">
        <v>6</v>
      </c>
      <c r="K89" s="20"/>
      <c r="L89" s="49"/>
      <c r="M89" s="49"/>
      <c r="N89" s="49"/>
      <c r="O89" s="49">
        <v>-1284.4078391043199</v>
      </c>
      <c r="P89" s="49"/>
      <c r="Q89" s="38"/>
    </row>
    <row r="90" spans="1:17">
      <c r="A90" s="43"/>
      <c r="B90" s="46"/>
      <c r="C90" s="20" t="s">
        <v>288</v>
      </c>
      <c r="D90" s="20">
        <v>4</v>
      </c>
      <c r="E90" s="79" t="str">
        <f>(MID(str_cnvt(E89),SEARCH(":",str_cnvt(E89))+1,2)-1) &amp; ":" &amp; (MID(str_cnvt(E89),SEARCH(":",str_cnvt(E89))+1,2)-D90)</f>
        <v>11:8</v>
      </c>
      <c r="F90" s="20" t="s">
        <v>202</v>
      </c>
      <c r="G90" s="20" t="s">
        <v>400</v>
      </c>
      <c r="H90" s="23" t="s">
        <v>37</v>
      </c>
      <c r="I90" s="23" t="s">
        <v>36</v>
      </c>
      <c r="J90" s="23" t="s">
        <v>6</v>
      </c>
      <c r="K90" s="20"/>
      <c r="L90" s="49"/>
      <c r="M90" s="49"/>
      <c r="N90" s="49"/>
      <c r="O90" s="49"/>
      <c r="P90" s="49"/>
      <c r="Q90" s="38"/>
    </row>
    <row r="91" spans="1:17">
      <c r="A91" s="43"/>
      <c r="B91" s="46"/>
      <c r="C91" s="20" t="s">
        <v>289</v>
      </c>
      <c r="D91" s="20">
        <v>4</v>
      </c>
      <c r="E91" s="79" t="str">
        <f>(MID(str_cnvt(E90),SEARCH(":",str_cnvt(E90))+1,2)-1) &amp; ":" &amp; (MID(str_cnvt(E90),SEARCH(":",str_cnvt(E90))+1,2)-D91)</f>
        <v>7:4</v>
      </c>
      <c r="F91" s="20" t="s">
        <v>202</v>
      </c>
      <c r="G91" s="20" t="s">
        <v>400</v>
      </c>
      <c r="H91" s="23" t="s">
        <v>37</v>
      </c>
      <c r="I91" s="23" t="s">
        <v>36</v>
      </c>
      <c r="J91" s="23" t="s">
        <v>6</v>
      </c>
      <c r="K91" s="20"/>
      <c r="L91" s="49"/>
      <c r="M91" s="49"/>
      <c r="N91" s="49"/>
      <c r="O91" s="49"/>
      <c r="P91" s="49"/>
      <c r="Q91" s="38"/>
    </row>
    <row r="92" spans="1:17">
      <c r="A92" s="44"/>
      <c r="B92" s="47"/>
      <c r="C92" s="20" t="s">
        <v>290</v>
      </c>
      <c r="D92" s="20">
        <v>4</v>
      </c>
      <c r="E92" s="79" t="str">
        <f>(MID(str_cnvt(E91),SEARCH(":",str_cnvt(E91))+1,2)-1) &amp; ":" &amp; (MID(str_cnvt(E91),SEARCH(":",str_cnvt(E91))+1,2)-D92)</f>
        <v>3:0</v>
      </c>
      <c r="F92" s="20" t="s">
        <v>202</v>
      </c>
      <c r="G92" s="20" t="s">
        <v>400</v>
      </c>
      <c r="H92" s="23" t="s">
        <v>37</v>
      </c>
      <c r="I92" s="23" t="s">
        <v>36</v>
      </c>
      <c r="J92" s="23" t="s">
        <v>6</v>
      </c>
      <c r="K92" s="20"/>
      <c r="L92" s="50"/>
      <c r="M92" s="50"/>
      <c r="N92" s="50"/>
      <c r="O92" s="50"/>
      <c r="P92" s="50"/>
      <c r="Q92" s="39"/>
    </row>
    <row r="93" spans="1:17">
      <c r="A93" s="42" t="s">
        <v>291</v>
      </c>
      <c r="B93" s="42">
        <v>30</v>
      </c>
      <c r="C93" s="40" t="str">
        <f>bitConcat(F94:F94)</f>
        <v>32'b00000000000000000000000000000000</v>
      </c>
      <c r="D93" s="40"/>
      <c r="E93" s="40"/>
      <c r="F93" s="40"/>
      <c r="G93" s="40"/>
      <c r="H93" s="40"/>
      <c r="I93" s="40"/>
      <c r="J93" s="40"/>
      <c r="K93" s="41"/>
      <c r="L93" s="37" t="str">
        <f t="shared" ref="L93" si="54">DEC2HEX(_xlfn.BITLSHIFT(N93,7)+4*O93)</f>
        <v>530</v>
      </c>
      <c r="M93" s="37"/>
      <c r="N93" s="37">
        <v>10</v>
      </c>
      <c r="O93" s="37">
        <v>12</v>
      </c>
      <c r="P93" s="37" t="str">
        <f t="shared" ref="P93" si="55">DEC2HEX(_xlfn.BITLSHIFT(N93,5)+O93*4)</f>
        <v>170</v>
      </c>
      <c r="Q93" s="37" t="str">
        <f t="shared" ref="Q93" si="56">BIN2HEX(LEFT(RIGHT(C93,32),4))&amp;BIN2HEX(LEFT(RIGHT(C93,28),4))&amp;BIN2HEX(LEFT(RIGHT(C93,24),4))&amp;BIN2HEX(LEFT(RIGHT(C93,20),4))&amp;BIN2HEX(LEFT(RIGHT(C93,16),4))&amp;BIN2HEX(LEFT(RIGHT(C93,12),4))&amp;BIN2HEX(LEFT(RIGHT(C93,8),4))&amp;BIN2HEX(LEFT(RIGHT(C93,4),4))</f>
        <v>00000000</v>
      </c>
    </row>
    <row r="94" spans="1:17">
      <c r="A94" s="44"/>
      <c r="B94" s="44"/>
      <c r="C94" s="20" t="s">
        <v>291</v>
      </c>
      <c r="D94" s="20">
        <v>32</v>
      </c>
      <c r="E94" s="18" t="str">
        <f>IF(D94&gt;1,(31)&amp;":"&amp;(31-D94+1),(31-D94+1)&amp;":"&amp;(31-D94+1))</f>
        <v>31:0</v>
      </c>
      <c r="F94" s="20" t="s">
        <v>57</v>
      </c>
      <c r="G94" s="20" t="s">
        <v>203</v>
      </c>
      <c r="H94" s="23" t="s">
        <v>37</v>
      </c>
      <c r="I94" s="23" t="s">
        <v>36</v>
      </c>
      <c r="J94" s="23" t="s">
        <v>6</v>
      </c>
      <c r="K94" s="20"/>
      <c r="L94" s="39"/>
      <c r="M94" s="39"/>
      <c r="N94" s="39"/>
      <c r="O94" s="39">
        <v>-1862.60772898493</v>
      </c>
      <c r="P94" s="39"/>
      <c r="Q94" s="39"/>
    </row>
    <row r="95" spans="1:17">
      <c r="A95" s="42" t="s">
        <v>292</v>
      </c>
      <c r="B95" s="42">
        <v>34</v>
      </c>
      <c r="C95" s="40" t="str">
        <f>bitConcat(F96:F96)</f>
        <v>32'b00000000000000000000000000000000</v>
      </c>
      <c r="D95" s="40"/>
      <c r="E95" s="40"/>
      <c r="F95" s="40"/>
      <c r="G95" s="40"/>
      <c r="H95" s="40"/>
      <c r="I95" s="40"/>
      <c r="J95" s="40"/>
      <c r="K95" s="41"/>
      <c r="L95" s="37" t="str">
        <f t="shared" ref="L95" si="57">DEC2HEX(_xlfn.BITLSHIFT(N95,7)+4*O95)</f>
        <v>534</v>
      </c>
      <c r="M95" s="37"/>
      <c r="N95" s="37">
        <v>10</v>
      </c>
      <c r="O95" s="37">
        <v>13</v>
      </c>
      <c r="P95" s="37" t="str">
        <f t="shared" ref="P95" si="58">DEC2HEX(_xlfn.BITLSHIFT(N95,5)+O95*4)</f>
        <v>174</v>
      </c>
      <c r="Q95" s="37" t="str">
        <f t="shared" ref="Q95" si="59">BIN2HEX(LEFT(RIGHT(C95,32),4))&amp;BIN2HEX(LEFT(RIGHT(C95,28),4))&amp;BIN2HEX(LEFT(RIGHT(C95,24),4))&amp;BIN2HEX(LEFT(RIGHT(C95,20),4))&amp;BIN2HEX(LEFT(RIGHT(C95,16),4))&amp;BIN2HEX(LEFT(RIGHT(C95,12),4))&amp;BIN2HEX(LEFT(RIGHT(C95,8),4))&amp;BIN2HEX(LEFT(RIGHT(C95,4),4))</f>
        <v>00000000</v>
      </c>
    </row>
    <row r="96" spans="1:17" ht="15" thickBot="1">
      <c r="A96" s="44"/>
      <c r="B96" s="44"/>
      <c r="C96" s="20" t="s">
        <v>292</v>
      </c>
      <c r="D96" s="20">
        <v>32</v>
      </c>
      <c r="E96" s="18" t="str">
        <f>IF(D96&gt;1,(31)&amp;":"&amp;(31-D96+1),(31-D96+1)&amp;":"&amp;(31-D96+1))</f>
        <v>31:0</v>
      </c>
      <c r="F96" s="20" t="s">
        <v>57</v>
      </c>
      <c r="G96" s="20" t="s">
        <v>203</v>
      </c>
      <c r="H96" s="23" t="s">
        <v>37</v>
      </c>
      <c r="I96" s="23" t="s">
        <v>36</v>
      </c>
      <c r="J96" s="23" t="s">
        <v>6</v>
      </c>
      <c r="K96" s="20"/>
      <c r="L96" s="39"/>
      <c r="M96" s="39"/>
      <c r="N96" s="39"/>
      <c r="O96" s="39">
        <v>-1862.60772898493</v>
      </c>
      <c r="P96" s="39"/>
      <c r="Q96" s="39"/>
    </row>
    <row r="97" spans="1:17">
      <c r="A97" s="42" t="s">
        <v>196</v>
      </c>
      <c r="B97" s="45">
        <v>38</v>
      </c>
      <c r="C97" s="53" t="str">
        <f>bitConcat(F98:F98)</f>
        <v>32'b00000000000000000000000000000000</v>
      </c>
      <c r="D97" s="40"/>
      <c r="E97" s="40"/>
      <c r="F97" s="40"/>
      <c r="G97" s="40"/>
      <c r="H97" s="40"/>
      <c r="I97" s="40"/>
      <c r="J97" s="40"/>
      <c r="K97" s="41"/>
      <c r="L97" s="33" t="str">
        <f>DEC2HEX(_xlfn.BITLSHIFT(N97,7)+4*O97)</f>
        <v>538</v>
      </c>
      <c r="M97" s="33"/>
      <c r="N97" s="37">
        <v>10</v>
      </c>
      <c r="O97" s="37">
        <v>14</v>
      </c>
      <c r="P97" s="54" t="str">
        <f>DEC2HEX(_xlfn.BITLSHIFT(N97,5)+O97*4)</f>
        <v>178</v>
      </c>
      <c r="Q97" s="51" t="str">
        <f t="shared" ref="Q97" si="60">BIN2HEX(LEFT(RIGHT(C97,32),4))&amp;BIN2HEX(LEFT(RIGHT(C97,28),4))&amp;BIN2HEX(LEFT(RIGHT(C97,24),4))&amp;BIN2HEX(LEFT(RIGHT(C97,20),4))&amp;BIN2HEX(LEFT(RIGHT(C97,16),4))&amp;BIN2HEX(LEFT(RIGHT(C97,12),4))&amp;BIN2HEX(LEFT(RIGHT(C97,8),4))&amp;BIN2HEX(LEFT(RIGHT(C97,4),4))</f>
        <v>00000000</v>
      </c>
    </row>
    <row r="98" spans="1:17" ht="15" thickBot="1">
      <c r="A98" s="44"/>
      <c r="B98" s="47"/>
      <c r="C98" s="21" t="s">
        <v>196</v>
      </c>
      <c r="D98" s="18">
        <v>32</v>
      </c>
      <c r="E98" s="18" t="str">
        <f>IF(D98&gt;1,(31)&amp;":"&amp;(31-D98+1),(31-D98+1)&amp;":"&amp;(31-D98+1))</f>
        <v>31:0</v>
      </c>
      <c r="F98" s="18" t="s">
        <v>57</v>
      </c>
      <c r="G98" s="22" t="s">
        <v>196</v>
      </c>
      <c r="H98" s="23" t="s">
        <v>37</v>
      </c>
      <c r="I98" s="24" t="s">
        <v>36</v>
      </c>
      <c r="J98" s="25" t="s">
        <v>6</v>
      </c>
      <c r="K98" s="22"/>
      <c r="L98" s="16"/>
      <c r="M98" s="16"/>
      <c r="N98" s="39"/>
      <c r="O98" s="39"/>
      <c r="P98" s="55"/>
      <c r="Q98" s="52"/>
    </row>
    <row r="99" spans="1:17">
      <c r="A99" s="42" t="s">
        <v>196</v>
      </c>
      <c r="B99" s="45" t="s">
        <v>200</v>
      </c>
      <c r="C99" s="53" t="str">
        <f>bitConcat(F100:F100)</f>
        <v>32'b00000000000000000000000000000000</v>
      </c>
      <c r="D99" s="40"/>
      <c r="E99" s="40"/>
      <c r="F99" s="40"/>
      <c r="G99" s="40"/>
      <c r="H99" s="40"/>
      <c r="I99" s="40"/>
      <c r="J99" s="40"/>
      <c r="K99" s="41"/>
      <c r="L99" s="33" t="str">
        <f>DEC2HEX(_xlfn.BITLSHIFT(N99,7)+4*O99)</f>
        <v>53C</v>
      </c>
      <c r="M99" s="33"/>
      <c r="N99" s="37">
        <v>10</v>
      </c>
      <c r="O99" s="37">
        <v>15</v>
      </c>
      <c r="P99" s="54" t="str">
        <f>DEC2HEX(_xlfn.BITLSHIFT(N99,5)+O99*4)</f>
        <v>17C</v>
      </c>
      <c r="Q99" s="51" t="str">
        <f t="shared" ref="Q99" si="61">BIN2HEX(LEFT(RIGHT(C99,32),4))&amp;BIN2HEX(LEFT(RIGHT(C99,28),4))&amp;BIN2HEX(LEFT(RIGHT(C99,24),4))&amp;BIN2HEX(LEFT(RIGHT(C99,20),4))&amp;BIN2HEX(LEFT(RIGHT(C99,16),4))&amp;BIN2HEX(LEFT(RIGHT(C99,12),4))&amp;BIN2HEX(LEFT(RIGHT(C99,8),4))&amp;BIN2HEX(LEFT(RIGHT(C99,4),4))</f>
        <v>00000000</v>
      </c>
    </row>
    <row r="100" spans="1:17" ht="15" thickBot="1">
      <c r="A100" s="44"/>
      <c r="B100" s="47"/>
      <c r="C100" s="21" t="s">
        <v>196</v>
      </c>
      <c r="D100" s="18">
        <v>32</v>
      </c>
      <c r="E100" s="18" t="str">
        <f>IF(D100&gt;1,(31)&amp;":"&amp;(31-D100+1),(31-D100+1)&amp;":"&amp;(31-D100+1))</f>
        <v>31:0</v>
      </c>
      <c r="F100" s="18" t="s">
        <v>57</v>
      </c>
      <c r="G100" s="22" t="s">
        <v>196</v>
      </c>
      <c r="H100" s="23" t="s">
        <v>37</v>
      </c>
      <c r="I100" s="24" t="s">
        <v>36</v>
      </c>
      <c r="J100" s="25" t="s">
        <v>6</v>
      </c>
      <c r="K100" s="22"/>
      <c r="L100" s="16"/>
      <c r="M100" s="16"/>
      <c r="N100" s="39"/>
      <c r="O100" s="39"/>
      <c r="P100" s="55"/>
      <c r="Q100" s="52"/>
    </row>
    <row r="101" spans="1:17">
      <c r="A101" s="42" t="s">
        <v>196</v>
      </c>
      <c r="B101" s="45">
        <v>40</v>
      </c>
      <c r="C101" s="53" t="str">
        <f>bitConcat(F102:F102)</f>
        <v>32'b00000000000000000000000000000000</v>
      </c>
      <c r="D101" s="40"/>
      <c r="E101" s="40"/>
      <c r="F101" s="40"/>
      <c r="G101" s="40"/>
      <c r="H101" s="40"/>
      <c r="I101" s="40"/>
      <c r="J101" s="40"/>
      <c r="K101" s="41"/>
      <c r="L101" s="33" t="str">
        <f>DEC2HEX(_xlfn.BITLSHIFT(N101,7)+4*O101)</f>
        <v>540</v>
      </c>
      <c r="M101" s="33"/>
      <c r="N101" s="37">
        <v>10</v>
      </c>
      <c r="O101" s="37">
        <v>16</v>
      </c>
      <c r="P101" s="54" t="str">
        <f>DEC2HEX(_xlfn.BITLSHIFT(N101,5)+O101*4)</f>
        <v>180</v>
      </c>
      <c r="Q101" s="51" t="str">
        <f t="shared" ref="Q101" si="62">BIN2HEX(LEFT(RIGHT(C101,32),4))&amp;BIN2HEX(LEFT(RIGHT(C101,28),4))&amp;BIN2HEX(LEFT(RIGHT(C101,24),4))&amp;BIN2HEX(LEFT(RIGHT(C101,20),4))&amp;BIN2HEX(LEFT(RIGHT(C101,16),4))&amp;BIN2HEX(LEFT(RIGHT(C101,12),4))&amp;BIN2HEX(LEFT(RIGHT(C101,8),4))&amp;BIN2HEX(LEFT(RIGHT(C101,4),4))</f>
        <v>00000000</v>
      </c>
    </row>
    <row r="102" spans="1:17" ht="15" thickBot="1">
      <c r="A102" s="44"/>
      <c r="B102" s="47"/>
      <c r="C102" s="21" t="s">
        <v>196</v>
      </c>
      <c r="D102" s="18">
        <v>32</v>
      </c>
      <c r="E102" s="18" t="str">
        <f>IF(D102&gt;1,(31)&amp;":"&amp;(31-D102+1),(31-D102+1)&amp;":"&amp;(31-D102+1))</f>
        <v>31:0</v>
      </c>
      <c r="F102" s="18" t="s">
        <v>57</v>
      </c>
      <c r="G102" s="22" t="s">
        <v>196</v>
      </c>
      <c r="H102" s="23" t="s">
        <v>37</v>
      </c>
      <c r="I102" s="24" t="s">
        <v>36</v>
      </c>
      <c r="J102" s="25" t="s">
        <v>6</v>
      </c>
      <c r="K102" s="22"/>
      <c r="L102" s="16"/>
      <c r="M102" s="16"/>
      <c r="N102" s="39"/>
      <c r="O102" s="39"/>
      <c r="P102" s="55"/>
      <c r="Q102" s="52"/>
    </row>
    <row r="103" spans="1:17">
      <c r="A103" s="42" t="s">
        <v>196</v>
      </c>
      <c r="B103" s="45">
        <v>44</v>
      </c>
      <c r="C103" s="53" t="str">
        <f>bitConcat(F104:F104)</f>
        <v>32'b00000000000000000000000000000000</v>
      </c>
      <c r="D103" s="40"/>
      <c r="E103" s="40"/>
      <c r="F103" s="40"/>
      <c r="G103" s="40"/>
      <c r="H103" s="40"/>
      <c r="I103" s="40"/>
      <c r="J103" s="40"/>
      <c r="K103" s="41"/>
      <c r="L103" s="33" t="str">
        <f>DEC2HEX(_xlfn.BITLSHIFT(N103,7)+4*O103)</f>
        <v>544</v>
      </c>
      <c r="M103" s="33"/>
      <c r="N103" s="37">
        <v>10</v>
      </c>
      <c r="O103" s="37">
        <v>17</v>
      </c>
      <c r="P103" s="54" t="str">
        <f>DEC2HEX(_xlfn.BITLSHIFT(N103,5)+O103*4)</f>
        <v>184</v>
      </c>
      <c r="Q103" s="51" t="str">
        <f t="shared" ref="Q103" si="63">BIN2HEX(LEFT(RIGHT(C103,32),4))&amp;BIN2HEX(LEFT(RIGHT(C103,28),4))&amp;BIN2HEX(LEFT(RIGHT(C103,24),4))&amp;BIN2HEX(LEFT(RIGHT(C103,20),4))&amp;BIN2HEX(LEFT(RIGHT(C103,16),4))&amp;BIN2HEX(LEFT(RIGHT(C103,12),4))&amp;BIN2HEX(LEFT(RIGHT(C103,8),4))&amp;BIN2HEX(LEFT(RIGHT(C103,4),4))</f>
        <v>00000000</v>
      </c>
    </row>
    <row r="104" spans="1:17" ht="15" thickBot="1">
      <c r="A104" s="44"/>
      <c r="B104" s="47"/>
      <c r="C104" s="21" t="s">
        <v>196</v>
      </c>
      <c r="D104" s="18">
        <v>32</v>
      </c>
      <c r="E104" s="18" t="str">
        <f>IF(D104&gt;1,(31)&amp;":"&amp;(31-D104+1),(31-D104+1)&amp;":"&amp;(31-D104+1))</f>
        <v>31:0</v>
      </c>
      <c r="F104" s="18" t="s">
        <v>57</v>
      </c>
      <c r="G104" s="22" t="s">
        <v>196</v>
      </c>
      <c r="H104" s="23" t="s">
        <v>37</v>
      </c>
      <c r="I104" s="24" t="s">
        <v>36</v>
      </c>
      <c r="J104" s="25" t="s">
        <v>6</v>
      </c>
      <c r="K104" s="22"/>
      <c r="L104" s="16"/>
      <c r="M104" s="16"/>
      <c r="N104" s="39"/>
      <c r="O104" s="39"/>
      <c r="P104" s="55"/>
      <c r="Q104" s="52"/>
    </row>
    <row r="105" spans="1:17" s="1" customFormat="1" ht="15.75" customHeight="1">
      <c r="A105" s="60" t="s">
        <v>61</v>
      </c>
      <c r="B105" s="63" t="str">
        <f t="shared" ref="B105" si="64">DEC2HEX(O105*4)</f>
        <v>48</v>
      </c>
      <c r="C105" s="66" t="str">
        <f>bitConcat(F106:F113)</f>
        <v>32'b01110111011101110111011101110111</v>
      </c>
      <c r="D105" s="67"/>
      <c r="E105" s="67"/>
      <c r="F105" s="67"/>
      <c r="G105" s="67"/>
      <c r="H105" s="67"/>
      <c r="I105" s="67"/>
      <c r="J105" s="67"/>
      <c r="K105" s="68"/>
      <c r="L105" s="54" t="str">
        <f t="shared" ref="L105" si="65">DEC2HEX(_xlfn.BITLSHIFT(N105,7)+4*O105)</f>
        <v>548</v>
      </c>
      <c r="M105" s="54"/>
      <c r="N105" s="54">
        <v>10</v>
      </c>
      <c r="O105" s="51">
        <v>18</v>
      </c>
      <c r="P105" s="57" t="str">
        <f t="shared" ref="P105" si="66">DEC2HEX(_xlfn.BITLSHIFT(N105,5)+O105*4)</f>
        <v>188</v>
      </c>
      <c r="Q105" s="57" t="str">
        <f t="shared" ref="Q105" si="67">BIN2HEX(LEFT(RIGHT(C105,32),4))&amp;BIN2HEX(LEFT(RIGHT(C105,28),4))&amp;BIN2HEX(LEFT(RIGHT(C105,24),4))&amp;BIN2HEX(LEFT(RIGHT(C105,20),4))&amp;BIN2HEX(LEFT(RIGHT(C105,16),4))&amp;BIN2HEX(LEFT(RIGHT(C105,12),4))&amp;BIN2HEX(LEFT(RIGHT(C105,8),4))&amp;BIN2HEX(LEFT(RIGHT(C105,4),4))</f>
        <v>77777777</v>
      </c>
    </row>
    <row r="106" spans="1:17" s="1" customFormat="1">
      <c r="A106" s="61"/>
      <c r="B106" s="64"/>
      <c r="C106" s="21" t="s">
        <v>76</v>
      </c>
      <c r="D106" s="18">
        <v>4</v>
      </c>
      <c r="E106" s="18" t="str">
        <f>IF(D106&gt;1,(31)&amp;":"&amp;(31-D106+1),(31-D106+1)&amp;":"&amp;(31-D106+1))</f>
        <v>31:28</v>
      </c>
      <c r="F106" s="18" t="s">
        <v>77</v>
      </c>
      <c r="G106" s="22" t="s">
        <v>75</v>
      </c>
      <c r="H106" s="23" t="s">
        <v>37</v>
      </c>
      <c r="I106" s="24" t="s">
        <v>36</v>
      </c>
      <c r="J106" s="25" t="s">
        <v>6</v>
      </c>
      <c r="K106" s="22"/>
      <c r="L106" s="38"/>
      <c r="M106" s="38"/>
      <c r="N106" s="38"/>
      <c r="O106" s="56"/>
      <c r="P106" s="58"/>
      <c r="Q106" s="58"/>
    </row>
    <row r="107" spans="1:17" s="1" customFormat="1" ht="14.4" customHeight="1">
      <c r="A107" s="61"/>
      <c r="B107" s="64"/>
      <c r="C107" s="21" t="s">
        <v>74</v>
      </c>
      <c r="D107" s="18">
        <v>4</v>
      </c>
      <c r="E107" s="79" t="str">
        <f>(MID(str_cnvt(E106),SEARCH(":",str_cnvt(E106))+1,2)-1) &amp; ":" &amp; (MID(str_cnvt(E106),SEARCH(":",str_cnvt(E106))+1,2)-D107)</f>
        <v>27:24</v>
      </c>
      <c r="F107" s="18" t="s">
        <v>77</v>
      </c>
      <c r="G107" s="22" t="s">
        <v>75</v>
      </c>
      <c r="H107" s="23" t="s">
        <v>37</v>
      </c>
      <c r="I107" s="24" t="s">
        <v>36</v>
      </c>
      <c r="J107" s="25" t="s">
        <v>6</v>
      </c>
      <c r="K107" s="22"/>
      <c r="L107" s="38"/>
      <c r="M107" s="38"/>
      <c r="N107" s="38"/>
      <c r="O107" s="56"/>
      <c r="P107" s="58"/>
      <c r="Q107" s="58"/>
    </row>
    <row r="108" spans="1:17" s="1" customFormat="1">
      <c r="A108" s="61"/>
      <c r="B108" s="64"/>
      <c r="C108" s="21" t="s">
        <v>72</v>
      </c>
      <c r="D108" s="18">
        <v>4</v>
      </c>
      <c r="E108" s="79" t="str">
        <f>(MID(str_cnvt(E107),SEARCH(":",str_cnvt(E107))+1,2)-1) &amp; ":" &amp; (MID(str_cnvt(E107),SEARCH(":",str_cnvt(E107))+1,2)-D108)</f>
        <v>23:20</v>
      </c>
      <c r="F108" s="18" t="s">
        <v>77</v>
      </c>
      <c r="G108" s="22" t="s">
        <v>73</v>
      </c>
      <c r="H108" s="23" t="s">
        <v>37</v>
      </c>
      <c r="I108" s="24" t="s">
        <v>36</v>
      </c>
      <c r="J108" s="25" t="s">
        <v>6</v>
      </c>
      <c r="K108" s="22"/>
      <c r="L108" s="38"/>
      <c r="M108" s="38"/>
      <c r="N108" s="38"/>
      <c r="O108" s="56"/>
      <c r="P108" s="58"/>
      <c r="Q108" s="58"/>
    </row>
    <row r="109" spans="1:17" s="1" customFormat="1" ht="14.4" customHeight="1">
      <c r="A109" s="61"/>
      <c r="B109" s="64"/>
      <c r="C109" s="21" t="s">
        <v>70</v>
      </c>
      <c r="D109" s="18">
        <v>4</v>
      </c>
      <c r="E109" s="79" t="str">
        <f>(MID(str_cnvt(E108),SEARCH(":",str_cnvt(E108))+1,2)-1) &amp; ":" &amp; (MID(str_cnvt(E108),SEARCH(":",str_cnvt(E108))+1,2)-D109)</f>
        <v>19:16</v>
      </c>
      <c r="F109" s="18" t="s">
        <v>77</v>
      </c>
      <c r="G109" s="22" t="s">
        <v>71</v>
      </c>
      <c r="H109" s="23" t="s">
        <v>37</v>
      </c>
      <c r="I109" s="24" t="s">
        <v>36</v>
      </c>
      <c r="J109" s="25" t="s">
        <v>6</v>
      </c>
      <c r="K109" s="22"/>
      <c r="L109" s="38"/>
      <c r="M109" s="38"/>
      <c r="N109" s="38"/>
      <c r="O109" s="56"/>
      <c r="P109" s="58"/>
      <c r="Q109" s="58"/>
    </row>
    <row r="110" spans="1:17" s="1" customFormat="1">
      <c r="A110" s="61"/>
      <c r="B110" s="64"/>
      <c r="C110" s="21" t="s">
        <v>68</v>
      </c>
      <c r="D110" s="18">
        <v>4</v>
      </c>
      <c r="E110" s="79" t="str">
        <f>(MID(str_cnvt(E109),SEARCH(":",str_cnvt(E109))+1,2)-1) &amp; ":" &amp; (MID(str_cnvt(E109),SEARCH(":",str_cnvt(E109))+1,2)-D110)</f>
        <v>15:12</v>
      </c>
      <c r="F110" s="18" t="s">
        <v>77</v>
      </c>
      <c r="G110" s="22" t="s">
        <v>69</v>
      </c>
      <c r="H110" s="23" t="s">
        <v>37</v>
      </c>
      <c r="I110" s="24" t="s">
        <v>36</v>
      </c>
      <c r="J110" s="25" t="s">
        <v>6</v>
      </c>
      <c r="K110" s="22"/>
      <c r="L110" s="38"/>
      <c r="M110" s="38"/>
      <c r="N110" s="38"/>
      <c r="O110" s="56"/>
      <c r="P110" s="58"/>
      <c r="Q110" s="58"/>
    </row>
    <row r="111" spans="1:17" s="1" customFormat="1" ht="14.4" customHeight="1">
      <c r="A111" s="61"/>
      <c r="B111" s="64"/>
      <c r="C111" s="21" t="s">
        <v>66</v>
      </c>
      <c r="D111" s="18">
        <v>4</v>
      </c>
      <c r="E111" s="79" t="str">
        <f>(MID(str_cnvt(E110),SEARCH(":",str_cnvt(E110))+1,2)-1) &amp; ":" &amp; (MID(str_cnvt(E110),SEARCH(":",str_cnvt(E110))+1,2)-D111)</f>
        <v>11:8</v>
      </c>
      <c r="F111" s="18" t="s">
        <v>77</v>
      </c>
      <c r="G111" s="22" t="s">
        <v>67</v>
      </c>
      <c r="H111" s="23" t="s">
        <v>37</v>
      </c>
      <c r="I111" s="24" t="s">
        <v>36</v>
      </c>
      <c r="J111" s="25" t="s">
        <v>6</v>
      </c>
      <c r="K111" s="22"/>
      <c r="L111" s="38"/>
      <c r="M111" s="38"/>
      <c r="N111" s="38"/>
      <c r="O111" s="56"/>
      <c r="P111" s="58"/>
      <c r="Q111" s="58"/>
    </row>
    <row r="112" spans="1:17" s="1" customFormat="1">
      <c r="A112" s="61"/>
      <c r="B112" s="64"/>
      <c r="C112" s="21" t="s">
        <v>64</v>
      </c>
      <c r="D112" s="18">
        <v>4</v>
      </c>
      <c r="E112" s="79" t="str">
        <f>(MID(str_cnvt(E111),SEARCH(":",str_cnvt(E111))+1,2)-1) &amp; ":" &amp; (MID(str_cnvt(E111),SEARCH(":",str_cnvt(E111))+1,2)-D112)</f>
        <v>7:4</v>
      </c>
      <c r="F112" s="18" t="s">
        <v>77</v>
      </c>
      <c r="G112" s="22" t="s">
        <v>65</v>
      </c>
      <c r="H112" s="23" t="s">
        <v>37</v>
      </c>
      <c r="I112" s="24" t="s">
        <v>36</v>
      </c>
      <c r="J112" s="25" t="s">
        <v>6</v>
      </c>
      <c r="K112" s="22"/>
      <c r="L112" s="38"/>
      <c r="M112" s="38"/>
      <c r="N112" s="38"/>
      <c r="O112" s="56"/>
      <c r="P112" s="58"/>
      <c r="Q112" s="58"/>
    </row>
    <row r="113" spans="1:17" s="1" customFormat="1" ht="14.4" customHeight="1" thickBot="1">
      <c r="A113" s="62"/>
      <c r="B113" s="65"/>
      <c r="C113" s="21" t="s">
        <v>62</v>
      </c>
      <c r="D113" s="18">
        <v>4</v>
      </c>
      <c r="E113" s="79" t="str">
        <f>(MID(str_cnvt(E112),SEARCH(":",str_cnvt(E112))+1,2)-1) &amp; ":" &amp; (MID(str_cnvt(E112),SEARCH(":",str_cnvt(E112))+1,2)-D113)</f>
        <v>3:0</v>
      </c>
      <c r="F113" s="18" t="s">
        <v>77</v>
      </c>
      <c r="G113" s="22" t="s">
        <v>63</v>
      </c>
      <c r="H113" s="23" t="s">
        <v>37</v>
      </c>
      <c r="I113" s="24" t="s">
        <v>36</v>
      </c>
      <c r="J113" s="25" t="s">
        <v>6</v>
      </c>
      <c r="K113" s="22"/>
      <c r="L113" s="55"/>
      <c r="M113" s="55"/>
      <c r="N113" s="55"/>
      <c r="O113" s="52"/>
      <c r="P113" s="59"/>
      <c r="Q113" s="59"/>
    </row>
    <row r="114" spans="1:17" s="1" customFormat="1" ht="15.75" customHeight="1">
      <c r="A114" s="60" t="s">
        <v>78</v>
      </c>
      <c r="B114" s="63" t="str">
        <f t="shared" ref="B114" si="68">DEC2HEX(O114*4)</f>
        <v>4C</v>
      </c>
      <c r="C114" s="66" t="str">
        <f>bitConcat(F115:F122)</f>
        <v>32'b01110111011101110111011101110111</v>
      </c>
      <c r="D114" s="67"/>
      <c r="E114" s="67"/>
      <c r="F114" s="67"/>
      <c r="G114" s="67"/>
      <c r="H114" s="67"/>
      <c r="I114" s="67"/>
      <c r="J114" s="67"/>
      <c r="K114" s="68"/>
      <c r="L114" s="54" t="str">
        <f t="shared" ref="L114" si="69">DEC2HEX(_xlfn.BITLSHIFT(N114,7)+4*O114)</f>
        <v>54C</v>
      </c>
      <c r="M114" s="54"/>
      <c r="N114" s="54">
        <v>10</v>
      </c>
      <c r="O114" s="51">
        <v>19</v>
      </c>
      <c r="P114" s="57" t="str">
        <f t="shared" ref="P114" si="70">DEC2HEX(_xlfn.BITLSHIFT(N114,5)+O114*4)</f>
        <v>18C</v>
      </c>
      <c r="Q114" s="57" t="str">
        <f t="shared" ref="Q114" si="71">BIN2HEX(LEFT(RIGHT(C114,32),4))&amp;BIN2HEX(LEFT(RIGHT(C114,28),4))&amp;BIN2HEX(LEFT(RIGHT(C114,24),4))&amp;BIN2HEX(LEFT(RIGHT(C114,20),4))&amp;BIN2HEX(LEFT(RIGHT(C114,16),4))&amp;BIN2HEX(LEFT(RIGHT(C114,12),4))&amp;BIN2HEX(LEFT(RIGHT(C114,8),4))&amp;BIN2HEX(LEFT(RIGHT(C114,4),4))</f>
        <v>77777777</v>
      </c>
    </row>
    <row r="115" spans="1:17" s="1" customFormat="1" ht="14.4" customHeight="1">
      <c r="A115" s="61"/>
      <c r="B115" s="64"/>
      <c r="C115" s="21" t="s">
        <v>86</v>
      </c>
      <c r="D115" s="21">
        <v>4</v>
      </c>
      <c r="E115" s="18" t="str">
        <f>IF(D115&gt;1,(31)&amp;":"&amp;(31-D115+1),(31-D115+1)&amp;":"&amp;(31-D115+1))</f>
        <v>31:28</v>
      </c>
      <c r="F115" s="21" t="s">
        <v>77</v>
      </c>
      <c r="G115" s="21" t="s">
        <v>75</v>
      </c>
      <c r="H115" s="23" t="s">
        <v>37</v>
      </c>
      <c r="I115" s="23" t="s">
        <v>36</v>
      </c>
      <c r="J115" s="23" t="s">
        <v>6</v>
      </c>
      <c r="K115" s="21"/>
      <c r="L115" s="38"/>
      <c r="M115" s="38"/>
      <c r="N115" s="38"/>
      <c r="O115" s="56"/>
      <c r="P115" s="58"/>
      <c r="Q115" s="58"/>
    </row>
    <row r="116" spans="1:17" s="1" customFormat="1">
      <c r="A116" s="61"/>
      <c r="B116" s="64"/>
      <c r="C116" s="21" t="s">
        <v>85</v>
      </c>
      <c r="D116" s="21">
        <v>4</v>
      </c>
      <c r="E116" s="79" t="str">
        <f>(MID(str_cnvt(E115),SEARCH(":",str_cnvt(E115))+1,2)-1) &amp; ":" &amp; (MID(str_cnvt(E115),SEARCH(":",str_cnvt(E115))+1,2)-D116)</f>
        <v>27:24</v>
      </c>
      <c r="F116" s="21" t="s">
        <v>77</v>
      </c>
      <c r="G116" s="21" t="s">
        <v>75</v>
      </c>
      <c r="H116" s="23" t="s">
        <v>37</v>
      </c>
      <c r="I116" s="23" t="s">
        <v>36</v>
      </c>
      <c r="J116" s="23" t="s">
        <v>6</v>
      </c>
      <c r="K116" s="21"/>
      <c r="L116" s="38"/>
      <c r="M116" s="38"/>
      <c r="N116" s="38"/>
      <c r="O116" s="56"/>
      <c r="P116" s="58"/>
      <c r="Q116" s="58"/>
    </row>
    <row r="117" spans="1:17" s="1" customFormat="1" ht="14.4" customHeight="1">
      <c r="A117" s="61"/>
      <c r="B117" s="64"/>
      <c r="C117" s="21" t="s">
        <v>84</v>
      </c>
      <c r="D117" s="21">
        <v>4</v>
      </c>
      <c r="E117" s="79" t="str">
        <f>(MID(str_cnvt(E116),SEARCH(":",str_cnvt(E116))+1,2)-1) &amp; ":" &amp; (MID(str_cnvt(E116),SEARCH(":",str_cnvt(E116))+1,2)-D117)</f>
        <v>23:20</v>
      </c>
      <c r="F117" s="21" t="s">
        <v>77</v>
      </c>
      <c r="G117" s="21" t="s">
        <v>75</v>
      </c>
      <c r="H117" s="23" t="s">
        <v>37</v>
      </c>
      <c r="I117" s="23" t="s">
        <v>36</v>
      </c>
      <c r="J117" s="23" t="s">
        <v>6</v>
      </c>
      <c r="K117" s="21"/>
      <c r="L117" s="38"/>
      <c r="M117" s="38"/>
      <c r="N117" s="38"/>
      <c r="O117" s="56"/>
      <c r="P117" s="58"/>
      <c r="Q117" s="58"/>
    </row>
    <row r="118" spans="1:17" s="1" customFormat="1">
      <c r="A118" s="61"/>
      <c r="B118" s="64"/>
      <c r="C118" s="21" t="s">
        <v>83</v>
      </c>
      <c r="D118" s="21">
        <v>4</v>
      </c>
      <c r="E118" s="79" t="str">
        <f>(MID(str_cnvt(E117),SEARCH(":",str_cnvt(E117))+1,2)-1) &amp; ":" &amp; (MID(str_cnvt(E117),SEARCH(":",str_cnvt(E117))+1,2)-D118)</f>
        <v>19:16</v>
      </c>
      <c r="F118" s="21" t="s">
        <v>77</v>
      </c>
      <c r="G118" s="21" t="s">
        <v>75</v>
      </c>
      <c r="H118" s="23" t="s">
        <v>37</v>
      </c>
      <c r="I118" s="23" t="s">
        <v>36</v>
      </c>
      <c r="J118" s="23" t="s">
        <v>6</v>
      </c>
      <c r="K118" s="21"/>
      <c r="L118" s="38"/>
      <c r="M118" s="38"/>
      <c r="N118" s="38"/>
      <c r="O118" s="56"/>
      <c r="P118" s="58"/>
      <c r="Q118" s="58"/>
    </row>
    <row r="119" spans="1:17" s="1" customFormat="1" ht="14.4" customHeight="1">
      <c r="A119" s="61"/>
      <c r="B119" s="64"/>
      <c r="C119" s="21" t="s">
        <v>82</v>
      </c>
      <c r="D119" s="21">
        <v>4</v>
      </c>
      <c r="E119" s="79" t="str">
        <f>(MID(str_cnvt(E118),SEARCH(":",str_cnvt(E118))+1,2)-1) &amp; ":" &amp; (MID(str_cnvt(E118),SEARCH(":",str_cnvt(E118))+1,2)-D119)</f>
        <v>15:12</v>
      </c>
      <c r="F119" s="21" t="s">
        <v>77</v>
      </c>
      <c r="G119" s="21" t="s">
        <v>75</v>
      </c>
      <c r="H119" s="23" t="s">
        <v>37</v>
      </c>
      <c r="I119" s="23" t="s">
        <v>36</v>
      </c>
      <c r="J119" s="23" t="s">
        <v>6</v>
      </c>
      <c r="K119" s="21"/>
      <c r="L119" s="38"/>
      <c r="M119" s="38"/>
      <c r="N119" s="38"/>
      <c r="O119" s="56"/>
      <c r="P119" s="58"/>
      <c r="Q119" s="58"/>
    </row>
    <row r="120" spans="1:17" s="1" customFormat="1">
      <c r="A120" s="61"/>
      <c r="B120" s="64"/>
      <c r="C120" s="21" t="s">
        <v>81</v>
      </c>
      <c r="D120" s="21">
        <v>4</v>
      </c>
      <c r="E120" s="79" t="str">
        <f>(MID(str_cnvt(E119),SEARCH(":",str_cnvt(E119))+1,2)-1) &amp; ":" &amp; (MID(str_cnvt(E119),SEARCH(":",str_cnvt(E119))+1,2)-D120)</f>
        <v>11:8</v>
      </c>
      <c r="F120" s="21" t="s">
        <v>77</v>
      </c>
      <c r="G120" s="21" t="s">
        <v>75</v>
      </c>
      <c r="H120" s="23" t="s">
        <v>37</v>
      </c>
      <c r="I120" s="23" t="s">
        <v>36</v>
      </c>
      <c r="J120" s="23" t="s">
        <v>6</v>
      </c>
      <c r="K120" s="21"/>
      <c r="L120" s="38"/>
      <c r="M120" s="38"/>
      <c r="N120" s="38"/>
      <c r="O120" s="56"/>
      <c r="P120" s="58"/>
      <c r="Q120" s="58"/>
    </row>
    <row r="121" spans="1:17" s="1" customFormat="1" ht="14.4" customHeight="1">
      <c r="A121" s="61"/>
      <c r="B121" s="64"/>
      <c r="C121" s="21" t="s">
        <v>80</v>
      </c>
      <c r="D121" s="21">
        <v>4</v>
      </c>
      <c r="E121" s="79" t="str">
        <f>(MID(str_cnvt(E120),SEARCH(":",str_cnvt(E120))+1,2)-1) &amp; ":" &amp; (MID(str_cnvt(E120),SEARCH(":",str_cnvt(E120))+1,2)-D121)</f>
        <v>7:4</v>
      </c>
      <c r="F121" s="21" t="s">
        <v>77</v>
      </c>
      <c r="G121" s="21" t="s">
        <v>75</v>
      </c>
      <c r="H121" s="23" t="s">
        <v>37</v>
      </c>
      <c r="I121" s="23" t="s">
        <v>36</v>
      </c>
      <c r="J121" s="23" t="s">
        <v>6</v>
      </c>
      <c r="K121" s="21"/>
      <c r="L121" s="38"/>
      <c r="M121" s="38"/>
      <c r="N121" s="38"/>
      <c r="O121" s="56"/>
      <c r="P121" s="58"/>
      <c r="Q121" s="58"/>
    </row>
    <row r="122" spans="1:17" s="1" customFormat="1" ht="15" thickBot="1">
      <c r="A122" s="62"/>
      <c r="B122" s="65"/>
      <c r="C122" s="21" t="s">
        <v>79</v>
      </c>
      <c r="D122" s="21">
        <v>4</v>
      </c>
      <c r="E122" s="79" t="str">
        <f>(MID(str_cnvt(E121),SEARCH(":",str_cnvt(E121))+1,2)-1) &amp; ":" &amp; (MID(str_cnvt(E121),SEARCH(":",str_cnvt(E121))+1,2)-D122)</f>
        <v>3:0</v>
      </c>
      <c r="F122" s="21" t="s">
        <v>77</v>
      </c>
      <c r="G122" s="21" t="s">
        <v>75</v>
      </c>
      <c r="H122" s="23" t="s">
        <v>37</v>
      </c>
      <c r="I122" s="23" t="s">
        <v>36</v>
      </c>
      <c r="J122" s="23" t="s">
        <v>6</v>
      </c>
      <c r="K122" s="21"/>
      <c r="L122" s="55"/>
      <c r="M122" s="55"/>
      <c r="N122" s="55"/>
      <c r="O122" s="52"/>
      <c r="P122" s="59"/>
      <c r="Q122" s="59"/>
    </row>
    <row r="123" spans="1:17" s="1" customFormat="1" ht="15" customHeight="1">
      <c r="A123" s="60" t="s">
        <v>87</v>
      </c>
      <c r="B123" s="63" t="str">
        <f>DEC2HEX(O123*4)</f>
        <v>50</v>
      </c>
      <c r="C123" s="66" t="str">
        <f>bitConcat(F124:F131)</f>
        <v>32'b01110111011101110111011101110111</v>
      </c>
      <c r="D123" s="67"/>
      <c r="E123" s="67"/>
      <c r="F123" s="67"/>
      <c r="G123" s="67"/>
      <c r="H123" s="67"/>
      <c r="I123" s="67"/>
      <c r="J123" s="67"/>
      <c r="K123" s="68"/>
      <c r="L123" s="54" t="str">
        <f>DEC2HEX(_xlfn.BITLSHIFT(N123,7)+4*O123)</f>
        <v>550</v>
      </c>
      <c r="M123" s="54"/>
      <c r="N123" s="54">
        <v>10</v>
      </c>
      <c r="O123" s="51">
        <v>20</v>
      </c>
      <c r="P123" s="57" t="str">
        <f>DEC2HEX(_xlfn.BITLSHIFT(N123,5)+O123*4)</f>
        <v>190</v>
      </c>
      <c r="Q123" s="57" t="str">
        <f>BIN2HEX(LEFT(RIGHT(C123,32),4))&amp;BIN2HEX(LEFT(RIGHT(C123,28),4))&amp;BIN2HEX(LEFT(RIGHT(C123,24),4))&amp;BIN2HEX(LEFT(RIGHT(C123,20),4))&amp;BIN2HEX(LEFT(RIGHT(C123,16),4))&amp;BIN2HEX(LEFT(RIGHT(C123,12),4))&amp;BIN2HEX(LEFT(RIGHT(C123,8),4))&amp;BIN2HEX(LEFT(RIGHT(C123,4),4))</f>
        <v>77777777</v>
      </c>
    </row>
    <row r="124" spans="1:17" s="1" customFormat="1">
      <c r="A124" s="61"/>
      <c r="B124" s="64"/>
      <c r="C124" s="21" t="s">
        <v>95</v>
      </c>
      <c r="D124" s="21">
        <v>4</v>
      </c>
      <c r="E124" s="18" t="str">
        <f>IF(D124&gt;1,(31)&amp;":"&amp;(31-D124+1),(31-D124+1)&amp;":"&amp;(31-D124+1))</f>
        <v>31:28</v>
      </c>
      <c r="F124" s="21" t="s">
        <v>77</v>
      </c>
      <c r="G124" s="21" t="s">
        <v>75</v>
      </c>
      <c r="H124" s="23" t="s">
        <v>37</v>
      </c>
      <c r="I124" s="23" t="s">
        <v>36</v>
      </c>
      <c r="J124" s="23" t="s">
        <v>6</v>
      </c>
      <c r="K124" s="21"/>
      <c r="L124" s="38"/>
      <c r="M124" s="38"/>
      <c r="N124" s="38"/>
      <c r="O124" s="56"/>
      <c r="P124" s="58"/>
      <c r="Q124" s="58"/>
    </row>
    <row r="125" spans="1:17" s="1" customFormat="1" ht="14.4" customHeight="1">
      <c r="A125" s="61"/>
      <c r="B125" s="64"/>
      <c r="C125" s="21" t="s">
        <v>94</v>
      </c>
      <c r="D125" s="21">
        <v>4</v>
      </c>
      <c r="E125" s="79" t="str">
        <f>(MID(str_cnvt(E124),SEARCH(":",str_cnvt(E124))+1,2)-1) &amp; ":" &amp; (MID(str_cnvt(E124),SEARCH(":",str_cnvt(E124))+1,2)-D125)</f>
        <v>27:24</v>
      </c>
      <c r="F125" s="21" t="s">
        <v>77</v>
      </c>
      <c r="G125" s="21" t="s">
        <v>75</v>
      </c>
      <c r="H125" s="23" t="s">
        <v>37</v>
      </c>
      <c r="I125" s="23" t="s">
        <v>36</v>
      </c>
      <c r="J125" s="23" t="s">
        <v>6</v>
      </c>
      <c r="K125" s="21"/>
      <c r="L125" s="38"/>
      <c r="M125" s="38"/>
      <c r="N125" s="38"/>
      <c r="O125" s="56"/>
      <c r="P125" s="58"/>
      <c r="Q125" s="58"/>
    </row>
    <row r="126" spans="1:17" s="1" customFormat="1">
      <c r="A126" s="61"/>
      <c r="B126" s="64"/>
      <c r="C126" s="21" t="s">
        <v>93</v>
      </c>
      <c r="D126" s="21">
        <v>4</v>
      </c>
      <c r="E126" s="79" t="str">
        <f>(MID(str_cnvt(E125),SEARCH(":",str_cnvt(E125))+1,2)-1) &amp; ":" &amp; (MID(str_cnvt(E125),SEARCH(":",str_cnvt(E125))+1,2)-D126)</f>
        <v>23:20</v>
      </c>
      <c r="F126" s="21" t="s">
        <v>77</v>
      </c>
      <c r="G126" s="21" t="s">
        <v>75</v>
      </c>
      <c r="H126" s="23" t="s">
        <v>37</v>
      </c>
      <c r="I126" s="23" t="s">
        <v>36</v>
      </c>
      <c r="J126" s="23" t="s">
        <v>6</v>
      </c>
      <c r="K126" s="21"/>
      <c r="L126" s="38"/>
      <c r="M126" s="38"/>
      <c r="N126" s="38"/>
      <c r="O126" s="56"/>
      <c r="P126" s="58"/>
      <c r="Q126" s="58"/>
    </row>
    <row r="127" spans="1:17" s="1" customFormat="1" ht="14.4" customHeight="1">
      <c r="A127" s="61"/>
      <c r="B127" s="64"/>
      <c r="C127" s="21" t="s">
        <v>92</v>
      </c>
      <c r="D127" s="21">
        <v>4</v>
      </c>
      <c r="E127" s="79" t="str">
        <f>(MID(str_cnvt(E126),SEARCH(":",str_cnvt(E126))+1,2)-1) &amp; ":" &amp; (MID(str_cnvt(E126),SEARCH(":",str_cnvt(E126))+1,2)-D127)</f>
        <v>19:16</v>
      </c>
      <c r="F127" s="21" t="s">
        <v>77</v>
      </c>
      <c r="G127" s="21" t="s">
        <v>75</v>
      </c>
      <c r="H127" s="23" t="s">
        <v>37</v>
      </c>
      <c r="I127" s="23" t="s">
        <v>36</v>
      </c>
      <c r="J127" s="23" t="s">
        <v>6</v>
      </c>
      <c r="K127" s="21"/>
      <c r="L127" s="38"/>
      <c r="M127" s="38"/>
      <c r="N127" s="38"/>
      <c r="O127" s="56"/>
      <c r="P127" s="58"/>
      <c r="Q127" s="58"/>
    </row>
    <row r="128" spans="1:17" s="1" customFormat="1">
      <c r="A128" s="61"/>
      <c r="B128" s="64"/>
      <c r="C128" s="21" t="s">
        <v>91</v>
      </c>
      <c r="D128" s="21">
        <v>4</v>
      </c>
      <c r="E128" s="79" t="str">
        <f>(MID(str_cnvt(E127),SEARCH(":",str_cnvt(E127))+1,2)-1) &amp; ":" &amp; (MID(str_cnvt(E127),SEARCH(":",str_cnvt(E127))+1,2)-D128)</f>
        <v>15:12</v>
      </c>
      <c r="F128" s="21" t="s">
        <v>77</v>
      </c>
      <c r="G128" s="21" t="s">
        <v>75</v>
      </c>
      <c r="H128" s="23" t="s">
        <v>37</v>
      </c>
      <c r="I128" s="23" t="s">
        <v>36</v>
      </c>
      <c r="J128" s="23" t="s">
        <v>6</v>
      </c>
      <c r="K128" s="21"/>
      <c r="L128" s="38"/>
      <c r="M128" s="38"/>
      <c r="N128" s="38"/>
      <c r="O128" s="56"/>
      <c r="P128" s="58"/>
      <c r="Q128" s="58"/>
    </row>
    <row r="129" spans="1:17" s="1" customFormat="1" ht="14.4" customHeight="1">
      <c r="A129" s="61"/>
      <c r="B129" s="64"/>
      <c r="C129" s="21" t="s">
        <v>90</v>
      </c>
      <c r="D129" s="21">
        <v>4</v>
      </c>
      <c r="E129" s="79" t="str">
        <f>(MID(str_cnvt(E128),SEARCH(":",str_cnvt(E128))+1,2)-1) &amp; ":" &amp; (MID(str_cnvt(E128),SEARCH(":",str_cnvt(E128))+1,2)-D129)</f>
        <v>11:8</v>
      </c>
      <c r="F129" s="21" t="s">
        <v>77</v>
      </c>
      <c r="G129" s="21" t="s">
        <v>75</v>
      </c>
      <c r="H129" s="23" t="s">
        <v>37</v>
      </c>
      <c r="I129" s="23" t="s">
        <v>36</v>
      </c>
      <c r="J129" s="23" t="s">
        <v>6</v>
      </c>
      <c r="K129" s="21"/>
      <c r="L129" s="38"/>
      <c r="M129" s="38"/>
      <c r="N129" s="38"/>
      <c r="O129" s="56"/>
      <c r="P129" s="58"/>
      <c r="Q129" s="58"/>
    </row>
    <row r="130" spans="1:17" s="1" customFormat="1">
      <c r="A130" s="61"/>
      <c r="B130" s="64"/>
      <c r="C130" s="21" t="s">
        <v>89</v>
      </c>
      <c r="D130" s="21">
        <v>4</v>
      </c>
      <c r="E130" s="79" t="str">
        <f>(MID(str_cnvt(E129),SEARCH(":",str_cnvt(E129))+1,2)-1) &amp; ":" &amp; (MID(str_cnvt(E129),SEARCH(":",str_cnvt(E129))+1,2)-D130)</f>
        <v>7:4</v>
      </c>
      <c r="F130" s="21" t="s">
        <v>77</v>
      </c>
      <c r="G130" s="21" t="s">
        <v>75</v>
      </c>
      <c r="H130" s="23" t="s">
        <v>37</v>
      </c>
      <c r="I130" s="23" t="s">
        <v>36</v>
      </c>
      <c r="J130" s="23" t="s">
        <v>6</v>
      </c>
      <c r="K130" s="21"/>
      <c r="L130" s="38"/>
      <c r="M130" s="38"/>
      <c r="N130" s="38"/>
      <c r="O130" s="56"/>
      <c r="P130" s="58"/>
      <c r="Q130" s="58"/>
    </row>
    <row r="131" spans="1:17" s="1" customFormat="1" ht="14.4" customHeight="1" thickBot="1">
      <c r="A131" s="62"/>
      <c r="B131" s="65"/>
      <c r="C131" s="21" t="s">
        <v>88</v>
      </c>
      <c r="D131" s="21">
        <v>4</v>
      </c>
      <c r="E131" s="79" t="str">
        <f>(MID(str_cnvt(E130),SEARCH(":",str_cnvt(E130))+1,2)-1) &amp; ":" &amp; (MID(str_cnvt(E130),SEARCH(":",str_cnvt(E130))+1,2)-D131)</f>
        <v>3:0</v>
      </c>
      <c r="F131" s="21" t="s">
        <v>77</v>
      </c>
      <c r="G131" s="21" t="s">
        <v>75</v>
      </c>
      <c r="H131" s="23" t="s">
        <v>37</v>
      </c>
      <c r="I131" s="23" t="s">
        <v>36</v>
      </c>
      <c r="J131" s="23" t="s">
        <v>6</v>
      </c>
      <c r="K131" s="21"/>
      <c r="L131" s="55"/>
      <c r="M131" s="55"/>
      <c r="N131" s="55"/>
      <c r="O131" s="52"/>
      <c r="P131" s="59"/>
      <c r="Q131" s="59"/>
    </row>
    <row r="132" spans="1:17" s="1" customFormat="1" ht="15" customHeight="1">
      <c r="A132" s="60" t="s">
        <v>96</v>
      </c>
      <c r="B132" s="63" t="str">
        <f>DEC2HEX(O132*4)</f>
        <v>54</v>
      </c>
      <c r="C132" s="66" t="str">
        <f>bitConcat(F133:F140)</f>
        <v>32'b01110111011101110111011101110111</v>
      </c>
      <c r="D132" s="67"/>
      <c r="E132" s="67"/>
      <c r="F132" s="67"/>
      <c r="G132" s="67"/>
      <c r="H132" s="67"/>
      <c r="I132" s="67"/>
      <c r="J132" s="67"/>
      <c r="K132" s="68"/>
      <c r="L132" s="54" t="str">
        <f>DEC2HEX(_xlfn.BITLSHIFT(N132,7)+4*O132)</f>
        <v>554</v>
      </c>
      <c r="M132" s="54"/>
      <c r="N132" s="54">
        <v>10</v>
      </c>
      <c r="O132" s="51">
        <v>21</v>
      </c>
      <c r="P132" s="57" t="str">
        <f>DEC2HEX(_xlfn.BITLSHIFT(N132,5)+O132*4)</f>
        <v>194</v>
      </c>
      <c r="Q132" s="57" t="str">
        <f>BIN2HEX(LEFT(RIGHT(C132,32),4))&amp;BIN2HEX(LEFT(RIGHT(C132,28),4))&amp;BIN2HEX(LEFT(RIGHT(C132,24),4))&amp;BIN2HEX(LEFT(RIGHT(C132,20),4))&amp;BIN2HEX(LEFT(RIGHT(C132,16),4))&amp;BIN2HEX(LEFT(RIGHT(C132,12),4))&amp;BIN2HEX(LEFT(RIGHT(C132,8),4))&amp;BIN2HEX(LEFT(RIGHT(C132,4),4))</f>
        <v>77777777</v>
      </c>
    </row>
    <row r="133" spans="1:17" s="1" customFormat="1" ht="14.4" customHeight="1">
      <c r="A133" s="61"/>
      <c r="B133" s="64"/>
      <c r="C133" s="21" t="s">
        <v>107</v>
      </c>
      <c r="D133" s="21">
        <v>4</v>
      </c>
      <c r="E133" s="18" t="str">
        <f>IF(D133&gt;1,(31)&amp;":"&amp;(31-D133+1),(31-D133+1)&amp;":"&amp;(31-D133+1))</f>
        <v>31:28</v>
      </c>
      <c r="F133" s="21" t="s">
        <v>77</v>
      </c>
      <c r="G133" s="21" t="s">
        <v>108</v>
      </c>
      <c r="H133" s="23" t="s">
        <v>37</v>
      </c>
      <c r="I133" s="23" t="s">
        <v>36</v>
      </c>
      <c r="J133" s="23" t="s">
        <v>6</v>
      </c>
      <c r="K133" s="21"/>
      <c r="L133" s="38"/>
      <c r="M133" s="38"/>
      <c r="N133" s="38"/>
      <c r="O133" s="56"/>
      <c r="P133" s="58"/>
      <c r="Q133" s="58"/>
    </row>
    <row r="134" spans="1:17" s="1" customFormat="1">
      <c r="A134" s="61"/>
      <c r="B134" s="64"/>
      <c r="C134" s="21" t="s">
        <v>105</v>
      </c>
      <c r="D134" s="21">
        <v>4</v>
      </c>
      <c r="E134" s="79" t="str">
        <f>(MID(str_cnvt(E133),SEARCH(":",str_cnvt(E133))+1,2)-1) &amp; ":" &amp; (MID(str_cnvt(E133),SEARCH(":",str_cnvt(E133))+1,2)-D134)</f>
        <v>27:24</v>
      </c>
      <c r="F134" s="21" t="s">
        <v>77</v>
      </c>
      <c r="G134" s="21" t="s">
        <v>106</v>
      </c>
      <c r="H134" s="23" t="s">
        <v>37</v>
      </c>
      <c r="I134" s="23" t="s">
        <v>36</v>
      </c>
      <c r="J134" s="23" t="s">
        <v>6</v>
      </c>
      <c r="K134" s="21"/>
      <c r="L134" s="38"/>
      <c r="M134" s="38"/>
      <c r="N134" s="38"/>
      <c r="O134" s="56"/>
      <c r="P134" s="58"/>
      <c r="Q134" s="58"/>
    </row>
    <row r="135" spans="1:17" s="1" customFormat="1" ht="14.4" customHeight="1">
      <c r="A135" s="61"/>
      <c r="B135" s="64"/>
      <c r="C135" s="21" t="s">
        <v>104</v>
      </c>
      <c r="D135" s="21">
        <v>4</v>
      </c>
      <c r="E135" s="79" t="str">
        <f>(MID(str_cnvt(E134),SEARCH(":",str_cnvt(E134))+1,2)-1) &amp; ":" &amp; (MID(str_cnvt(E134),SEARCH(":",str_cnvt(E134))+1,2)-D135)</f>
        <v>23:20</v>
      </c>
      <c r="F135" s="21" t="s">
        <v>77</v>
      </c>
      <c r="G135" s="21" t="s">
        <v>67</v>
      </c>
      <c r="H135" s="23" t="s">
        <v>37</v>
      </c>
      <c r="I135" s="23" t="s">
        <v>36</v>
      </c>
      <c r="J135" s="23" t="s">
        <v>6</v>
      </c>
      <c r="K135" s="21"/>
      <c r="L135" s="38"/>
      <c r="M135" s="38"/>
      <c r="N135" s="38"/>
      <c r="O135" s="56"/>
      <c r="P135" s="58"/>
      <c r="Q135" s="58"/>
    </row>
    <row r="136" spans="1:17" s="1" customFormat="1">
      <c r="A136" s="61"/>
      <c r="B136" s="64"/>
      <c r="C136" s="21" t="s">
        <v>103</v>
      </c>
      <c r="D136" s="21">
        <v>4</v>
      </c>
      <c r="E136" s="79" t="str">
        <f>(MID(str_cnvt(E135),SEARCH(":",str_cnvt(E135))+1,2)-1) &amp; ":" &amp; (MID(str_cnvt(E135),SEARCH(":",str_cnvt(E135))+1,2)-D136)</f>
        <v>19:16</v>
      </c>
      <c r="F136" s="21" t="s">
        <v>77</v>
      </c>
      <c r="G136" s="21" t="s">
        <v>67</v>
      </c>
      <c r="H136" s="23" t="s">
        <v>37</v>
      </c>
      <c r="I136" s="23" t="s">
        <v>36</v>
      </c>
      <c r="J136" s="23" t="s">
        <v>6</v>
      </c>
      <c r="K136" s="21"/>
      <c r="L136" s="38"/>
      <c r="M136" s="38"/>
      <c r="N136" s="38"/>
      <c r="O136" s="56"/>
      <c r="P136" s="58"/>
      <c r="Q136" s="58"/>
    </row>
    <row r="137" spans="1:17" s="1" customFormat="1" ht="14.4" customHeight="1">
      <c r="A137" s="61"/>
      <c r="B137" s="64"/>
      <c r="C137" s="21" t="s">
        <v>102</v>
      </c>
      <c r="D137" s="21">
        <v>4</v>
      </c>
      <c r="E137" s="79" t="str">
        <f>(MID(str_cnvt(E136),SEARCH(":",str_cnvt(E136))+1,2)-1) &amp; ":" &amp; (MID(str_cnvt(E136),SEARCH(":",str_cnvt(E136))+1,2)-D137)</f>
        <v>15:12</v>
      </c>
      <c r="F137" s="21" t="s">
        <v>77</v>
      </c>
      <c r="G137" s="21" t="s">
        <v>67</v>
      </c>
      <c r="H137" s="23" t="s">
        <v>37</v>
      </c>
      <c r="I137" s="23" t="s">
        <v>36</v>
      </c>
      <c r="J137" s="23" t="s">
        <v>6</v>
      </c>
      <c r="K137" s="21"/>
      <c r="L137" s="38"/>
      <c r="M137" s="38"/>
      <c r="N137" s="38"/>
      <c r="O137" s="56"/>
      <c r="P137" s="58"/>
      <c r="Q137" s="58"/>
    </row>
    <row r="138" spans="1:17" s="1" customFormat="1">
      <c r="A138" s="61"/>
      <c r="B138" s="64"/>
      <c r="C138" s="21" t="s">
        <v>101</v>
      </c>
      <c r="D138" s="21">
        <v>4</v>
      </c>
      <c r="E138" s="79" t="str">
        <f>(MID(str_cnvt(E137),SEARCH(":",str_cnvt(E137))+1,2)-1) &amp; ":" &amp; (MID(str_cnvt(E137),SEARCH(":",str_cnvt(E137))+1,2)-D138)</f>
        <v>11:8</v>
      </c>
      <c r="F138" s="21" t="s">
        <v>77</v>
      </c>
      <c r="G138" s="21" t="s">
        <v>100</v>
      </c>
      <c r="H138" s="23" t="s">
        <v>37</v>
      </c>
      <c r="I138" s="23" t="s">
        <v>36</v>
      </c>
      <c r="J138" s="23" t="s">
        <v>6</v>
      </c>
      <c r="K138" s="21"/>
      <c r="L138" s="38"/>
      <c r="M138" s="38"/>
      <c r="N138" s="38"/>
      <c r="O138" s="56"/>
      <c r="P138" s="58"/>
      <c r="Q138" s="58"/>
    </row>
    <row r="139" spans="1:17" s="1" customFormat="1" ht="14.4" customHeight="1">
      <c r="A139" s="61"/>
      <c r="B139" s="64"/>
      <c r="C139" s="21" t="s">
        <v>99</v>
      </c>
      <c r="D139" s="21">
        <v>4</v>
      </c>
      <c r="E139" s="79" t="str">
        <f>(MID(str_cnvt(E138),SEARCH(":",str_cnvt(E138))+1,2)-1) &amp; ":" &amp; (MID(str_cnvt(E138),SEARCH(":",str_cnvt(E138))+1,2)-D139)</f>
        <v>7:4</v>
      </c>
      <c r="F139" s="21" t="s">
        <v>77</v>
      </c>
      <c r="G139" s="21" t="s">
        <v>100</v>
      </c>
      <c r="H139" s="23" t="s">
        <v>37</v>
      </c>
      <c r="I139" s="23" t="s">
        <v>36</v>
      </c>
      <c r="J139" s="23" t="s">
        <v>6</v>
      </c>
      <c r="K139" s="21"/>
      <c r="L139" s="38"/>
      <c r="M139" s="38"/>
      <c r="N139" s="38"/>
      <c r="O139" s="56"/>
      <c r="P139" s="58"/>
      <c r="Q139" s="58"/>
    </row>
    <row r="140" spans="1:17" s="1" customFormat="1" ht="15" thickBot="1">
      <c r="A140" s="62"/>
      <c r="B140" s="65"/>
      <c r="C140" s="21" t="s">
        <v>97</v>
      </c>
      <c r="D140" s="21">
        <v>4</v>
      </c>
      <c r="E140" s="79" t="str">
        <f>(MID(str_cnvt(E139),SEARCH(":",str_cnvt(E139))+1,2)-1) &amp; ":" &amp; (MID(str_cnvt(E139),SEARCH(":",str_cnvt(E139))+1,2)-D140)</f>
        <v>3:0</v>
      </c>
      <c r="F140" s="21" t="s">
        <v>77</v>
      </c>
      <c r="G140" s="21" t="s">
        <v>98</v>
      </c>
      <c r="H140" s="23" t="s">
        <v>37</v>
      </c>
      <c r="I140" s="23" t="s">
        <v>36</v>
      </c>
      <c r="J140" s="23" t="s">
        <v>6</v>
      </c>
      <c r="K140" s="21"/>
      <c r="L140" s="55"/>
      <c r="M140" s="55"/>
      <c r="N140" s="55"/>
      <c r="O140" s="52"/>
      <c r="P140" s="59"/>
      <c r="Q140" s="59"/>
    </row>
    <row r="141" spans="1:17" s="1" customFormat="1" ht="14.4" customHeight="1">
      <c r="A141" s="60" t="s">
        <v>109</v>
      </c>
      <c r="B141" s="63" t="str">
        <f>DEC2HEX(O141*4)</f>
        <v>58</v>
      </c>
      <c r="C141" s="66" t="str">
        <f>bitConcat(F142:F149)</f>
        <v>32'b01110111011101110111011101110111</v>
      </c>
      <c r="D141" s="67"/>
      <c r="E141" s="67"/>
      <c r="F141" s="67"/>
      <c r="G141" s="67"/>
      <c r="H141" s="67"/>
      <c r="I141" s="67"/>
      <c r="J141" s="67"/>
      <c r="K141" s="68"/>
      <c r="L141" s="54" t="str">
        <f>DEC2HEX(_xlfn.BITLSHIFT(N141,7)+4*O141)</f>
        <v>558</v>
      </c>
      <c r="M141" s="54"/>
      <c r="N141" s="54">
        <v>10</v>
      </c>
      <c r="O141" s="51">
        <v>22</v>
      </c>
      <c r="P141" s="57" t="str">
        <f>DEC2HEX(_xlfn.BITLSHIFT(N141,5)+O141*4)</f>
        <v>198</v>
      </c>
      <c r="Q141" s="57" t="str">
        <f>BIN2HEX(LEFT(RIGHT(C141,32),4))&amp;BIN2HEX(LEFT(RIGHT(C141,28),4))&amp;BIN2HEX(LEFT(RIGHT(C141,24),4))&amp;BIN2HEX(LEFT(RIGHT(C141,20),4))&amp;BIN2HEX(LEFT(RIGHT(C141,16),4))&amp;BIN2HEX(LEFT(RIGHT(C141,12),4))&amp;BIN2HEX(LEFT(RIGHT(C141,8),4))&amp;BIN2HEX(LEFT(RIGHT(C141,4),4))</f>
        <v>77777777</v>
      </c>
    </row>
    <row r="142" spans="1:17" s="1" customFormat="1">
      <c r="A142" s="61"/>
      <c r="B142" s="64"/>
      <c r="C142" s="21" t="s">
        <v>120</v>
      </c>
      <c r="D142" s="21">
        <v>4</v>
      </c>
      <c r="E142" s="18" t="str">
        <f>IF(D142&gt;1,(31)&amp;":"&amp;(31-D142+1),(31-D142+1)&amp;":"&amp;(31-D142+1))</f>
        <v>31:28</v>
      </c>
      <c r="F142" s="21" t="s">
        <v>77</v>
      </c>
      <c r="G142" s="21" t="s">
        <v>119</v>
      </c>
      <c r="H142" s="23" t="s">
        <v>37</v>
      </c>
      <c r="I142" s="23" t="s">
        <v>36</v>
      </c>
      <c r="J142" s="23" t="s">
        <v>6</v>
      </c>
      <c r="K142" s="21"/>
      <c r="L142" s="38"/>
      <c r="M142" s="38"/>
      <c r="N142" s="38"/>
      <c r="O142" s="56"/>
      <c r="P142" s="58"/>
      <c r="Q142" s="58"/>
    </row>
    <row r="143" spans="1:17" s="1" customFormat="1" ht="14.4" customHeight="1">
      <c r="A143" s="61"/>
      <c r="B143" s="64"/>
      <c r="C143" s="21" t="s">
        <v>118</v>
      </c>
      <c r="D143" s="21">
        <v>4</v>
      </c>
      <c r="E143" s="79" t="str">
        <f>(MID(str_cnvt(E142),SEARCH(":",str_cnvt(E142))+1,2)-1) &amp; ":" &amp; (MID(str_cnvt(E142),SEARCH(":",str_cnvt(E142))+1,2)-D143)</f>
        <v>27:24</v>
      </c>
      <c r="F143" s="21" t="s">
        <v>77</v>
      </c>
      <c r="G143" s="21" t="s">
        <v>119</v>
      </c>
      <c r="H143" s="23" t="s">
        <v>37</v>
      </c>
      <c r="I143" s="23" t="s">
        <v>36</v>
      </c>
      <c r="J143" s="23" t="s">
        <v>6</v>
      </c>
      <c r="K143" s="21"/>
      <c r="L143" s="38"/>
      <c r="M143" s="38"/>
      <c r="N143" s="38"/>
      <c r="O143" s="56"/>
      <c r="P143" s="58"/>
      <c r="Q143" s="58"/>
    </row>
    <row r="144" spans="1:17" s="1" customFormat="1">
      <c r="A144" s="61"/>
      <c r="B144" s="64"/>
      <c r="C144" s="21" t="s">
        <v>116</v>
      </c>
      <c r="D144" s="21">
        <v>4</v>
      </c>
      <c r="E144" s="79" t="str">
        <f>(MID(str_cnvt(E143),SEARCH(":",str_cnvt(E143))+1,2)-1) &amp; ":" &amp; (MID(str_cnvt(E143),SEARCH(":",str_cnvt(E143))+1,2)-D144)</f>
        <v>23:20</v>
      </c>
      <c r="F144" s="21" t="s">
        <v>77</v>
      </c>
      <c r="G144" s="21" t="s">
        <v>117</v>
      </c>
      <c r="H144" s="23" t="s">
        <v>37</v>
      </c>
      <c r="I144" s="23" t="s">
        <v>36</v>
      </c>
      <c r="J144" s="23" t="s">
        <v>6</v>
      </c>
      <c r="K144" s="21"/>
      <c r="L144" s="38"/>
      <c r="M144" s="38"/>
      <c r="N144" s="38"/>
      <c r="O144" s="56"/>
      <c r="P144" s="58"/>
      <c r="Q144" s="58"/>
    </row>
    <row r="145" spans="1:17" s="1" customFormat="1" ht="14.4" customHeight="1">
      <c r="A145" s="61"/>
      <c r="B145" s="64"/>
      <c r="C145" s="21" t="s">
        <v>115</v>
      </c>
      <c r="D145" s="21">
        <v>4</v>
      </c>
      <c r="E145" s="79" t="str">
        <f>(MID(str_cnvt(E144),SEARCH(":",str_cnvt(E144))+1,2)-1) &amp; ":" &amp; (MID(str_cnvt(E144),SEARCH(":",str_cnvt(E144))+1,2)-D145)</f>
        <v>19:16</v>
      </c>
      <c r="F145" s="21" t="s">
        <v>77</v>
      </c>
      <c r="G145" s="21" t="s">
        <v>67</v>
      </c>
      <c r="H145" s="23" t="s">
        <v>37</v>
      </c>
      <c r="I145" s="23" t="s">
        <v>36</v>
      </c>
      <c r="J145" s="23" t="s">
        <v>6</v>
      </c>
      <c r="K145" s="21"/>
      <c r="L145" s="38"/>
      <c r="M145" s="38"/>
      <c r="N145" s="38"/>
      <c r="O145" s="56"/>
      <c r="P145" s="58"/>
      <c r="Q145" s="58"/>
    </row>
    <row r="146" spans="1:17" s="1" customFormat="1">
      <c r="A146" s="61"/>
      <c r="B146" s="64"/>
      <c r="C146" s="21" t="s">
        <v>114</v>
      </c>
      <c r="D146" s="21">
        <v>4</v>
      </c>
      <c r="E146" s="79" t="str">
        <f>(MID(str_cnvt(E145),SEARCH(":",str_cnvt(E145))+1,2)-1) &amp; ":" &amp; (MID(str_cnvt(E145),SEARCH(":",str_cnvt(E145))+1,2)-D146)</f>
        <v>15:12</v>
      </c>
      <c r="F146" s="21" t="s">
        <v>77</v>
      </c>
      <c r="G146" s="21" t="s">
        <v>67</v>
      </c>
      <c r="H146" s="23" t="s">
        <v>37</v>
      </c>
      <c r="I146" s="23" t="s">
        <v>36</v>
      </c>
      <c r="J146" s="23" t="s">
        <v>6</v>
      </c>
      <c r="K146" s="21"/>
      <c r="L146" s="38"/>
      <c r="M146" s="38"/>
      <c r="N146" s="38"/>
      <c r="O146" s="56"/>
      <c r="P146" s="58"/>
      <c r="Q146" s="58"/>
    </row>
    <row r="147" spans="1:17" s="1" customFormat="1" ht="14.4" customHeight="1">
      <c r="A147" s="61"/>
      <c r="B147" s="64"/>
      <c r="C147" s="21" t="s">
        <v>113</v>
      </c>
      <c r="D147" s="21">
        <v>4</v>
      </c>
      <c r="E147" s="79" t="str">
        <f>(MID(str_cnvt(E146),SEARCH(":",str_cnvt(E146))+1,2)-1) &amp; ":" &amp; (MID(str_cnvt(E146),SEARCH(":",str_cnvt(E146))+1,2)-D147)</f>
        <v>11:8</v>
      </c>
      <c r="F147" s="21" t="s">
        <v>77</v>
      </c>
      <c r="G147" s="21" t="s">
        <v>67</v>
      </c>
      <c r="H147" s="23" t="s">
        <v>37</v>
      </c>
      <c r="I147" s="23" t="s">
        <v>36</v>
      </c>
      <c r="J147" s="23" t="s">
        <v>6</v>
      </c>
      <c r="K147" s="21"/>
      <c r="L147" s="38"/>
      <c r="M147" s="38"/>
      <c r="N147" s="38"/>
      <c r="O147" s="56"/>
      <c r="P147" s="58"/>
      <c r="Q147" s="58"/>
    </row>
    <row r="148" spans="1:17" s="1" customFormat="1">
      <c r="A148" s="61"/>
      <c r="B148" s="64"/>
      <c r="C148" s="21" t="s">
        <v>112</v>
      </c>
      <c r="D148" s="21">
        <v>4</v>
      </c>
      <c r="E148" s="79" t="str">
        <f>(MID(str_cnvt(E147),SEARCH(":",str_cnvt(E147))+1,2)-1) &amp; ":" &amp; (MID(str_cnvt(E147),SEARCH(":",str_cnvt(E147))+1,2)-D148)</f>
        <v>7:4</v>
      </c>
      <c r="F148" s="21" t="s">
        <v>77</v>
      </c>
      <c r="G148" s="21" t="s">
        <v>111</v>
      </c>
      <c r="H148" s="23" t="s">
        <v>37</v>
      </c>
      <c r="I148" s="23" t="s">
        <v>36</v>
      </c>
      <c r="J148" s="23" t="s">
        <v>6</v>
      </c>
      <c r="K148" s="21"/>
      <c r="L148" s="38"/>
      <c r="M148" s="38"/>
      <c r="N148" s="38"/>
      <c r="O148" s="56"/>
      <c r="P148" s="58"/>
      <c r="Q148" s="58"/>
    </row>
    <row r="149" spans="1:17" s="1" customFormat="1" ht="14.4" customHeight="1" thickBot="1">
      <c r="A149" s="62"/>
      <c r="B149" s="65"/>
      <c r="C149" s="21" t="s">
        <v>110</v>
      </c>
      <c r="D149" s="21">
        <v>4</v>
      </c>
      <c r="E149" s="79" t="str">
        <f>(MID(str_cnvt(E148),SEARCH(":",str_cnvt(E148))+1,2)-1) &amp; ":" &amp; (MID(str_cnvt(E148),SEARCH(":",str_cnvt(E148))+1,2)-D149)</f>
        <v>3:0</v>
      </c>
      <c r="F149" s="21" t="s">
        <v>77</v>
      </c>
      <c r="G149" s="21" t="s">
        <v>111</v>
      </c>
      <c r="H149" s="23" t="s">
        <v>37</v>
      </c>
      <c r="I149" s="23" t="s">
        <v>36</v>
      </c>
      <c r="J149" s="23" t="s">
        <v>6</v>
      </c>
      <c r="K149" s="21"/>
      <c r="L149" s="55"/>
      <c r="M149" s="55"/>
      <c r="N149" s="55"/>
      <c r="O149" s="52"/>
      <c r="P149" s="59"/>
      <c r="Q149" s="59"/>
    </row>
    <row r="150" spans="1:17" s="1" customFormat="1" ht="14.4" customHeight="1">
      <c r="A150" s="60" t="s">
        <v>121</v>
      </c>
      <c r="B150" s="63" t="str">
        <f>DEC2HEX(O150*4)</f>
        <v>5C</v>
      </c>
      <c r="C150" s="66" t="str">
        <f>bitConcat(F151:F158)</f>
        <v>32'b01110111011101110111011101110111</v>
      </c>
      <c r="D150" s="67"/>
      <c r="E150" s="67"/>
      <c r="F150" s="67"/>
      <c r="G150" s="67"/>
      <c r="H150" s="67"/>
      <c r="I150" s="67"/>
      <c r="J150" s="67"/>
      <c r="K150" s="68"/>
      <c r="L150" s="54" t="str">
        <f>DEC2HEX(_xlfn.BITLSHIFT(N150,7)+4*O150)</f>
        <v>55C</v>
      </c>
      <c r="M150" s="54"/>
      <c r="N150" s="54">
        <v>10</v>
      </c>
      <c r="O150" s="51">
        <v>23</v>
      </c>
      <c r="P150" s="57" t="str">
        <f>DEC2HEX(_xlfn.BITLSHIFT(N150,5)+O150*4)</f>
        <v>19C</v>
      </c>
      <c r="Q150" s="57" t="str">
        <f>BIN2HEX(LEFT(RIGHT(C150,32),4))&amp;BIN2HEX(LEFT(RIGHT(C150,28),4))&amp;BIN2HEX(LEFT(RIGHT(C150,24),4))&amp;BIN2HEX(LEFT(RIGHT(C150,20),4))&amp;BIN2HEX(LEFT(RIGHT(C150,16),4))&amp;BIN2HEX(LEFT(RIGHT(C150,12),4))&amp;BIN2HEX(LEFT(RIGHT(C150,8),4))&amp;BIN2HEX(LEFT(RIGHT(C150,4),4))</f>
        <v>77777777</v>
      </c>
    </row>
    <row r="151" spans="1:17" s="1" customFormat="1" ht="14.4" customHeight="1">
      <c r="A151" s="61"/>
      <c r="B151" s="64"/>
      <c r="C151" s="21" t="s">
        <v>137</v>
      </c>
      <c r="D151" s="21">
        <v>4</v>
      </c>
      <c r="E151" s="18" t="str">
        <f>IF(D151&gt;1,(31)&amp;":"&amp;(31-D151+1),(31-D151+1)&amp;":"&amp;(31-D151+1))</f>
        <v>31:28</v>
      </c>
      <c r="F151" s="21" t="s">
        <v>77</v>
      </c>
      <c r="G151" s="21" t="s">
        <v>119</v>
      </c>
      <c r="H151" s="23" t="s">
        <v>37</v>
      </c>
      <c r="I151" s="23" t="s">
        <v>36</v>
      </c>
      <c r="J151" s="23" t="s">
        <v>6</v>
      </c>
      <c r="K151" s="21"/>
      <c r="L151" s="38"/>
      <c r="M151" s="38"/>
      <c r="N151" s="38"/>
      <c r="O151" s="56"/>
      <c r="P151" s="58"/>
      <c r="Q151" s="58"/>
    </row>
    <row r="152" spans="1:17" s="1" customFormat="1">
      <c r="A152" s="61"/>
      <c r="B152" s="64"/>
      <c r="C152" s="21" t="s">
        <v>136</v>
      </c>
      <c r="D152" s="21">
        <v>4</v>
      </c>
      <c r="E152" s="79" t="str">
        <f>(MID(str_cnvt(E151),SEARCH(":",str_cnvt(E151))+1,2)-1) &amp; ":" &amp; (MID(str_cnvt(E151),SEARCH(":",str_cnvt(E151))+1,2)-D152)</f>
        <v>27:24</v>
      </c>
      <c r="F152" s="21" t="s">
        <v>77</v>
      </c>
      <c r="G152" s="21" t="s">
        <v>119</v>
      </c>
      <c r="H152" s="23" t="s">
        <v>37</v>
      </c>
      <c r="I152" s="23" t="s">
        <v>36</v>
      </c>
      <c r="J152" s="23" t="s">
        <v>6</v>
      </c>
      <c r="K152" s="21"/>
      <c r="L152" s="38"/>
      <c r="M152" s="38"/>
      <c r="N152" s="38"/>
      <c r="O152" s="56"/>
      <c r="P152" s="58"/>
      <c r="Q152" s="58"/>
    </row>
    <row r="153" spans="1:17" s="1" customFormat="1" ht="14.4" customHeight="1">
      <c r="A153" s="61"/>
      <c r="B153" s="64"/>
      <c r="C153" s="21" t="s">
        <v>135</v>
      </c>
      <c r="D153" s="21">
        <v>4</v>
      </c>
      <c r="E153" s="79" t="str">
        <f>(MID(str_cnvt(E152),SEARCH(":",str_cnvt(E152))+1,2)-1) &amp; ":" &amp; (MID(str_cnvt(E152),SEARCH(":",str_cnvt(E152))+1,2)-D153)</f>
        <v>23:20</v>
      </c>
      <c r="F153" s="21" t="s">
        <v>77</v>
      </c>
      <c r="G153" s="21" t="s">
        <v>119</v>
      </c>
      <c r="H153" s="23" t="s">
        <v>37</v>
      </c>
      <c r="I153" s="23" t="s">
        <v>36</v>
      </c>
      <c r="J153" s="23" t="s">
        <v>6</v>
      </c>
      <c r="K153" s="21"/>
      <c r="L153" s="38"/>
      <c r="M153" s="38"/>
      <c r="N153" s="38"/>
      <c r="O153" s="56"/>
      <c r="P153" s="58"/>
      <c r="Q153" s="58"/>
    </row>
    <row r="154" spans="1:17" s="1" customFormat="1">
      <c r="A154" s="61"/>
      <c r="B154" s="64"/>
      <c r="C154" s="21" t="s">
        <v>134</v>
      </c>
      <c r="D154" s="21">
        <v>4</v>
      </c>
      <c r="E154" s="79" t="str">
        <f>(MID(str_cnvt(E153),SEARCH(":",str_cnvt(E153))+1,2)-1) &amp; ":" &amp; (MID(str_cnvt(E153),SEARCH(":",str_cnvt(E153))+1,2)-D154)</f>
        <v>19:16</v>
      </c>
      <c r="F154" s="21" t="s">
        <v>77</v>
      </c>
      <c r="G154" s="21" t="s">
        <v>119</v>
      </c>
      <c r="H154" s="23" t="s">
        <v>37</v>
      </c>
      <c r="I154" s="23" t="s">
        <v>36</v>
      </c>
      <c r="J154" s="23" t="s">
        <v>6</v>
      </c>
      <c r="K154" s="21"/>
      <c r="L154" s="38"/>
      <c r="M154" s="38"/>
      <c r="N154" s="38"/>
      <c r="O154" s="56"/>
      <c r="P154" s="58"/>
      <c r="Q154" s="58"/>
    </row>
    <row r="155" spans="1:17" s="1" customFormat="1" ht="14.4" customHeight="1">
      <c r="A155" s="61"/>
      <c r="B155" s="64"/>
      <c r="C155" s="21" t="s">
        <v>133</v>
      </c>
      <c r="D155" s="21">
        <v>4</v>
      </c>
      <c r="E155" s="79" t="str">
        <f>(MID(str_cnvt(E154),SEARCH(":",str_cnvt(E154))+1,2)-1) &amp; ":" &amp; (MID(str_cnvt(E154),SEARCH(":",str_cnvt(E154))+1,2)-D155)</f>
        <v>15:12</v>
      </c>
      <c r="F155" s="21" t="s">
        <v>77</v>
      </c>
      <c r="G155" s="21" t="s">
        <v>119</v>
      </c>
      <c r="H155" s="23" t="s">
        <v>37</v>
      </c>
      <c r="I155" s="23" t="s">
        <v>36</v>
      </c>
      <c r="J155" s="23" t="s">
        <v>6</v>
      </c>
      <c r="K155" s="21"/>
      <c r="L155" s="38"/>
      <c r="M155" s="38"/>
      <c r="N155" s="38"/>
      <c r="O155" s="56"/>
      <c r="P155" s="58"/>
      <c r="Q155" s="58"/>
    </row>
    <row r="156" spans="1:17" s="1" customFormat="1">
      <c r="A156" s="61"/>
      <c r="B156" s="64"/>
      <c r="C156" s="21" t="s">
        <v>132</v>
      </c>
      <c r="D156" s="21">
        <v>4</v>
      </c>
      <c r="E156" s="79" t="str">
        <f>(MID(str_cnvt(E155),SEARCH(":",str_cnvt(E155))+1,2)-1) &amp; ":" &amp; (MID(str_cnvt(E155),SEARCH(":",str_cnvt(E155))+1,2)-D156)</f>
        <v>11:8</v>
      </c>
      <c r="F156" s="21" t="s">
        <v>77</v>
      </c>
      <c r="G156" s="21" t="s">
        <v>119</v>
      </c>
      <c r="H156" s="23" t="s">
        <v>37</v>
      </c>
      <c r="I156" s="23" t="s">
        <v>36</v>
      </c>
      <c r="J156" s="23" t="s">
        <v>6</v>
      </c>
      <c r="K156" s="21"/>
      <c r="L156" s="38"/>
      <c r="M156" s="38"/>
      <c r="N156" s="38"/>
      <c r="O156" s="56"/>
      <c r="P156" s="58"/>
      <c r="Q156" s="58"/>
    </row>
    <row r="157" spans="1:17" s="1" customFormat="1" ht="14.4" customHeight="1">
      <c r="A157" s="61"/>
      <c r="B157" s="64"/>
      <c r="C157" s="21" t="s">
        <v>131</v>
      </c>
      <c r="D157" s="21">
        <v>4</v>
      </c>
      <c r="E157" s="79" t="str">
        <f>(MID(str_cnvt(E156),SEARCH(":",str_cnvt(E156))+1,2)-1) &amp; ":" &amp; (MID(str_cnvt(E156),SEARCH(":",str_cnvt(E156))+1,2)-D157)</f>
        <v>7:4</v>
      </c>
      <c r="F157" s="21" t="s">
        <v>77</v>
      </c>
      <c r="G157" s="21" t="s">
        <v>119</v>
      </c>
      <c r="H157" s="23" t="s">
        <v>37</v>
      </c>
      <c r="I157" s="23" t="s">
        <v>36</v>
      </c>
      <c r="J157" s="23" t="s">
        <v>6</v>
      </c>
      <c r="K157" s="21"/>
      <c r="L157" s="38"/>
      <c r="M157" s="38"/>
      <c r="N157" s="38"/>
      <c r="O157" s="56"/>
      <c r="P157" s="58"/>
      <c r="Q157" s="58"/>
    </row>
    <row r="158" spans="1:17" s="1" customFormat="1" ht="15" thickBot="1">
      <c r="A158" s="62"/>
      <c r="B158" s="65"/>
      <c r="C158" s="21" t="s">
        <v>130</v>
      </c>
      <c r="D158" s="21">
        <v>4</v>
      </c>
      <c r="E158" s="79" t="str">
        <f>(MID(str_cnvt(E157),SEARCH(":",str_cnvt(E157))+1,2)-1) &amp; ":" &amp; (MID(str_cnvt(E157),SEARCH(":",str_cnvt(E157))+1,2)-D158)</f>
        <v>3:0</v>
      </c>
      <c r="F158" s="21" t="s">
        <v>77</v>
      </c>
      <c r="G158" s="21" t="s">
        <v>119</v>
      </c>
      <c r="H158" s="23" t="s">
        <v>37</v>
      </c>
      <c r="I158" s="23" t="s">
        <v>36</v>
      </c>
      <c r="J158" s="23" t="s">
        <v>6</v>
      </c>
      <c r="K158" s="21"/>
      <c r="L158" s="55"/>
      <c r="M158" s="55"/>
      <c r="N158" s="55"/>
      <c r="O158" s="52"/>
      <c r="P158" s="59"/>
      <c r="Q158" s="59"/>
    </row>
    <row r="159" spans="1:17" s="1" customFormat="1" ht="14.4" customHeight="1">
      <c r="A159" s="60" t="s">
        <v>122</v>
      </c>
      <c r="B159" s="63" t="str">
        <f>DEC2HEX(O159*4)</f>
        <v>60</v>
      </c>
      <c r="C159" s="66" t="str">
        <f>bitConcat(F160:F167)</f>
        <v>32'b01110111011101110111011101110111</v>
      </c>
      <c r="D159" s="67"/>
      <c r="E159" s="67"/>
      <c r="F159" s="67"/>
      <c r="G159" s="67"/>
      <c r="H159" s="67"/>
      <c r="I159" s="67"/>
      <c r="J159" s="67"/>
      <c r="K159" s="68"/>
      <c r="L159" s="54" t="str">
        <f>DEC2HEX(_xlfn.BITLSHIFT(N159,7)+4*O159)</f>
        <v>560</v>
      </c>
      <c r="M159" s="54"/>
      <c r="N159" s="54">
        <v>10</v>
      </c>
      <c r="O159" s="51">
        <v>24</v>
      </c>
      <c r="P159" s="57" t="str">
        <f>DEC2HEX(_xlfn.BITLSHIFT(N159,5)+O159*4)</f>
        <v>1A0</v>
      </c>
      <c r="Q159" s="57" t="str">
        <f>BIN2HEX(LEFT(RIGHT(C159,32),4))&amp;BIN2HEX(LEFT(RIGHT(C159,28),4))&amp;BIN2HEX(LEFT(RIGHT(C159,24),4))&amp;BIN2HEX(LEFT(RIGHT(C159,20),4))&amp;BIN2HEX(LEFT(RIGHT(C159,16),4))&amp;BIN2HEX(LEFT(RIGHT(C159,12),4))&amp;BIN2HEX(LEFT(RIGHT(C159,8),4))&amp;BIN2HEX(LEFT(RIGHT(C159,4),4))</f>
        <v>77777777</v>
      </c>
    </row>
    <row r="160" spans="1:17" s="1" customFormat="1">
      <c r="A160" s="61"/>
      <c r="B160" s="64"/>
      <c r="C160" s="21" t="s">
        <v>145</v>
      </c>
      <c r="D160" s="21">
        <v>4</v>
      </c>
      <c r="E160" s="18" t="str">
        <f>IF(D160&gt;1,(31)&amp;":"&amp;(31-D160+1),(31-D160+1)&amp;":"&amp;(31-D160+1))</f>
        <v>31:28</v>
      </c>
      <c r="F160" s="21" t="s">
        <v>77</v>
      </c>
      <c r="G160" s="21" t="s">
        <v>119</v>
      </c>
      <c r="H160" s="23" t="s">
        <v>37</v>
      </c>
      <c r="I160" s="23" t="s">
        <v>36</v>
      </c>
      <c r="J160" s="23" t="s">
        <v>6</v>
      </c>
      <c r="K160" s="21"/>
      <c r="L160" s="38"/>
      <c r="M160" s="38"/>
      <c r="N160" s="38"/>
      <c r="O160" s="56"/>
      <c r="P160" s="58"/>
      <c r="Q160" s="58"/>
    </row>
    <row r="161" spans="1:17" s="1" customFormat="1" ht="14.4" customHeight="1">
      <c r="A161" s="61"/>
      <c r="B161" s="64"/>
      <c r="C161" s="21" t="s">
        <v>144</v>
      </c>
      <c r="D161" s="21">
        <v>4</v>
      </c>
      <c r="E161" s="79" t="str">
        <f>(MID(str_cnvt(E160),SEARCH(":",str_cnvt(E160))+1,2)-1) &amp; ":" &amp; (MID(str_cnvt(E160),SEARCH(":",str_cnvt(E160))+1,2)-D161)</f>
        <v>27:24</v>
      </c>
      <c r="F161" s="21" t="s">
        <v>77</v>
      </c>
      <c r="G161" s="21" t="s">
        <v>119</v>
      </c>
      <c r="H161" s="23" t="s">
        <v>37</v>
      </c>
      <c r="I161" s="23" t="s">
        <v>36</v>
      </c>
      <c r="J161" s="23" t="s">
        <v>6</v>
      </c>
      <c r="K161" s="21"/>
      <c r="L161" s="38"/>
      <c r="M161" s="38"/>
      <c r="N161" s="38"/>
      <c r="O161" s="56"/>
      <c r="P161" s="58"/>
      <c r="Q161" s="58"/>
    </row>
    <row r="162" spans="1:17" s="1" customFormat="1">
      <c r="A162" s="61"/>
      <c r="B162" s="64"/>
      <c r="C162" s="21" t="s">
        <v>143</v>
      </c>
      <c r="D162" s="21">
        <v>4</v>
      </c>
      <c r="E162" s="79" t="str">
        <f>(MID(str_cnvt(E161),SEARCH(":",str_cnvt(E161))+1,2)-1) &amp; ":" &amp; (MID(str_cnvt(E161),SEARCH(":",str_cnvt(E161))+1,2)-D162)</f>
        <v>23:20</v>
      </c>
      <c r="F162" s="21" t="s">
        <v>77</v>
      </c>
      <c r="G162" s="21" t="s">
        <v>119</v>
      </c>
      <c r="H162" s="23" t="s">
        <v>37</v>
      </c>
      <c r="I162" s="23" t="s">
        <v>36</v>
      </c>
      <c r="J162" s="23" t="s">
        <v>6</v>
      </c>
      <c r="K162" s="21"/>
      <c r="L162" s="38"/>
      <c r="M162" s="38"/>
      <c r="N162" s="38"/>
      <c r="O162" s="56"/>
      <c r="P162" s="58"/>
      <c r="Q162" s="58"/>
    </row>
    <row r="163" spans="1:17" s="1" customFormat="1" ht="14.4" customHeight="1">
      <c r="A163" s="61"/>
      <c r="B163" s="64"/>
      <c r="C163" s="21" t="s">
        <v>142</v>
      </c>
      <c r="D163" s="21">
        <v>4</v>
      </c>
      <c r="E163" s="79" t="str">
        <f>(MID(str_cnvt(E162),SEARCH(":",str_cnvt(E162))+1,2)-1) &amp; ":" &amp; (MID(str_cnvt(E162),SEARCH(":",str_cnvt(E162))+1,2)-D163)</f>
        <v>19:16</v>
      </c>
      <c r="F163" s="21" t="s">
        <v>77</v>
      </c>
      <c r="G163" s="21" t="s">
        <v>119</v>
      </c>
      <c r="H163" s="23" t="s">
        <v>37</v>
      </c>
      <c r="I163" s="23" t="s">
        <v>36</v>
      </c>
      <c r="J163" s="23" t="s">
        <v>6</v>
      </c>
      <c r="K163" s="21"/>
      <c r="L163" s="38"/>
      <c r="M163" s="38"/>
      <c r="N163" s="38"/>
      <c r="O163" s="56"/>
      <c r="P163" s="58"/>
      <c r="Q163" s="58"/>
    </row>
    <row r="164" spans="1:17" s="1" customFormat="1">
      <c r="A164" s="61"/>
      <c r="B164" s="64"/>
      <c r="C164" s="21" t="s">
        <v>141</v>
      </c>
      <c r="D164" s="21">
        <v>4</v>
      </c>
      <c r="E164" s="79" t="str">
        <f>(MID(str_cnvt(E163),SEARCH(":",str_cnvt(E163))+1,2)-1) &amp; ":" &amp; (MID(str_cnvt(E163),SEARCH(":",str_cnvt(E163))+1,2)-D164)</f>
        <v>15:12</v>
      </c>
      <c r="F164" s="21" t="s">
        <v>77</v>
      </c>
      <c r="G164" s="21" t="s">
        <v>119</v>
      </c>
      <c r="H164" s="23" t="s">
        <v>37</v>
      </c>
      <c r="I164" s="23" t="s">
        <v>36</v>
      </c>
      <c r="J164" s="23" t="s">
        <v>6</v>
      </c>
      <c r="K164" s="21"/>
      <c r="L164" s="38"/>
      <c r="M164" s="38"/>
      <c r="N164" s="38"/>
      <c r="O164" s="56"/>
      <c r="P164" s="58"/>
      <c r="Q164" s="58"/>
    </row>
    <row r="165" spans="1:17" s="1" customFormat="1" ht="14.4" customHeight="1">
      <c r="A165" s="61"/>
      <c r="B165" s="64"/>
      <c r="C165" s="21" t="s">
        <v>140</v>
      </c>
      <c r="D165" s="21">
        <v>4</v>
      </c>
      <c r="E165" s="79" t="str">
        <f>(MID(str_cnvt(E164),SEARCH(":",str_cnvt(E164))+1,2)-1) &amp; ":" &amp; (MID(str_cnvt(E164),SEARCH(":",str_cnvt(E164))+1,2)-D165)</f>
        <v>11:8</v>
      </c>
      <c r="F165" s="21" t="s">
        <v>77</v>
      </c>
      <c r="G165" s="21" t="s">
        <v>119</v>
      </c>
      <c r="H165" s="23" t="s">
        <v>37</v>
      </c>
      <c r="I165" s="23" t="s">
        <v>36</v>
      </c>
      <c r="J165" s="23" t="s">
        <v>6</v>
      </c>
      <c r="K165" s="21"/>
      <c r="L165" s="38"/>
      <c r="M165" s="38"/>
      <c r="N165" s="38"/>
      <c r="O165" s="56"/>
      <c r="P165" s="58"/>
      <c r="Q165" s="58"/>
    </row>
    <row r="166" spans="1:17" s="1" customFormat="1">
      <c r="A166" s="61"/>
      <c r="B166" s="64"/>
      <c r="C166" s="21" t="s">
        <v>139</v>
      </c>
      <c r="D166" s="21">
        <v>4</v>
      </c>
      <c r="E166" s="79" t="str">
        <f>(MID(str_cnvt(E165),SEARCH(":",str_cnvt(E165))+1,2)-1) &amp; ":" &amp; (MID(str_cnvt(E165),SEARCH(":",str_cnvt(E165))+1,2)-D166)</f>
        <v>7:4</v>
      </c>
      <c r="F166" s="21" t="s">
        <v>77</v>
      </c>
      <c r="G166" s="21" t="s">
        <v>119</v>
      </c>
      <c r="H166" s="23" t="s">
        <v>37</v>
      </c>
      <c r="I166" s="23" t="s">
        <v>36</v>
      </c>
      <c r="J166" s="23" t="s">
        <v>6</v>
      </c>
      <c r="K166" s="21"/>
      <c r="L166" s="38"/>
      <c r="M166" s="38"/>
      <c r="N166" s="38"/>
      <c r="O166" s="56"/>
      <c r="P166" s="58"/>
      <c r="Q166" s="58"/>
    </row>
    <row r="167" spans="1:17" s="1" customFormat="1" ht="14.4" customHeight="1" thickBot="1">
      <c r="A167" s="62"/>
      <c r="B167" s="65"/>
      <c r="C167" s="21" t="s">
        <v>138</v>
      </c>
      <c r="D167" s="21">
        <v>4</v>
      </c>
      <c r="E167" s="79" t="str">
        <f>(MID(str_cnvt(E166),SEARCH(":",str_cnvt(E166))+1,2)-1) &amp; ":" &amp; (MID(str_cnvt(E166),SEARCH(":",str_cnvt(E166))+1,2)-D167)</f>
        <v>3:0</v>
      </c>
      <c r="F167" s="21" t="s">
        <v>77</v>
      </c>
      <c r="G167" s="21" t="s">
        <v>119</v>
      </c>
      <c r="H167" s="23" t="s">
        <v>37</v>
      </c>
      <c r="I167" s="23" t="s">
        <v>36</v>
      </c>
      <c r="J167" s="23" t="s">
        <v>6</v>
      </c>
      <c r="K167" s="21"/>
      <c r="L167" s="55"/>
      <c r="M167" s="55"/>
      <c r="N167" s="55"/>
      <c r="O167" s="52"/>
      <c r="P167" s="59"/>
      <c r="Q167" s="59"/>
    </row>
    <row r="168" spans="1:17" s="1" customFormat="1" ht="14.4" customHeight="1">
      <c r="A168" s="60" t="s">
        <v>123</v>
      </c>
      <c r="B168" s="63" t="str">
        <f>DEC2HEX(O168*4)</f>
        <v>64</v>
      </c>
      <c r="C168" s="66" t="str">
        <f>bitConcat(F169:F176)</f>
        <v>32'b01110111011101110111011101110111</v>
      </c>
      <c r="D168" s="67"/>
      <c r="E168" s="67"/>
      <c r="F168" s="67"/>
      <c r="G168" s="67"/>
      <c r="H168" s="67"/>
      <c r="I168" s="67"/>
      <c r="J168" s="67"/>
      <c r="K168" s="68"/>
      <c r="L168" s="54" t="str">
        <f>DEC2HEX(_xlfn.BITLSHIFT(N168,7)+4*O168)</f>
        <v>564</v>
      </c>
      <c r="M168" s="54"/>
      <c r="N168" s="54">
        <v>10</v>
      </c>
      <c r="O168" s="51">
        <v>25</v>
      </c>
      <c r="P168" s="57" t="str">
        <f>DEC2HEX(_xlfn.BITLSHIFT(N168,5)+O168*4)</f>
        <v>1A4</v>
      </c>
      <c r="Q168" s="57" t="str">
        <f>BIN2HEX(LEFT(RIGHT(C168,32),4))&amp;BIN2HEX(LEFT(RIGHT(C168,28),4))&amp;BIN2HEX(LEFT(RIGHT(C168,24),4))&amp;BIN2HEX(LEFT(RIGHT(C168,20),4))&amp;BIN2HEX(LEFT(RIGHT(C168,16),4))&amp;BIN2HEX(LEFT(RIGHT(C168,12),4))&amp;BIN2HEX(LEFT(RIGHT(C168,8),4))&amp;BIN2HEX(LEFT(RIGHT(C168,4),4))</f>
        <v>77777777</v>
      </c>
    </row>
    <row r="169" spans="1:17" s="1" customFormat="1" ht="14.4" customHeight="1">
      <c r="A169" s="61"/>
      <c r="B169" s="64"/>
      <c r="C169" s="21" t="s">
        <v>152</v>
      </c>
      <c r="D169" s="21">
        <v>4</v>
      </c>
      <c r="E169" s="18" t="str">
        <f>IF(D169&gt;1,(31)&amp;":"&amp;(31-D169+1),(31-D169+1)&amp;":"&amp;(31-D169+1))</f>
        <v>31:28</v>
      </c>
      <c r="F169" s="21" t="s">
        <v>77</v>
      </c>
      <c r="G169" s="21" t="s">
        <v>151</v>
      </c>
      <c r="H169" s="23" t="s">
        <v>37</v>
      </c>
      <c r="I169" s="23" t="s">
        <v>36</v>
      </c>
      <c r="J169" s="23" t="s">
        <v>6</v>
      </c>
      <c r="K169" s="21"/>
      <c r="L169" s="38"/>
      <c r="M169" s="38"/>
      <c r="N169" s="38"/>
      <c r="O169" s="56"/>
      <c r="P169" s="58"/>
      <c r="Q169" s="58"/>
    </row>
    <row r="170" spans="1:17" s="1" customFormat="1">
      <c r="A170" s="61"/>
      <c r="B170" s="64"/>
      <c r="C170" s="21" t="s">
        <v>150</v>
      </c>
      <c r="D170" s="21">
        <v>4</v>
      </c>
      <c r="E170" s="79" t="str">
        <f>(MID(str_cnvt(E169),SEARCH(":",str_cnvt(E169))+1,2)-1) &amp; ":" &amp; (MID(str_cnvt(E169),SEARCH(":",str_cnvt(E169))+1,2)-D170)</f>
        <v>27:24</v>
      </c>
      <c r="F170" s="21" t="s">
        <v>77</v>
      </c>
      <c r="G170" s="21" t="s">
        <v>151</v>
      </c>
      <c r="H170" s="23" t="s">
        <v>37</v>
      </c>
      <c r="I170" s="23" t="s">
        <v>36</v>
      </c>
      <c r="J170" s="23" t="s">
        <v>6</v>
      </c>
      <c r="K170" s="21"/>
      <c r="L170" s="38"/>
      <c r="M170" s="38"/>
      <c r="N170" s="38"/>
      <c r="O170" s="56"/>
      <c r="P170" s="58"/>
      <c r="Q170" s="58"/>
    </row>
    <row r="171" spans="1:17" s="1" customFormat="1" ht="14.4" customHeight="1">
      <c r="A171" s="61"/>
      <c r="B171" s="64"/>
      <c r="C171" s="21" t="s">
        <v>148</v>
      </c>
      <c r="D171" s="21">
        <v>4</v>
      </c>
      <c r="E171" s="79" t="str">
        <f>(MID(str_cnvt(E170),SEARCH(":",str_cnvt(E170))+1,2)-1) &amp; ":" &amp; (MID(str_cnvt(E170),SEARCH(":",str_cnvt(E170))+1,2)-D171)</f>
        <v>23:20</v>
      </c>
      <c r="F171" s="21" t="s">
        <v>77</v>
      </c>
      <c r="G171" s="21" t="s">
        <v>149</v>
      </c>
      <c r="H171" s="23" t="s">
        <v>37</v>
      </c>
      <c r="I171" s="23" t="s">
        <v>36</v>
      </c>
      <c r="J171" s="23" t="s">
        <v>6</v>
      </c>
      <c r="K171" s="21"/>
      <c r="L171" s="38"/>
      <c r="M171" s="38"/>
      <c r="N171" s="38"/>
      <c r="O171" s="56"/>
      <c r="P171" s="58"/>
      <c r="Q171" s="58"/>
    </row>
    <row r="172" spans="1:17" s="1" customFormat="1">
      <c r="A172" s="61"/>
      <c r="B172" s="64"/>
      <c r="C172" s="21" t="s">
        <v>70</v>
      </c>
      <c r="D172" s="21">
        <v>4</v>
      </c>
      <c r="E172" s="79" t="str">
        <f>(MID(str_cnvt(E171),SEARCH(":",str_cnvt(E171))+1,2)-1) &amp; ":" &amp; (MID(str_cnvt(E171),SEARCH(":",str_cnvt(E171))+1,2)-D172)</f>
        <v>19:16</v>
      </c>
      <c r="F172" s="21" t="s">
        <v>77</v>
      </c>
      <c r="G172" s="21" t="s">
        <v>147</v>
      </c>
      <c r="H172" s="23" t="s">
        <v>37</v>
      </c>
      <c r="I172" s="23" t="s">
        <v>36</v>
      </c>
      <c r="J172" s="23" t="s">
        <v>6</v>
      </c>
      <c r="K172" s="21"/>
      <c r="L172" s="38"/>
      <c r="M172" s="38"/>
      <c r="N172" s="38"/>
      <c r="O172" s="56"/>
      <c r="P172" s="58"/>
      <c r="Q172" s="58"/>
    </row>
    <row r="173" spans="1:17" s="1" customFormat="1" ht="14.4" customHeight="1">
      <c r="A173" s="61"/>
      <c r="B173" s="64"/>
      <c r="C173" s="21" t="s">
        <v>68</v>
      </c>
      <c r="D173" s="21">
        <v>4</v>
      </c>
      <c r="E173" s="79" t="str">
        <f>(MID(str_cnvt(E172),SEARCH(":",str_cnvt(E172))+1,2)-1) &amp; ":" &amp; (MID(str_cnvt(E172),SEARCH(":",str_cnvt(E172))+1,2)-D173)</f>
        <v>15:12</v>
      </c>
      <c r="F173" s="21" t="s">
        <v>77</v>
      </c>
      <c r="G173" s="21" t="s">
        <v>147</v>
      </c>
      <c r="H173" s="23" t="s">
        <v>37</v>
      </c>
      <c r="I173" s="23" t="s">
        <v>36</v>
      </c>
      <c r="J173" s="23" t="s">
        <v>6</v>
      </c>
      <c r="K173" s="21"/>
      <c r="L173" s="38"/>
      <c r="M173" s="38"/>
      <c r="N173" s="38"/>
      <c r="O173" s="56"/>
      <c r="P173" s="58"/>
      <c r="Q173" s="58"/>
    </row>
    <row r="174" spans="1:17" s="1" customFormat="1">
      <c r="A174" s="61"/>
      <c r="B174" s="64"/>
      <c r="C174" s="21" t="s">
        <v>66</v>
      </c>
      <c r="D174" s="21">
        <v>4</v>
      </c>
      <c r="E174" s="79" t="str">
        <f>(MID(str_cnvt(E173),SEARCH(":",str_cnvt(E173))+1,2)-1) &amp; ":" &amp; (MID(str_cnvt(E173),SEARCH(":",str_cnvt(E173))+1,2)-D174)</f>
        <v>11:8</v>
      </c>
      <c r="F174" s="21" t="s">
        <v>77</v>
      </c>
      <c r="G174" s="21" t="s">
        <v>147</v>
      </c>
      <c r="H174" s="23" t="s">
        <v>37</v>
      </c>
      <c r="I174" s="23" t="s">
        <v>36</v>
      </c>
      <c r="J174" s="23" t="s">
        <v>6</v>
      </c>
      <c r="K174" s="21"/>
      <c r="L174" s="38"/>
      <c r="M174" s="38"/>
      <c r="N174" s="38"/>
      <c r="O174" s="56"/>
      <c r="P174" s="58"/>
      <c r="Q174" s="58"/>
    </row>
    <row r="175" spans="1:17" s="1" customFormat="1" ht="14.4" customHeight="1">
      <c r="A175" s="61"/>
      <c r="B175" s="64"/>
      <c r="C175" s="21" t="s">
        <v>64</v>
      </c>
      <c r="D175" s="21">
        <v>4</v>
      </c>
      <c r="E175" s="79" t="str">
        <f>(MID(str_cnvt(E174),SEARCH(":",str_cnvt(E174))+1,2)-1) &amp; ":" &amp; (MID(str_cnvt(E174),SEARCH(":",str_cnvt(E174))+1,2)-D175)</f>
        <v>7:4</v>
      </c>
      <c r="F175" s="21" t="s">
        <v>77</v>
      </c>
      <c r="G175" s="21" t="s">
        <v>147</v>
      </c>
      <c r="H175" s="23" t="s">
        <v>37</v>
      </c>
      <c r="I175" s="23" t="s">
        <v>36</v>
      </c>
      <c r="J175" s="23" t="s">
        <v>6</v>
      </c>
      <c r="K175" s="21"/>
      <c r="L175" s="38"/>
      <c r="M175" s="38"/>
      <c r="N175" s="38"/>
      <c r="O175" s="56"/>
      <c r="P175" s="58"/>
      <c r="Q175" s="58"/>
    </row>
    <row r="176" spans="1:17" s="1" customFormat="1" ht="15" thickBot="1">
      <c r="A176" s="62"/>
      <c r="B176" s="65"/>
      <c r="C176" s="21" t="s">
        <v>62</v>
      </c>
      <c r="D176" s="21">
        <v>4</v>
      </c>
      <c r="E176" s="79" t="str">
        <f>(MID(str_cnvt(E175),SEARCH(":",str_cnvt(E175))+1,2)-1) &amp; ":" &amp; (MID(str_cnvt(E175),SEARCH(":",str_cnvt(E175))+1,2)-D176)</f>
        <v>3:0</v>
      </c>
      <c r="F176" s="21" t="s">
        <v>77</v>
      </c>
      <c r="G176" s="21" t="s">
        <v>146</v>
      </c>
      <c r="H176" s="23" t="s">
        <v>37</v>
      </c>
      <c r="I176" s="23" t="s">
        <v>36</v>
      </c>
      <c r="J176" s="23" t="s">
        <v>6</v>
      </c>
      <c r="K176" s="21"/>
      <c r="L176" s="55"/>
      <c r="M176" s="55"/>
      <c r="N176" s="55"/>
      <c r="O176" s="52"/>
      <c r="P176" s="59"/>
      <c r="Q176" s="59"/>
    </row>
    <row r="177" spans="1:17" s="1" customFormat="1" ht="14.4" customHeight="1">
      <c r="A177" s="60" t="s">
        <v>124</v>
      </c>
      <c r="B177" s="63" t="str">
        <f>DEC2HEX(O177*4)</f>
        <v>68</v>
      </c>
      <c r="C177" s="66" t="str">
        <f>bitConcat(F178:F185)</f>
        <v>32'b01110111011101110111011101110111</v>
      </c>
      <c r="D177" s="67"/>
      <c r="E177" s="67"/>
      <c r="F177" s="67"/>
      <c r="G177" s="67"/>
      <c r="H177" s="67"/>
      <c r="I177" s="67"/>
      <c r="J177" s="67"/>
      <c r="K177" s="68"/>
      <c r="L177" s="54" t="str">
        <f>DEC2HEX(_xlfn.BITLSHIFT(N177,7)+4*O177)</f>
        <v>568</v>
      </c>
      <c r="M177" s="54"/>
      <c r="N177" s="54">
        <v>10</v>
      </c>
      <c r="O177" s="51">
        <v>26</v>
      </c>
      <c r="P177" s="57" t="str">
        <f>DEC2HEX(_xlfn.BITLSHIFT(N177,5)+O177*4)</f>
        <v>1A8</v>
      </c>
      <c r="Q177" s="57" t="str">
        <f>BIN2HEX(LEFT(RIGHT(C177,32),4))&amp;BIN2HEX(LEFT(RIGHT(C177,28),4))&amp;BIN2HEX(LEFT(RIGHT(C177,24),4))&amp;BIN2HEX(LEFT(RIGHT(C177,20),4))&amp;BIN2HEX(LEFT(RIGHT(C177,16),4))&amp;BIN2HEX(LEFT(RIGHT(C177,12),4))&amp;BIN2HEX(LEFT(RIGHT(C177,8),4))&amp;BIN2HEX(LEFT(RIGHT(C177,4),4))</f>
        <v>77777777</v>
      </c>
    </row>
    <row r="178" spans="1:17" s="1" customFormat="1">
      <c r="A178" s="61"/>
      <c r="B178" s="64"/>
      <c r="C178" s="21" t="s">
        <v>83</v>
      </c>
      <c r="D178" s="21">
        <v>4</v>
      </c>
      <c r="E178" s="18" t="str">
        <f>IF(D178&gt;1,(31)&amp;":"&amp;(31-D178+1),(31-D178+1)&amp;":"&amp;(31-D178+1))</f>
        <v>31:28</v>
      </c>
      <c r="F178" s="21" t="s">
        <v>77</v>
      </c>
      <c r="G178" s="21" t="s">
        <v>155</v>
      </c>
      <c r="H178" s="23" t="s">
        <v>37</v>
      </c>
      <c r="I178" s="23" t="s">
        <v>36</v>
      </c>
      <c r="J178" s="23" t="s">
        <v>6</v>
      </c>
      <c r="K178" s="21"/>
      <c r="L178" s="38"/>
      <c r="M178" s="38"/>
      <c r="N178" s="38"/>
      <c r="O178" s="56"/>
      <c r="P178" s="58"/>
      <c r="Q178" s="58"/>
    </row>
    <row r="179" spans="1:17" s="1" customFormat="1" ht="14.4" customHeight="1">
      <c r="A179" s="61"/>
      <c r="B179" s="64"/>
      <c r="C179" s="21" t="s">
        <v>82</v>
      </c>
      <c r="D179" s="21">
        <v>4</v>
      </c>
      <c r="E179" s="79" t="str">
        <f>(MID(str_cnvt(E178),SEARCH(":",str_cnvt(E178))+1,2)-1) &amp; ":" &amp; (MID(str_cnvt(E178),SEARCH(":",str_cnvt(E178))+1,2)-D179)</f>
        <v>27:24</v>
      </c>
      <c r="F179" s="21" t="s">
        <v>77</v>
      </c>
      <c r="G179" s="21" t="s">
        <v>155</v>
      </c>
      <c r="H179" s="23" t="s">
        <v>37</v>
      </c>
      <c r="I179" s="23" t="s">
        <v>36</v>
      </c>
      <c r="J179" s="23" t="s">
        <v>6</v>
      </c>
      <c r="K179" s="21"/>
      <c r="L179" s="38"/>
      <c r="M179" s="38"/>
      <c r="N179" s="38"/>
      <c r="O179" s="56"/>
      <c r="P179" s="58"/>
      <c r="Q179" s="58"/>
    </row>
    <row r="180" spans="1:17" s="1" customFormat="1">
      <c r="A180" s="61"/>
      <c r="B180" s="64"/>
      <c r="C180" s="21" t="s">
        <v>81</v>
      </c>
      <c r="D180" s="21">
        <v>4</v>
      </c>
      <c r="E180" s="79" t="str">
        <f>(MID(str_cnvt(E179),SEARCH(":",str_cnvt(E179))+1,2)-1) &amp; ":" &amp; (MID(str_cnvt(E179),SEARCH(":",str_cnvt(E179))+1,2)-D180)</f>
        <v>23:20</v>
      </c>
      <c r="F180" s="21" t="s">
        <v>77</v>
      </c>
      <c r="G180" s="21" t="s">
        <v>155</v>
      </c>
      <c r="H180" s="23" t="s">
        <v>37</v>
      </c>
      <c r="I180" s="23" t="s">
        <v>36</v>
      </c>
      <c r="J180" s="23" t="s">
        <v>6</v>
      </c>
      <c r="K180" s="21"/>
      <c r="L180" s="38"/>
      <c r="M180" s="38"/>
      <c r="N180" s="38"/>
      <c r="O180" s="56"/>
      <c r="P180" s="58"/>
      <c r="Q180" s="58"/>
    </row>
    <row r="181" spans="1:17" s="1" customFormat="1" ht="14.4" customHeight="1">
      <c r="A181" s="61"/>
      <c r="B181" s="64"/>
      <c r="C181" s="21" t="s">
        <v>80</v>
      </c>
      <c r="D181" s="21">
        <v>4</v>
      </c>
      <c r="E181" s="79" t="str">
        <f>(MID(str_cnvt(E180),SEARCH(":",str_cnvt(E180))+1,2)-1) &amp; ":" &amp; (MID(str_cnvt(E180),SEARCH(":",str_cnvt(E180))+1,2)-D181)</f>
        <v>19:16</v>
      </c>
      <c r="F181" s="21" t="s">
        <v>77</v>
      </c>
      <c r="G181" s="21" t="s">
        <v>155</v>
      </c>
      <c r="H181" s="23" t="s">
        <v>37</v>
      </c>
      <c r="I181" s="23" t="s">
        <v>36</v>
      </c>
      <c r="J181" s="23" t="s">
        <v>6</v>
      </c>
      <c r="K181" s="21"/>
      <c r="L181" s="38"/>
      <c r="M181" s="38"/>
      <c r="N181" s="38"/>
      <c r="O181" s="56"/>
      <c r="P181" s="58"/>
      <c r="Q181" s="58"/>
    </row>
    <row r="182" spans="1:17" s="1" customFormat="1">
      <c r="A182" s="61"/>
      <c r="B182" s="64"/>
      <c r="C182" s="21" t="s">
        <v>79</v>
      </c>
      <c r="D182" s="21">
        <v>4</v>
      </c>
      <c r="E182" s="79" t="str">
        <f>(MID(str_cnvt(E181),SEARCH(":",str_cnvt(E181))+1,2)-1) &amp; ":" &amp; (MID(str_cnvt(E181),SEARCH(":",str_cnvt(E181))+1,2)-D182)</f>
        <v>15:12</v>
      </c>
      <c r="F182" s="21" t="s">
        <v>77</v>
      </c>
      <c r="G182" s="21" t="s">
        <v>155</v>
      </c>
      <c r="H182" s="23" t="s">
        <v>37</v>
      </c>
      <c r="I182" s="23" t="s">
        <v>36</v>
      </c>
      <c r="J182" s="23" t="s">
        <v>6</v>
      </c>
      <c r="K182" s="21"/>
      <c r="L182" s="38"/>
      <c r="M182" s="38"/>
      <c r="N182" s="38"/>
      <c r="O182" s="56"/>
      <c r="P182" s="58"/>
      <c r="Q182" s="58"/>
    </row>
    <row r="183" spans="1:17" s="1" customFormat="1" ht="14.4" customHeight="1">
      <c r="A183" s="61"/>
      <c r="B183" s="64"/>
      <c r="C183" s="21" t="s">
        <v>76</v>
      </c>
      <c r="D183" s="21">
        <v>4</v>
      </c>
      <c r="E183" s="79" t="str">
        <f>(MID(str_cnvt(E182),SEARCH(":",str_cnvt(E182))+1,2)-1) &amp; ":" &amp; (MID(str_cnvt(E182),SEARCH(":",str_cnvt(E182))+1,2)-D183)</f>
        <v>11:8</v>
      </c>
      <c r="F183" s="21" t="s">
        <v>77</v>
      </c>
      <c r="G183" s="21" t="s">
        <v>155</v>
      </c>
      <c r="H183" s="23" t="s">
        <v>37</v>
      </c>
      <c r="I183" s="23" t="s">
        <v>36</v>
      </c>
      <c r="J183" s="23" t="s">
        <v>6</v>
      </c>
      <c r="K183" s="21"/>
      <c r="L183" s="38"/>
      <c r="M183" s="38"/>
      <c r="N183" s="38"/>
      <c r="O183" s="56"/>
      <c r="P183" s="58"/>
      <c r="Q183" s="58"/>
    </row>
    <row r="184" spans="1:17" s="1" customFormat="1">
      <c r="A184" s="61"/>
      <c r="B184" s="64"/>
      <c r="C184" s="21" t="s">
        <v>74</v>
      </c>
      <c r="D184" s="21">
        <v>4</v>
      </c>
      <c r="E184" s="79" t="str">
        <f>(MID(str_cnvt(E183),SEARCH(":",str_cnvt(E183))+1,2)-1) &amp; ":" &amp; (MID(str_cnvt(E183),SEARCH(":",str_cnvt(E183))+1,2)-D184)</f>
        <v>7:4</v>
      </c>
      <c r="F184" s="21" t="s">
        <v>77</v>
      </c>
      <c r="G184" s="21" t="s">
        <v>154</v>
      </c>
      <c r="H184" s="23" t="s">
        <v>37</v>
      </c>
      <c r="I184" s="23" t="s">
        <v>36</v>
      </c>
      <c r="J184" s="23" t="s">
        <v>6</v>
      </c>
      <c r="K184" s="21"/>
      <c r="L184" s="38"/>
      <c r="M184" s="38"/>
      <c r="N184" s="38"/>
      <c r="O184" s="56"/>
      <c r="P184" s="58"/>
      <c r="Q184" s="58"/>
    </row>
    <row r="185" spans="1:17" s="1" customFormat="1" ht="14.4" customHeight="1" thickBot="1">
      <c r="A185" s="62"/>
      <c r="B185" s="65"/>
      <c r="C185" s="21" t="s">
        <v>72</v>
      </c>
      <c r="D185" s="21">
        <v>4</v>
      </c>
      <c r="E185" s="79" t="str">
        <f>(MID(str_cnvt(E184),SEARCH(":",str_cnvt(E184))+1,2)-1) &amp; ":" &amp; (MID(str_cnvt(E184),SEARCH(":",str_cnvt(E184))+1,2)-D185)</f>
        <v>3:0</v>
      </c>
      <c r="F185" s="21" t="s">
        <v>77</v>
      </c>
      <c r="G185" s="21" t="s">
        <v>153</v>
      </c>
      <c r="H185" s="23" t="s">
        <v>37</v>
      </c>
      <c r="I185" s="23" t="s">
        <v>36</v>
      </c>
      <c r="J185" s="23" t="s">
        <v>6</v>
      </c>
      <c r="K185" s="21"/>
      <c r="L185" s="55"/>
      <c r="M185" s="55"/>
      <c r="N185" s="55"/>
      <c r="O185" s="52"/>
      <c r="P185" s="59"/>
      <c r="Q185" s="59"/>
    </row>
    <row r="186" spans="1:17" s="1" customFormat="1" ht="14.4" customHeight="1">
      <c r="A186" s="60" t="s">
        <v>125</v>
      </c>
      <c r="B186" s="63" t="str">
        <f>DEC2HEX(O186*4)</f>
        <v>6C</v>
      </c>
      <c r="C186" s="66" t="str">
        <f>bitConcat(F187:F194)</f>
        <v>32'b01110111011101110111011101110111</v>
      </c>
      <c r="D186" s="67"/>
      <c r="E186" s="67"/>
      <c r="F186" s="67"/>
      <c r="G186" s="67"/>
      <c r="H186" s="67"/>
      <c r="I186" s="67"/>
      <c r="J186" s="67"/>
      <c r="K186" s="68"/>
      <c r="L186" s="54" t="str">
        <f>DEC2HEX(_xlfn.BITLSHIFT(N186,7)+4*O186)</f>
        <v>56C</v>
      </c>
      <c r="M186" s="54"/>
      <c r="N186" s="54">
        <v>10</v>
      </c>
      <c r="O186" s="51">
        <v>27</v>
      </c>
      <c r="P186" s="57" t="str">
        <f>DEC2HEX(_xlfn.BITLSHIFT(N186,5)+O186*4)</f>
        <v>1AC</v>
      </c>
      <c r="Q186" s="57" t="str">
        <f>BIN2HEX(LEFT(RIGHT(C186,32),4))&amp;BIN2HEX(LEFT(RIGHT(C186,28),4))&amp;BIN2HEX(LEFT(RIGHT(C186,24),4))&amp;BIN2HEX(LEFT(RIGHT(C186,20),4))&amp;BIN2HEX(LEFT(RIGHT(C186,16),4))&amp;BIN2HEX(LEFT(RIGHT(C186,12),4))&amp;BIN2HEX(LEFT(RIGHT(C186,8),4))&amp;BIN2HEX(LEFT(RIGHT(C186,4),4))</f>
        <v>77777777</v>
      </c>
    </row>
    <row r="187" spans="1:17" s="1" customFormat="1" ht="14.4" customHeight="1">
      <c r="A187" s="61"/>
      <c r="B187" s="64"/>
      <c r="C187" s="21" t="s">
        <v>92</v>
      </c>
      <c r="D187" s="21">
        <v>4</v>
      </c>
      <c r="E187" s="18" t="str">
        <f>IF(D187&gt;1,(31)&amp;":"&amp;(31-D187+1),(31-D187+1)&amp;":"&amp;(31-D187+1))</f>
        <v>31:28</v>
      </c>
      <c r="F187" s="21" t="s">
        <v>77</v>
      </c>
      <c r="G187" s="21" t="s">
        <v>147</v>
      </c>
      <c r="H187" s="23" t="s">
        <v>37</v>
      </c>
      <c r="I187" s="23" t="s">
        <v>36</v>
      </c>
      <c r="J187" s="23" t="s">
        <v>6</v>
      </c>
      <c r="K187" s="21"/>
      <c r="L187" s="38"/>
      <c r="M187" s="38"/>
      <c r="N187" s="38"/>
      <c r="O187" s="56"/>
      <c r="P187" s="58"/>
      <c r="Q187" s="58"/>
    </row>
    <row r="188" spans="1:17" s="1" customFormat="1">
      <c r="A188" s="61"/>
      <c r="B188" s="64"/>
      <c r="C188" s="21" t="s">
        <v>91</v>
      </c>
      <c r="D188" s="21">
        <v>4</v>
      </c>
      <c r="E188" s="79" t="str">
        <f>(MID(str_cnvt(E187),SEARCH(":",str_cnvt(E187))+1,2)-1) &amp; ":" &amp; (MID(str_cnvt(E187),SEARCH(":",str_cnvt(E187))+1,2)-D188)</f>
        <v>27:24</v>
      </c>
      <c r="F188" s="21" t="s">
        <v>77</v>
      </c>
      <c r="G188" s="21" t="s">
        <v>147</v>
      </c>
      <c r="H188" s="23" t="s">
        <v>37</v>
      </c>
      <c r="I188" s="23" t="s">
        <v>36</v>
      </c>
      <c r="J188" s="23" t="s">
        <v>6</v>
      </c>
      <c r="K188" s="21"/>
      <c r="L188" s="38"/>
      <c r="M188" s="38"/>
      <c r="N188" s="38"/>
      <c r="O188" s="56"/>
      <c r="P188" s="58"/>
      <c r="Q188" s="58"/>
    </row>
    <row r="189" spans="1:17" s="1" customFormat="1" ht="14.4" customHeight="1">
      <c r="A189" s="61"/>
      <c r="B189" s="64"/>
      <c r="C189" s="21" t="s">
        <v>90</v>
      </c>
      <c r="D189" s="21">
        <v>4</v>
      </c>
      <c r="E189" s="79" t="str">
        <f>(MID(str_cnvt(E188),SEARCH(":",str_cnvt(E188))+1,2)-1) &amp; ":" &amp; (MID(str_cnvt(E188),SEARCH(":",str_cnvt(E188))+1,2)-D189)</f>
        <v>23:20</v>
      </c>
      <c r="F189" s="21" t="s">
        <v>77</v>
      </c>
      <c r="G189" s="21" t="s">
        <v>155</v>
      </c>
      <c r="H189" s="23" t="s">
        <v>37</v>
      </c>
      <c r="I189" s="23" t="s">
        <v>36</v>
      </c>
      <c r="J189" s="23" t="s">
        <v>6</v>
      </c>
      <c r="K189" s="21"/>
      <c r="L189" s="38"/>
      <c r="M189" s="38"/>
      <c r="N189" s="38"/>
      <c r="O189" s="56"/>
      <c r="P189" s="58"/>
      <c r="Q189" s="58"/>
    </row>
    <row r="190" spans="1:17" s="1" customFormat="1">
      <c r="A190" s="61"/>
      <c r="B190" s="64"/>
      <c r="C190" s="21" t="s">
        <v>89</v>
      </c>
      <c r="D190" s="21">
        <v>4</v>
      </c>
      <c r="E190" s="79" t="str">
        <f>(MID(str_cnvt(E189),SEARCH(":",str_cnvt(E189))+1,2)-1) &amp; ":" &amp; (MID(str_cnvt(E189),SEARCH(":",str_cnvt(E189))+1,2)-D190)</f>
        <v>19:16</v>
      </c>
      <c r="F190" s="21" t="s">
        <v>77</v>
      </c>
      <c r="G190" s="21" t="s">
        <v>155</v>
      </c>
      <c r="H190" s="23" t="s">
        <v>37</v>
      </c>
      <c r="I190" s="23" t="s">
        <v>36</v>
      </c>
      <c r="J190" s="23" t="s">
        <v>6</v>
      </c>
      <c r="K190" s="21"/>
      <c r="L190" s="38"/>
      <c r="M190" s="38"/>
      <c r="N190" s="38"/>
      <c r="O190" s="56"/>
      <c r="P190" s="58"/>
      <c r="Q190" s="58"/>
    </row>
    <row r="191" spans="1:17" s="1" customFormat="1" ht="14.4" customHeight="1">
      <c r="A191" s="61"/>
      <c r="B191" s="64"/>
      <c r="C191" s="21" t="s">
        <v>88</v>
      </c>
      <c r="D191" s="21">
        <v>4</v>
      </c>
      <c r="E191" s="79" t="str">
        <f>(MID(str_cnvt(E190),SEARCH(":",str_cnvt(E190))+1,2)-1) &amp; ":" &amp; (MID(str_cnvt(E190),SEARCH(":",str_cnvt(E190))+1,2)-D191)</f>
        <v>15:12</v>
      </c>
      <c r="F191" s="21" t="s">
        <v>77</v>
      </c>
      <c r="G191" s="21" t="s">
        <v>155</v>
      </c>
      <c r="H191" s="23" t="s">
        <v>37</v>
      </c>
      <c r="I191" s="23" t="s">
        <v>36</v>
      </c>
      <c r="J191" s="23" t="s">
        <v>6</v>
      </c>
      <c r="K191" s="21"/>
      <c r="L191" s="38"/>
      <c r="M191" s="38"/>
      <c r="N191" s="38"/>
      <c r="O191" s="56"/>
      <c r="P191" s="58"/>
      <c r="Q191" s="58"/>
    </row>
    <row r="192" spans="1:17" s="1" customFormat="1">
      <c r="A192" s="61"/>
      <c r="B192" s="64"/>
      <c r="C192" s="21" t="s">
        <v>86</v>
      </c>
      <c r="D192" s="21">
        <v>4</v>
      </c>
      <c r="E192" s="79" t="str">
        <f>(MID(str_cnvt(E191),SEARCH(":",str_cnvt(E191))+1,2)-1) &amp; ":" &amp; (MID(str_cnvt(E191),SEARCH(":",str_cnvt(E191))+1,2)-D192)</f>
        <v>11:8</v>
      </c>
      <c r="F192" s="21" t="s">
        <v>77</v>
      </c>
      <c r="G192" s="21" t="s">
        <v>155</v>
      </c>
      <c r="H192" s="23" t="s">
        <v>37</v>
      </c>
      <c r="I192" s="23" t="s">
        <v>36</v>
      </c>
      <c r="J192" s="23" t="s">
        <v>6</v>
      </c>
      <c r="K192" s="21"/>
      <c r="L192" s="38"/>
      <c r="M192" s="38"/>
      <c r="N192" s="38"/>
      <c r="O192" s="56"/>
      <c r="P192" s="58"/>
      <c r="Q192" s="58"/>
    </row>
    <row r="193" spans="1:17" s="1" customFormat="1" ht="14.4" customHeight="1">
      <c r="A193" s="61"/>
      <c r="B193" s="64"/>
      <c r="C193" s="21" t="s">
        <v>85</v>
      </c>
      <c r="D193" s="21">
        <v>4</v>
      </c>
      <c r="E193" s="79" t="str">
        <f>(MID(str_cnvt(E192),SEARCH(":",str_cnvt(E192))+1,2)-1) &amp; ":" &amp; (MID(str_cnvt(E192),SEARCH(":",str_cnvt(E192))+1,2)-D193)</f>
        <v>7:4</v>
      </c>
      <c r="F193" s="21" t="s">
        <v>77</v>
      </c>
      <c r="G193" s="21" t="s">
        <v>155</v>
      </c>
      <c r="H193" s="23" t="s">
        <v>37</v>
      </c>
      <c r="I193" s="23" t="s">
        <v>36</v>
      </c>
      <c r="J193" s="23" t="s">
        <v>6</v>
      </c>
      <c r="K193" s="21"/>
      <c r="L193" s="38"/>
      <c r="M193" s="38"/>
      <c r="N193" s="38"/>
      <c r="O193" s="56"/>
      <c r="P193" s="58"/>
      <c r="Q193" s="58"/>
    </row>
    <row r="194" spans="1:17" s="1" customFormat="1" ht="15" thickBot="1">
      <c r="A194" s="62"/>
      <c r="B194" s="65"/>
      <c r="C194" s="21" t="s">
        <v>84</v>
      </c>
      <c r="D194" s="21">
        <v>4</v>
      </c>
      <c r="E194" s="79" t="str">
        <f>(MID(str_cnvt(E193),SEARCH(":",str_cnvt(E193))+1,2)-1) &amp; ":" &amp; (MID(str_cnvt(E193),SEARCH(":",str_cnvt(E193))+1,2)-D194)</f>
        <v>3:0</v>
      </c>
      <c r="F194" s="21" t="s">
        <v>77</v>
      </c>
      <c r="G194" s="21" t="s">
        <v>155</v>
      </c>
      <c r="H194" s="23" t="s">
        <v>37</v>
      </c>
      <c r="I194" s="23" t="s">
        <v>36</v>
      </c>
      <c r="J194" s="23" t="s">
        <v>6</v>
      </c>
      <c r="K194" s="21"/>
      <c r="L194" s="55"/>
      <c r="M194" s="55"/>
      <c r="N194" s="55"/>
      <c r="O194" s="52"/>
      <c r="P194" s="59"/>
      <c r="Q194" s="59"/>
    </row>
    <row r="195" spans="1:17" s="1" customFormat="1" ht="14.4" customHeight="1">
      <c r="A195" s="60" t="s">
        <v>126</v>
      </c>
      <c r="B195" s="63" t="str">
        <f>DEC2HEX(O195*4)</f>
        <v>70</v>
      </c>
      <c r="C195" s="66" t="str">
        <f>bitConcat(F196:F203)</f>
        <v>32'b01110111011101110111011101110111</v>
      </c>
      <c r="D195" s="67"/>
      <c r="E195" s="67"/>
      <c r="F195" s="67"/>
      <c r="G195" s="67"/>
      <c r="H195" s="67"/>
      <c r="I195" s="67"/>
      <c r="J195" s="67"/>
      <c r="K195" s="68"/>
      <c r="L195" s="54" t="str">
        <f>DEC2HEX(_xlfn.BITLSHIFT(N195,7)+4*O195)</f>
        <v>570</v>
      </c>
      <c r="M195" s="54"/>
      <c r="N195" s="54">
        <v>10</v>
      </c>
      <c r="O195" s="51">
        <v>28</v>
      </c>
      <c r="P195" s="57" t="str">
        <f>DEC2HEX(_xlfn.BITLSHIFT(N195,5)+O195*4)</f>
        <v>1B0</v>
      </c>
      <c r="Q195" s="57" t="str">
        <f>BIN2HEX(LEFT(RIGHT(C195,32),4))&amp;BIN2HEX(LEFT(RIGHT(C195,28),4))&amp;BIN2HEX(LEFT(RIGHT(C195,24),4))&amp;BIN2HEX(LEFT(RIGHT(C195,20),4))&amp;BIN2HEX(LEFT(RIGHT(C195,16),4))&amp;BIN2HEX(LEFT(RIGHT(C195,12),4))&amp;BIN2HEX(LEFT(RIGHT(C195,8),4))&amp;BIN2HEX(LEFT(RIGHT(C195,4),4))</f>
        <v>77777777</v>
      </c>
    </row>
    <row r="196" spans="1:17" s="1" customFormat="1">
      <c r="A196" s="61"/>
      <c r="B196" s="64"/>
      <c r="C196" s="21" t="s">
        <v>162</v>
      </c>
      <c r="D196" s="21">
        <v>4</v>
      </c>
      <c r="E196" s="18" t="str">
        <f>IF(D196&gt;1,(31)&amp;":"&amp;(31-D196+1),(31-D196+1)&amp;":"&amp;(31-D196+1))</f>
        <v>31:28</v>
      </c>
      <c r="F196" s="21" t="s">
        <v>77</v>
      </c>
      <c r="G196" s="21" t="s">
        <v>147</v>
      </c>
      <c r="H196" s="23" t="s">
        <v>37</v>
      </c>
      <c r="I196" s="23" t="s">
        <v>36</v>
      </c>
      <c r="J196" s="23" t="s">
        <v>6</v>
      </c>
      <c r="K196" s="21"/>
      <c r="L196" s="38"/>
      <c r="M196" s="38"/>
      <c r="N196" s="38"/>
      <c r="O196" s="56"/>
      <c r="P196" s="58"/>
      <c r="Q196" s="58"/>
    </row>
    <row r="197" spans="1:17" s="1" customFormat="1" ht="14.4" customHeight="1">
      <c r="A197" s="61"/>
      <c r="B197" s="64"/>
      <c r="C197" s="21" t="s">
        <v>161</v>
      </c>
      <c r="D197" s="21">
        <v>4</v>
      </c>
      <c r="E197" s="79" t="str">
        <f>(MID(str_cnvt(E196),SEARCH(":",str_cnvt(E196))+1,2)-1) &amp; ":" &amp; (MID(str_cnvt(E196),SEARCH(":",str_cnvt(E196))+1,2)-D197)</f>
        <v>27:24</v>
      </c>
      <c r="F197" s="21" t="s">
        <v>77</v>
      </c>
      <c r="G197" s="21" t="s">
        <v>147</v>
      </c>
      <c r="H197" s="23" t="s">
        <v>37</v>
      </c>
      <c r="I197" s="23" t="s">
        <v>36</v>
      </c>
      <c r="J197" s="23" t="s">
        <v>6</v>
      </c>
      <c r="K197" s="21"/>
      <c r="L197" s="38"/>
      <c r="M197" s="38"/>
      <c r="N197" s="38"/>
      <c r="O197" s="56"/>
      <c r="P197" s="58"/>
      <c r="Q197" s="58"/>
    </row>
    <row r="198" spans="1:17" s="1" customFormat="1">
      <c r="A198" s="61"/>
      <c r="B198" s="64"/>
      <c r="C198" s="21" t="s">
        <v>160</v>
      </c>
      <c r="D198" s="21">
        <v>4</v>
      </c>
      <c r="E198" s="79" t="str">
        <f>(MID(str_cnvt(E197),SEARCH(":",str_cnvt(E197))+1,2)-1) &amp; ":" &amp; (MID(str_cnvt(E197),SEARCH(":",str_cnvt(E197))+1,2)-D198)</f>
        <v>23:20</v>
      </c>
      <c r="F198" s="21" t="s">
        <v>77</v>
      </c>
      <c r="G198" s="21" t="s">
        <v>147</v>
      </c>
      <c r="H198" s="23" t="s">
        <v>37</v>
      </c>
      <c r="I198" s="23" t="s">
        <v>36</v>
      </c>
      <c r="J198" s="23" t="s">
        <v>6</v>
      </c>
      <c r="K198" s="21"/>
      <c r="L198" s="38"/>
      <c r="M198" s="38"/>
      <c r="N198" s="38"/>
      <c r="O198" s="56"/>
      <c r="P198" s="58"/>
      <c r="Q198" s="58"/>
    </row>
    <row r="199" spans="1:17" s="1" customFormat="1" ht="14.4" customHeight="1">
      <c r="A199" s="61"/>
      <c r="B199" s="64"/>
      <c r="C199" s="21" t="s">
        <v>159</v>
      </c>
      <c r="D199" s="21">
        <v>4</v>
      </c>
      <c r="E199" s="79" t="str">
        <f>(MID(str_cnvt(E198),SEARCH(":",str_cnvt(E198))+1,2)-1) &amp; ":" &amp; (MID(str_cnvt(E198),SEARCH(":",str_cnvt(E198))+1,2)-D199)</f>
        <v>19:16</v>
      </c>
      <c r="F199" s="21" t="s">
        <v>77</v>
      </c>
      <c r="G199" s="21" t="s">
        <v>147</v>
      </c>
      <c r="H199" s="23" t="s">
        <v>37</v>
      </c>
      <c r="I199" s="23" t="s">
        <v>36</v>
      </c>
      <c r="J199" s="23" t="s">
        <v>6</v>
      </c>
      <c r="K199" s="21"/>
      <c r="L199" s="38"/>
      <c r="M199" s="38"/>
      <c r="N199" s="38"/>
      <c r="O199" s="56"/>
      <c r="P199" s="58"/>
      <c r="Q199" s="58"/>
    </row>
    <row r="200" spans="1:17" s="1" customFormat="1">
      <c r="A200" s="61"/>
      <c r="B200" s="64"/>
      <c r="C200" s="21" t="s">
        <v>157</v>
      </c>
      <c r="D200" s="21">
        <v>4</v>
      </c>
      <c r="E200" s="79" t="str">
        <f>(MID(str_cnvt(E199),SEARCH(":",str_cnvt(E199))+1,2)-1) &amp; ":" &amp; (MID(str_cnvt(E199),SEARCH(":",str_cnvt(E199))+1,2)-D200)</f>
        <v>15:12</v>
      </c>
      <c r="F200" s="21" t="s">
        <v>77</v>
      </c>
      <c r="G200" s="21" t="s">
        <v>158</v>
      </c>
      <c r="H200" s="23" t="s">
        <v>37</v>
      </c>
      <c r="I200" s="23" t="s">
        <v>36</v>
      </c>
      <c r="J200" s="23" t="s">
        <v>6</v>
      </c>
      <c r="K200" s="21"/>
      <c r="L200" s="38"/>
      <c r="M200" s="38"/>
      <c r="N200" s="38"/>
      <c r="O200" s="56"/>
      <c r="P200" s="58"/>
      <c r="Q200" s="58"/>
    </row>
    <row r="201" spans="1:17" s="1" customFormat="1" ht="14.4" customHeight="1">
      <c r="A201" s="61"/>
      <c r="B201" s="64"/>
      <c r="C201" s="21" t="s">
        <v>95</v>
      </c>
      <c r="D201" s="21">
        <v>4</v>
      </c>
      <c r="E201" s="79" t="str">
        <f>(MID(str_cnvt(E200),SEARCH(":",str_cnvt(E200))+1,2)-1) &amp; ":" &amp; (MID(str_cnvt(E200),SEARCH(":",str_cnvt(E200))+1,2)-D201)</f>
        <v>11:8</v>
      </c>
      <c r="F201" s="21" t="s">
        <v>77</v>
      </c>
      <c r="G201" s="21" t="s">
        <v>156</v>
      </c>
      <c r="H201" s="23" t="s">
        <v>37</v>
      </c>
      <c r="I201" s="23" t="s">
        <v>36</v>
      </c>
      <c r="J201" s="23" t="s">
        <v>6</v>
      </c>
      <c r="K201" s="21"/>
      <c r="L201" s="38"/>
      <c r="M201" s="38"/>
      <c r="N201" s="38"/>
      <c r="O201" s="56"/>
      <c r="P201" s="58"/>
      <c r="Q201" s="58"/>
    </row>
    <row r="202" spans="1:17" s="1" customFormat="1">
      <c r="A202" s="61"/>
      <c r="B202" s="64"/>
      <c r="C202" s="21" t="s">
        <v>94</v>
      </c>
      <c r="D202" s="21">
        <v>4</v>
      </c>
      <c r="E202" s="79" t="str">
        <f>(MID(str_cnvt(E201),SEARCH(":",str_cnvt(E201))+1,2)-1) &amp; ":" &amp; (MID(str_cnvt(E201),SEARCH(":",str_cnvt(E201))+1,2)-D202)</f>
        <v>7:4</v>
      </c>
      <c r="F202" s="21" t="s">
        <v>77</v>
      </c>
      <c r="G202" s="21" t="s">
        <v>147</v>
      </c>
      <c r="H202" s="23" t="s">
        <v>37</v>
      </c>
      <c r="I202" s="23" t="s">
        <v>36</v>
      </c>
      <c r="J202" s="23" t="s">
        <v>6</v>
      </c>
      <c r="K202" s="21"/>
      <c r="L202" s="38"/>
      <c r="M202" s="38"/>
      <c r="N202" s="38"/>
      <c r="O202" s="56"/>
      <c r="P202" s="58"/>
      <c r="Q202" s="58"/>
    </row>
    <row r="203" spans="1:17" s="1" customFormat="1" ht="14.4" customHeight="1" thickBot="1">
      <c r="A203" s="62"/>
      <c r="B203" s="65"/>
      <c r="C203" s="21" t="s">
        <v>93</v>
      </c>
      <c r="D203" s="21">
        <v>4</v>
      </c>
      <c r="E203" s="79" t="str">
        <f>(MID(str_cnvt(E202),SEARCH(":",str_cnvt(E202))+1,2)-1) &amp; ":" &amp; (MID(str_cnvt(E202),SEARCH(":",str_cnvt(E202))+1,2)-D203)</f>
        <v>3:0</v>
      </c>
      <c r="F203" s="21" t="s">
        <v>77</v>
      </c>
      <c r="G203" s="21" t="s">
        <v>147</v>
      </c>
      <c r="H203" s="23" t="s">
        <v>37</v>
      </c>
      <c r="I203" s="23" t="s">
        <v>36</v>
      </c>
      <c r="J203" s="23" t="s">
        <v>6</v>
      </c>
      <c r="K203" s="21"/>
      <c r="L203" s="55"/>
      <c r="M203" s="55"/>
      <c r="N203" s="55"/>
      <c r="O203" s="52"/>
      <c r="P203" s="59"/>
      <c r="Q203" s="59"/>
    </row>
    <row r="204" spans="1:17" s="1" customFormat="1" ht="14.4" customHeight="1">
      <c r="A204" s="60" t="s">
        <v>127</v>
      </c>
      <c r="B204" s="63" t="str">
        <f>DEC2HEX(O204*4)</f>
        <v>74</v>
      </c>
      <c r="C204" s="66" t="str">
        <f>bitConcat(F205:F212)</f>
        <v>32'b01110111011101110111011101110111</v>
      </c>
      <c r="D204" s="67"/>
      <c r="E204" s="67"/>
      <c r="F204" s="67"/>
      <c r="G204" s="67"/>
      <c r="H204" s="67"/>
      <c r="I204" s="67"/>
      <c r="J204" s="67"/>
      <c r="K204" s="68"/>
      <c r="L204" s="54" t="str">
        <f>DEC2HEX(_xlfn.BITLSHIFT(N204,7)+4*O204)</f>
        <v>574</v>
      </c>
      <c r="M204" s="54"/>
      <c r="N204" s="54">
        <v>10</v>
      </c>
      <c r="O204" s="51">
        <v>29</v>
      </c>
      <c r="P204" s="57" t="str">
        <f>DEC2HEX(_xlfn.BITLSHIFT(N204,5)+O204*4)</f>
        <v>1B4</v>
      </c>
      <c r="Q204" s="57" t="str">
        <f>BIN2HEX(LEFT(RIGHT(C204,32),4))&amp;BIN2HEX(LEFT(RIGHT(C204,28),4))&amp;BIN2HEX(LEFT(RIGHT(C204,24),4))&amp;BIN2HEX(LEFT(RIGHT(C204,20),4))&amp;BIN2HEX(LEFT(RIGHT(C204,16),4))&amp;BIN2HEX(LEFT(RIGHT(C204,12),4))&amp;BIN2HEX(LEFT(RIGHT(C204,8),4))&amp;BIN2HEX(LEFT(RIGHT(C204,4),4))</f>
        <v>77777777</v>
      </c>
    </row>
    <row r="205" spans="1:17" s="1" customFormat="1" ht="14.4" customHeight="1">
      <c r="A205" s="61"/>
      <c r="B205" s="64"/>
      <c r="C205" s="21" t="s">
        <v>131</v>
      </c>
      <c r="D205" s="21">
        <v>4</v>
      </c>
      <c r="E205" s="18" t="str">
        <f>IF(D205&gt;1,(31)&amp;":"&amp;(31-D205+1),(31-D205+1)&amp;":"&amp;(31-D205+1))</f>
        <v>31:28</v>
      </c>
      <c r="F205" s="21" t="s">
        <v>77</v>
      </c>
      <c r="G205" s="21" t="s">
        <v>164</v>
      </c>
      <c r="H205" s="23" t="s">
        <v>37</v>
      </c>
      <c r="I205" s="23" t="s">
        <v>36</v>
      </c>
      <c r="J205" s="23" t="s">
        <v>6</v>
      </c>
      <c r="K205" s="21"/>
      <c r="L205" s="38"/>
      <c r="M205" s="38"/>
      <c r="N205" s="38"/>
      <c r="O205" s="56"/>
      <c r="P205" s="58"/>
      <c r="Q205" s="58"/>
    </row>
    <row r="206" spans="1:17" s="1" customFormat="1">
      <c r="A206" s="61"/>
      <c r="B206" s="64"/>
      <c r="C206" s="21" t="s">
        <v>130</v>
      </c>
      <c r="D206" s="21">
        <v>4</v>
      </c>
      <c r="E206" s="79" t="str">
        <f>(MID(str_cnvt(E205),SEARCH(":",str_cnvt(E205))+1,2)-1) &amp; ":" &amp; (MID(str_cnvt(E205),SEARCH(":",str_cnvt(E205))+1,2)-D206)</f>
        <v>27:24</v>
      </c>
      <c r="F206" s="21" t="s">
        <v>77</v>
      </c>
      <c r="G206" s="21" t="s">
        <v>164</v>
      </c>
      <c r="H206" s="23" t="s">
        <v>37</v>
      </c>
      <c r="I206" s="23" t="s">
        <v>36</v>
      </c>
      <c r="J206" s="23" t="s">
        <v>6</v>
      </c>
      <c r="K206" s="21"/>
      <c r="L206" s="38"/>
      <c r="M206" s="38"/>
      <c r="N206" s="38"/>
      <c r="O206" s="56"/>
      <c r="P206" s="58"/>
      <c r="Q206" s="58"/>
    </row>
    <row r="207" spans="1:17" s="1" customFormat="1" ht="14.4" customHeight="1">
      <c r="A207" s="61"/>
      <c r="B207" s="64"/>
      <c r="C207" s="21" t="s">
        <v>120</v>
      </c>
      <c r="D207" s="21">
        <v>4</v>
      </c>
      <c r="E207" s="79" t="str">
        <f>(MID(str_cnvt(E206),SEARCH(":",str_cnvt(E206))+1,2)-1) &amp; ":" &amp; (MID(str_cnvt(E206),SEARCH(":",str_cnvt(E206))+1,2)-D207)</f>
        <v>23:20</v>
      </c>
      <c r="F207" s="21" t="s">
        <v>77</v>
      </c>
      <c r="G207" s="21" t="s">
        <v>164</v>
      </c>
      <c r="H207" s="23" t="s">
        <v>37</v>
      </c>
      <c r="I207" s="23" t="s">
        <v>36</v>
      </c>
      <c r="J207" s="23" t="s">
        <v>6</v>
      </c>
      <c r="K207" s="21"/>
      <c r="L207" s="38"/>
      <c r="M207" s="38"/>
      <c r="N207" s="38"/>
      <c r="O207" s="56"/>
      <c r="P207" s="58"/>
      <c r="Q207" s="58"/>
    </row>
    <row r="208" spans="1:17" s="1" customFormat="1">
      <c r="A208" s="61"/>
      <c r="B208" s="64"/>
      <c r="C208" s="21" t="s">
        <v>118</v>
      </c>
      <c r="D208" s="21">
        <v>4</v>
      </c>
      <c r="E208" s="79" t="str">
        <f>(MID(str_cnvt(E207),SEARCH(":",str_cnvt(E207))+1,2)-1) &amp; ":" &amp; (MID(str_cnvt(E207),SEARCH(":",str_cnvt(E207))+1,2)-D208)</f>
        <v>19:16</v>
      </c>
      <c r="F208" s="21" t="s">
        <v>77</v>
      </c>
      <c r="G208" s="21" t="s">
        <v>164</v>
      </c>
      <c r="H208" s="23" t="s">
        <v>37</v>
      </c>
      <c r="I208" s="23" t="s">
        <v>36</v>
      </c>
      <c r="J208" s="23" t="s">
        <v>6</v>
      </c>
      <c r="K208" s="21"/>
      <c r="L208" s="38"/>
      <c r="M208" s="38"/>
      <c r="N208" s="38"/>
      <c r="O208" s="56"/>
      <c r="P208" s="58"/>
      <c r="Q208" s="58"/>
    </row>
    <row r="209" spans="1:17" s="1" customFormat="1" ht="14.4" customHeight="1">
      <c r="A209" s="61"/>
      <c r="B209" s="64"/>
      <c r="C209" s="21" t="s">
        <v>116</v>
      </c>
      <c r="D209" s="21">
        <v>4</v>
      </c>
      <c r="E209" s="79" t="str">
        <f>(MID(str_cnvt(E208),SEARCH(":",str_cnvt(E208))+1,2)-1) &amp; ":" &amp; (MID(str_cnvt(E208),SEARCH(":",str_cnvt(E208))+1,2)-D209)</f>
        <v>15:12</v>
      </c>
      <c r="F209" s="21" t="s">
        <v>77</v>
      </c>
      <c r="G209" s="21" t="s">
        <v>163</v>
      </c>
      <c r="H209" s="23" t="s">
        <v>37</v>
      </c>
      <c r="I209" s="23" t="s">
        <v>36</v>
      </c>
      <c r="J209" s="23" t="s">
        <v>6</v>
      </c>
      <c r="K209" s="21"/>
      <c r="L209" s="38"/>
      <c r="M209" s="38"/>
      <c r="N209" s="38"/>
      <c r="O209" s="56"/>
      <c r="P209" s="58"/>
      <c r="Q209" s="58"/>
    </row>
    <row r="210" spans="1:17" s="1" customFormat="1">
      <c r="A210" s="61"/>
      <c r="B210" s="64"/>
      <c r="C210" s="21" t="s">
        <v>115</v>
      </c>
      <c r="D210" s="21">
        <v>4</v>
      </c>
      <c r="E210" s="79" t="str">
        <f>(MID(str_cnvt(E209),SEARCH(":",str_cnvt(E209))+1,2)-1) &amp; ":" &amp; (MID(str_cnvt(E209),SEARCH(":",str_cnvt(E209))+1,2)-D210)</f>
        <v>11:8</v>
      </c>
      <c r="F210" s="21" t="s">
        <v>77</v>
      </c>
      <c r="G210" s="21" t="s">
        <v>153</v>
      </c>
      <c r="H210" s="23" t="s">
        <v>37</v>
      </c>
      <c r="I210" s="23" t="s">
        <v>36</v>
      </c>
      <c r="J210" s="23" t="s">
        <v>6</v>
      </c>
      <c r="K210" s="21"/>
      <c r="L210" s="38"/>
      <c r="M210" s="38"/>
      <c r="N210" s="38"/>
      <c r="O210" s="56"/>
      <c r="P210" s="58"/>
      <c r="Q210" s="58"/>
    </row>
    <row r="211" spans="1:17" s="1" customFormat="1" ht="14.4" customHeight="1">
      <c r="A211" s="61"/>
      <c r="B211" s="64"/>
      <c r="C211" s="21" t="s">
        <v>114</v>
      </c>
      <c r="D211" s="21">
        <v>4</v>
      </c>
      <c r="E211" s="79" t="str">
        <f>(MID(str_cnvt(E210),SEARCH(":",str_cnvt(E210))+1,2)-1) &amp; ":" &amp; (MID(str_cnvt(E210),SEARCH(":",str_cnvt(E210))+1,2)-D211)</f>
        <v>7:4</v>
      </c>
      <c r="F211" s="21" t="s">
        <v>77</v>
      </c>
      <c r="G211" s="21" t="s">
        <v>153</v>
      </c>
      <c r="H211" s="23" t="s">
        <v>37</v>
      </c>
      <c r="I211" s="23" t="s">
        <v>36</v>
      </c>
      <c r="J211" s="23" t="s">
        <v>6</v>
      </c>
      <c r="K211" s="21"/>
      <c r="L211" s="38"/>
      <c r="M211" s="38"/>
      <c r="N211" s="38"/>
      <c r="O211" s="56"/>
      <c r="P211" s="58"/>
      <c r="Q211" s="58"/>
    </row>
    <row r="212" spans="1:17" s="1" customFormat="1" ht="15" thickBot="1">
      <c r="A212" s="62"/>
      <c r="B212" s="65"/>
      <c r="C212" s="21" t="s">
        <v>113</v>
      </c>
      <c r="D212" s="21">
        <v>4</v>
      </c>
      <c r="E212" s="79" t="str">
        <f>(MID(str_cnvt(E211),SEARCH(":",str_cnvt(E211))+1,2)-1) &amp; ":" &amp; (MID(str_cnvt(E211),SEARCH(":",str_cnvt(E211))+1,2)-D212)</f>
        <v>3:0</v>
      </c>
      <c r="F212" s="21" t="s">
        <v>77</v>
      </c>
      <c r="G212" s="21" t="s">
        <v>153</v>
      </c>
      <c r="H212" s="23" t="s">
        <v>37</v>
      </c>
      <c r="I212" s="23" t="s">
        <v>36</v>
      </c>
      <c r="J212" s="23" t="s">
        <v>6</v>
      </c>
      <c r="K212" s="21"/>
      <c r="L212" s="55"/>
      <c r="M212" s="55"/>
      <c r="N212" s="55"/>
      <c r="O212" s="52"/>
      <c r="P212" s="59"/>
      <c r="Q212" s="59"/>
    </row>
    <row r="213" spans="1:17" s="1" customFormat="1" ht="14.4" customHeight="1">
      <c r="A213" s="60" t="s">
        <v>128</v>
      </c>
      <c r="B213" s="63" t="str">
        <f>DEC2HEX(O213*4)</f>
        <v>78</v>
      </c>
      <c r="C213" s="66" t="str">
        <f>bitConcat(F214:F221)</f>
        <v>32'b01110111011101110111011101110111</v>
      </c>
      <c r="D213" s="67"/>
      <c r="E213" s="67"/>
      <c r="F213" s="67"/>
      <c r="G213" s="67"/>
      <c r="H213" s="67"/>
      <c r="I213" s="67"/>
      <c r="J213" s="67"/>
      <c r="K213" s="68"/>
      <c r="L213" s="54" t="str">
        <f>DEC2HEX(_xlfn.BITLSHIFT(N213,7)+4*O213)</f>
        <v>578</v>
      </c>
      <c r="M213" s="54"/>
      <c r="N213" s="54">
        <v>10</v>
      </c>
      <c r="O213" s="51">
        <v>30</v>
      </c>
      <c r="P213" s="57" t="str">
        <f>DEC2HEX(_xlfn.BITLSHIFT(N213,5)+O213*4)</f>
        <v>1B8</v>
      </c>
      <c r="Q213" s="57" t="str">
        <f>BIN2HEX(LEFT(RIGHT(C213,32),4))&amp;BIN2HEX(LEFT(RIGHT(C213,28),4))&amp;BIN2HEX(LEFT(RIGHT(C213,24),4))&amp;BIN2HEX(LEFT(RIGHT(C213,20),4))&amp;BIN2HEX(LEFT(RIGHT(C213,16),4))&amp;BIN2HEX(LEFT(RIGHT(C213,12),4))&amp;BIN2HEX(LEFT(RIGHT(C213,8),4))&amp;BIN2HEX(LEFT(RIGHT(C213,4),4))</f>
        <v>77777777</v>
      </c>
    </row>
    <row r="214" spans="1:17" s="1" customFormat="1">
      <c r="A214" s="61"/>
      <c r="B214" s="64"/>
      <c r="C214" s="21" t="s">
        <v>133</v>
      </c>
      <c r="D214" s="21">
        <v>4</v>
      </c>
      <c r="E214" s="18" t="str">
        <f>IF(D214&gt;1,(31)&amp;":"&amp;(31-D214+1),(31-D214+1)&amp;":"&amp;(31-D214+1))</f>
        <v>31:28</v>
      </c>
      <c r="F214" s="21" t="s">
        <v>77</v>
      </c>
      <c r="G214" s="21" t="s">
        <v>164</v>
      </c>
      <c r="H214" s="23" t="s">
        <v>37</v>
      </c>
      <c r="I214" s="23" t="s">
        <v>36</v>
      </c>
      <c r="J214" s="23" t="s">
        <v>6</v>
      </c>
      <c r="K214" s="21"/>
      <c r="L214" s="38"/>
      <c r="M214" s="38"/>
      <c r="N214" s="38"/>
      <c r="O214" s="56"/>
      <c r="P214" s="58"/>
      <c r="Q214" s="58"/>
    </row>
    <row r="215" spans="1:17" s="1" customFormat="1" ht="14.4" customHeight="1">
      <c r="A215" s="61"/>
      <c r="B215" s="64"/>
      <c r="C215" s="21" t="s">
        <v>134</v>
      </c>
      <c r="D215" s="21">
        <v>4</v>
      </c>
      <c r="E215" s="79" t="str">
        <f>(MID(str_cnvt(E214),SEARCH(":",str_cnvt(E214))+1,2)-1) &amp; ":" &amp; (MID(str_cnvt(E214),SEARCH(":",str_cnvt(E214))+1,2)-D215)</f>
        <v>27:24</v>
      </c>
      <c r="F215" s="21" t="s">
        <v>77</v>
      </c>
      <c r="G215" s="21" t="s">
        <v>164</v>
      </c>
      <c r="H215" s="23" t="s">
        <v>37</v>
      </c>
      <c r="I215" s="23" t="s">
        <v>36</v>
      </c>
      <c r="J215" s="23" t="s">
        <v>6</v>
      </c>
      <c r="K215" s="21"/>
      <c r="L215" s="38"/>
      <c r="M215" s="38"/>
      <c r="N215" s="38"/>
      <c r="O215" s="56"/>
      <c r="P215" s="58"/>
      <c r="Q215" s="58"/>
    </row>
    <row r="216" spans="1:17" s="1" customFormat="1">
      <c r="A216" s="61"/>
      <c r="B216" s="64"/>
      <c r="C216" s="21" t="s">
        <v>135</v>
      </c>
      <c r="D216" s="21">
        <v>4</v>
      </c>
      <c r="E216" s="79" t="str">
        <f>(MID(str_cnvt(E215),SEARCH(":",str_cnvt(E215))+1,2)-1) &amp; ":" &amp; (MID(str_cnvt(E215),SEARCH(":",str_cnvt(E215))+1,2)-D216)</f>
        <v>23:20</v>
      </c>
      <c r="F216" s="21" t="s">
        <v>77</v>
      </c>
      <c r="G216" s="21" t="s">
        <v>164</v>
      </c>
      <c r="H216" s="23" t="s">
        <v>37</v>
      </c>
      <c r="I216" s="23" t="s">
        <v>36</v>
      </c>
      <c r="J216" s="23" t="s">
        <v>6</v>
      </c>
      <c r="K216" s="21"/>
      <c r="L216" s="38"/>
      <c r="M216" s="38"/>
      <c r="N216" s="38"/>
      <c r="O216" s="56"/>
      <c r="P216" s="58"/>
      <c r="Q216" s="58"/>
    </row>
    <row r="217" spans="1:17" s="1" customFormat="1" ht="14.4" customHeight="1">
      <c r="A217" s="61"/>
      <c r="B217" s="64"/>
      <c r="C217" s="21" t="s">
        <v>136</v>
      </c>
      <c r="D217" s="21">
        <v>4</v>
      </c>
      <c r="E217" s="79" t="str">
        <f>(MID(str_cnvt(E216),SEARCH(":",str_cnvt(E216))+1,2)-1) &amp; ":" &amp; (MID(str_cnvt(E216),SEARCH(":",str_cnvt(E216))+1,2)-D217)</f>
        <v>19:16</v>
      </c>
      <c r="F217" s="21" t="s">
        <v>77</v>
      </c>
      <c r="G217" s="21" t="s">
        <v>164</v>
      </c>
      <c r="H217" s="23" t="s">
        <v>37</v>
      </c>
      <c r="I217" s="23" t="s">
        <v>36</v>
      </c>
      <c r="J217" s="23" t="s">
        <v>6</v>
      </c>
      <c r="K217" s="21"/>
      <c r="L217" s="38"/>
      <c r="M217" s="38"/>
      <c r="N217" s="38"/>
      <c r="O217" s="56"/>
      <c r="P217" s="58"/>
      <c r="Q217" s="58"/>
    </row>
    <row r="218" spans="1:17" s="1" customFormat="1">
      <c r="A218" s="61"/>
      <c r="B218" s="64"/>
      <c r="C218" s="21" t="s">
        <v>137</v>
      </c>
      <c r="D218" s="21">
        <v>4</v>
      </c>
      <c r="E218" s="79" t="str">
        <f>(MID(str_cnvt(E217),SEARCH(":",str_cnvt(E217))+1,2)-1) &amp; ":" &amp; (MID(str_cnvt(E217),SEARCH(":",str_cnvt(E217))+1,2)-D218)</f>
        <v>15:12</v>
      </c>
      <c r="F218" s="21" t="s">
        <v>77</v>
      </c>
      <c r="G218" s="21" t="s">
        <v>164</v>
      </c>
      <c r="H218" s="23" t="s">
        <v>37</v>
      </c>
      <c r="I218" s="23" t="s">
        <v>36</v>
      </c>
      <c r="J218" s="23" t="s">
        <v>6</v>
      </c>
      <c r="K218" s="21"/>
      <c r="L218" s="38"/>
      <c r="M218" s="38"/>
      <c r="N218" s="38"/>
      <c r="O218" s="56"/>
      <c r="P218" s="58"/>
      <c r="Q218" s="58"/>
    </row>
    <row r="219" spans="1:17" s="1" customFormat="1" ht="14.4" customHeight="1">
      <c r="A219" s="61"/>
      <c r="B219" s="64"/>
      <c r="C219" s="21" t="s">
        <v>138</v>
      </c>
      <c r="D219" s="21">
        <v>4</v>
      </c>
      <c r="E219" s="79" t="str">
        <f>(MID(str_cnvt(E218),SEARCH(":",str_cnvt(E218))+1,2)-1) &amp; ":" &amp; (MID(str_cnvt(E218),SEARCH(":",str_cnvt(E218))+1,2)-D219)</f>
        <v>11:8</v>
      </c>
      <c r="F219" s="21" t="s">
        <v>77</v>
      </c>
      <c r="G219" s="21" t="s">
        <v>164</v>
      </c>
      <c r="H219" s="23" t="s">
        <v>37</v>
      </c>
      <c r="I219" s="23" t="s">
        <v>36</v>
      </c>
      <c r="J219" s="23" t="s">
        <v>6</v>
      </c>
      <c r="K219" s="21"/>
      <c r="L219" s="38"/>
      <c r="M219" s="38"/>
      <c r="N219" s="38"/>
      <c r="O219" s="56"/>
      <c r="P219" s="58"/>
      <c r="Q219" s="58"/>
    </row>
    <row r="220" spans="1:17" s="1" customFormat="1">
      <c r="A220" s="61"/>
      <c r="B220" s="64"/>
      <c r="C220" s="21" t="s">
        <v>139</v>
      </c>
      <c r="D220" s="21">
        <v>4</v>
      </c>
      <c r="E220" s="79" t="str">
        <f>(MID(str_cnvt(E219),SEARCH(":",str_cnvt(E219))+1,2)-1) &amp; ":" &amp; (MID(str_cnvt(E219),SEARCH(":",str_cnvt(E219))+1,2)-D220)</f>
        <v>7:4</v>
      </c>
      <c r="F220" s="21" t="s">
        <v>77</v>
      </c>
      <c r="G220" s="21" t="s">
        <v>164</v>
      </c>
      <c r="H220" s="23" t="s">
        <v>37</v>
      </c>
      <c r="I220" s="23" t="s">
        <v>36</v>
      </c>
      <c r="J220" s="23" t="s">
        <v>6</v>
      </c>
      <c r="K220" s="21"/>
      <c r="L220" s="38"/>
      <c r="M220" s="38"/>
      <c r="N220" s="38"/>
      <c r="O220" s="56"/>
      <c r="P220" s="58"/>
      <c r="Q220" s="58"/>
    </row>
    <row r="221" spans="1:17" s="1" customFormat="1" ht="14.4" customHeight="1" thickBot="1">
      <c r="A221" s="62"/>
      <c r="B221" s="65"/>
      <c r="C221" s="21" t="s">
        <v>132</v>
      </c>
      <c r="D221" s="21">
        <v>4</v>
      </c>
      <c r="E221" s="79" t="str">
        <f>(MID(str_cnvt(E220),SEARCH(":",str_cnvt(E220))+1,2)-1) &amp; ":" &amp; (MID(str_cnvt(E220),SEARCH(":",str_cnvt(E220))+1,2)-D221)</f>
        <v>3:0</v>
      </c>
      <c r="F221" s="21" t="s">
        <v>77</v>
      </c>
      <c r="G221" s="21" t="s">
        <v>164</v>
      </c>
      <c r="H221" s="23" t="s">
        <v>37</v>
      </c>
      <c r="I221" s="23" t="s">
        <v>36</v>
      </c>
      <c r="J221" s="23" t="s">
        <v>6</v>
      </c>
      <c r="K221" s="21"/>
      <c r="L221" s="55"/>
      <c r="M221" s="55"/>
      <c r="N221" s="55"/>
      <c r="O221" s="52"/>
      <c r="P221" s="59"/>
      <c r="Q221" s="59"/>
    </row>
    <row r="222" spans="1:17" s="1" customFormat="1" ht="15.75" customHeight="1">
      <c r="A222" s="60" t="s">
        <v>129</v>
      </c>
      <c r="B222" s="63" t="str">
        <f t="shared" ref="B222" si="72">DEC2HEX(O222*4)</f>
        <v>7C</v>
      </c>
      <c r="C222" s="66" t="str">
        <f>bitConcat(F223:F239)</f>
        <v>32'b00000000000001110111011101110111</v>
      </c>
      <c r="D222" s="67"/>
      <c r="E222" s="67"/>
      <c r="F222" s="67"/>
      <c r="G222" s="67"/>
      <c r="H222" s="67"/>
      <c r="I222" s="67"/>
      <c r="J222" s="67"/>
      <c r="K222" s="68"/>
      <c r="L222" s="54" t="str">
        <f t="shared" ref="L222" si="73">DEC2HEX(_xlfn.BITLSHIFT(N222,7)+4*O222)</f>
        <v>57C</v>
      </c>
      <c r="M222" s="54"/>
      <c r="N222" s="54">
        <v>10</v>
      </c>
      <c r="O222" s="51">
        <v>31</v>
      </c>
      <c r="P222" s="57" t="str">
        <f t="shared" ref="P222" si="74">DEC2HEX(_xlfn.BITLSHIFT(N222,5)+O222*4)</f>
        <v>1BC</v>
      </c>
      <c r="Q222" s="57" t="str">
        <f t="shared" ref="Q222" si="75">BIN2HEX(LEFT(RIGHT(C222,32),4))&amp;BIN2HEX(LEFT(RIGHT(C222,28),4))&amp;BIN2HEX(LEFT(RIGHT(C222,24),4))&amp;BIN2HEX(LEFT(RIGHT(C222,20),4))&amp;BIN2HEX(LEFT(RIGHT(C222,16),4))&amp;BIN2HEX(LEFT(RIGHT(C222,12),4))&amp;BIN2HEX(LEFT(RIGHT(C222,8),4))&amp;BIN2HEX(LEFT(RIGHT(C222,4),4))</f>
        <v>00077777</v>
      </c>
    </row>
    <row r="223" spans="1:17" s="1" customFormat="1" ht="14.4" customHeight="1">
      <c r="A223" s="61"/>
      <c r="B223" s="64"/>
      <c r="C223" s="21" t="s">
        <v>174</v>
      </c>
      <c r="D223" s="21">
        <v>1</v>
      </c>
      <c r="E223" s="18" t="str">
        <f>IF(D223&gt;1,(31)&amp;":"&amp;(31-D223+1),(31-D223+1)&amp;":"&amp;(31-D223+1))</f>
        <v>31:31</v>
      </c>
      <c r="F223" s="21" t="s">
        <v>7</v>
      </c>
      <c r="G223" s="21" t="s">
        <v>175</v>
      </c>
      <c r="H223" s="23" t="s">
        <v>37</v>
      </c>
      <c r="I223" s="23" t="s">
        <v>36</v>
      </c>
      <c r="J223" s="23" t="s">
        <v>6</v>
      </c>
      <c r="K223" s="21"/>
      <c r="L223" s="38"/>
      <c r="M223" s="38"/>
      <c r="N223" s="38"/>
      <c r="O223" s="56"/>
      <c r="P223" s="58"/>
      <c r="Q223" s="58"/>
    </row>
    <row r="224" spans="1:17" s="1" customFormat="1">
      <c r="A224" s="61"/>
      <c r="B224" s="64"/>
      <c r="C224" s="21" t="s">
        <v>173</v>
      </c>
      <c r="D224" s="21">
        <v>1</v>
      </c>
      <c r="E224" s="79" t="str">
        <f>(MID(str_cnvt(E223),SEARCH(":",str_cnvt(E223))+1,2)-1) &amp; ":" &amp; (MID(str_cnvt(E223),SEARCH(":",str_cnvt(E223))+1,2)-D224)</f>
        <v>30:30</v>
      </c>
      <c r="F224" s="21" t="s">
        <v>7</v>
      </c>
      <c r="G224" s="21" t="s">
        <v>175</v>
      </c>
      <c r="H224" s="23" t="s">
        <v>37</v>
      </c>
      <c r="I224" s="23" t="s">
        <v>36</v>
      </c>
      <c r="J224" s="23" t="s">
        <v>6</v>
      </c>
      <c r="K224" s="21"/>
      <c r="L224" s="38"/>
      <c r="M224" s="38"/>
      <c r="N224" s="38"/>
      <c r="O224" s="56"/>
      <c r="P224" s="58"/>
      <c r="Q224" s="58"/>
    </row>
    <row r="225" spans="1:17" s="1" customFormat="1" ht="14.4" customHeight="1">
      <c r="A225" s="61"/>
      <c r="B225" s="64"/>
      <c r="C225" s="21" t="s">
        <v>172</v>
      </c>
      <c r="D225" s="21">
        <v>1</v>
      </c>
      <c r="E225" s="79" t="str">
        <f>(MID(str_cnvt(E224),SEARCH(":",str_cnvt(E224))+1,2)-1) &amp; ":" &amp; (MID(str_cnvt(E224),SEARCH(":",str_cnvt(E224))+1,2)-D225)</f>
        <v>29:29</v>
      </c>
      <c r="F225" s="21" t="s">
        <v>7</v>
      </c>
      <c r="G225" s="21" t="s">
        <v>175</v>
      </c>
      <c r="H225" s="23" t="s">
        <v>37</v>
      </c>
      <c r="I225" s="23" t="s">
        <v>36</v>
      </c>
      <c r="J225" s="23" t="s">
        <v>6</v>
      </c>
      <c r="K225" s="21"/>
      <c r="L225" s="38"/>
      <c r="M225" s="38"/>
      <c r="N225" s="38"/>
      <c r="O225" s="56"/>
      <c r="P225" s="58"/>
      <c r="Q225" s="58"/>
    </row>
    <row r="226" spans="1:17" s="1" customFormat="1">
      <c r="A226" s="61"/>
      <c r="B226" s="64"/>
      <c r="C226" s="21" t="s">
        <v>170</v>
      </c>
      <c r="D226" s="21">
        <v>1</v>
      </c>
      <c r="E226" s="79" t="str">
        <f>(MID(str_cnvt(E225),SEARCH(":",str_cnvt(E225))+1,2)-1) &amp; ":" &amp; (MID(str_cnvt(E225),SEARCH(":",str_cnvt(E225))+1,2)-D226)</f>
        <v>28:28</v>
      </c>
      <c r="F226" s="21" t="s">
        <v>7</v>
      </c>
      <c r="G226" s="21" t="s">
        <v>175</v>
      </c>
      <c r="H226" s="23" t="s">
        <v>37</v>
      </c>
      <c r="I226" s="23" t="s">
        <v>36</v>
      </c>
      <c r="J226" s="23" t="s">
        <v>6</v>
      </c>
      <c r="K226" s="21"/>
      <c r="L226" s="38"/>
      <c r="M226" s="38"/>
      <c r="N226" s="38"/>
      <c r="O226" s="56"/>
      <c r="P226" s="58"/>
      <c r="Q226" s="58"/>
    </row>
    <row r="227" spans="1:17" s="1" customFormat="1" ht="14.4" customHeight="1">
      <c r="A227" s="61"/>
      <c r="B227" s="64"/>
      <c r="C227" s="21" t="s">
        <v>174</v>
      </c>
      <c r="D227" s="21">
        <v>1</v>
      </c>
      <c r="E227" s="79" t="str">
        <f>(MID(str_cnvt(E226),SEARCH(":",str_cnvt(E226))+1,2)-1) &amp; ":" &amp; (MID(str_cnvt(E226),SEARCH(":",str_cnvt(E226))+1,2)-D227)</f>
        <v>27:27</v>
      </c>
      <c r="F227" s="21" t="s">
        <v>7</v>
      </c>
      <c r="G227" s="21" t="s">
        <v>175</v>
      </c>
      <c r="H227" s="23" t="s">
        <v>37</v>
      </c>
      <c r="I227" s="23" t="s">
        <v>36</v>
      </c>
      <c r="J227" s="23" t="s">
        <v>6</v>
      </c>
      <c r="K227" s="21"/>
      <c r="L227" s="38"/>
      <c r="M227" s="38"/>
      <c r="N227" s="38"/>
      <c r="O227" s="56"/>
      <c r="P227" s="58"/>
      <c r="Q227" s="58"/>
    </row>
    <row r="228" spans="1:17" s="1" customFormat="1">
      <c r="A228" s="61"/>
      <c r="B228" s="64"/>
      <c r="C228" s="21" t="s">
        <v>173</v>
      </c>
      <c r="D228" s="21">
        <v>1</v>
      </c>
      <c r="E228" s="79" t="str">
        <f>(MID(str_cnvt(E227),SEARCH(":",str_cnvt(E227))+1,2)-1) &amp; ":" &amp; (MID(str_cnvt(E227),SEARCH(":",str_cnvt(E227))+1,2)-D228)</f>
        <v>26:26</v>
      </c>
      <c r="F228" s="21" t="s">
        <v>7</v>
      </c>
      <c r="G228" s="21" t="s">
        <v>171</v>
      </c>
      <c r="H228" s="23" t="s">
        <v>37</v>
      </c>
      <c r="I228" s="23" t="s">
        <v>36</v>
      </c>
      <c r="J228" s="23" t="s">
        <v>6</v>
      </c>
      <c r="K228" s="21"/>
      <c r="L228" s="38"/>
      <c r="M228" s="38"/>
      <c r="N228" s="38"/>
      <c r="O228" s="56"/>
      <c r="P228" s="58"/>
      <c r="Q228" s="58"/>
    </row>
    <row r="229" spans="1:17" s="1" customFormat="1" ht="14.4" customHeight="1">
      <c r="A229" s="61"/>
      <c r="B229" s="64"/>
      <c r="C229" s="21" t="s">
        <v>172</v>
      </c>
      <c r="D229" s="21">
        <v>1</v>
      </c>
      <c r="E229" s="79" t="str">
        <f>(MID(str_cnvt(E228),SEARCH(":",str_cnvt(E228))+1,2)-1) &amp; ":" &amp; (MID(str_cnvt(E228),SEARCH(":",str_cnvt(E228))+1,2)-D229)</f>
        <v>25:25</v>
      </c>
      <c r="F229" s="21" t="s">
        <v>7</v>
      </c>
      <c r="G229" s="21" t="s">
        <v>171</v>
      </c>
      <c r="H229" s="23" t="s">
        <v>37</v>
      </c>
      <c r="I229" s="23" t="s">
        <v>36</v>
      </c>
      <c r="J229" s="23" t="s">
        <v>6</v>
      </c>
      <c r="K229" s="21"/>
      <c r="L229" s="38"/>
      <c r="M229" s="38"/>
      <c r="N229" s="38"/>
      <c r="O229" s="56"/>
      <c r="P229" s="58"/>
      <c r="Q229" s="58"/>
    </row>
    <row r="230" spans="1:17" s="1" customFormat="1">
      <c r="A230" s="61"/>
      <c r="B230" s="64"/>
      <c r="C230" s="21" t="s">
        <v>170</v>
      </c>
      <c r="D230" s="21">
        <v>1</v>
      </c>
      <c r="E230" s="79" t="str">
        <f>(MID(str_cnvt(E229),SEARCH(":",str_cnvt(E229))+1,2)-1) &amp; ":" &amp; (MID(str_cnvt(E229),SEARCH(":",str_cnvt(E229))+1,2)-D230)</f>
        <v>24:24</v>
      </c>
      <c r="F230" s="21" t="s">
        <v>7</v>
      </c>
      <c r="G230" s="21" t="s">
        <v>171</v>
      </c>
      <c r="H230" s="23" t="s">
        <v>37</v>
      </c>
      <c r="I230" s="23" t="s">
        <v>36</v>
      </c>
      <c r="J230" s="23" t="s">
        <v>6</v>
      </c>
      <c r="K230" s="21"/>
      <c r="L230" s="38"/>
      <c r="M230" s="38"/>
      <c r="N230" s="38"/>
      <c r="O230" s="56"/>
      <c r="P230" s="58"/>
      <c r="Q230" s="58"/>
    </row>
    <row r="231" spans="1:17" s="1" customFormat="1">
      <c r="A231" s="61"/>
      <c r="B231" s="64"/>
      <c r="C231" s="21" t="s">
        <v>186</v>
      </c>
      <c r="D231" s="21">
        <v>1</v>
      </c>
      <c r="E231" s="79" t="str">
        <f>(MID(str_cnvt(E230),SEARCH(":",str_cnvt(E230))+1,2)-1) &amp; ":" &amp; (MID(str_cnvt(E230),SEARCH(":",str_cnvt(E230))+1,2)-D231)</f>
        <v>23:23</v>
      </c>
      <c r="F231" s="21" t="s">
        <v>7</v>
      </c>
      <c r="G231" s="21" t="s">
        <v>169</v>
      </c>
      <c r="H231" s="23" t="s">
        <v>37</v>
      </c>
      <c r="I231" s="23" t="s">
        <v>36</v>
      </c>
      <c r="J231" s="23" t="s">
        <v>6</v>
      </c>
      <c r="K231" s="21"/>
      <c r="L231" s="38"/>
      <c r="M231" s="38"/>
      <c r="N231" s="38"/>
      <c r="O231" s="56"/>
      <c r="P231" s="58"/>
      <c r="Q231" s="58"/>
    </row>
    <row r="232" spans="1:17" s="1" customFormat="1">
      <c r="A232" s="61"/>
      <c r="B232" s="64"/>
      <c r="C232" s="21" t="s">
        <v>187</v>
      </c>
      <c r="D232" s="21">
        <v>1</v>
      </c>
      <c r="E232" s="79" t="str">
        <f>(MID(str_cnvt(E231),SEARCH(":",str_cnvt(E231))+1,2)-1) &amp; ":" &amp; (MID(str_cnvt(E231),SEARCH(":",str_cnvt(E231))+1,2)-D232)</f>
        <v>22:22</v>
      </c>
      <c r="F232" s="21" t="s">
        <v>7</v>
      </c>
      <c r="G232" s="21" t="s">
        <v>169</v>
      </c>
      <c r="H232" s="23" t="s">
        <v>37</v>
      </c>
      <c r="I232" s="23" t="s">
        <v>36</v>
      </c>
      <c r="J232" s="23" t="s">
        <v>6</v>
      </c>
      <c r="K232" s="21"/>
      <c r="L232" s="38"/>
      <c r="M232" s="38"/>
      <c r="N232" s="38"/>
      <c r="O232" s="56"/>
      <c r="P232" s="58"/>
      <c r="Q232" s="58"/>
    </row>
    <row r="233" spans="1:17" s="1" customFormat="1">
      <c r="A233" s="61"/>
      <c r="B233" s="64"/>
      <c r="C233" s="21" t="s">
        <v>188</v>
      </c>
      <c r="D233" s="21">
        <v>1</v>
      </c>
      <c r="E233" s="79" t="str">
        <f>(MID(str_cnvt(E232),SEARCH(":",str_cnvt(E232))+1,2)-1) &amp; ":" &amp; (MID(str_cnvt(E232),SEARCH(":",str_cnvt(E232))+1,2)-D233)</f>
        <v>21:21</v>
      </c>
      <c r="F233" s="21" t="s">
        <v>7</v>
      </c>
      <c r="G233" s="21" t="s">
        <v>169</v>
      </c>
      <c r="H233" s="23" t="s">
        <v>37</v>
      </c>
      <c r="I233" s="23" t="s">
        <v>36</v>
      </c>
      <c r="J233" s="23" t="s">
        <v>6</v>
      </c>
      <c r="K233" s="21"/>
      <c r="L233" s="38"/>
      <c r="M233" s="38"/>
      <c r="N233" s="38"/>
      <c r="O233" s="56"/>
      <c r="P233" s="58"/>
      <c r="Q233" s="58"/>
    </row>
    <row r="234" spans="1:17" s="1" customFormat="1">
      <c r="A234" s="61"/>
      <c r="B234" s="64"/>
      <c r="C234" s="21" t="s">
        <v>189</v>
      </c>
      <c r="D234" s="21">
        <v>1</v>
      </c>
      <c r="E234" s="79" t="str">
        <f>(MID(str_cnvt(E233),SEARCH(":",str_cnvt(E233))+1,2)-1) &amp; ":" &amp; (MID(str_cnvt(E233),SEARCH(":",str_cnvt(E233))+1,2)-D234)</f>
        <v>20:20</v>
      </c>
      <c r="F234" s="21" t="s">
        <v>7</v>
      </c>
      <c r="G234" s="21" t="s">
        <v>169</v>
      </c>
      <c r="H234" s="23" t="s">
        <v>37</v>
      </c>
      <c r="I234" s="23" t="s">
        <v>36</v>
      </c>
      <c r="J234" s="23" t="s">
        <v>6</v>
      </c>
      <c r="K234" s="21"/>
      <c r="L234" s="38"/>
      <c r="M234" s="38"/>
      <c r="N234" s="38"/>
      <c r="O234" s="56"/>
      <c r="P234" s="58"/>
      <c r="Q234" s="58"/>
    </row>
    <row r="235" spans="1:17" s="1" customFormat="1" ht="14.4" customHeight="1">
      <c r="A235" s="61"/>
      <c r="B235" s="64"/>
      <c r="C235" s="21" t="s">
        <v>168</v>
      </c>
      <c r="D235" s="21">
        <v>4</v>
      </c>
      <c r="E235" s="79" t="str">
        <f>(MID(str_cnvt(E234),SEARCH(":",str_cnvt(E234))+1,2)-1) &amp; ":" &amp; (MID(str_cnvt(E234),SEARCH(":",str_cnvt(E234))+1,2)-D235)</f>
        <v>19:16</v>
      </c>
      <c r="F235" s="21" t="s">
        <v>77</v>
      </c>
      <c r="G235" s="21" t="s">
        <v>164</v>
      </c>
      <c r="H235" s="23" t="s">
        <v>37</v>
      </c>
      <c r="I235" s="23" t="s">
        <v>36</v>
      </c>
      <c r="J235" s="23" t="s">
        <v>6</v>
      </c>
      <c r="K235" s="21"/>
      <c r="L235" s="38"/>
      <c r="M235" s="38"/>
      <c r="N235" s="38"/>
      <c r="O235" s="56"/>
      <c r="P235" s="58"/>
      <c r="Q235" s="58"/>
    </row>
    <row r="236" spans="1:17" s="1" customFormat="1">
      <c r="A236" s="61"/>
      <c r="B236" s="64"/>
      <c r="C236" s="21" t="s">
        <v>167</v>
      </c>
      <c r="D236" s="21">
        <v>4</v>
      </c>
      <c r="E236" s="79" t="str">
        <f>(MID(str_cnvt(E235),SEARCH(":",str_cnvt(E235))+1,2)-1) &amp; ":" &amp; (MID(str_cnvt(E235),SEARCH(":",str_cnvt(E235))+1,2)-D236)</f>
        <v>15:12</v>
      </c>
      <c r="F236" s="21" t="s">
        <v>77</v>
      </c>
      <c r="G236" s="21" t="s">
        <v>164</v>
      </c>
      <c r="H236" s="23" t="s">
        <v>37</v>
      </c>
      <c r="I236" s="23" t="s">
        <v>36</v>
      </c>
      <c r="J236" s="23" t="s">
        <v>6</v>
      </c>
      <c r="K236" s="21"/>
      <c r="L236" s="38"/>
      <c r="M236" s="38"/>
      <c r="N236" s="38"/>
      <c r="O236" s="56"/>
      <c r="P236" s="58"/>
      <c r="Q236" s="58"/>
    </row>
    <row r="237" spans="1:17" s="1" customFormat="1" ht="14.4" customHeight="1">
      <c r="A237" s="61"/>
      <c r="B237" s="64"/>
      <c r="C237" s="21" t="s">
        <v>166</v>
      </c>
      <c r="D237" s="21">
        <v>4</v>
      </c>
      <c r="E237" s="79" t="str">
        <f>(MID(str_cnvt(E236),SEARCH(":",str_cnvt(E236))+1,2)-1) &amp; ":" &amp; (MID(str_cnvt(E236),SEARCH(":",str_cnvt(E236))+1,2)-D237)</f>
        <v>11:8</v>
      </c>
      <c r="F237" s="21" t="s">
        <v>77</v>
      </c>
      <c r="G237" s="21" t="s">
        <v>164</v>
      </c>
      <c r="H237" s="23" t="s">
        <v>37</v>
      </c>
      <c r="I237" s="23" t="s">
        <v>36</v>
      </c>
      <c r="J237" s="23" t="s">
        <v>6</v>
      </c>
      <c r="K237" s="21"/>
      <c r="L237" s="38"/>
      <c r="M237" s="38"/>
      <c r="N237" s="38"/>
      <c r="O237" s="56"/>
      <c r="P237" s="58"/>
      <c r="Q237" s="58"/>
    </row>
    <row r="238" spans="1:17" s="1" customFormat="1">
      <c r="A238" s="61"/>
      <c r="B238" s="64"/>
      <c r="C238" s="21" t="s">
        <v>165</v>
      </c>
      <c r="D238" s="21">
        <v>4</v>
      </c>
      <c r="E238" s="79" t="str">
        <f>(MID(str_cnvt(E237),SEARCH(":",str_cnvt(E237))+1,2)-1) &amp; ":" &amp; (MID(str_cnvt(E237),SEARCH(":",str_cnvt(E237))+1,2)-D238)</f>
        <v>7:4</v>
      </c>
      <c r="F238" s="21" t="s">
        <v>77</v>
      </c>
      <c r="G238" s="21" t="s">
        <v>164</v>
      </c>
      <c r="H238" s="23" t="s">
        <v>37</v>
      </c>
      <c r="I238" s="23" t="s">
        <v>36</v>
      </c>
      <c r="J238" s="23" t="s">
        <v>6</v>
      </c>
      <c r="K238" s="21"/>
      <c r="L238" s="38"/>
      <c r="M238" s="38"/>
      <c r="N238" s="38"/>
      <c r="O238" s="56"/>
      <c r="P238" s="58"/>
      <c r="Q238" s="58"/>
    </row>
    <row r="239" spans="1:17" s="1" customFormat="1" ht="14.4" customHeight="1" thickBot="1">
      <c r="A239" s="62"/>
      <c r="B239" s="65"/>
      <c r="C239" s="21" t="s">
        <v>140</v>
      </c>
      <c r="D239" s="21">
        <v>4</v>
      </c>
      <c r="E239" s="79" t="str">
        <f>(MID(str_cnvt(E238),SEARCH(":",str_cnvt(E238))+1,2)-1) &amp; ":" &amp; (MID(str_cnvt(E238),SEARCH(":",str_cnvt(E238))+1,2)-D239)</f>
        <v>3:0</v>
      </c>
      <c r="F239" s="21" t="s">
        <v>77</v>
      </c>
      <c r="G239" s="21" t="s">
        <v>164</v>
      </c>
      <c r="H239" s="23" t="s">
        <v>37</v>
      </c>
      <c r="I239" s="23" t="s">
        <v>36</v>
      </c>
      <c r="J239" s="23" t="s">
        <v>6</v>
      </c>
      <c r="K239" s="21"/>
      <c r="L239" s="55"/>
      <c r="M239" s="55"/>
      <c r="N239" s="55"/>
      <c r="O239" s="52"/>
      <c r="P239" s="69"/>
      <c r="Q239" s="69"/>
    </row>
    <row r="240" spans="1:17">
      <c r="A240" s="60" t="s">
        <v>297</v>
      </c>
      <c r="B240" s="63">
        <v>0</v>
      </c>
      <c r="C240" s="66" t="str">
        <f>bitConcat(F241:F246)</f>
        <v>32'b00000001000001010001100011000011</v>
      </c>
      <c r="D240" s="67"/>
      <c r="E240" s="67"/>
      <c r="F240" s="67"/>
      <c r="G240" s="67"/>
      <c r="H240" s="67"/>
      <c r="I240" s="67"/>
      <c r="J240" s="67"/>
      <c r="K240" s="67"/>
      <c r="L240" s="54" t="str">
        <f>DEC2HEX(_xlfn.BITLSHIFT(N240,7)+4*O240)</f>
        <v>580</v>
      </c>
      <c r="M240" s="54"/>
      <c r="N240" s="54">
        <v>11</v>
      </c>
      <c r="O240" s="54">
        <v>0</v>
      </c>
      <c r="P240" s="54" t="str">
        <f>DEC2HEX(_xlfn.BITLSHIFT(N240,5)+O240*4)</f>
        <v>160</v>
      </c>
      <c r="Q240" s="54" t="str">
        <f t="shared" ref="Q240" si="76">BIN2HEX(LEFT(RIGHT(C240,32),4))&amp;BIN2HEX(LEFT(RIGHT(C240,28),4))&amp;BIN2HEX(LEFT(RIGHT(C240,24),4))&amp;BIN2HEX(LEFT(RIGHT(C240,20),4))&amp;BIN2HEX(LEFT(RIGHT(C240,16),4))&amp;BIN2HEX(LEFT(RIGHT(C240,12),4))&amp;BIN2HEX(LEFT(RIGHT(C240,8),4))&amp;BIN2HEX(LEFT(RIGHT(C240,4),4))</f>
        <v>010518C3</v>
      </c>
    </row>
    <row r="241" spans="1:17">
      <c r="A241" s="61"/>
      <c r="B241" s="64"/>
      <c r="C241" s="21" t="s">
        <v>203</v>
      </c>
      <c r="D241" s="21">
        <v>4</v>
      </c>
      <c r="E241" s="18" t="str">
        <f>IF(D241&gt;1,(31)&amp;":"&amp;(31-D241+1),(31-D241+1)&amp;":"&amp;(31-D241+1))</f>
        <v>31:28</v>
      </c>
      <c r="F241" s="21" t="s">
        <v>46</v>
      </c>
      <c r="G241" s="21" t="s">
        <v>410</v>
      </c>
      <c r="H241" s="23" t="s">
        <v>37</v>
      </c>
      <c r="I241" s="23" t="s">
        <v>36</v>
      </c>
      <c r="J241" s="23" t="s">
        <v>6</v>
      </c>
      <c r="K241" s="21"/>
      <c r="L241" s="38"/>
      <c r="M241" s="38"/>
      <c r="N241" s="38"/>
      <c r="O241" s="38"/>
      <c r="P241" s="38"/>
      <c r="Q241" s="38"/>
    </row>
    <row r="242" spans="1:17">
      <c r="A242" s="61"/>
      <c r="B242" s="64"/>
      <c r="C242" s="21" t="s">
        <v>302</v>
      </c>
      <c r="D242" s="21">
        <v>6</v>
      </c>
      <c r="E242" s="79" t="str">
        <f>(MID(str_cnvt(E241),SEARCH(":",str_cnvt(E241))+1,2)-1) &amp; ":" &amp; (MID(str_cnvt(E241),SEARCH(":",str_cnvt(E241))+1,2)-D242)</f>
        <v>27:22</v>
      </c>
      <c r="F242" s="21" t="s">
        <v>418</v>
      </c>
      <c r="G242" s="21" t="s">
        <v>411</v>
      </c>
      <c r="H242" s="23" t="s">
        <v>37</v>
      </c>
      <c r="I242" s="23" t="s">
        <v>36</v>
      </c>
      <c r="J242" s="23" t="s">
        <v>6</v>
      </c>
      <c r="K242" s="21"/>
      <c r="L242" s="38"/>
      <c r="M242" s="38"/>
      <c r="N242" s="38"/>
      <c r="O242" s="38"/>
      <c r="P242" s="38"/>
      <c r="Q242" s="38"/>
    </row>
    <row r="243" spans="1:17">
      <c r="A243" s="61"/>
      <c r="B243" s="64"/>
      <c r="C243" s="21" t="s">
        <v>301</v>
      </c>
      <c r="D243" s="21">
        <v>6</v>
      </c>
      <c r="E243" s="79" t="str">
        <f>(MID(str_cnvt(E242),SEARCH(":",str_cnvt(E242))+1,2)-1) &amp; ":" &amp; (MID(str_cnvt(E242),SEARCH(":",str_cnvt(E242))+1,2)-D243)</f>
        <v>21:16</v>
      </c>
      <c r="F243" s="21" t="s">
        <v>417</v>
      </c>
      <c r="G243" s="21" t="s">
        <v>412</v>
      </c>
      <c r="H243" s="23" t="s">
        <v>37</v>
      </c>
      <c r="I243" s="23" t="s">
        <v>36</v>
      </c>
      <c r="J243" s="23" t="s">
        <v>6</v>
      </c>
      <c r="K243" s="21"/>
      <c r="L243" s="38"/>
      <c r="M243" s="38"/>
      <c r="N243" s="38"/>
      <c r="O243" s="38"/>
      <c r="P243" s="38"/>
      <c r="Q243" s="38"/>
    </row>
    <row r="244" spans="1:17">
      <c r="A244" s="61"/>
      <c r="B244" s="64"/>
      <c r="C244" s="21" t="s">
        <v>300</v>
      </c>
      <c r="D244" s="21">
        <v>5</v>
      </c>
      <c r="E244" s="79" t="str">
        <f>(MID(str_cnvt(E243),SEARCH(":",str_cnvt(E243))+1,2)-1) &amp; ":" &amp; (MID(str_cnvt(E243),SEARCH(":",str_cnvt(E243))+1,2)-D244)</f>
        <v>15:11</v>
      </c>
      <c r="F244" s="21" t="s">
        <v>201</v>
      </c>
      <c r="G244" s="21" t="s">
        <v>413</v>
      </c>
      <c r="H244" s="23" t="s">
        <v>37</v>
      </c>
      <c r="I244" s="23" t="s">
        <v>36</v>
      </c>
      <c r="J244" s="23" t="s">
        <v>6</v>
      </c>
      <c r="K244" s="21"/>
      <c r="L244" s="38"/>
      <c r="M244" s="38"/>
      <c r="N244" s="38"/>
      <c r="O244" s="38"/>
      <c r="P244" s="38"/>
      <c r="Q244" s="38"/>
    </row>
    <row r="245" spans="1:17">
      <c r="A245" s="61"/>
      <c r="B245" s="64"/>
      <c r="C245" s="21" t="s">
        <v>299</v>
      </c>
      <c r="D245" s="21">
        <v>5</v>
      </c>
      <c r="E245" s="79" t="str">
        <f>(MID(str_cnvt(E244),SEARCH(":",str_cnvt(E244))+1,2)-1) &amp; ":" &amp; (MID(str_cnvt(E244),SEARCH(":",str_cnvt(E244))+1,2)-D245)</f>
        <v>10:6</v>
      </c>
      <c r="F245" s="21" t="s">
        <v>201</v>
      </c>
      <c r="G245" s="21" t="s">
        <v>414</v>
      </c>
      <c r="H245" s="23" t="s">
        <v>37</v>
      </c>
      <c r="I245" s="23" t="s">
        <v>36</v>
      </c>
      <c r="J245" s="23" t="s">
        <v>6</v>
      </c>
      <c r="K245" s="21"/>
      <c r="L245" s="38"/>
      <c r="M245" s="38"/>
      <c r="N245" s="38"/>
      <c r="O245" s="38"/>
      <c r="P245" s="38"/>
      <c r="Q245" s="38"/>
    </row>
    <row r="246" spans="1:17" ht="15" thickBot="1">
      <c r="A246" s="61"/>
      <c r="B246" s="64"/>
      <c r="C246" s="21" t="s">
        <v>298</v>
      </c>
      <c r="D246" s="21">
        <v>6</v>
      </c>
      <c r="E246" s="79" t="str">
        <f>(MID(str_cnvt(E245),SEARCH(":",str_cnvt(E245))+1,2)-1) &amp; ":" &amp; (MID(str_cnvt(E245),SEARCH(":",str_cnvt(E245))+1,2)-D246)</f>
        <v>5:0</v>
      </c>
      <c r="F246" s="21" t="s">
        <v>416</v>
      </c>
      <c r="G246" s="21" t="s">
        <v>415</v>
      </c>
      <c r="H246" s="23" t="s">
        <v>37</v>
      </c>
      <c r="I246" s="23" t="s">
        <v>36</v>
      </c>
      <c r="J246" s="23" t="s">
        <v>6</v>
      </c>
      <c r="K246" s="21"/>
      <c r="L246" s="39"/>
      <c r="M246" s="39"/>
      <c r="N246" s="39"/>
      <c r="O246" s="39"/>
      <c r="P246" s="39"/>
      <c r="Q246" s="39"/>
    </row>
    <row r="247" spans="1:17">
      <c r="A247" s="60" t="s">
        <v>196</v>
      </c>
      <c r="B247" s="60">
        <v>4</v>
      </c>
      <c r="C247" s="53" t="str">
        <f>bitConcat(F248:F248)</f>
        <v>32'b00000000000000000000000000000000</v>
      </c>
      <c r="D247" s="40"/>
      <c r="E247" s="40"/>
      <c r="F247" s="40"/>
      <c r="G247" s="40"/>
      <c r="H247" s="40"/>
      <c r="I247" s="40"/>
      <c r="J247" s="40"/>
      <c r="K247" s="41"/>
      <c r="L247" s="33" t="str">
        <f>DEC2HEX(_xlfn.BITLSHIFT(N247,7)+4*O247)</f>
        <v>584</v>
      </c>
      <c r="M247" s="33"/>
      <c r="N247" s="37">
        <v>11</v>
      </c>
      <c r="O247" s="37">
        <v>1</v>
      </c>
      <c r="P247" s="54" t="str">
        <f>DEC2HEX(_xlfn.BITLSHIFT(N247,5)+O247*4)</f>
        <v>164</v>
      </c>
      <c r="Q247" s="51" t="str">
        <f t="shared" ref="Q247" si="77">BIN2HEX(LEFT(RIGHT(C247,32),4))&amp;BIN2HEX(LEFT(RIGHT(C247,28),4))&amp;BIN2HEX(LEFT(RIGHT(C247,24),4))&amp;BIN2HEX(LEFT(RIGHT(C247,20),4))&amp;BIN2HEX(LEFT(RIGHT(C247,16),4))&amp;BIN2HEX(LEFT(RIGHT(C247,12),4))&amp;BIN2HEX(LEFT(RIGHT(C247,8),4))&amp;BIN2HEX(LEFT(RIGHT(C247,4),4))</f>
        <v>00000000</v>
      </c>
    </row>
    <row r="248" spans="1:17" ht="15" thickBot="1">
      <c r="A248" s="61"/>
      <c r="B248" s="61"/>
      <c r="C248" s="21" t="s">
        <v>196</v>
      </c>
      <c r="D248" s="18">
        <v>32</v>
      </c>
      <c r="E248" s="18" t="str">
        <f>IF(D248&gt;1,(31)&amp;":"&amp;(31-D248+1),(31-D248+1)&amp;":"&amp;(31-D248+1))</f>
        <v>31:0</v>
      </c>
      <c r="F248" s="18" t="s">
        <v>57</v>
      </c>
      <c r="G248" s="22" t="s">
        <v>196</v>
      </c>
      <c r="H248" s="23" t="s">
        <v>37</v>
      </c>
      <c r="I248" s="24" t="s">
        <v>36</v>
      </c>
      <c r="J248" s="25" t="s">
        <v>6</v>
      </c>
      <c r="K248" s="22"/>
      <c r="L248" s="16"/>
      <c r="M248" s="16"/>
      <c r="N248" s="39"/>
      <c r="O248" s="39"/>
      <c r="P248" s="55"/>
      <c r="Q248" s="52"/>
    </row>
    <row r="249" spans="1:17">
      <c r="A249" s="70" t="s">
        <v>307</v>
      </c>
      <c r="B249" s="70">
        <v>8</v>
      </c>
      <c r="C249" s="53" t="str">
        <f>bitConcat(F250:F254)</f>
        <v>32'b00000000100001000001111111011111</v>
      </c>
      <c r="D249" s="40"/>
      <c r="E249" s="40"/>
      <c r="F249" s="40"/>
      <c r="G249" s="40"/>
      <c r="H249" s="40"/>
      <c r="I249" s="40"/>
      <c r="J249" s="40"/>
      <c r="K249" s="41"/>
      <c r="L249" s="54" t="str">
        <f>DEC2HEX(_xlfn.BITLSHIFT(N249,7)+4*O249)</f>
        <v>588</v>
      </c>
      <c r="M249" s="54"/>
      <c r="N249" s="54">
        <v>11</v>
      </c>
      <c r="O249" s="54">
        <v>2</v>
      </c>
      <c r="P249" s="54" t="str">
        <f>DEC2HEX(_xlfn.BITLSHIFT(N249,5)+O249*4)</f>
        <v>168</v>
      </c>
      <c r="Q249" s="54" t="str">
        <f t="shared" ref="Q249" si="78">BIN2HEX(LEFT(RIGHT(C249,32),4))&amp;BIN2HEX(LEFT(RIGHT(C249,28),4))&amp;BIN2HEX(LEFT(RIGHT(C249,24),4))&amp;BIN2HEX(LEFT(RIGHT(C249,20),4))&amp;BIN2HEX(LEFT(RIGHT(C249,16),4))&amp;BIN2HEX(LEFT(RIGHT(C249,12),4))&amp;BIN2HEX(LEFT(RIGHT(C249,8),4))&amp;BIN2HEX(LEFT(RIGHT(C249,4),4))</f>
        <v>00841FDF</v>
      </c>
    </row>
    <row r="250" spans="1:17">
      <c r="A250" s="71"/>
      <c r="B250" s="71"/>
      <c r="C250" s="21" t="s">
        <v>203</v>
      </c>
      <c r="D250" s="21">
        <v>8</v>
      </c>
      <c r="E250" s="18" t="str">
        <f>IF(D250&gt;1,(31)&amp;":"&amp;(31-D250+1),(31-D250+1)&amp;":"&amp;(31-D250+1))</f>
        <v>31:24</v>
      </c>
      <c r="F250" s="21" t="s">
        <v>49</v>
      </c>
      <c r="G250" s="21" t="s">
        <v>203</v>
      </c>
      <c r="H250" s="23" t="s">
        <v>37</v>
      </c>
      <c r="I250" s="23" t="s">
        <v>36</v>
      </c>
      <c r="J250" s="23" t="s">
        <v>6</v>
      </c>
      <c r="K250" s="21"/>
      <c r="L250" s="38"/>
      <c r="M250" s="38"/>
      <c r="N250" s="38"/>
      <c r="O250" s="38"/>
      <c r="P250" s="38"/>
      <c r="Q250" s="38"/>
    </row>
    <row r="251" spans="1:17">
      <c r="A251" s="71"/>
      <c r="B251" s="71"/>
      <c r="C251" s="21" t="s">
        <v>303</v>
      </c>
      <c r="D251" s="21">
        <v>5</v>
      </c>
      <c r="E251" s="79" t="str">
        <f>(MID(str_cnvt(E250),SEARCH(":",str_cnvt(E250))+1,2)-1) &amp; ":" &amp; (MID(str_cnvt(E250),SEARCH(":",str_cnvt(E250))+1,2)-D251)</f>
        <v>23:19</v>
      </c>
      <c r="F251" s="21" t="s">
        <v>409</v>
      </c>
      <c r="G251" s="21" t="s">
        <v>423</v>
      </c>
      <c r="H251" s="23" t="s">
        <v>37</v>
      </c>
      <c r="I251" s="23" t="s">
        <v>36</v>
      </c>
      <c r="J251" s="23" t="s">
        <v>6</v>
      </c>
      <c r="K251" s="21"/>
      <c r="L251" s="38"/>
      <c r="M251" s="38"/>
      <c r="N251" s="38"/>
      <c r="O251" s="38"/>
      <c r="P251" s="38"/>
      <c r="Q251" s="38"/>
    </row>
    <row r="252" spans="1:17">
      <c r="A252" s="71"/>
      <c r="B252" s="71"/>
      <c r="C252" s="21" t="s">
        <v>304</v>
      </c>
      <c r="D252" s="21">
        <v>5</v>
      </c>
      <c r="E252" s="79" t="str">
        <f>(MID(str_cnvt(E251),SEARCH(":",str_cnvt(E251))+1,2)-1) &amp; ":" &amp; (MID(str_cnvt(E251),SEARCH(":",str_cnvt(E251))+1,2)-D252)</f>
        <v>18:14</v>
      </c>
      <c r="F252" s="21" t="s">
        <v>409</v>
      </c>
      <c r="G252" s="21" t="s">
        <v>424</v>
      </c>
      <c r="H252" s="23" t="s">
        <v>37</v>
      </c>
      <c r="I252" s="23" t="s">
        <v>36</v>
      </c>
      <c r="J252" s="23" t="s">
        <v>6</v>
      </c>
      <c r="K252" s="21"/>
      <c r="L252" s="38"/>
      <c r="M252" s="38"/>
      <c r="N252" s="38"/>
      <c r="O252" s="38"/>
      <c r="P252" s="38"/>
      <c r="Q252" s="38"/>
    </row>
    <row r="253" spans="1:17">
      <c r="A253" s="71"/>
      <c r="B253" s="71"/>
      <c r="C253" s="21" t="s">
        <v>305</v>
      </c>
      <c r="D253" s="21">
        <v>8</v>
      </c>
      <c r="E253" s="79" t="str">
        <f>(MID(str_cnvt(E252),SEARCH(":",str_cnvt(E252))+1,2)-1) &amp; ":" &amp; (MID(str_cnvt(E252),SEARCH(":",str_cnvt(E252))+1,2)-D253)</f>
        <v>13:6</v>
      </c>
      <c r="F253" s="21" t="s">
        <v>430</v>
      </c>
      <c r="G253" s="21" t="s">
        <v>437</v>
      </c>
      <c r="H253" s="23" t="s">
        <v>37</v>
      </c>
      <c r="I253" s="23" t="s">
        <v>36</v>
      </c>
      <c r="J253" s="23" t="s">
        <v>6</v>
      </c>
      <c r="K253" s="21"/>
      <c r="L253" s="38"/>
      <c r="M253" s="38"/>
      <c r="N253" s="38"/>
      <c r="O253" s="38"/>
      <c r="P253" s="38"/>
      <c r="Q253" s="38"/>
    </row>
    <row r="254" spans="1:17" ht="15" thickBot="1">
      <c r="A254" s="72"/>
      <c r="B254" s="72"/>
      <c r="C254" s="21" t="s">
        <v>306</v>
      </c>
      <c r="D254" s="21">
        <v>6</v>
      </c>
      <c r="E254" s="79" t="str">
        <f>(MID(str_cnvt(E253),SEARCH(":",str_cnvt(E253))+1,2)-1) &amp; ":" &amp; (MID(str_cnvt(E253),SEARCH(":",str_cnvt(E253))+1,2)-D254)</f>
        <v>5:0</v>
      </c>
      <c r="F254" s="21" t="s">
        <v>426</v>
      </c>
      <c r="G254" s="21" t="s">
        <v>425</v>
      </c>
      <c r="H254" s="23" t="s">
        <v>37</v>
      </c>
      <c r="I254" s="23" t="s">
        <v>36</v>
      </c>
      <c r="J254" s="23" t="s">
        <v>6</v>
      </c>
      <c r="K254" s="21"/>
      <c r="L254" s="38"/>
      <c r="M254" s="38"/>
      <c r="N254" s="38"/>
      <c r="O254" s="38"/>
      <c r="P254" s="38"/>
      <c r="Q254" s="38"/>
    </row>
    <row r="255" spans="1:17">
      <c r="A255" s="70" t="s">
        <v>308</v>
      </c>
      <c r="B255" s="70" t="s">
        <v>197</v>
      </c>
      <c r="C255" s="53" t="str">
        <f>bitConcat(F256:F261)</f>
        <v>32'b00011111011111011111011111011111</v>
      </c>
      <c r="D255" s="40"/>
      <c r="E255" s="40"/>
      <c r="F255" s="40"/>
      <c r="G255" s="40"/>
      <c r="H255" s="40"/>
      <c r="I255" s="40"/>
      <c r="J255" s="40"/>
      <c r="K255" s="41"/>
      <c r="L255" s="78" t="str">
        <f>DEC2HEX(_xlfn.BITLSHIFT(N255,7)+4*O255)</f>
        <v>58C</v>
      </c>
      <c r="M255" s="78"/>
      <c r="N255" s="78">
        <v>11</v>
      </c>
      <c r="O255" s="78">
        <v>3</v>
      </c>
      <c r="P255" s="78" t="str">
        <f>DEC2HEX(_xlfn.BITLSHIFT(N255,5)+O255*4)</f>
        <v>16C</v>
      </c>
      <c r="Q255" s="78" t="str">
        <f t="shared" ref="Q255" si="79">BIN2HEX(LEFT(RIGHT(C255,32),4))&amp;BIN2HEX(LEFT(RIGHT(C255,28),4))&amp;BIN2HEX(LEFT(RIGHT(C255,24),4))&amp;BIN2HEX(LEFT(RIGHT(C255,20),4))&amp;BIN2HEX(LEFT(RIGHT(C255,16),4))&amp;BIN2HEX(LEFT(RIGHT(C255,12),4))&amp;BIN2HEX(LEFT(RIGHT(C255,8),4))&amp;BIN2HEX(LEFT(RIGHT(C255,4),4))</f>
        <v>1F7DF7DF</v>
      </c>
    </row>
    <row r="256" spans="1:17">
      <c r="A256" s="71"/>
      <c r="B256" s="71" t="s">
        <v>197</v>
      </c>
      <c r="C256" s="21" t="s">
        <v>203</v>
      </c>
      <c r="D256" s="21">
        <v>2</v>
      </c>
      <c r="E256" s="18" t="str">
        <f>IF(D256&gt;1,(31)&amp;":"&amp;(31-D256+1),(31-D256+1)&amp;":"&amp;(31-D256+1))</f>
        <v>31:30</v>
      </c>
      <c r="F256" s="21" t="s">
        <v>41</v>
      </c>
      <c r="G256" s="21" t="s">
        <v>203</v>
      </c>
      <c r="H256" s="23" t="s">
        <v>37</v>
      </c>
      <c r="I256" s="23" t="s">
        <v>36</v>
      </c>
      <c r="J256" s="23" t="s">
        <v>6</v>
      </c>
      <c r="K256" s="21"/>
      <c r="L256" s="49"/>
      <c r="M256" s="49"/>
      <c r="N256" s="49"/>
      <c r="O256" s="49"/>
      <c r="P256" s="49"/>
      <c r="Q256" s="49"/>
    </row>
    <row r="257" spans="1:17">
      <c r="A257" s="71"/>
      <c r="B257" s="71"/>
      <c r="C257" s="21" t="s">
        <v>310</v>
      </c>
      <c r="D257" s="21">
        <v>6</v>
      </c>
      <c r="E257" s="79" t="str">
        <f>(MID(str_cnvt(E256),SEARCH(":",str_cnvt(E256))+1,2)-1) &amp; ":" &amp; (MID(str_cnvt(E256),SEARCH(":",str_cnvt(E256))+1,2)-D257)</f>
        <v>29:24</v>
      </c>
      <c r="F257" s="21" t="s">
        <v>426</v>
      </c>
      <c r="G257" s="21" t="s">
        <v>425</v>
      </c>
      <c r="H257" s="23" t="s">
        <v>37</v>
      </c>
      <c r="I257" s="23" t="s">
        <v>36</v>
      </c>
      <c r="J257" s="23" t="s">
        <v>6</v>
      </c>
      <c r="K257" s="21"/>
      <c r="L257" s="49"/>
      <c r="M257" s="49"/>
      <c r="N257" s="49"/>
      <c r="O257" s="49"/>
      <c r="P257" s="49"/>
      <c r="Q257" s="49"/>
    </row>
    <row r="258" spans="1:17">
      <c r="A258" s="71"/>
      <c r="B258" s="71"/>
      <c r="C258" s="21" t="s">
        <v>311</v>
      </c>
      <c r="D258" s="21">
        <v>6</v>
      </c>
      <c r="E258" s="79" t="str">
        <f>(MID(str_cnvt(E257),SEARCH(":",str_cnvt(E257))+1,2)-1) &amp; ":" &amp; (MID(str_cnvt(E257),SEARCH(":",str_cnvt(E257))+1,2)-D258)</f>
        <v>23:18</v>
      </c>
      <c r="F258" s="21" t="s">
        <v>426</v>
      </c>
      <c r="G258" s="21" t="s">
        <v>425</v>
      </c>
      <c r="H258" s="23" t="s">
        <v>37</v>
      </c>
      <c r="I258" s="23" t="s">
        <v>36</v>
      </c>
      <c r="J258" s="23" t="s">
        <v>6</v>
      </c>
      <c r="K258" s="21"/>
      <c r="L258" s="49"/>
      <c r="M258" s="49"/>
      <c r="N258" s="49"/>
      <c r="O258" s="49"/>
      <c r="P258" s="49"/>
      <c r="Q258" s="49"/>
    </row>
    <row r="259" spans="1:17">
      <c r="A259" s="71"/>
      <c r="B259" s="71"/>
      <c r="C259" s="21" t="s">
        <v>312</v>
      </c>
      <c r="D259" s="21">
        <v>6</v>
      </c>
      <c r="E259" s="79" t="str">
        <f>(MID(str_cnvt(E258),SEARCH(":",str_cnvt(E258))+1,2)-1) &amp; ":" &amp; (MID(str_cnvt(E258),SEARCH(":",str_cnvt(E258))+1,2)-D259)</f>
        <v>17:12</v>
      </c>
      <c r="F259" s="21" t="s">
        <v>426</v>
      </c>
      <c r="G259" s="21" t="s">
        <v>425</v>
      </c>
      <c r="H259" s="23" t="s">
        <v>37</v>
      </c>
      <c r="I259" s="23" t="s">
        <v>36</v>
      </c>
      <c r="J259" s="23" t="s">
        <v>6</v>
      </c>
      <c r="K259" s="21"/>
      <c r="L259" s="49"/>
      <c r="M259" s="49"/>
      <c r="N259" s="49"/>
      <c r="O259" s="49"/>
      <c r="P259" s="49"/>
      <c r="Q259" s="49"/>
    </row>
    <row r="260" spans="1:17">
      <c r="A260" s="71"/>
      <c r="B260" s="71"/>
      <c r="C260" s="21" t="s">
        <v>313</v>
      </c>
      <c r="D260" s="21">
        <v>6</v>
      </c>
      <c r="E260" s="79" t="str">
        <f>(MID(str_cnvt(E259),SEARCH(":",str_cnvt(E259))+1,2)-1) &amp; ":" &amp; (MID(str_cnvt(E259),SEARCH(":",str_cnvt(E259))+1,2)-D260)</f>
        <v>11:6</v>
      </c>
      <c r="F260" s="21" t="s">
        <v>426</v>
      </c>
      <c r="G260" s="21" t="s">
        <v>425</v>
      </c>
      <c r="H260" s="23" t="s">
        <v>37</v>
      </c>
      <c r="I260" s="23" t="s">
        <v>36</v>
      </c>
      <c r="J260" s="23" t="s">
        <v>6</v>
      </c>
      <c r="K260" s="21"/>
      <c r="L260" s="49"/>
      <c r="M260" s="49"/>
      <c r="N260" s="49"/>
      <c r="O260" s="49"/>
      <c r="P260" s="49"/>
      <c r="Q260" s="49"/>
    </row>
    <row r="261" spans="1:17" ht="15" thickBot="1">
      <c r="A261" s="72"/>
      <c r="B261" s="72"/>
      <c r="C261" s="21" t="s">
        <v>309</v>
      </c>
      <c r="D261" s="21">
        <v>6</v>
      </c>
      <c r="E261" s="79" t="str">
        <f>(MID(str_cnvt(E260),SEARCH(":",str_cnvt(E260))+1,2)-1) &amp; ":" &amp; (MID(str_cnvt(E260),SEARCH(":",str_cnvt(E260))+1,2)-D261)</f>
        <v>5:0</v>
      </c>
      <c r="F261" s="21" t="s">
        <v>426</v>
      </c>
      <c r="G261" s="21" t="s">
        <v>425</v>
      </c>
      <c r="H261" s="23" t="s">
        <v>37</v>
      </c>
      <c r="I261" s="23" t="s">
        <v>36</v>
      </c>
      <c r="J261" s="23" t="s">
        <v>6</v>
      </c>
      <c r="K261" s="21"/>
      <c r="L261" s="49"/>
      <c r="M261" s="49"/>
      <c r="N261" s="49"/>
      <c r="O261" s="49"/>
      <c r="P261" s="49"/>
      <c r="Q261" s="49"/>
    </row>
    <row r="262" spans="1:17">
      <c r="A262" s="70" t="s">
        <v>319</v>
      </c>
      <c r="B262" s="60">
        <v>10</v>
      </c>
      <c r="C262" s="53" t="str">
        <f>bitConcat(F263:F268)</f>
        <v>32'b00011111011111011111011111011111</v>
      </c>
      <c r="D262" s="40"/>
      <c r="E262" s="40"/>
      <c r="F262" s="40"/>
      <c r="G262" s="40"/>
      <c r="H262" s="40"/>
      <c r="I262" s="40"/>
      <c r="J262" s="40"/>
      <c r="K262" s="41"/>
      <c r="L262" s="78" t="str">
        <f>DEC2HEX(_xlfn.BITLSHIFT(N262,7)+4*O262)</f>
        <v>590</v>
      </c>
      <c r="M262" s="78"/>
      <c r="N262" s="78">
        <v>11</v>
      </c>
      <c r="O262" s="78">
        <v>4</v>
      </c>
      <c r="P262" s="78" t="str">
        <f>DEC2HEX(_xlfn.BITLSHIFT(N262,5)+O262*4)</f>
        <v>170</v>
      </c>
      <c r="Q262" s="78" t="str">
        <f t="shared" ref="Q262" si="80">BIN2HEX(LEFT(RIGHT(C262,32),4))&amp;BIN2HEX(LEFT(RIGHT(C262,28),4))&amp;BIN2HEX(LEFT(RIGHT(C262,24),4))&amp;BIN2HEX(LEFT(RIGHT(C262,20),4))&amp;BIN2HEX(LEFT(RIGHT(C262,16),4))&amp;BIN2HEX(LEFT(RIGHT(C262,12),4))&amp;BIN2HEX(LEFT(RIGHT(C262,8),4))&amp;BIN2HEX(LEFT(RIGHT(C262,4),4))</f>
        <v>1F7DF7DF</v>
      </c>
    </row>
    <row r="263" spans="1:17">
      <c r="A263" s="71"/>
      <c r="B263" s="61"/>
      <c r="C263" s="21" t="s">
        <v>203</v>
      </c>
      <c r="D263" s="21">
        <v>2</v>
      </c>
      <c r="E263" s="18" t="str">
        <f>IF(D263&gt;1,(31)&amp;":"&amp;(31-D263+1),(31-D263+1)&amp;":"&amp;(31-D263+1))</f>
        <v>31:30</v>
      </c>
      <c r="F263" s="21" t="s">
        <v>41</v>
      </c>
      <c r="G263" s="21" t="s">
        <v>203</v>
      </c>
      <c r="H263" s="23" t="s">
        <v>37</v>
      </c>
      <c r="I263" s="23" t="s">
        <v>36</v>
      </c>
      <c r="J263" s="23" t="s">
        <v>6</v>
      </c>
      <c r="K263" s="21"/>
      <c r="L263" s="49"/>
      <c r="M263" s="49"/>
      <c r="N263" s="49"/>
      <c r="O263" s="49"/>
      <c r="P263" s="49"/>
      <c r="Q263" s="49"/>
    </row>
    <row r="264" spans="1:17">
      <c r="A264" s="71"/>
      <c r="B264" s="61"/>
      <c r="C264" s="21" t="s">
        <v>314</v>
      </c>
      <c r="D264" s="21">
        <v>6</v>
      </c>
      <c r="E264" s="79" t="str">
        <f>(MID(str_cnvt(E263),SEARCH(":",str_cnvt(E263))+1,2)-1) &amp; ":" &amp; (MID(str_cnvt(E263),SEARCH(":",str_cnvt(E263))+1,2)-D264)</f>
        <v>29:24</v>
      </c>
      <c r="F264" s="21" t="s">
        <v>426</v>
      </c>
      <c r="G264" s="21" t="s">
        <v>425</v>
      </c>
      <c r="H264" s="23" t="s">
        <v>37</v>
      </c>
      <c r="I264" s="23" t="s">
        <v>36</v>
      </c>
      <c r="J264" s="23" t="s">
        <v>6</v>
      </c>
      <c r="K264" s="21"/>
      <c r="L264" s="49"/>
      <c r="M264" s="49"/>
      <c r="N264" s="49"/>
      <c r="O264" s="49"/>
      <c r="P264" s="49"/>
      <c r="Q264" s="49"/>
    </row>
    <row r="265" spans="1:17">
      <c r="A265" s="71"/>
      <c r="B265" s="61"/>
      <c r="C265" s="21" t="s">
        <v>315</v>
      </c>
      <c r="D265" s="21">
        <v>6</v>
      </c>
      <c r="E265" s="79" t="str">
        <f>(MID(str_cnvt(E264),SEARCH(":",str_cnvt(E264))+1,2)-1) &amp; ":" &amp; (MID(str_cnvt(E264),SEARCH(":",str_cnvt(E264))+1,2)-D265)</f>
        <v>23:18</v>
      </c>
      <c r="F265" s="21" t="s">
        <v>426</v>
      </c>
      <c r="G265" s="21" t="s">
        <v>425</v>
      </c>
      <c r="H265" s="23" t="s">
        <v>37</v>
      </c>
      <c r="I265" s="23" t="s">
        <v>36</v>
      </c>
      <c r="J265" s="23" t="s">
        <v>6</v>
      </c>
      <c r="K265" s="21"/>
      <c r="L265" s="49"/>
      <c r="M265" s="49"/>
      <c r="N265" s="49"/>
      <c r="O265" s="49"/>
      <c r="P265" s="49"/>
      <c r="Q265" s="49"/>
    </row>
    <row r="266" spans="1:17">
      <c r="A266" s="71"/>
      <c r="B266" s="61"/>
      <c r="C266" s="21" t="s">
        <v>316</v>
      </c>
      <c r="D266" s="21">
        <v>6</v>
      </c>
      <c r="E266" s="79" t="str">
        <f>(MID(str_cnvt(E265),SEARCH(":",str_cnvt(E265))+1,2)-1) &amp; ":" &amp; (MID(str_cnvt(E265),SEARCH(":",str_cnvt(E265))+1,2)-D266)</f>
        <v>17:12</v>
      </c>
      <c r="F266" s="21" t="s">
        <v>426</v>
      </c>
      <c r="G266" s="21" t="s">
        <v>425</v>
      </c>
      <c r="H266" s="23" t="s">
        <v>37</v>
      </c>
      <c r="I266" s="23" t="s">
        <v>36</v>
      </c>
      <c r="J266" s="23" t="s">
        <v>6</v>
      </c>
      <c r="K266" s="21"/>
      <c r="L266" s="49"/>
      <c r="M266" s="49"/>
      <c r="N266" s="49"/>
      <c r="O266" s="49"/>
      <c r="P266" s="49"/>
      <c r="Q266" s="49"/>
    </row>
    <row r="267" spans="1:17">
      <c r="A267" s="71"/>
      <c r="B267" s="61"/>
      <c r="C267" s="21" t="s">
        <v>317</v>
      </c>
      <c r="D267" s="21">
        <v>6</v>
      </c>
      <c r="E267" s="79" t="str">
        <f>(MID(str_cnvt(E266),SEARCH(":",str_cnvt(E266))+1,2)-1) &amp; ":" &amp; (MID(str_cnvt(E266),SEARCH(":",str_cnvt(E266))+1,2)-D267)</f>
        <v>11:6</v>
      </c>
      <c r="F267" s="21" t="s">
        <v>426</v>
      </c>
      <c r="G267" s="21" t="s">
        <v>425</v>
      </c>
      <c r="H267" s="23" t="s">
        <v>37</v>
      </c>
      <c r="I267" s="23" t="s">
        <v>36</v>
      </c>
      <c r="J267" s="23" t="s">
        <v>6</v>
      </c>
      <c r="K267" s="21"/>
      <c r="L267" s="49"/>
      <c r="M267" s="49"/>
      <c r="N267" s="49"/>
      <c r="O267" s="49"/>
      <c r="P267" s="49"/>
      <c r="Q267" s="49"/>
    </row>
    <row r="268" spans="1:17" ht="15" thickBot="1">
      <c r="A268" s="72"/>
      <c r="B268" s="62"/>
      <c r="C268" s="21" t="s">
        <v>318</v>
      </c>
      <c r="D268" s="21">
        <v>6</v>
      </c>
      <c r="E268" s="79" t="str">
        <f>(MID(str_cnvt(E267),SEARCH(":",str_cnvt(E267))+1,2)-1) &amp; ":" &amp; (MID(str_cnvt(E267),SEARCH(":",str_cnvt(E267))+1,2)-D268)</f>
        <v>5:0</v>
      </c>
      <c r="F268" s="21" t="s">
        <v>426</v>
      </c>
      <c r="G268" s="21" t="s">
        <v>425</v>
      </c>
      <c r="H268" s="23" t="s">
        <v>37</v>
      </c>
      <c r="I268" s="23" t="s">
        <v>36</v>
      </c>
      <c r="J268" s="23" t="s">
        <v>6</v>
      </c>
      <c r="K268" s="21"/>
      <c r="L268" s="49"/>
      <c r="M268" s="49"/>
      <c r="N268" s="49"/>
      <c r="O268" s="49"/>
      <c r="P268" s="49"/>
      <c r="Q268" s="49"/>
    </row>
    <row r="269" spans="1:17">
      <c r="A269" s="70" t="s">
        <v>320</v>
      </c>
      <c r="B269" s="70">
        <v>14</v>
      </c>
      <c r="C269" s="40" t="str">
        <f>bitConcat(F270:F275)</f>
        <v>32'b00011111011111011111011111011111</v>
      </c>
      <c r="D269" s="40"/>
      <c r="E269" s="40"/>
      <c r="F269" s="40"/>
      <c r="G269" s="40"/>
      <c r="H269" s="40"/>
      <c r="I269" s="40"/>
      <c r="J269" s="40"/>
      <c r="K269" s="41"/>
      <c r="L269" s="78" t="str">
        <f>DEC2HEX(_xlfn.BITLSHIFT(N269,7)+4*O269)</f>
        <v>594</v>
      </c>
      <c r="M269" s="78"/>
      <c r="N269" s="78">
        <v>11</v>
      </c>
      <c r="O269" s="78">
        <v>5</v>
      </c>
      <c r="P269" s="78" t="str">
        <f>DEC2HEX(_xlfn.BITLSHIFT(N269,5)+O269*4)</f>
        <v>174</v>
      </c>
      <c r="Q269" s="78" t="str">
        <f t="shared" ref="Q269" si="81">BIN2HEX(LEFT(RIGHT(C269,32),4))&amp;BIN2HEX(LEFT(RIGHT(C269,28),4))&amp;BIN2HEX(LEFT(RIGHT(C269,24),4))&amp;BIN2HEX(LEFT(RIGHT(C269,20),4))&amp;BIN2HEX(LEFT(RIGHT(C269,16),4))&amp;BIN2HEX(LEFT(RIGHT(C269,12),4))&amp;BIN2HEX(LEFT(RIGHT(C269,8),4))&amp;BIN2HEX(LEFT(RIGHT(C269,4),4))</f>
        <v>1F7DF7DF</v>
      </c>
    </row>
    <row r="270" spans="1:17">
      <c r="A270" s="71"/>
      <c r="B270" s="71"/>
      <c r="C270" s="18" t="s">
        <v>203</v>
      </c>
      <c r="D270" s="21">
        <v>2</v>
      </c>
      <c r="E270" s="18" t="str">
        <f>IF(D270&gt;1,(31)&amp;":"&amp;(31-D270+1),(31-D270+1)&amp;":"&amp;(31-D270+1))</f>
        <v>31:30</v>
      </c>
      <c r="F270" s="21" t="s">
        <v>41</v>
      </c>
      <c r="G270" s="21" t="s">
        <v>203</v>
      </c>
      <c r="H270" s="23" t="s">
        <v>37</v>
      </c>
      <c r="I270" s="23" t="s">
        <v>36</v>
      </c>
      <c r="J270" s="23" t="s">
        <v>6</v>
      </c>
      <c r="K270" s="21"/>
      <c r="L270" s="49"/>
      <c r="M270" s="49"/>
      <c r="N270" s="49"/>
      <c r="O270" s="49"/>
      <c r="P270" s="49"/>
      <c r="Q270" s="49"/>
    </row>
    <row r="271" spans="1:17">
      <c r="A271" s="71"/>
      <c r="B271" s="71"/>
      <c r="C271" s="18" t="s">
        <v>321</v>
      </c>
      <c r="D271" s="21">
        <v>6</v>
      </c>
      <c r="E271" s="79" t="str">
        <f>(MID(str_cnvt(E270),SEARCH(":",str_cnvt(E270))+1,2)-1) &amp; ":" &amp; (MID(str_cnvt(E270),SEARCH(":",str_cnvt(E270))+1,2)-D271)</f>
        <v>29:24</v>
      </c>
      <c r="F271" s="21" t="s">
        <v>426</v>
      </c>
      <c r="G271" s="21" t="s">
        <v>425</v>
      </c>
      <c r="H271" s="23" t="s">
        <v>37</v>
      </c>
      <c r="I271" s="23" t="s">
        <v>36</v>
      </c>
      <c r="J271" s="23" t="s">
        <v>6</v>
      </c>
      <c r="K271" s="21"/>
      <c r="L271" s="49"/>
      <c r="M271" s="49"/>
      <c r="N271" s="49"/>
      <c r="O271" s="49"/>
      <c r="P271" s="49"/>
      <c r="Q271" s="49"/>
    </row>
    <row r="272" spans="1:17">
      <c r="A272" s="71"/>
      <c r="B272" s="71"/>
      <c r="C272" s="18" t="s">
        <v>322</v>
      </c>
      <c r="D272" s="21">
        <v>6</v>
      </c>
      <c r="E272" s="79" t="str">
        <f>(MID(str_cnvt(E271),SEARCH(":",str_cnvt(E271))+1,2)-1) &amp; ":" &amp; (MID(str_cnvt(E271),SEARCH(":",str_cnvt(E271))+1,2)-D272)</f>
        <v>23:18</v>
      </c>
      <c r="F272" s="21" t="s">
        <v>426</v>
      </c>
      <c r="G272" s="21" t="s">
        <v>425</v>
      </c>
      <c r="H272" s="23" t="s">
        <v>37</v>
      </c>
      <c r="I272" s="23" t="s">
        <v>36</v>
      </c>
      <c r="J272" s="23" t="s">
        <v>6</v>
      </c>
      <c r="K272" s="21"/>
      <c r="L272" s="49"/>
      <c r="M272" s="49"/>
      <c r="N272" s="49"/>
      <c r="O272" s="49"/>
      <c r="P272" s="49"/>
      <c r="Q272" s="49"/>
    </row>
    <row r="273" spans="1:17">
      <c r="A273" s="71"/>
      <c r="B273" s="71"/>
      <c r="C273" s="18" t="s">
        <v>323</v>
      </c>
      <c r="D273" s="21">
        <v>6</v>
      </c>
      <c r="E273" s="79" t="str">
        <f>(MID(str_cnvt(E272),SEARCH(":",str_cnvt(E272))+1,2)-1) &amp; ":" &amp; (MID(str_cnvt(E272),SEARCH(":",str_cnvt(E272))+1,2)-D273)</f>
        <v>17:12</v>
      </c>
      <c r="F273" s="21" t="s">
        <v>426</v>
      </c>
      <c r="G273" s="21" t="s">
        <v>425</v>
      </c>
      <c r="H273" s="23" t="s">
        <v>37</v>
      </c>
      <c r="I273" s="23" t="s">
        <v>36</v>
      </c>
      <c r="J273" s="23" t="s">
        <v>6</v>
      </c>
      <c r="K273" s="21"/>
      <c r="L273" s="49"/>
      <c r="M273" s="49"/>
      <c r="N273" s="49"/>
      <c r="O273" s="49"/>
      <c r="P273" s="49"/>
      <c r="Q273" s="49"/>
    </row>
    <row r="274" spans="1:17">
      <c r="A274" s="71"/>
      <c r="B274" s="71"/>
      <c r="C274" s="18" t="s">
        <v>324</v>
      </c>
      <c r="D274" s="21">
        <v>6</v>
      </c>
      <c r="E274" s="79" t="str">
        <f>(MID(str_cnvt(E273),SEARCH(":",str_cnvt(E273))+1,2)-1) &amp; ":" &amp; (MID(str_cnvt(E273),SEARCH(":",str_cnvt(E273))+1,2)-D274)</f>
        <v>11:6</v>
      </c>
      <c r="F274" s="21" t="s">
        <v>426</v>
      </c>
      <c r="G274" s="21" t="s">
        <v>425</v>
      </c>
      <c r="H274" s="23" t="s">
        <v>37</v>
      </c>
      <c r="I274" s="23" t="s">
        <v>36</v>
      </c>
      <c r="J274" s="23" t="s">
        <v>6</v>
      </c>
      <c r="K274" s="21"/>
      <c r="L274" s="49"/>
      <c r="M274" s="49"/>
      <c r="N274" s="49"/>
      <c r="O274" s="49"/>
      <c r="P274" s="49"/>
      <c r="Q274" s="49"/>
    </row>
    <row r="275" spans="1:17" ht="15" thickBot="1">
      <c r="A275" s="72"/>
      <c r="B275" s="72"/>
      <c r="C275" s="18" t="s">
        <v>325</v>
      </c>
      <c r="D275" s="21">
        <v>6</v>
      </c>
      <c r="E275" s="79" t="str">
        <f>(MID(str_cnvt(E274),SEARCH(":",str_cnvt(E274))+1,2)-1) &amp; ":" &amp; (MID(str_cnvt(E274),SEARCH(":",str_cnvt(E274))+1,2)-D275)</f>
        <v>5:0</v>
      </c>
      <c r="F275" s="21" t="s">
        <v>426</v>
      </c>
      <c r="G275" s="21" t="s">
        <v>425</v>
      </c>
      <c r="H275" s="23" t="s">
        <v>37</v>
      </c>
      <c r="I275" s="23" t="s">
        <v>36</v>
      </c>
      <c r="J275" s="23" t="s">
        <v>6</v>
      </c>
      <c r="K275" s="21"/>
      <c r="L275" s="49"/>
      <c r="M275" s="49"/>
      <c r="N275" s="49"/>
      <c r="O275" s="49"/>
      <c r="P275" s="49"/>
      <c r="Q275" s="49"/>
    </row>
    <row r="276" spans="1:17">
      <c r="A276" s="43" t="s">
        <v>326</v>
      </c>
      <c r="B276" s="43">
        <v>18</v>
      </c>
      <c r="C276" s="53" t="str">
        <f>bitConcat(F277:F284)</f>
        <v>32'b00000000000000000000000000000000</v>
      </c>
      <c r="D276" s="40"/>
      <c r="E276" s="40"/>
      <c r="F276" s="40"/>
      <c r="G276" s="40"/>
      <c r="H276" s="40"/>
      <c r="I276" s="40"/>
      <c r="J276" s="40"/>
      <c r="K276" s="41"/>
      <c r="L276" s="78" t="str">
        <f>DEC2HEX(_xlfn.BITLSHIFT(N276,7)+4*O276)</f>
        <v>598</v>
      </c>
      <c r="M276" s="78"/>
      <c r="N276" s="78">
        <v>11</v>
      </c>
      <c r="O276" s="78">
        <v>6</v>
      </c>
      <c r="P276" s="78" t="str">
        <f>DEC2HEX(_xlfn.BITLSHIFT(N276,5)+O276*4)</f>
        <v>178</v>
      </c>
      <c r="Q276" s="78" t="str">
        <f t="shared" ref="Q276" si="82">BIN2HEX(LEFT(RIGHT(C276,32),4))&amp;BIN2HEX(LEFT(RIGHT(C276,28),4))&amp;BIN2HEX(LEFT(RIGHT(C276,24),4))&amp;BIN2HEX(LEFT(RIGHT(C276,20),4))&amp;BIN2HEX(LEFT(RIGHT(C276,16),4))&amp;BIN2HEX(LEFT(RIGHT(C276,12),4))&amp;BIN2HEX(LEFT(RIGHT(C276,8),4))&amp;BIN2HEX(LEFT(RIGHT(C276,4),4))</f>
        <v>00000000</v>
      </c>
    </row>
    <row r="277" spans="1:17">
      <c r="A277" s="43"/>
      <c r="B277" s="43"/>
      <c r="C277" s="21" t="s">
        <v>327</v>
      </c>
      <c r="D277" s="21">
        <v>9</v>
      </c>
      <c r="E277" s="18" t="str">
        <f>IF(D277&gt;1,(31)&amp;":"&amp;(31-D277+1),(31-D277+1)&amp;":"&amp;(31-D277+1))</f>
        <v>31:23</v>
      </c>
      <c r="F277" s="21" t="s">
        <v>50</v>
      </c>
      <c r="G277" s="21" t="s">
        <v>203</v>
      </c>
      <c r="H277" s="23" t="s">
        <v>37</v>
      </c>
      <c r="I277" s="23" t="s">
        <v>36</v>
      </c>
      <c r="J277" s="23" t="s">
        <v>6</v>
      </c>
      <c r="K277" s="21"/>
      <c r="L277" s="49"/>
      <c r="M277" s="49"/>
      <c r="N277" s="49"/>
      <c r="O277" s="49"/>
      <c r="P277" s="49"/>
      <c r="Q277" s="49"/>
    </row>
    <row r="278" spans="1:17">
      <c r="A278" s="43"/>
      <c r="B278" s="43"/>
      <c r="C278" s="21" t="s">
        <v>328</v>
      </c>
      <c r="D278" s="21">
        <v>1</v>
      </c>
      <c r="E278" s="79" t="str">
        <f>(MID(str_cnvt(E277),SEARCH(":",str_cnvt(E277))+1,2)-1) &amp; ":" &amp; (MID(str_cnvt(E277),SEARCH(":",str_cnvt(E277))+1,2)-D278)</f>
        <v>22:22</v>
      </c>
      <c r="F278" s="21" t="s">
        <v>7</v>
      </c>
      <c r="G278" s="21" t="s">
        <v>439</v>
      </c>
      <c r="H278" s="23" t="s">
        <v>37</v>
      </c>
      <c r="I278" s="23" t="s">
        <v>36</v>
      </c>
      <c r="J278" s="23" t="s">
        <v>6</v>
      </c>
      <c r="K278" s="21"/>
      <c r="L278" s="49"/>
      <c r="M278" s="49"/>
      <c r="N278" s="49"/>
      <c r="O278" s="49"/>
      <c r="P278" s="49"/>
      <c r="Q278" s="49"/>
    </row>
    <row r="279" spans="1:17">
      <c r="A279" s="43"/>
      <c r="B279" s="43"/>
      <c r="C279" s="21" t="s">
        <v>329</v>
      </c>
      <c r="D279" s="21">
        <v>3</v>
      </c>
      <c r="E279" s="79" t="str">
        <f>(MID(str_cnvt(E278),SEARCH(":",str_cnvt(E278))+1,2)-1) &amp; ":" &amp; (MID(str_cnvt(E278),SEARCH(":",str_cnvt(E278))+1,2)-D279)</f>
        <v>21:19</v>
      </c>
      <c r="F279" s="21" t="s">
        <v>42</v>
      </c>
      <c r="G279" s="21" t="s">
        <v>442</v>
      </c>
      <c r="H279" s="23" t="s">
        <v>37</v>
      </c>
      <c r="I279" s="23" t="s">
        <v>36</v>
      </c>
      <c r="J279" s="23" t="s">
        <v>6</v>
      </c>
      <c r="K279" s="21"/>
      <c r="L279" s="49"/>
      <c r="M279" s="49"/>
      <c r="N279" s="49"/>
      <c r="O279" s="49"/>
      <c r="P279" s="49"/>
      <c r="Q279" s="49"/>
    </row>
    <row r="280" spans="1:17">
      <c r="A280" s="43"/>
      <c r="B280" s="43"/>
      <c r="C280" s="21" t="s">
        <v>330</v>
      </c>
      <c r="D280" s="21">
        <v>3</v>
      </c>
      <c r="E280" s="79" t="str">
        <f>(MID(str_cnvt(E279),SEARCH(":",str_cnvt(E279))+1,2)-1) &amp; ":" &amp; (MID(str_cnvt(E279),SEARCH(":",str_cnvt(E279))+1,2)-D280)</f>
        <v>18:16</v>
      </c>
      <c r="F280" s="21" t="s">
        <v>42</v>
      </c>
      <c r="G280" s="21" t="s">
        <v>443</v>
      </c>
      <c r="H280" s="23" t="s">
        <v>37</v>
      </c>
      <c r="I280" s="23" t="s">
        <v>36</v>
      </c>
      <c r="J280" s="23" t="s">
        <v>6</v>
      </c>
      <c r="K280" s="21"/>
      <c r="L280" s="49"/>
      <c r="M280" s="49"/>
      <c r="N280" s="49"/>
      <c r="O280" s="49"/>
      <c r="P280" s="49"/>
      <c r="Q280" s="49"/>
    </row>
    <row r="281" spans="1:17">
      <c r="A281" s="43"/>
      <c r="B281" s="43"/>
      <c r="C281" s="21" t="s">
        <v>331</v>
      </c>
      <c r="D281" s="21">
        <v>1</v>
      </c>
      <c r="E281" s="79" t="str">
        <f>(MID(str_cnvt(E280),SEARCH(":",str_cnvt(E280))+1,2)-1) &amp; ":" &amp; (MID(str_cnvt(E280),SEARCH(":",str_cnvt(E280))+1,2)-D281)</f>
        <v>15:15</v>
      </c>
      <c r="F281" s="21" t="s">
        <v>7</v>
      </c>
      <c r="G281" s="21" t="s">
        <v>441</v>
      </c>
      <c r="H281" s="23" t="s">
        <v>37</v>
      </c>
      <c r="I281" s="23" t="s">
        <v>36</v>
      </c>
      <c r="J281" s="23" t="s">
        <v>6</v>
      </c>
      <c r="K281" s="21"/>
      <c r="L281" s="49"/>
      <c r="M281" s="49"/>
      <c r="N281" s="49"/>
      <c r="O281" s="49"/>
      <c r="P281" s="49"/>
      <c r="Q281" s="49"/>
    </row>
    <row r="282" spans="1:17">
      <c r="A282" s="43"/>
      <c r="B282" s="43"/>
      <c r="C282" s="21" t="s">
        <v>332</v>
      </c>
      <c r="D282" s="21">
        <v>7</v>
      </c>
      <c r="E282" s="79" t="str">
        <f>(MID(str_cnvt(E281),SEARCH(":",str_cnvt(E281))+1,2)-1) &amp; ":" &amp; (MID(str_cnvt(E281),SEARCH(":",str_cnvt(E281))+1,2)-D282)</f>
        <v>14:8</v>
      </c>
      <c r="F282" s="21" t="s">
        <v>51</v>
      </c>
      <c r="G282" s="21" t="s">
        <v>440</v>
      </c>
      <c r="H282" s="23" t="s">
        <v>37</v>
      </c>
      <c r="I282" s="23" t="s">
        <v>36</v>
      </c>
      <c r="J282" s="23" t="s">
        <v>6</v>
      </c>
      <c r="K282" s="21"/>
      <c r="L282" s="49"/>
      <c r="M282" s="49"/>
      <c r="N282" s="49"/>
      <c r="O282" s="49"/>
      <c r="P282" s="49"/>
      <c r="Q282" s="49"/>
    </row>
    <row r="283" spans="1:17">
      <c r="A283" s="43"/>
      <c r="B283" s="43"/>
      <c r="C283" s="21" t="s">
        <v>333</v>
      </c>
      <c r="D283" s="21">
        <v>1</v>
      </c>
      <c r="E283" s="79" t="str">
        <f>(MID(str_cnvt(E282),SEARCH(":",str_cnvt(E282))+1,2)-1) &amp; ":" &amp; (MID(str_cnvt(E282),SEARCH(":",str_cnvt(E282))+1,2)-D283)</f>
        <v>7:7</v>
      </c>
      <c r="F283" s="21" t="s">
        <v>7</v>
      </c>
      <c r="G283" s="21" t="s">
        <v>441</v>
      </c>
      <c r="H283" s="23" t="s">
        <v>37</v>
      </c>
      <c r="I283" s="23" t="s">
        <v>36</v>
      </c>
      <c r="J283" s="23" t="s">
        <v>6</v>
      </c>
      <c r="K283" s="21"/>
      <c r="L283" s="49"/>
      <c r="M283" s="49"/>
      <c r="N283" s="49"/>
      <c r="O283" s="49"/>
      <c r="P283" s="49"/>
      <c r="Q283" s="49"/>
    </row>
    <row r="284" spans="1:17" ht="15" thickBot="1">
      <c r="A284" s="44"/>
      <c r="B284" s="44"/>
      <c r="C284" s="21" t="s">
        <v>334</v>
      </c>
      <c r="D284" s="21">
        <v>7</v>
      </c>
      <c r="E284" s="79" t="str">
        <f>(MID(str_cnvt(E283),SEARCH(":",str_cnvt(E283))+1,2)-1) &amp; ":" &amp; (MID(str_cnvt(E283),SEARCH(":",str_cnvt(E283))+1,2)-D284)</f>
        <v>6:0</v>
      </c>
      <c r="F284" s="21" t="s">
        <v>51</v>
      </c>
      <c r="G284" s="21" t="s">
        <v>440</v>
      </c>
      <c r="H284" s="23" t="s">
        <v>37</v>
      </c>
      <c r="I284" s="23" t="s">
        <v>36</v>
      </c>
      <c r="J284" s="23" t="s">
        <v>6</v>
      </c>
      <c r="K284" s="21"/>
      <c r="L284" s="49"/>
      <c r="M284" s="49"/>
      <c r="N284" s="49"/>
      <c r="O284" s="49"/>
      <c r="P284" s="49"/>
      <c r="Q284" s="49"/>
    </row>
    <row r="285" spans="1:17">
      <c r="A285" s="70" t="s">
        <v>335</v>
      </c>
      <c r="B285" s="70" t="s">
        <v>198</v>
      </c>
      <c r="C285" s="53" t="str">
        <f>bitConcat(F286:F286)</f>
        <v>32'b00000000000000000000000000000000</v>
      </c>
      <c r="D285" s="40"/>
      <c r="E285" s="40"/>
      <c r="F285" s="40"/>
      <c r="G285" s="40"/>
      <c r="H285" s="40"/>
      <c r="I285" s="40"/>
      <c r="J285" s="40"/>
      <c r="K285" s="41"/>
      <c r="L285" s="33" t="str">
        <f>DEC2HEX(_xlfn.BITLSHIFT(N285,7)+4*O285)</f>
        <v>59C</v>
      </c>
      <c r="M285" s="33"/>
      <c r="N285" s="37">
        <v>11</v>
      </c>
      <c r="O285" s="37">
        <v>7</v>
      </c>
      <c r="P285" s="54" t="str">
        <f>DEC2HEX(_xlfn.BITLSHIFT(N285,5)+O285*4)</f>
        <v>17C</v>
      </c>
      <c r="Q285" s="51" t="str">
        <f t="shared" ref="Q285" si="83">BIN2HEX(LEFT(RIGHT(C285,32),4))&amp;BIN2HEX(LEFT(RIGHT(C285,28),4))&amp;BIN2HEX(LEFT(RIGHT(C285,24),4))&amp;BIN2HEX(LEFT(RIGHT(C285,20),4))&amp;BIN2HEX(LEFT(RIGHT(C285,16),4))&amp;BIN2HEX(LEFT(RIGHT(C285,12),4))&amp;BIN2HEX(LEFT(RIGHT(C285,8),4))&amp;BIN2HEX(LEFT(RIGHT(C285,4),4))</f>
        <v>00000000</v>
      </c>
    </row>
    <row r="286" spans="1:17" ht="15" thickBot="1">
      <c r="A286" s="71"/>
      <c r="B286" s="71"/>
      <c r="C286" s="21" t="s">
        <v>203</v>
      </c>
      <c r="D286" s="18">
        <v>32</v>
      </c>
      <c r="E286" s="18" t="str">
        <f>IF(D286&gt;1,(31)&amp;":"&amp;(31-D286+1),(31-D286+1)&amp;":"&amp;(31-D286+1))</f>
        <v>31:0</v>
      </c>
      <c r="F286" s="18" t="s">
        <v>57</v>
      </c>
      <c r="G286" s="22" t="s">
        <v>196</v>
      </c>
      <c r="H286" s="23" t="s">
        <v>37</v>
      </c>
      <c r="I286" s="24" t="s">
        <v>36</v>
      </c>
      <c r="J286" s="25" t="s">
        <v>6</v>
      </c>
      <c r="K286" s="22"/>
      <c r="L286" s="16"/>
      <c r="M286" s="16"/>
      <c r="N286" s="39"/>
      <c r="O286" s="39"/>
      <c r="P286" s="55"/>
      <c r="Q286" s="52"/>
    </row>
    <row r="287" spans="1:17">
      <c r="A287" s="70" t="s">
        <v>336</v>
      </c>
      <c r="B287" s="70">
        <v>20</v>
      </c>
      <c r="C287" s="53" t="str">
        <f>bitConcat(F288:F292)</f>
        <v>32'b00000000100000100000100000100000</v>
      </c>
      <c r="D287" s="40"/>
      <c r="E287" s="40"/>
      <c r="F287" s="40"/>
      <c r="G287" s="40"/>
      <c r="H287" s="40"/>
      <c r="I287" s="40"/>
      <c r="J287" s="40"/>
      <c r="K287" s="41"/>
      <c r="L287" s="54" t="str">
        <f>DEC2HEX(_xlfn.BITLSHIFT(N287,7)+4*O287)</f>
        <v>5A0</v>
      </c>
      <c r="M287" s="54"/>
      <c r="N287" s="54">
        <v>11</v>
      </c>
      <c r="O287" s="54">
        <v>8</v>
      </c>
      <c r="P287" s="54" t="str">
        <f>DEC2HEX(_xlfn.BITLSHIFT(N287,5)+O287*4)</f>
        <v>180</v>
      </c>
      <c r="Q287" s="54" t="str">
        <f t="shared" ref="Q287" si="84">BIN2HEX(LEFT(RIGHT(C287,32),4))&amp;BIN2HEX(LEFT(RIGHT(C287,28),4))&amp;BIN2HEX(LEFT(RIGHT(C287,24),4))&amp;BIN2HEX(LEFT(RIGHT(C287,20),4))&amp;BIN2HEX(LEFT(RIGHT(C287,16),4))&amp;BIN2HEX(LEFT(RIGHT(C287,12),4))&amp;BIN2HEX(LEFT(RIGHT(C287,8),4))&amp;BIN2HEX(LEFT(RIGHT(C287,4),4))</f>
        <v>00820820</v>
      </c>
    </row>
    <row r="288" spans="1:17">
      <c r="A288" s="71"/>
      <c r="B288" s="71"/>
      <c r="C288" s="21" t="s">
        <v>203</v>
      </c>
      <c r="D288" s="21">
        <v>8</v>
      </c>
      <c r="E288" s="18" t="str">
        <f>IF(D288&gt;1,(31)&amp;":"&amp;(31-D288+1),(31-D288+1)&amp;":"&amp;(31-D288+1))</f>
        <v>31:24</v>
      </c>
      <c r="F288" s="21" t="s">
        <v>49</v>
      </c>
      <c r="G288" s="21" t="s">
        <v>203</v>
      </c>
      <c r="H288" s="23" t="s">
        <v>37</v>
      </c>
      <c r="I288" s="23" t="s">
        <v>36</v>
      </c>
      <c r="J288" s="23" t="s">
        <v>6</v>
      </c>
      <c r="K288" s="21"/>
      <c r="L288" s="38"/>
      <c r="M288" s="38"/>
      <c r="N288" s="38"/>
      <c r="O288" s="38"/>
      <c r="P288" s="38"/>
      <c r="Q288" s="38"/>
    </row>
    <row r="289" spans="1:17">
      <c r="A289" s="71"/>
      <c r="B289" s="71"/>
      <c r="C289" s="21" t="s">
        <v>337</v>
      </c>
      <c r="D289" s="21">
        <v>6</v>
      </c>
      <c r="E289" s="79" t="str">
        <f>(MID(str_cnvt(E288),SEARCH(":",str_cnvt(E288))+1,2)-1) &amp; ":" &amp; (MID(str_cnvt(E288),SEARCH(":",str_cnvt(E288))+1,2)-D289)</f>
        <v>23:18</v>
      </c>
      <c r="F289" s="21" t="s">
        <v>445</v>
      </c>
      <c r="G289" s="21" t="s">
        <v>436</v>
      </c>
      <c r="H289" s="23" t="s">
        <v>37</v>
      </c>
      <c r="I289" s="23" t="s">
        <v>36</v>
      </c>
      <c r="J289" s="23" t="s">
        <v>6</v>
      </c>
      <c r="K289" s="21"/>
      <c r="L289" s="38"/>
      <c r="M289" s="38"/>
      <c r="N289" s="38"/>
      <c r="O289" s="38"/>
      <c r="P289" s="38"/>
      <c r="Q289" s="38"/>
    </row>
    <row r="290" spans="1:17">
      <c r="A290" s="71"/>
      <c r="B290" s="71"/>
      <c r="C290" s="21" t="s">
        <v>338</v>
      </c>
      <c r="D290" s="21">
        <v>6</v>
      </c>
      <c r="E290" s="79" t="str">
        <f>(MID(str_cnvt(E289),SEARCH(":",str_cnvt(E289))+1,2)-1) &amp; ":" &amp; (MID(str_cnvt(E289),SEARCH(":",str_cnvt(E289))+1,2)-D290)</f>
        <v>17:12</v>
      </c>
      <c r="F290" s="21" t="s">
        <v>445</v>
      </c>
      <c r="G290" s="21" t="s">
        <v>435</v>
      </c>
      <c r="H290" s="23" t="s">
        <v>37</v>
      </c>
      <c r="I290" s="23" t="s">
        <v>36</v>
      </c>
      <c r="J290" s="23" t="s">
        <v>6</v>
      </c>
      <c r="K290" s="21"/>
      <c r="L290" s="38"/>
      <c r="M290" s="38"/>
      <c r="N290" s="38"/>
      <c r="O290" s="38"/>
      <c r="P290" s="38"/>
      <c r="Q290" s="38"/>
    </row>
    <row r="291" spans="1:17">
      <c r="A291" s="71"/>
      <c r="B291" s="71"/>
      <c r="C291" s="21" t="s">
        <v>339</v>
      </c>
      <c r="D291" s="21">
        <v>6</v>
      </c>
      <c r="E291" s="79" t="str">
        <f>(MID(str_cnvt(E290),SEARCH(":",str_cnvt(E290))+1,2)-1) &amp; ":" &amp; (MID(str_cnvt(E290),SEARCH(":",str_cnvt(E290))+1,2)-D291)</f>
        <v>11:6</v>
      </c>
      <c r="F291" s="21" t="s">
        <v>445</v>
      </c>
      <c r="G291" s="21" t="s">
        <v>434</v>
      </c>
      <c r="H291" s="23" t="s">
        <v>37</v>
      </c>
      <c r="I291" s="23" t="s">
        <v>36</v>
      </c>
      <c r="J291" s="23" t="s">
        <v>6</v>
      </c>
      <c r="K291" s="21"/>
      <c r="L291" s="38"/>
      <c r="M291" s="38"/>
      <c r="N291" s="38"/>
      <c r="O291" s="38"/>
      <c r="P291" s="38"/>
      <c r="Q291" s="38"/>
    </row>
    <row r="292" spans="1:17" ht="15" thickBot="1">
      <c r="A292" s="71"/>
      <c r="B292" s="71"/>
      <c r="C292" s="21" t="s">
        <v>340</v>
      </c>
      <c r="D292" s="21">
        <v>6</v>
      </c>
      <c r="E292" s="79" t="str">
        <f>(MID(str_cnvt(E291),SEARCH(":",str_cnvt(E291))+1,2)-1) &amp; ":" &amp; (MID(str_cnvt(E291),SEARCH(":",str_cnvt(E291))+1,2)-D292)</f>
        <v>5:0</v>
      </c>
      <c r="F292" s="21" t="s">
        <v>445</v>
      </c>
      <c r="G292" s="21" t="s">
        <v>433</v>
      </c>
      <c r="H292" s="23" t="s">
        <v>37</v>
      </c>
      <c r="I292" s="23" t="s">
        <v>36</v>
      </c>
      <c r="J292" s="23" t="s">
        <v>6</v>
      </c>
      <c r="K292" s="21"/>
      <c r="L292" s="38"/>
      <c r="M292" s="55"/>
      <c r="N292" s="55"/>
      <c r="O292" s="55"/>
      <c r="P292" s="55"/>
      <c r="Q292" s="55"/>
    </row>
    <row r="293" spans="1:17" ht="14.4" customHeight="1">
      <c r="A293" s="70" t="s">
        <v>347</v>
      </c>
      <c r="B293" s="70">
        <v>24</v>
      </c>
      <c r="C293" s="53" t="str">
        <f>bitConcat(F294:F300)</f>
        <v>32'b00100010010000100010001000000000</v>
      </c>
      <c r="D293" s="40"/>
      <c r="E293" s="40"/>
      <c r="F293" s="40"/>
      <c r="G293" s="40"/>
      <c r="H293" s="40"/>
      <c r="I293" s="40"/>
      <c r="J293" s="40"/>
      <c r="K293" s="41"/>
      <c r="L293" s="54" t="str">
        <f>DEC2HEX(_xlfn.BITLSHIFT(N293,7)+4*O293)</f>
        <v>5A4</v>
      </c>
      <c r="M293" s="54"/>
      <c r="N293" s="54">
        <v>11</v>
      </c>
      <c r="O293" s="54">
        <v>9</v>
      </c>
      <c r="P293" s="54" t="str">
        <f>DEC2HEX(_xlfn.BITLSHIFT(N293,5)+O293*4)</f>
        <v>184</v>
      </c>
      <c r="Q293" s="54" t="str">
        <f t="shared" ref="Q293" si="85">BIN2HEX(LEFT(RIGHT(C293,32),4))&amp;BIN2HEX(LEFT(RIGHT(C293,28),4))&amp;BIN2HEX(LEFT(RIGHT(C293,24),4))&amp;BIN2HEX(LEFT(RIGHT(C293,20),4))&amp;BIN2HEX(LEFT(RIGHT(C293,16),4))&amp;BIN2HEX(LEFT(RIGHT(C293,12),4))&amp;BIN2HEX(LEFT(RIGHT(C293,8),4))&amp;BIN2HEX(LEFT(RIGHT(C293,4),4))</f>
        <v>22422200</v>
      </c>
    </row>
    <row r="294" spans="1:17">
      <c r="A294" s="71"/>
      <c r="B294" s="71"/>
      <c r="C294" s="21" t="s">
        <v>203</v>
      </c>
      <c r="D294" s="21">
        <v>2</v>
      </c>
      <c r="E294" s="18" t="str">
        <f>IF(D294&gt;1,(31)&amp;":"&amp;(31-D294+1),(31-D294+1)&amp;":"&amp;(31-D294+1))</f>
        <v>31:30</v>
      </c>
      <c r="F294" s="21" t="s">
        <v>41</v>
      </c>
      <c r="G294" s="21" t="s">
        <v>203</v>
      </c>
      <c r="H294" s="23" t="s">
        <v>37</v>
      </c>
      <c r="I294" s="23" t="s">
        <v>36</v>
      </c>
      <c r="J294" s="23" t="s">
        <v>6</v>
      </c>
      <c r="K294" s="21"/>
      <c r="L294" s="38"/>
      <c r="M294" s="38"/>
      <c r="N294" s="38"/>
      <c r="O294" s="38"/>
      <c r="P294" s="38"/>
      <c r="Q294" s="38"/>
    </row>
    <row r="295" spans="1:17">
      <c r="A295" s="71"/>
      <c r="B295" s="71"/>
      <c r="C295" s="21" t="s">
        <v>341</v>
      </c>
      <c r="D295" s="21">
        <v>4</v>
      </c>
      <c r="E295" s="79" t="str">
        <f>(MID(str_cnvt(E294),SEARCH(":",str_cnvt(E294))+1,2)-1) &amp; ":" &amp; (MID(str_cnvt(E294),SEARCH(":",str_cnvt(E294))+1,2)-D295)</f>
        <v>29:26</v>
      </c>
      <c r="F295" s="21" t="s">
        <v>398</v>
      </c>
      <c r="G295" s="21" t="s">
        <v>420</v>
      </c>
      <c r="H295" s="23" t="s">
        <v>37</v>
      </c>
      <c r="I295" s="23" t="s">
        <v>36</v>
      </c>
      <c r="J295" s="23" t="s">
        <v>6</v>
      </c>
      <c r="K295" s="21"/>
      <c r="L295" s="38"/>
      <c r="M295" s="38"/>
      <c r="N295" s="38"/>
      <c r="O295" s="38"/>
      <c r="P295" s="38"/>
      <c r="Q295" s="38"/>
    </row>
    <row r="296" spans="1:17">
      <c r="A296" s="71"/>
      <c r="B296" s="71"/>
      <c r="C296" s="21" t="s">
        <v>342</v>
      </c>
      <c r="D296" s="21">
        <v>3</v>
      </c>
      <c r="E296" s="79" t="str">
        <f>(MID(str_cnvt(E295),SEARCH(":",str_cnvt(E295))+1,2)-1) &amp; ":" &amp; (MID(str_cnvt(E295),SEARCH(":",str_cnvt(E295))+1,2)-D296)</f>
        <v>25:23</v>
      </c>
      <c r="F296" s="21" t="s">
        <v>208</v>
      </c>
      <c r="G296" s="21" t="s">
        <v>419</v>
      </c>
      <c r="H296" s="23" t="s">
        <v>37</v>
      </c>
      <c r="I296" s="23" t="s">
        <v>36</v>
      </c>
      <c r="J296" s="23" t="s">
        <v>6</v>
      </c>
      <c r="K296" s="21"/>
      <c r="L296" s="38"/>
      <c r="M296" s="38"/>
      <c r="N296" s="38"/>
      <c r="O296" s="38"/>
      <c r="P296" s="38"/>
      <c r="Q296" s="38"/>
    </row>
    <row r="297" spans="1:17">
      <c r="A297" s="71"/>
      <c r="B297" s="71"/>
      <c r="C297" s="21" t="s">
        <v>343</v>
      </c>
      <c r="D297" s="21">
        <v>5</v>
      </c>
      <c r="E297" s="79" t="str">
        <f>(MID(str_cnvt(E296),SEARCH(":",str_cnvt(E296))+1,2)-1) &amp; ":" &amp; (MID(str_cnvt(E296),SEARCH(":",str_cnvt(E296))+1,2)-D297)</f>
        <v>22:18</v>
      </c>
      <c r="F297" s="21" t="s">
        <v>409</v>
      </c>
      <c r="G297" s="21" t="s">
        <v>431</v>
      </c>
      <c r="H297" s="23" t="s">
        <v>37</v>
      </c>
      <c r="I297" s="23" t="s">
        <v>36</v>
      </c>
      <c r="J297" s="23" t="s">
        <v>6</v>
      </c>
      <c r="K297" s="21"/>
      <c r="L297" s="38"/>
      <c r="M297" s="38"/>
      <c r="N297" s="38"/>
      <c r="O297" s="38"/>
      <c r="P297" s="38"/>
      <c r="Q297" s="38"/>
    </row>
    <row r="298" spans="1:17">
      <c r="A298" s="71"/>
      <c r="B298" s="71"/>
      <c r="C298" s="21" t="s">
        <v>344</v>
      </c>
      <c r="D298" s="21">
        <v>4</v>
      </c>
      <c r="E298" s="79" t="str">
        <f>(MID(str_cnvt(E297),SEARCH(":",str_cnvt(E297))+1,2)-1) &amp; ":" &amp; (MID(str_cnvt(E297),SEARCH(":",str_cnvt(E297))+1,2)-D298)</f>
        <v>17:14</v>
      </c>
      <c r="F298" s="21" t="s">
        <v>398</v>
      </c>
      <c r="G298" s="21" t="s">
        <v>421</v>
      </c>
      <c r="H298" s="23" t="s">
        <v>37</v>
      </c>
      <c r="I298" s="23" t="s">
        <v>36</v>
      </c>
      <c r="J298" s="23" t="s">
        <v>6</v>
      </c>
      <c r="K298" s="21"/>
      <c r="L298" s="38"/>
      <c r="M298" s="38"/>
      <c r="N298" s="38"/>
      <c r="O298" s="38"/>
      <c r="P298" s="38"/>
      <c r="Q298" s="38"/>
    </row>
    <row r="299" spans="1:17">
      <c r="A299" s="71"/>
      <c r="B299" s="71"/>
      <c r="C299" s="21" t="s">
        <v>345</v>
      </c>
      <c r="D299" s="21">
        <v>4</v>
      </c>
      <c r="E299" s="79" t="str">
        <f>(MID(str_cnvt(E298),SEARCH(":",str_cnvt(E298))+1,2)-1) &amp; ":" &amp; (MID(str_cnvt(E298),SEARCH(":",str_cnvt(E298))+1,2)-D299)</f>
        <v>13:10</v>
      </c>
      <c r="F299" s="21" t="s">
        <v>398</v>
      </c>
      <c r="G299" s="21" t="s">
        <v>422</v>
      </c>
      <c r="H299" s="23" t="s">
        <v>37</v>
      </c>
      <c r="I299" s="23" t="s">
        <v>36</v>
      </c>
      <c r="J299" s="23" t="s">
        <v>6</v>
      </c>
      <c r="K299" s="21"/>
      <c r="L299" s="38"/>
      <c r="M299" s="38"/>
      <c r="N299" s="38"/>
      <c r="O299" s="38"/>
      <c r="P299" s="38"/>
      <c r="Q299" s="38"/>
    </row>
    <row r="300" spans="1:17" ht="15" thickBot="1">
      <c r="A300" s="72"/>
      <c r="B300" s="72"/>
      <c r="C300" s="21" t="s">
        <v>346</v>
      </c>
      <c r="D300" s="21">
        <v>10</v>
      </c>
      <c r="E300" s="79" t="str">
        <f>(MID(str_cnvt(E299),SEARCH(":",str_cnvt(E299))+1,2)-1) &amp; ":" &amp; (MID(str_cnvt(E299),SEARCH(":",str_cnvt(E299))+1,2)-D300)</f>
        <v>9:0</v>
      </c>
      <c r="F300" s="21" t="s">
        <v>446</v>
      </c>
      <c r="G300" s="21" t="s">
        <v>432</v>
      </c>
      <c r="H300" s="23" t="s">
        <v>37</v>
      </c>
      <c r="I300" s="23" t="s">
        <v>36</v>
      </c>
      <c r="J300" s="23" t="s">
        <v>6</v>
      </c>
      <c r="K300" s="21"/>
      <c r="L300" s="38"/>
      <c r="M300" s="38"/>
      <c r="N300" s="38"/>
      <c r="O300" s="38"/>
      <c r="P300" s="38"/>
      <c r="Q300" s="38"/>
    </row>
    <row r="301" spans="1:17" ht="14.4" customHeight="1">
      <c r="A301" s="70" t="s">
        <v>348</v>
      </c>
      <c r="B301" s="60">
        <v>28</v>
      </c>
      <c r="C301" s="53" t="str">
        <f>bitConcat(F302:F306)</f>
        <v>32'b00000000000000010000000100100100</v>
      </c>
      <c r="D301" s="40"/>
      <c r="E301" s="40"/>
      <c r="F301" s="40"/>
      <c r="G301" s="40"/>
      <c r="H301" s="40"/>
      <c r="I301" s="40"/>
      <c r="J301" s="40"/>
      <c r="K301" s="41"/>
      <c r="L301" s="54" t="str">
        <f>DEC2HEX(_xlfn.BITLSHIFT(N301,7)+4*O301)</f>
        <v>5A8</v>
      </c>
      <c r="M301" s="54"/>
      <c r="N301" s="54">
        <v>11</v>
      </c>
      <c r="O301" s="54">
        <v>10</v>
      </c>
      <c r="P301" s="54" t="str">
        <f>DEC2HEX(_xlfn.BITLSHIFT(N301,5)+O301*4)</f>
        <v>188</v>
      </c>
      <c r="Q301" s="54" t="str">
        <f>BIN2HEX(LEFT(RIGHT(I301,32),4))&amp;BIN2HEX(LEFT(RIGHT(I301,28),4))&amp;BIN2HEX(LEFT(RIGHT(I301,24),4))&amp;BIN2HEX(LEFT(RIGHT(I301,20),4))&amp;BIN2HEX(LEFT(RIGHT(I301,16),4))&amp;BIN2HEX(LEFT(RIGHT(I301,12),4))&amp;BIN2HEX(LEFT(RIGHT(I301,8),4))&amp;BIN2HEX(LEFT(RIGHT(I301,4),4))</f>
        <v>00000000</v>
      </c>
    </row>
    <row r="302" spans="1:17">
      <c r="A302" s="71"/>
      <c r="B302" s="61"/>
      <c r="C302" s="21" t="s">
        <v>203</v>
      </c>
      <c r="D302" s="21">
        <v>15</v>
      </c>
      <c r="E302" s="18" t="str">
        <f>IF(D302&gt;1,(31)&amp;":"&amp;(31-D302+1),(31-D302+1)&amp;":"&amp;(31-D302+1))</f>
        <v>31:17</v>
      </c>
      <c r="F302" s="21" t="s">
        <v>296</v>
      </c>
      <c r="G302" s="21" t="s">
        <v>203</v>
      </c>
      <c r="H302" s="23" t="s">
        <v>37</v>
      </c>
      <c r="I302" s="24" t="s">
        <v>36</v>
      </c>
      <c r="J302" s="25" t="s">
        <v>6</v>
      </c>
      <c r="K302" s="21"/>
      <c r="L302" s="38"/>
      <c r="M302" s="38"/>
      <c r="N302" s="38"/>
      <c r="O302" s="38"/>
      <c r="P302" s="38"/>
      <c r="Q302" s="38"/>
    </row>
    <row r="303" spans="1:17">
      <c r="A303" s="71"/>
      <c r="B303" s="61"/>
      <c r="C303" s="21" t="s">
        <v>349</v>
      </c>
      <c r="D303" s="21">
        <v>8</v>
      </c>
      <c r="E303" s="79" t="str">
        <f>(MID(str_cnvt(E302),SEARCH(":",str_cnvt(E302))+1,2)-1) &amp; ":" &amp; (MID(str_cnvt(E302),SEARCH(":",str_cnvt(E302))+1,2)-D303)</f>
        <v>16:9</v>
      </c>
      <c r="F303" s="21" t="s">
        <v>444</v>
      </c>
      <c r="G303" s="21" t="s">
        <v>428</v>
      </c>
      <c r="H303" s="23" t="s">
        <v>37</v>
      </c>
      <c r="I303" s="24" t="s">
        <v>36</v>
      </c>
      <c r="J303" s="25" t="s">
        <v>6</v>
      </c>
      <c r="K303" s="21"/>
      <c r="L303" s="38"/>
      <c r="M303" s="38"/>
      <c r="N303" s="38"/>
      <c r="O303" s="38"/>
      <c r="P303" s="38"/>
      <c r="Q303" s="38"/>
    </row>
    <row r="304" spans="1:17">
      <c r="A304" s="71"/>
      <c r="B304" s="61"/>
      <c r="C304" s="21" t="s">
        <v>350</v>
      </c>
      <c r="D304" s="21">
        <v>3</v>
      </c>
      <c r="E304" s="79" t="str">
        <f>(MID(str_cnvt(E303),SEARCH(":",str_cnvt(E303))+1,2)-1) &amp; ":" &amp; (MID(str_cnvt(E303),SEARCH(":",str_cnvt(E303))+1,2)-D304)</f>
        <v>8:6</v>
      </c>
      <c r="F304" s="21" t="s">
        <v>208</v>
      </c>
      <c r="G304" s="21" t="s">
        <v>428</v>
      </c>
      <c r="H304" s="23" t="s">
        <v>37</v>
      </c>
      <c r="I304" s="24" t="s">
        <v>36</v>
      </c>
      <c r="J304" s="25" t="s">
        <v>6</v>
      </c>
      <c r="K304" s="21"/>
      <c r="L304" s="38"/>
      <c r="M304" s="38"/>
      <c r="N304" s="38"/>
      <c r="O304" s="38"/>
      <c r="P304" s="38"/>
      <c r="Q304" s="38"/>
    </row>
    <row r="305" spans="1:17">
      <c r="A305" s="71"/>
      <c r="B305" s="61"/>
      <c r="C305" s="21" t="s">
        <v>351</v>
      </c>
      <c r="D305" s="21">
        <v>3</v>
      </c>
      <c r="E305" s="79" t="str">
        <f>(MID(str_cnvt(E304),SEARCH(":",str_cnvt(E304))+1,2)-1) &amp; ":" &amp; (MID(str_cnvt(E304),SEARCH(":",str_cnvt(E304))+1,2)-D305)</f>
        <v>5:3</v>
      </c>
      <c r="F305" s="21" t="s">
        <v>208</v>
      </c>
      <c r="G305" s="21" t="s">
        <v>429</v>
      </c>
      <c r="H305" s="23" t="s">
        <v>37</v>
      </c>
      <c r="I305" s="24" t="s">
        <v>36</v>
      </c>
      <c r="J305" s="25" t="s">
        <v>6</v>
      </c>
      <c r="K305" s="21"/>
      <c r="L305" s="38"/>
      <c r="M305" s="38"/>
      <c r="N305" s="38"/>
      <c r="O305" s="38"/>
      <c r="P305" s="38"/>
      <c r="Q305" s="38"/>
    </row>
    <row r="306" spans="1:17" ht="15" thickBot="1">
      <c r="A306" s="72"/>
      <c r="B306" s="62"/>
      <c r="C306" s="21" t="s">
        <v>352</v>
      </c>
      <c r="D306" s="21">
        <v>3</v>
      </c>
      <c r="E306" s="79" t="str">
        <f>(MID(str_cnvt(E305),SEARCH(":",str_cnvt(E305))+1,2)-1) &amp; ":" &amp; (MID(str_cnvt(E305),SEARCH(":",str_cnvt(E305))+1,2)-D306)</f>
        <v>2:0</v>
      </c>
      <c r="F306" s="21" t="s">
        <v>208</v>
      </c>
      <c r="G306" s="21" t="s">
        <v>429</v>
      </c>
      <c r="H306" s="23" t="s">
        <v>37</v>
      </c>
      <c r="I306" s="24" t="s">
        <v>36</v>
      </c>
      <c r="J306" s="25" t="s">
        <v>6</v>
      </c>
      <c r="K306" s="21"/>
      <c r="L306" s="38"/>
      <c r="M306" s="38"/>
      <c r="N306" s="38"/>
      <c r="O306" s="38"/>
      <c r="P306" s="38"/>
      <c r="Q306" s="38"/>
    </row>
    <row r="307" spans="1:17">
      <c r="A307" s="60" t="s">
        <v>196</v>
      </c>
      <c r="B307" s="60" t="s">
        <v>199</v>
      </c>
      <c r="C307" s="53" t="str">
        <f>bitConcat(F308:F308)</f>
        <v>32'b00000000000000000000000000000000</v>
      </c>
      <c r="D307" s="40"/>
      <c r="E307" s="40"/>
      <c r="F307" s="40"/>
      <c r="G307" s="40"/>
      <c r="H307" s="40"/>
      <c r="I307" s="40"/>
      <c r="J307" s="40"/>
      <c r="K307" s="41"/>
      <c r="L307" s="33" t="str">
        <f>DEC2HEX(_xlfn.BITLSHIFT(N307,7)+4*O307)</f>
        <v>5AC</v>
      </c>
      <c r="M307" s="33"/>
      <c r="N307" s="37">
        <v>11</v>
      </c>
      <c r="O307" s="37">
        <v>11</v>
      </c>
      <c r="P307" s="54" t="str">
        <f>DEC2HEX(_xlfn.BITLSHIFT(N307,5)+O307*4)</f>
        <v>18C</v>
      </c>
      <c r="Q307" s="51" t="str">
        <f t="shared" ref="Q307" si="86">BIN2HEX(LEFT(RIGHT(C307,32),4))&amp;BIN2HEX(LEFT(RIGHT(C307,28),4))&amp;BIN2HEX(LEFT(RIGHT(C307,24),4))&amp;BIN2HEX(LEFT(RIGHT(C307,20),4))&amp;BIN2HEX(LEFT(RIGHT(C307,16),4))&amp;BIN2HEX(LEFT(RIGHT(C307,12),4))&amp;BIN2HEX(LEFT(RIGHT(C307,8),4))&amp;BIN2HEX(LEFT(RIGHT(C307,4),4))</f>
        <v>00000000</v>
      </c>
    </row>
    <row r="308" spans="1:17" ht="15" thickBot="1">
      <c r="A308" s="61"/>
      <c r="B308" s="61"/>
      <c r="C308" s="21" t="s">
        <v>196</v>
      </c>
      <c r="D308" s="18">
        <v>32</v>
      </c>
      <c r="E308" s="18" t="str">
        <f>IF(D308&gt;1,(31)&amp;":"&amp;(31-D308+1),(31-D308+1)&amp;":"&amp;(31-D308+1))</f>
        <v>31:0</v>
      </c>
      <c r="F308" s="18" t="s">
        <v>57</v>
      </c>
      <c r="G308" s="22" t="s">
        <v>196</v>
      </c>
      <c r="H308" s="23" t="s">
        <v>37</v>
      </c>
      <c r="I308" s="24" t="s">
        <v>36</v>
      </c>
      <c r="J308" s="25" t="s">
        <v>6</v>
      </c>
      <c r="K308" s="22"/>
      <c r="L308" s="16"/>
      <c r="M308" s="16"/>
      <c r="N308" s="39"/>
      <c r="O308" s="39"/>
      <c r="P308" s="55"/>
      <c r="Q308" s="52"/>
    </row>
    <row r="309" spans="1:17">
      <c r="A309" s="60" t="s">
        <v>353</v>
      </c>
      <c r="B309" s="60">
        <v>30</v>
      </c>
      <c r="C309" s="53" t="str">
        <f>bitConcat(F310:F313)</f>
        <v>32'b00000001100000001100000010100000</v>
      </c>
      <c r="D309" s="40"/>
      <c r="E309" s="40"/>
      <c r="F309" s="40"/>
      <c r="G309" s="40"/>
      <c r="H309" s="40"/>
      <c r="I309" s="40"/>
      <c r="J309" s="40"/>
      <c r="K309" s="41"/>
      <c r="L309" s="54" t="str">
        <f>DEC2HEX(_xlfn.BITLSHIFT(N309,7)+4*O309)</f>
        <v>5B0</v>
      </c>
      <c r="M309" s="54"/>
      <c r="N309" s="54">
        <v>11</v>
      </c>
      <c r="O309" s="54">
        <v>12</v>
      </c>
      <c r="P309" s="54" t="str">
        <f>DEC2HEX(_xlfn.BITLSHIFT(N309,5)+O309*4)</f>
        <v>190</v>
      </c>
      <c r="Q309" s="54" t="str">
        <f>BIN2HEX(LEFT(RIGHT(I309,32),4))&amp;BIN2HEX(LEFT(RIGHT(I309,28),4))&amp;BIN2HEX(LEFT(RIGHT(I309,24),4))&amp;BIN2HEX(LEFT(RIGHT(I309,20),4))&amp;BIN2HEX(LEFT(RIGHT(I309,16),4))&amp;BIN2HEX(LEFT(RIGHT(I309,12),4))&amp;BIN2HEX(LEFT(RIGHT(I309,8),4))&amp;BIN2HEX(LEFT(RIGHT(I309,4),4))</f>
        <v>00000000</v>
      </c>
    </row>
    <row r="310" spans="1:17">
      <c r="A310" s="61"/>
      <c r="B310" s="61"/>
      <c r="C310" s="21" t="s">
        <v>176</v>
      </c>
      <c r="D310" s="21">
        <v>5</v>
      </c>
      <c r="E310" s="18" t="str">
        <f>IF(D310&gt;1,(31)&amp;":"&amp;(31-D310+1),(31-D310+1)&amp;":"&amp;(31-D310+1))</f>
        <v>31:27</v>
      </c>
      <c r="F310" s="21" t="s">
        <v>45</v>
      </c>
      <c r="G310" s="21" t="s">
        <v>203</v>
      </c>
      <c r="H310" s="23" t="s">
        <v>37</v>
      </c>
      <c r="I310" s="24" t="s">
        <v>36</v>
      </c>
      <c r="J310" s="25" t="s">
        <v>6</v>
      </c>
      <c r="K310" s="21"/>
      <c r="L310" s="38"/>
      <c r="M310" s="38"/>
      <c r="N310" s="38"/>
      <c r="O310" s="38"/>
      <c r="P310" s="38"/>
      <c r="Q310" s="38"/>
    </row>
    <row r="311" spans="1:17">
      <c r="A311" s="61"/>
      <c r="B311" s="61"/>
      <c r="C311" s="21" t="s">
        <v>177</v>
      </c>
      <c r="D311" s="21">
        <v>9</v>
      </c>
      <c r="E311" s="79" t="str">
        <f>(MID(str_cnvt(E310),SEARCH(":",str_cnvt(E310))+1,2)-1) &amp; ":" &amp; (MID(str_cnvt(E310),SEARCH(":",str_cnvt(E310))+1,2)-D311)</f>
        <v>26:18</v>
      </c>
      <c r="F311" s="21" t="s">
        <v>180</v>
      </c>
      <c r="G311" s="21"/>
      <c r="H311" s="23" t="s">
        <v>37</v>
      </c>
      <c r="I311" s="24" t="s">
        <v>36</v>
      </c>
      <c r="J311" s="25" t="s">
        <v>6</v>
      </c>
      <c r="K311" s="21"/>
      <c r="L311" s="38"/>
      <c r="M311" s="38"/>
      <c r="N311" s="38"/>
      <c r="O311" s="38"/>
      <c r="P311" s="38"/>
      <c r="Q311" s="38"/>
    </row>
    <row r="312" spans="1:17">
      <c r="A312" s="61"/>
      <c r="B312" s="61"/>
      <c r="C312" s="21" t="s">
        <v>178</v>
      </c>
      <c r="D312" s="21">
        <v>9</v>
      </c>
      <c r="E312" s="79" t="str">
        <f>(MID(str_cnvt(E311),SEARCH(":",str_cnvt(E311))+1,2)-1) &amp; ":" &amp; (MID(str_cnvt(E311),SEARCH(":",str_cnvt(E311))+1,2)-D312)</f>
        <v>17:9</v>
      </c>
      <c r="F312" s="21" t="s">
        <v>180</v>
      </c>
      <c r="G312" s="21"/>
      <c r="H312" s="23" t="s">
        <v>37</v>
      </c>
      <c r="I312" s="24" t="s">
        <v>36</v>
      </c>
      <c r="J312" s="25" t="s">
        <v>6</v>
      </c>
      <c r="K312" s="21"/>
      <c r="L312" s="38"/>
      <c r="M312" s="38"/>
      <c r="N312" s="38"/>
      <c r="O312" s="38"/>
      <c r="P312" s="38"/>
      <c r="Q312" s="38"/>
    </row>
    <row r="313" spans="1:17" ht="15" thickBot="1">
      <c r="A313" s="61"/>
      <c r="B313" s="61"/>
      <c r="C313" s="21" t="s">
        <v>179</v>
      </c>
      <c r="D313" s="21">
        <v>9</v>
      </c>
      <c r="E313" s="79" t="str">
        <f>(MID(str_cnvt(E312),SEARCH(":",str_cnvt(E312))+1,2)-1) &amp; ":" &amp; (MID(str_cnvt(E312),SEARCH(":",str_cnvt(E312))+1,2)-D313)</f>
        <v>8:0</v>
      </c>
      <c r="F313" s="21" t="s">
        <v>181</v>
      </c>
      <c r="G313" s="21"/>
      <c r="H313" s="23" t="s">
        <v>37</v>
      </c>
      <c r="I313" s="24" t="s">
        <v>36</v>
      </c>
      <c r="J313" s="25" t="s">
        <v>6</v>
      </c>
      <c r="K313" s="21"/>
      <c r="L313" s="38"/>
      <c r="M313" s="38"/>
      <c r="N313" s="38"/>
      <c r="O313" s="38"/>
      <c r="P313" s="38"/>
      <c r="Q313" s="38"/>
    </row>
    <row r="314" spans="1:17">
      <c r="A314" s="60" t="s">
        <v>354</v>
      </c>
      <c r="B314" s="60">
        <v>34</v>
      </c>
      <c r="C314" s="53" t="str">
        <f>bitConcat(F315:F317)</f>
        <v>32'b00000000000000000000000000000111</v>
      </c>
      <c r="D314" s="40"/>
      <c r="E314" s="40"/>
      <c r="F314" s="40"/>
      <c r="G314" s="40"/>
      <c r="H314" s="40"/>
      <c r="I314" s="40"/>
      <c r="J314" s="40"/>
      <c r="K314" s="41"/>
      <c r="L314" s="54" t="str">
        <f>DEC2HEX(_xlfn.BITLSHIFT(N314,7)+4*O314)</f>
        <v>5B4</v>
      </c>
      <c r="M314" s="54"/>
      <c r="N314" s="54">
        <v>11</v>
      </c>
      <c r="O314" s="54">
        <v>13</v>
      </c>
      <c r="P314" s="54" t="str">
        <f>DEC2HEX(_xlfn.BITLSHIFT(N314,5)+O314*4)</f>
        <v>194</v>
      </c>
      <c r="Q314" s="54" t="str">
        <f>BIN2HEX(LEFT(RIGHT(I314,32),4))&amp;BIN2HEX(LEFT(RIGHT(I314,28),4))&amp;BIN2HEX(LEFT(RIGHT(I314,24),4))&amp;BIN2HEX(LEFT(RIGHT(I314,20),4))&amp;BIN2HEX(LEFT(RIGHT(I314,16),4))&amp;BIN2HEX(LEFT(RIGHT(I314,12),4))&amp;BIN2HEX(LEFT(RIGHT(I314,8),4))&amp;BIN2HEX(LEFT(RIGHT(I314,4),4))</f>
        <v>00000000</v>
      </c>
    </row>
    <row r="315" spans="1:17">
      <c r="A315" s="61"/>
      <c r="B315" s="61"/>
      <c r="C315" s="21" t="s">
        <v>182</v>
      </c>
      <c r="D315" s="21">
        <v>29</v>
      </c>
      <c r="E315" s="18" t="str">
        <f>IF(D315&gt;1,(31)&amp;":"&amp;(31-D315+1),(31-D315+1)&amp;":"&amp;(31-D315+1))</f>
        <v>31:3</v>
      </c>
      <c r="F315" s="21" t="s">
        <v>184</v>
      </c>
      <c r="G315" s="21" t="s">
        <v>203</v>
      </c>
      <c r="H315" s="23" t="s">
        <v>37</v>
      </c>
      <c r="I315" s="24" t="s">
        <v>36</v>
      </c>
      <c r="J315" s="25" t="s">
        <v>6</v>
      </c>
      <c r="K315" s="21"/>
      <c r="L315" s="38"/>
      <c r="M315" s="38"/>
      <c r="N315" s="38"/>
      <c r="O315" s="38"/>
      <c r="P315" s="38"/>
      <c r="Q315" s="38"/>
    </row>
    <row r="316" spans="1:17">
      <c r="A316" s="61"/>
      <c r="B316" s="61"/>
      <c r="C316" s="21" t="s">
        <v>355</v>
      </c>
      <c r="D316" s="21">
        <v>2</v>
      </c>
      <c r="E316" s="79" t="str">
        <f>(MID(str_cnvt(E315),SEARCH(":",str_cnvt(E315))+1,2)-1) &amp; ":" &amp; (MID(str_cnvt(E315),SEARCH(":",str_cnvt(E315))+1,2)-D316)</f>
        <v>2:1</v>
      </c>
      <c r="F316" s="21" t="s">
        <v>438</v>
      </c>
      <c r="G316" s="21"/>
      <c r="H316" s="23" t="s">
        <v>37</v>
      </c>
      <c r="I316" s="24" t="s">
        <v>36</v>
      </c>
      <c r="J316" s="25" t="s">
        <v>6</v>
      </c>
      <c r="K316" s="21"/>
      <c r="L316" s="38"/>
      <c r="M316" s="38"/>
      <c r="N316" s="38"/>
      <c r="O316" s="38"/>
      <c r="P316" s="38"/>
      <c r="Q316" s="38"/>
    </row>
    <row r="317" spans="1:17" ht="15" thickBot="1">
      <c r="A317" s="61"/>
      <c r="B317" s="61"/>
      <c r="C317" s="21" t="s">
        <v>183</v>
      </c>
      <c r="D317" s="21">
        <v>1</v>
      </c>
      <c r="E317" s="79" t="str">
        <f>(MID(str_cnvt(E316),SEARCH(":",str_cnvt(E316))+1,2)-1) &amp; ":" &amp; (MID(str_cnvt(E316),SEARCH(":",str_cnvt(E316))+1,2)-D317)</f>
        <v>0:0</v>
      </c>
      <c r="F317" s="21" t="s">
        <v>38</v>
      </c>
      <c r="G317" s="21"/>
      <c r="H317" s="23" t="s">
        <v>37</v>
      </c>
      <c r="I317" s="24" t="s">
        <v>36</v>
      </c>
      <c r="J317" s="25" t="s">
        <v>6</v>
      </c>
      <c r="K317" s="21"/>
      <c r="L317" s="38"/>
      <c r="M317" s="38"/>
      <c r="N317" s="38"/>
      <c r="O317" s="38"/>
      <c r="P317" s="38"/>
      <c r="Q317" s="38"/>
    </row>
    <row r="318" spans="1:17">
      <c r="A318" s="60" t="s">
        <v>427</v>
      </c>
      <c r="B318" s="60">
        <v>38</v>
      </c>
      <c r="C318" s="53" t="str">
        <f>bitConcat(F319:F319)</f>
        <v>32'b00000000000000000000000000000000</v>
      </c>
      <c r="D318" s="40"/>
      <c r="E318" s="40"/>
      <c r="F318" s="40"/>
      <c r="G318" s="40"/>
      <c r="H318" s="40"/>
      <c r="I318" s="40"/>
      <c r="J318" s="40"/>
      <c r="K318" s="41"/>
      <c r="L318" s="33" t="str">
        <f>DEC2HEX(_xlfn.BITLSHIFT(N318,7)+4*O318)</f>
        <v>5B8</v>
      </c>
      <c r="M318" s="33"/>
      <c r="N318" s="37">
        <v>11</v>
      </c>
      <c r="O318" s="37">
        <v>14</v>
      </c>
      <c r="P318" s="54" t="str">
        <f>DEC2HEX(_xlfn.BITLSHIFT(N318,5)+O318*4)</f>
        <v>198</v>
      </c>
      <c r="Q318" s="51" t="str">
        <f t="shared" ref="Q318" si="87">BIN2HEX(LEFT(RIGHT(C318,32),4))&amp;BIN2HEX(LEFT(RIGHT(C318,28),4))&amp;BIN2HEX(LEFT(RIGHT(C318,24),4))&amp;BIN2HEX(LEFT(RIGHT(C318,20),4))&amp;BIN2HEX(LEFT(RIGHT(C318,16),4))&amp;BIN2HEX(LEFT(RIGHT(C318,12),4))&amp;BIN2HEX(LEFT(RIGHT(C318,8),4))&amp;BIN2HEX(LEFT(RIGHT(C318,4),4))</f>
        <v>00000000</v>
      </c>
    </row>
    <row r="319" spans="1:17" ht="15" thickBot="1">
      <c r="A319" s="61"/>
      <c r="B319" s="61"/>
      <c r="C319" s="21" t="s">
        <v>185</v>
      </c>
      <c r="D319" s="21">
        <v>32</v>
      </c>
      <c r="E319" s="18" t="str">
        <f>IF(D319&gt;1,(31)&amp;":"&amp;(31-D319+1),(31-D319+1)&amp;":"&amp;(31-D319+1))</f>
        <v>31:0</v>
      </c>
      <c r="F319" s="21" t="s">
        <v>57</v>
      </c>
      <c r="G319" s="21" t="s">
        <v>203</v>
      </c>
      <c r="H319" s="23" t="s">
        <v>37</v>
      </c>
      <c r="I319" s="24" t="s">
        <v>36</v>
      </c>
      <c r="J319" s="25" t="s">
        <v>6</v>
      </c>
      <c r="K319" s="21"/>
      <c r="L319" s="16"/>
      <c r="M319" s="16"/>
      <c r="N319" s="39"/>
      <c r="O319" s="39"/>
      <c r="P319" s="55"/>
      <c r="Q319" s="52"/>
    </row>
    <row r="320" spans="1:17">
      <c r="A320" s="60" t="s">
        <v>196</v>
      </c>
      <c r="B320" s="60" t="s">
        <v>200</v>
      </c>
      <c r="C320" s="53" t="str">
        <f>bitConcat(F321:F321)</f>
        <v>32'b00000000000000000000000000000000</v>
      </c>
      <c r="D320" s="40"/>
      <c r="E320" s="40"/>
      <c r="F320" s="40"/>
      <c r="G320" s="40"/>
      <c r="H320" s="40"/>
      <c r="I320" s="40"/>
      <c r="J320" s="40"/>
      <c r="K320" s="41"/>
      <c r="L320" s="37" t="str">
        <f>DEC2HEX(_xlfn.BITLSHIFT(N320,7)+4*O320)</f>
        <v>5BC</v>
      </c>
      <c r="M320" s="37"/>
      <c r="N320" s="37">
        <v>11</v>
      </c>
      <c r="O320" s="37">
        <v>15</v>
      </c>
      <c r="P320" s="37" t="str">
        <f>DEC2HEX(_xlfn.BITLSHIFT(N320,5)+O320*4)</f>
        <v>19C</v>
      </c>
      <c r="Q320" s="37" t="str">
        <f t="shared" ref="Q320" si="88">BIN2HEX(LEFT(RIGHT(C320,32),4))&amp;BIN2HEX(LEFT(RIGHT(C320,28),4))&amp;BIN2HEX(LEFT(RIGHT(C320,24),4))&amp;BIN2HEX(LEFT(RIGHT(C320,20),4))&amp;BIN2HEX(LEFT(RIGHT(C320,16),4))&amp;BIN2HEX(LEFT(RIGHT(C320,12),4))&amp;BIN2HEX(LEFT(RIGHT(C320,8),4))&amp;BIN2HEX(LEFT(RIGHT(C320,4),4))</f>
        <v>00000000</v>
      </c>
    </row>
    <row r="321" spans="1:17" ht="15" thickBot="1">
      <c r="A321" s="61"/>
      <c r="B321" s="61"/>
      <c r="C321" s="21" t="s">
        <v>196</v>
      </c>
      <c r="D321" s="18">
        <v>32</v>
      </c>
      <c r="E321" s="18" t="str">
        <f>IF(D321&gt;1,(31)&amp;":"&amp;(31-D321+1),(31-D321+1)&amp;":"&amp;(31-D321+1))</f>
        <v>31:0</v>
      </c>
      <c r="F321" s="18" t="s">
        <v>57</v>
      </c>
      <c r="G321" s="22" t="s">
        <v>196</v>
      </c>
      <c r="H321" s="23" t="s">
        <v>37</v>
      </c>
      <c r="I321" s="24" t="s">
        <v>36</v>
      </c>
      <c r="J321" s="25" t="s">
        <v>6</v>
      </c>
      <c r="K321" s="22"/>
      <c r="L321" s="39"/>
      <c r="M321" s="39"/>
      <c r="N321" s="39"/>
      <c r="O321" s="39"/>
      <c r="P321" s="39"/>
      <c r="Q321" s="39"/>
    </row>
    <row r="322" spans="1:17">
      <c r="A322" s="70" t="s">
        <v>356</v>
      </c>
      <c r="B322" s="60">
        <v>40</v>
      </c>
      <c r="C322" s="53" t="str">
        <f>bitConcat(F323:F332)</f>
        <v>32'b00000000000000000000000000000000</v>
      </c>
      <c r="D322" s="40"/>
      <c r="E322" s="40"/>
      <c r="F322" s="40"/>
      <c r="G322" s="40"/>
      <c r="H322" s="40"/>
      <c r="I322" s="40"/>
      <c r="J322" s="40"/>
      <c r="K322" s="41"/>
      <c r="L322" s="48" t="str">
        <f t="shared" ref="L322" si="89">DEC2HEX(_xlfn.BITLSHIFT(N322,7)+4*O322)</f>
        <v>5C0</v>
      </c>
      <c r="M322" s="48"/>
      <c r="N322" s="48">
        <v>11</v>
      </c>
      <c r="O322" s="48">
        <v>16</v>
      </c>
      <c r="P322" s="48" t="str">
        <f t="shared" ref="P322" si="90">DEC2HEX(_xlfn.BITLSHIFT(N322,5)+O322*4)</f>
        <v>1A0</v>
      </c>
      <c r="Q322" s="48" t="str">
        <f t="shared" ref="Q322" si="91">BIN2HEX(LEFT(RIGHT(C322,32),4))&amp;BIN2HEX(LEFT(RIGHT(C322,28),4))&amp;BIN2HEX(LEFT(RIGHT(C322,24),4))&amp;BIN2HEX(LEFT(RIGHT(C322,20),4))&amp;BIN2HEX(LEFT(RIGHT(C322,16),4))&amp;BIN2HEX(LEFT(RIGHT(C322,12),4))&amp;BIN2HEX(LEFT(RIGHT(C322,8),4))&amp;BIN2HEX(LEFT(RIGHT(C322,4),4))</f>
        <v>00000000</v>
      </c>
    </row>
    <row r="323" spans="1:17">
      <c r="A323" s="71"/>
      <c r="B323" s="61"/>
      <c r="C323" s="21" t="s">
        <v>203</v>
      </c>
      <c r="D323" s="21">
        <v>19</v>
      </c>
      <c r="E323" s="18" t="str">
        <f>IF(D323&gt;1,(31)&amp;":"&amp;(31-D323+1),(31-D323+1)&amp;":"&amp;(31-D323+1))</f>
        <v>31:13</v>
      </c>
      <c r="F323" s="21" t="s">
        <v>294</v>
      </c>
      <c r="G323" s="21" t="s">
        <v>203</v>
      </c>
      <c r="H323" s="23" t="s">
        <v>37</v>
      </c>
      <c r="I323" s="24" t="s">
        <v>36</v>
      </c>
      <c r="J323" s="25" t="s">
        <v>6</v>
      </c>
      <c r="K323" s="21"/>
      <c r="L323" s="49"/>
      <c r="M323" s="49"/>
      <c r="N323" s="49"/>
      <c r="O323" s="49"/>
      <c r="P323" s="49"/>
      <c r="Q323" s="49"/>
    </row>
    <row r="324" spans="1:17">
      <c r="A324" s="71"/>
      <c r="B324" s="61"/>
      <c r="C324" s="21" t="s">
        <v>370</v>
      </c>
      <c r="D324" s="21">
        <v>5</v>
      </c>
      <c r="E324" s="79" t="str">
        <f>(MID(str_cnvt(E323),SEARCH(":",str_cnvt(E323))+1,2)-1) &amp; ":" &amp; (MID(str_cnvt(E323),SEARCH(":",str_cnvt(E323))+1,2)-D324)</f>
        <v>12:8</v>
      </c>
      <c r="F324" s="21" t="s">
        <v>45</v>
      </c>
      <c r="G324" s="21" t="s">
        <v>371</v>
      </c>
      <c r="H324" s="23" t="s">
        <v>37</v>
      </c>
      <c r="I324" s="24" t="s">
        <v>36</v>
      </c>
      <c r="J324" s="25" t="s">
        <v>6</v>
      </c>
      <c r="K324" s="21"/>
      <c r="L324" s="49"/>
      <c r="M324" s="49"/>
      <c r="N324" s="49">
        <v>11</v>
      </c>
      <c r="O324" s="49">
        <v>1</v>
      </c>
      <c r="P324" s="49" t="str">
        <f t="shared" ref="P324" si="92">DEC2HEX(_xlfn.BITLSHIFT(N324,5)+O324*4)</f>
        <v>164</v>
      </c>
      <c r="Q324" s="49" t="e">
        <f t="shared" ref="Q324" si="93">BIN2HEX(LEFT(RIGHT(C324,32),4))&amp;BIN2HEX(LEFT(RIGHT(C324,28),4))&amp;BIN2HEX(LEFT(RIGHT(C324,24),4))&amp;BIN2HEX(LEFT(RIGHT(C324,20),4))&amp;BIN2HEX(LEFT(RIGHT(C324,16),4))&amp;BIN2HEX(LEFT(RIGHT(C324,12),4))&amp;BIN2HEX(LEFT(RIGHT(C324,8),4))&amp;BIN2HEX(LEFT(RIGHT(C324,4),4))</f>
        <v>#NUM!</v>
      </c>
    </row>
    <row r="325" spans="1:17">
      <c r="A325" s="71"/>
      <c r="B325" s="61"/>
      <c r="C325" s="21" t="s">
        <v>357</v>
      </c>
      <c r="D325" s="21">
        <v>1</v>
      </c>
      <c r="E325" s="79" t="str">
        <f>(MID(str_cnvt(E324),SEARCH(":",str_cnvt(E324))+1,2)-1) &amp; ":" &amp; (MID(str_cnvt(E324),SEARCH(":",str_cnvt(E324))+1,2)-D325)</f>
        <v>7:7</v>
      </c>
      <c r="F325" s="21" t="s">
        <v>7</v>
      </c>
      <c r="G325" s="21" t="s">
        <v>372</v>
      </c>
      <c r="H325" s="23" t="s">
        <v>37</v>
      </c>
      <c r="I325" s="24" t="s">
        <v>36</v>
      </c>
      <c r="J325" s="25" t="s">
        <v>6</v>
      </c>
      <c r="K325" s="21"/>
      <c r="L325" s="49"/>
      <c r="M325" s="49"/>
      <c r="N325" s="49"/>
      <c r="O325" s="49"/>
      <c r="P325" s="49"/>
      <c r="Q325" s="49"/>
    </row>
    <row r="326" spans="1:17">
      <c r="A326" s="71"/>
      <c r="B326" s="61"/>
      <c r="C326" s="21" t="s">
        <v>358</v>
      </c>
      <c r="D326" s="21">
        <v>1</v>
      </c>
      <c r="E326" s="79" t="str">
        <f>(MID(str_cnvt(E325),SEARCH(":",str_cnvt(E325))+1,2)-1) &amp; ":" &amp; (MID(str_cnvt(E325),SEARCH(":",str_cnvt(E325))+1,2)-D326)</f>
        <v>6:6</v>
      </c>
      <c r="F326" s="21" t="s">
        <v>7</v>
      </c>
      <c r="G326" s="21" t="s">
        <v>373</v>
      </c>
      <c r="H326" s="23" t="s">
        <v>37</v>
      </c>
      <c r="I326" s="24" t="s">
        <v>36</v>
      </c>
      <c r="J326" s="25" t="s">
        <v>6</v>
      </c>
      <c r="K326" s="21"/>
      <c r="L326" s="49"/>
      <c r="M326" s="49"/>
      <c r="N326" s="49">
        <v>11</v>
      </c>
      <c r="O326" s="49">
        <v>1</v>
      </c>
      <c r="P326" s="49" t="str">
        <f t="shared" ref="P326" si="94">DEC2HEX(_xlfn.BITLSHIFT(N326,5)+O326*4)</f>
        <v>164</v>
      </c>
      <c r="Q326" s="49" t="e">
        <f t="shared" ref="Q326" si="95">BIN2HEX(LEFT(RIGHT(C326,32),4))&amp;BIN2HEX(LEFT(RIGHT(C326,28),4))&amp;BIN2HEX(LEFT(RIGHT(C326,24),4))&amp;BIN2HEX(LEFT(RIGHT(C326,20),4))&amp;BIN2HEX(LEFT(RIGHT(C326,16),4))&amp;BIN2HEX(LEFT(RIGHT(C326,12),4))&amp;BIN2HEX(LEFT(RIGHT(C326,8),4))&amp;BIN2HEX(LEFT(RIGHT(C326,4),4))</f>
        <v>#NUM!</v>
      </c>
    </row>
    <row r="327" spans="1:17">
      <c r="A327" s="71"/>
      <c r="B327" s="61"/>
      <c r="C327" s="21" t="s">
        <v>359</v>
      </c>
      <c r="D327" s="21">
        <v>1</v>
      </c>
      <c r="E327" s="79" t="str">
        <f>(MID(str_cnvt(E326),SEARCH(":",str_cnvt(E326))+1,2)-1) &amp; ":" &amp; (MID(str_cnvt(E326),SEARCH(":",str_cnvt(E326))+1,2)-D327)</f>
        <v>5:5</v>
      </c>
      <c r="F327" s="21" t="s">
        <v>7</v>
      </c>
      <c r="G327" s="21" t="s">
        <v>374</v>
      </c>
      <c r="H327" s="23" t="s">
        <v>37</v>
      </c>
      <c r="I327" s="24" t="s">
        <v>36</v>
      </c>
      <c r="J327" s="25" t="s">
        <v>6</v>
      </c>
      <c r="K327" s="21"/>
      <c r="L327" s="49"/>
      <c r="M327" s="49"/>
      <c r="N327" s="49"/>
      <c r="O327" s="49"/>
      <c r="P327" s="49"/>
      <c r="Q327" s="49"/>
    </row>
    <row r="328" spans="1:17">
      <c r="A328" s="71"/>
      <c r="B328" s="61"/>
      <c r="C328" s="21" t="s">
        <v>360</v>
      </c>
      <c r="D328" s="21">
        <v>1</v>
      </c>
      <c r="E328" s="79" t="str">
        <f>(MID(str_cnvt(E327),SEARCH(":",str_cnvt(E327))+1,2)-1) &amp; ":" &amp; (MID(str_cnvt(E327),SEARCH(":",str_cnvt(E327))+1,2)-D328)</f>
        <v>4:4</v>
      </c>
      <c r="F328" s="21" t="s">
        <v>7</v>
      </c>
      <c r="G328" s="21" t="s">
        <v>375</v>
      </c>
      <c r="H328" s="23" t="s">
        <v>37</v>
      </c>
      <c r="I328" s="24" t="s">
        <v>36</v>
      </c>
      <c r="J328" s="25" t="s">
        <v>6</v>
      </c>
      <c r="K328" s="21"/>
      <c r="L328" s="49"/>
      <c r="M328" s="49"/>
      <c r="N328" s="49">
        <v>11</v>
      </c>
      <c r="O328" s="49">
        <v>1</v>
      </c>
      <c r="P328" s="49" t="str">
        <f t="shared" ref="P328" si="96">DEC2HEX(_xlfn.BITLSHIFT(N328,5)+O328*4)</f>
        <v>164</v>
      </c>
      <c r="Q328" s="49" t="e">
        <f t="shared" ref="Q328" si="97">BIN2HEX(LEFT(RIGHT(C328,32),4))&amp;BIN2HEX(LEFT(RIGHT(C328,28),4))&amp;BIN2HEX(LEFT(RIGHT(C328,24),4))&amp;BIN2HEX(LEFT(RIGHT(C328,20),4))&amp;BIN2HEX(LEFT(RIGHT(C328,16),4))&amp;BIN2HEX(LEFT(RIGHT(C328,12),4))&amp;BIN2HEX(LEFT(RIGHT(C328,8),4))&amp;BIN2HEX(LEFT(RIGHT(C328,4),4))</f>
        <v>#NUM!</v>
      </c>
    </row>
    <row r="329" spans="1:17">
      <c r="A329" s="71"/>
      <c r="B329" s="61"/>
      <c r="C329" s="21" t="s">
        <v>361</v>
      </c>
      <c r="D329" s="21">
        <v>1</v>
      </c>
      <c r="E329" s="79" t="str">
        <f>(MID(str_cnvt(E328),SEARCH(":",str_cnvt(E328))+1,2)-1) &amp; ":" &amp; (MID(str_cnvt(E328),SEARCH(":",str_cnvt(E328))+1,2)-D329)</f>
        <v>3:3</v>
      </c>
      <c r="F329" s="21" t="s">
        <v>7</v>
      </c>
      <c r="G329" s="21" t="s">
        <v>376</v>
      </c>
      <c r="H329" s="23" t="s">
        <v>37</v>
      </c>
      <c r="I329" s="24" t="s">
        <v>36</v>
      </c>
      <c r="J329" s="25" t="s">
        <v>6</v>
      </c>
      <c r="K329" s="21"/>
      <c r="L329" s="49"/>
      <c r="M329" s="49"/>
      <c r="N329" s="49"/>
      <c r="O329" s="49"/>
      <c r="P329" s="49"/>
      <c r="Q329" s="49"/>
    </row>
    <row r="330" spans="1:17">
      <c r="A330" s="71"/>
      <c r="B330" s="61"/>
      <c r="C330" s="21" t="s">
        <v>362</v>
      </c>
      <c r="D330" s="21">
        <v>1</v>
      </c>
      <c r="E330" s="79" t="str">
        <f>(MID(str_cnvt(E329),SEARCH(":",str_cnvt(E329))+1,2)-1) &amp; ":" &amp; (MID(str_cnvt(E329),SEARCH(":",str_cnvt(E329))+1,2)-D330)</f>
        <v>2:2</v>
      </c>
      <c r="F330" s="21" t="s">
        <v>7</v>
      </c>
      <c r="G330" s="21" t="s">
        <v>377</v>
      </c>
      <c r="H330" s="23" t="s">
        <v>37</v>
      </c>
      <c r="I330" s="24" t="s">
        <v>36</v>
      </c>
      <c r="J330" s="25" t="s">
        <v>6</v>
      </c>
      <c r="K330" s="21"/>
      <c r="L330" s="49"/>
      <c r="M330" s="49"/>
      <c r="N330" s="49">
        <v>11</v>
      </c>
      <c r="O330" s="49">
        <v>1</v>
      </c>
      <c r="P330" s="49" t="str">
        <f t="shared" ref="P330" si="98">DEC2HEX(_xlfn.BITLSHIFT(N330,5)+O330*4)</f>
        <v>164</v>
      </c>
      <c r="Q330" s="49" t="e">
        <f t="shared" ref="Q330" si="99">BIN2HEX(LEFT(RIGHT(C330,32),4))&amp;BIN2HEX(LEFT(RIGHT(C330,28),4))&amp;BIN2HEX(LEFT(RIGHT(C330,24),4))&amp;BIN2HEX(LEFT(RIGHT(C330,20),4))&amp;BIN2HEX(LEFT(RIGHT(C330,16),4))&amp;BIN2HEX(LEFT(RIGHT(C330,12),4))&amp;BIN2HEX(LEFT(RIGHT(C330,8),4))&amp;BIN2HEX(LEFT(RIGHT(C330,4),4))</f>
        <v>#NUM!</v>
      </c>
    </row>
    <row r="331" spans="1:17">
      <c r="A331" s="71"/>
      <c r="B331" s="61"/>
      <c r="C331" s="21" t="s">
        <v>363</v>
      </c>
      <c r="D331" s="21">
        <v>1</v>
      </c>
      <c r="E331" s="79" t="str">
        <f>(MID(str_cnvt(E330),SEARCH(":",str_cnvt(E330))+1,2)-1) &amp; ":" &amp; (MID(str_cnvt(E330),SEARCH(":",str_cnvt(E330))+1,2)-D331)</f>
        <v>1:1</v>
      </c>
      <c r="F331" s="21" t="s">
        <v>7</v>
      </c>
      <c r="G331" s="21" t="s">
        <v>378</v>
      </c>
      <c r="H331" s="23" t="s">
        <v>37</v>
      </c>
      <c r="I331" s="24" t="s">
        <v>36</v>
      </c>
      <c r="J331" s="25" t="s">
        <v>6</v>
      </c>
      <c r="K331" s="21"/>
      <c r="L331" s="49"/>
      <c r="M331" s="49"/>
      <c r="N331" s="49"/>
      <c r="O331" s="49"/>
      <c r="P331" s="49"/>
      <c r="Q331" s="49"/>
    </row>
    <row r="332" spans="1:17" ht="15" thickBot="1">
      <c r="A332" s="73"/>
      <c r="B332" s="74"/>
      <c r="C332" s="21" t="s">
        <v>364</v>
      </c>
      <c r="D332" s="21">
        <v>1</v>
      </c>
      <c r="E332" s="79" t="str">
        <f>(MID(str_cnvt(E331),SEARCH(":",str_cnvt(E331))+1,2)-1) &amp; ":" &amp; (MID(str_cnvt(E331),SEARCH(":",str_cnvt(E331))+1,2)-D332)</f>
        <v>0:0</v>
      </c>
      <c r="F332" s="21" t="s">
        <v>7</v>
      </c>
      <c r="G332" s="21" t="s">
        <v>379</v>
      </c>
      <c r="H332" s="23" t="s">
        <v>37</v>
      </c>
      <c r="I332" s="24" t="s">
        <v>36</v>
      </c>
      <c r="J332" s="25" t="s">
        <v>6</v>
      </c>
      <c r="K332" s="21"/>
      <c r="L332" s="50"/>
      <c r="M332" s="50"/>
      <c r="N332" s="50"/>
      <c r="O332" s="50"/>
      <c r="P332" s="50"/>
      <c r="Q332" s="50"/>
    </row>
    <row r="333" spans="1:17">
      <c r="A333" s="60" t="s">
        <v>196</v>
      </c>
      <c r="B333" s="60">
        <v>44</v>
      </c>
      <c r="C333" s="53" t="str">
        <f>bitConcat(F334:F334)</f>
        <v>32'b00000000000000000000000000000000</v>
      </c>
      <c r="D333" s="40"/>
      <c r="E333" s="40"/>
      <c r="F333" s="40"/>
      <c r="G333" s="40"/>
      <c r="H333" s="40"/>
      <c r="I333" s="40"/>
      <c r="J333" s="40"/>
      <c r="K333" s="41"/>
      <c r="L333" s="33" t="str">
        <f>DEC2HEX(_xlfn.BITLSHIFT(N333,7)+4*O333)</f>
        <v>5C4</v>
      </c>
      <c r="M333" s="33"/>
      <c r="N333" s="37">
        <v>11</v>
      </c>
      <c r="O333" s="37">
        <v>17</v>
      </c>
      <c r="P333" s="54" t="str">
        <f>DEC2HEX(_xlfn.BITLSHIFT(N333,5)+O333*4)</f>
        <v>1A4</v>
      </c>
      <c r="Q333" s="51" t="str">
        <f t="shared" ref="Q333" si="100">BIN2HEX(LEFT(RIGHT(C333,32),4))&amp;BIN2HEX(LEFT(RIGHT(C333,28),4))&amp;BIN2HEX(LEFT(RIGHT(C333,24),4))&amp;BIN2HEX(LEFT(RIGHT(C333,20),4))&amp;BIN2HEX(LEFT(RIGHT(C333,16),4))&amp;BIN2HEX(LEFT(RIGHT(C333,12),4))&amp;BIN2HEX(LEFT(RIGHT(C333,8),4))&amp;BIN2HEX(LEFT(RIGHT(C333,4),4))</f>
        <v>00000000</v>
      </c>
    </row>
    <row r="334" spans="1:17" ht="15" thickBot="1">
      <c r="A334" s="61"/>
      <c r="B334" s="61"/>
      <c r="C334" s="21" t="s">
        <v>196</v>
      </c>
      <c r="D334" s="18">
        <v>32</v>
      </c>
      <c r="E334" s="18" t="str">
        <f>IF(D334&gt;1,(31)&amp;":"&amp;(31-D334+1),(31-D334+1)&amp;":"&amp;(31-D334+1))</f>
        <v>31:0</v>
      </c>
      <c r="F334" s="18" t="s">
        <v>57</v>
      </c>
      <c r="G334" s="22" t="s">
        <v>196</v>
      </c>
      <c r="H334" s="23" t="s">
        <v>37</v>
      </c>
      <c r="I334" s="24" t="s">
        <v>36</v>
      </c>
      <c r="J334" s="25" t="s">
        <v>6</v>
      </c>
      <c r="K334" s="22"/>
      <c r="L334" s="16"/>
      <c r="M334" s="16"/>
      <c r="N334" s="39"/>
      <c r="O334" s="39"/>
      <c r="P334" s="55"/>
      <c r="Q334" s="52"/>
    </row>
    <row r="335" spans="1:17">
      <c r="A335" s="60" t="s">
        <v>196</v>
      </c>
      <c r="B335" s="60">
        <v>48</v>
      </c>
      <c r="C335" s="53" t="str">
        <f>bitConcat(F336:F336)</f>
        <v>32'b00000000000000000000000000000000</v>
      </c>
      <c r="D335" s="40"/>
      <c r="E335" s="40"/>
      <c r="F335" s="40"/>
      <c r="G335" s="40"/>
      <c r="H335" s="40"/>
      <c r="I335" s="40"/>
      <c r="J335" s="40"/>
      <c r="K335" s="41"/>
      <c r="L335" s="33" t="str">
        <f>DEC2HEX(_xlfn.BITLSHIFT(N335,7)+4*O335)</f>
        <v>5C8</v>
      </c>
      <c r="M335" s="33"/>
      <c r="N335" s="37">
        <v>11</v>
      </c>
      <c r="O335" s="37">
        <v>18</v>
      </c>
      <c r="P335" s="54" t="str">
        <f>DEC2HEX(_xlfn.BITLSHIFT(N335,5)+O335*4)</f>
        <v>1A8</v>
      </c>
      <c r="Q335" s="51" t="str">
        <f t="shared" ref="Q335" si="101">BIN2HEX(LEFT(RIGHT(C335,32),4))&amp;BIN2HEX(LEFT(RIGHT(C335,28),4))&amp;BIN2HEX(LEFT(RIGHT(C335,24),4))&amp;BIN2HEX(LEFT(RIGHT(C335,20),4))&amp;BIN2HEX(LEFT(RIGHT(C335,16),4))&amp;BIN2HEX(LEFT(RIGHT(C335,12),4))&amp;BIN2HEX(LEFT(RIGHT(C335,8),4))&amp;BIN2HEX(LEFT(RIGHT(C335,4),4))</f>
        <v>00000000</v>
      </c>
    </row>
    <row r="336" spans="1:17" ht="15" thickBot="1">
      <c r="A336" s="61"/>
      <c r="B336" s="61"/>
      <c r="C336" s="21" t="s">
        <v>196</v>
      </c>
      <c r="D336" s="18">
        <v>32</v>
      </c>
      <c r="E336" s="18" t="str">
        <f>IF(D336&gt;1,(31)&amp;":"&amp;(31-D336+1),(31-D336+1)&amp;":"&amp;(31-D336+1))</f>
        <v>31:0</v>
      </c>
      <c r="F336" s="18" t="s">
        <v>57</v>
      </c>
      <c r="G336" s="22" t="s">
        <v>196</v>
      </c>
      <c r="H336" s="23" t="s">
        <v>37</v>
      </c>
      <c r="I336" s="24" t="s">
        <v>36</v>
      </c>
      <c r="J336" s="25" t="s">
        <v>6</v>
      </c>
      <c r="K336" s="22"/>
      <c r="L336" s="16"/>
      <c r="M336" s="16"/>
      <c r="N336" s="39"/>
      <c r="O336" s="39"/>
      <c r="P336" s="55"/>
      <c r="Q336" s="52"/>
    </row>
    <row r="337" spans="1:17">
      <c r="A337" s="60" t="s">
        <v>196</v>
      </c>
      <c r="B337" s="60" t="s">
        <v>206</v>
      </c>
      <c r="C337" s="53" t="str">
        <f>bitConcat(F338:F338)</f>
        <v>32'b00000000000000000000000000000000</v>
      </c>
      <c r="D337" s="40"/>
      <c r="E337" s="40"/>
      <c r="F337" s="40"/>
      <c r="G337" s="40"/>
      <c r="H337" s="40"/>
      <c r="I337" s="40"/>
      <c r="J337" s="40"/>
      <c r="K337" s="41"/>
      <c r="L337" s="33" t="str">
        <f>DEC2HEX(_xlfn.BITLSHIFT(N337,7)+4*O337)</f>
        <v>5CC</v>
      </c>
      <c r="M337" s="33"/>
      <c r="N337" s="37">
        <v>11</v>
      </c>
      <c r="O337" s="37">
        <v>19</v>
      </c>
      <c r="P337" s="54" t="str">
        <f>DEC2HEX(_xlfn.BITLSHIFT(N337,5)+O337*4)</f>
        <v>1AC</v>
      </c>
      <c r="Q337" s="51" t="str">
        <f t="shared" ref="Q337" si="102">BIN2HEX(LEFT(RIGHT(C337,32),4))&amp;BIN2HEX(LEFT(RIGHT(C337,28),4))&amp;BIN2HEX(LEFT(RIGHT(C337,24),4))&amp;BIN2HEX(LEFT(RIGHT(C337,20),4))&amp;BIN2HEX(LEFT(RIGHT(C337,16),4))&amp;BIN2HEX(LEFT(RIGHT(C337,12),4))&amp;BIN2HEX(LEFT(RIGHT(C337,8),4))&amp;BIN2HEX(LEFT(RIGHT(C337,4),4))</f>
        <v>00000000</v>
      </c>
    </row>
    <row r="338" spans="1:17" ht="15" thickBot="1">
      <c r="A338" s="61"/>
      <c r="B338" s="61"/>
      <c r="C338" s="21" t="s">
        <v>196</v>
      </c>
      <c r="D338" s="18">
        <v>32</v>
      </c>
      <c r="E338" s="18" t="str">
        <f>IF(D338&gt;1,(31)&amp;":"&amp;(31-D338+1),(31-D338+1)&amp;":"&amp;(31-D338+1))</f>
        <v>31:0</v>
      </c>
      <c r="F338" s="18" t="s">
        <v>57</v>
      </c>
      <c r="G338" s="22" t="s">
        <v>196</v>
      </c>
      <c r="H338" s="23" t="s">
        <v>37</v>
      </c>
      <c r="I338" s="24" t="s">
        <v>36</v>
      </c>
      <c r="J338" s="25" t="s">
        <v>6</v>
      </c>
      <c r="K338" s="22"/>
      <c r="L338" s="16"/>
      <c r="M338" s="16"/>
      <c r="N338" s="39"/>
      <c r="O338" s="39"/>
      <c r="P338" s="55"/>
      <c r="Q338" s="52"/>
    </row>
    <row r="339" spans="1:17">
      <c r="A339" s="60" t="s">
        <v>196</v>
      </c>
      <c r="B339" s="60">
        <v>50</v>
      </c>
      <c r="C339" s="53" t="str">
        <f>bitConcat(F340:F340)</f>
        <v>32'b00000000000000000000000000000000</v>
      </c>
      <c r="D339" s="40"/>
      <c r="E339" s="40"/>
      <c r="F339" s="40"/>
      <c r="G339" s="40"/>
      <c r="H339" s="40"/>
      <c r="I339" s="40"/>
      <c r="J339" s="40"/>
      <c r="K339" s="41"/>
      <c r="L339" s="33" t="str">
        <f>DEC2HEX(_xlfn.BITLSHIFT(N339,7)+4*O339)</f>
        <v>5D0</v>
      </c>
      <c r="M339" s="33"/>
      <c r="N339" s="37">
        <v>11</v>
      </c>
      <c r="O339" s="37">
        <v>20</v>
      </c>
      <c r="P339" s="54" t="str">
        <f>DEC2HEX(_xlfn.BITLSHIFT(N339,5)+O339*4)</f>
        <v>1B0</v>
      </c>
      <c r="Q339" s="51" t="str">
        <f t="shared" ref="Q339" si="103">BIN2HEX(LEFT(RIGHT(C339,32),4))&amp;BIN2HEX(LEFT(RIGHT(C339,28),4))&amp;BIN2HEX(LEFT(RIGHT(C339,24),4))&amp;BIN2HEX(LEFT(RIGHT(C339,20),4))&amp;BIN2HEX(LEFT(RIGHT(C339,16),4))&amp;BIN2HEX(LEFT(RIGHT(C339,12),4))&amp;BIN2HEX(LEFT(RIGHT(C339,8),4))&amp;BIN2HEX(LEFT(RIGHT(C339,4),4))</f>
        <v>00000000</v>
      </c>
    </row>
    <row r="340" spans="1:17" ht="15" thickBot="1">
      <c r="A340" s="61"/>
      <c r="B340" s="61"/>
      <c r="C340" s="21" t="s">
        <v>196</v>
      </c>
      <c r="D340" s="18">
        <v>32</v>
      </c>
      <c r="E340" s="18" t="str">
        <f>IF(D340&gt;1,(31)&amp;":"&amp;(31-D340+1),(31-D340+1)&amp;":"&amp;(31-D340+1))</f>
        <v>31:0</v>
      </c>
      <c r="F340" s="18" t="s">
        <v>57</v>
      </c>
      <c r="G340" s="22" t="s">
        <v>196</v>
      </c>
      <c r="H340" s="23" t="s">
        <v>37</v>
      </c>
      <c r="I340" s="24" t="s">
        <v>36</v>
      </c>
      <c r="J340" s="25" t="s">
        <v>6</v>
      </c>
      <c r="K340" s="22"/>
      <c r="L340" s="16"/>
      <c r="M340" s="16"/>
      <c r="N340" s="39"/>
      <c r="O340" s="39"/>
      <c r="P340" s="55"/>
      <c r="Q340" s="52"/>
    </row>
    <row r="341" spans="1:17">
      <c r="A341" s="60" t="s">
        <v>196</v>
      </c>
      <c r="B341" s="60">
        <v>54</v>
      </c>
      <c r="C341" s="53" t="str">
        <f>bitConcat(F342:F342)</f>
        <v>32'b00000000000000000000000000000000</v>
      </c>
      <c r="D341" s="40"/>
      <c r="E341" s="40"/>
      <c r="F341" s="40"/>
      <c r="G341" s="40"/>
      <c r="H341" s="40"/>
      <c r="I341" s="40"/>
      <c r="J341" s="40"/>
      <c r="K341" s="41"/>
      <c r="L341" s="33" t="str">
        <f>DEC2HEX(_xlfn.BITLSHIFT(N341,7)+4*O341)</f>
        <v>5D4</v>
      </c>
      <c r="M341" s="33"/>
      <c r="N341" s="37">
        <v>11</v>
      </c>
      <c r="O341" s="37">
        <v>21</v>
      </c>
      <c r="P341" s="54" t="str">
        <f>DEC2HEX(_xlfn.BITLSHIFT(N341,5)+O341*4)</f>
        <v>1B4</v>
      </c>
      <c r="Q341" s="51" t="str">
        <f t="shared" ref="Q341" si="104">BIN2HEX(LEFT(RIGHT(C341,32),4))&amp;BIN2HEX(LEFT(RIGHT(C341,28),4))&amp;BIN2HEX(LEFT(RIGHT(C341,24),4))&amp;BIN2HEX(LEFT(RIGHT(C341,20),4))&amp;BIN2HEX(LEFT(RIGHT(C341,16),4))&amp;BIN2HEX(LEFT(RIGHT(C341,12),4))&amp;BIN2HEX(LEFT(RIGHT(C341,8),4))&amp;BIN2HEX(LEFT(RIGHT(C341,4),4))</f>
        <v>00000000</v>
      </c>
    </row>
    <row r="342" spans="1:17" ht="15" thickBot="1">
      <c r="A342" s="61"/>
      <c r="B342" s="61"/>
      <c r="C342" s="21" t="s">
        <v>196</v>
      </c>
      <c r="D342" s="18">
        <v>32</v>
      </c>
      <c r="E342" s="18" t="str">
        <f>IF(D342&gt;1,(31)&amp;":"&amp;(31-D342+1),(31-D342+1)&amp;":"&amp;(31-D342+1))</f>
        <v>31:0</v>
      </c>
      <c r="F342" s="18" t="s">
        <v>57</v>
      </c>
      <c r="G342" s="22" t="s">
        <v>196</v>
      </c>
      <c r="H342" s="23" t="s">
        <v>37</v>
      </c>
      <c r="I342" s="24" t="s">
        <v>36</v>
      </c>
      <c r="J342" s="25" t="s">
        <v>6</v>
      </c>
      <c r="K342" s="22"/>
      <c r="L342" s="16"/>
      <c r="M342" s="16"/>
      <c r="N342" s="39"/>
      <c r="O342" s="39"/>
      <c r="P342" s="55"/>
      <c r="Q342" s="52"/>
    </row>
    <row r="343" spans="1:17" ht="14.4" customHeight="1">
      <c r="A343" s="60" t="s">
        <v>196</v>
      </c>
      <c r="B343" s="60">
        <v>58</v>
      </c>
      <c r="C343" s="75" t="str">
        <f>bitConcat(F344:F344)</f>
        <v>32'b00000000000000000000000000000000</v>
      </c>
      <c r="D343" s="76"/>
      <c r="E343" s="76"/>
      <c r="F343" s="76"/>
      <c r="G343" s="76"/>
      <c r="H343" s="76"/>
      <c r="I343" s="76"/>
      <c r="J343" s="76"/>
      <c r="K343" s="77"/>
      <c r="L343" s="33" t="str">
        <f>DEC2HEX(_xlfn.BITLSHIFT(N343,7)+4*O343)</f>
        <v>5D8</v>
      </c>
      <c r="M343" s="33"/>
      <c r="N343" s="33">
        <v>11</v>
      </c>
      <c r="O343" s="33">
        <v>22</v>
      </c>
      <c r="P343" s="11" t="str">
        <f>DEC2HEX(_xlfn.BITLSHIFT(N343,5)+O343*4)</f>
        <v>1B8</v>
      </c>
      <c r="Q343" s="14" t="str">
        <f t="shared" ref="Q343" si="105">BIN2HEX(LEFT(RIGHT(C343,32),4))&amp;BIN2HEX(LEFT(RIGHT(C343,28),4))&amp;BIN2HEX(LEFT(RIGHT(C343,24),4))&amp;BIN2HEX(LEFT(RIGHT(C343,20),4))&amp;BIN2HEX(LEFT(RIGHT(C343,16),4))&amp;BIN2HEX(LEFT(RIGHT(C343,12),4))&amp;BIN2HEX(LEFT(RIGHT(C343,8),4))&amp;BIN2HEX(LEFT(RIGHT(C343,4),4))</f>
        <v>00000000</v>
      </c>
    </row>
    <row r="344" spans="1:17" ht="15" thickBot="1">
      <c r="A344" s="61"/>
      <c r="B344" s="61"/>
      <c r="C344" s="21" t="s">
        <v>196</v>
      </c>
      <c r="D344" s="18">
        <v>32</v>
      </c>
      <c r="E344" s="18" t="str">
        <f>IF(D344&gt;1,(31)&amp;":"&amp;(31-D344+1),(31-D344+1)&amp;":"&amp;(31-D344+1))</f>
        <v>31:0</v>
      </c>
      <c r="F344" s="18" t="s">
        <v>57</v>
      </c>
      <c r="G344" s="22" t="s">
        <v>196</v>
      </c>
      <c r="H344" s="23" t="s">
        <v>37</v>
      </c>
      <c r="I344" s="24" t="s">
        <v>36</v>
      </c>
      <c r="J344" s="25" t="s">
        <v>6</v>
      </c>
      <c r="K344" s="22"/>
      <c r="L344" s="16"/>
      <c r="M344" s="16"/>
      <c r="N344" s="16"/>
      <c r="O344" s="16"/>
      <c r="P344" s="13"/>
      <c r="Q344" s="15"/>
    </row>
    <row r="345" spans="1:17" ht="14.4" customHeight="1">
      <c r="A345" s="60" t="s">
        <v>196</v>
      </c>
      <c r="B345" s="60" t="s">
        <v>209</v>
      </c>
      <c r="C345" s="75" t="str">
        <f>bitConcat(F346:F346)</f>
        <v>32'b00000000000000000000000000000000</v>
      </c>
      <c r="D345" s="76"/>
      <c r="E345" s="76"/>
      <c r="F345" s="76"/>
      <c r="G345" s="76"/>
      <c r="H345" s="76"/>
      <c r="I345" s="76"/>
      <c r="J345" s="76"/>
      <c r="K345" s="77"/>
      <c r="L345" s="33" t="str">
        <f>DEC2HEX(_xlfn.BITLSHIFT(N345,7)+4*O345)</f>
        <v>5DC</v>
      </c>
      <c r="M345" s="33"/>
      <c r="N345" s="33">
        <v>11</v>
      </c>
      <c r="O345" s="33">
        <v>23</v>
      </c>
      <c r="P345" s="11" t="str">
        <f>DEC2HEX(_xlfn.BITLSHIFT(N345,5)+O345*4)</f>
        <v>1BC</v>
      </c>
      <c r="Q345" s="14" t="str">
        <f t="shared" ref="Q345" si="106">BIN2HEX(LEFT(RIGHT(C345,32),4))&amp;BIN2HEX(LEFT(RIGHT(C345,28),4))&amp;BIN2HEX(LEFT(RIGHT(C345,24),4))&amp;BIN2HEX(LEFT(RIGHT(C345,20),4))&amp;BIN2HEX(LEFT(RIGHT(C345,16),4))&amp;BIN2HEX(LEFT(RIGHT(C345,12),4))&amp;BIN2HEX(LEFT(RIGHT(C345,8),4))&amp;BIN2HEX(LEFT(RIGHT(C345,4),4))</f>
        <v>00000000</v>
      </c>
    </row>
    <row r="346" spans="1:17" ht="15" thickBot="1">
      <c r="A346" s="61"/>
      <c r="B346" s="61"/>
      <c r="C346" s="21" t="s">
        <v>196</v>
      </c>
      <c r="D346" s="18">
        <v>32</v>
      </c>
      <c r="E346" s="18" t="str">
        <f>IF(D346&gt;1,(31)&amp;":"&amp;(31-D346+1),(31-D346+1)&amp;":"&amp;(31-D346+1))</f>
        <v>31:0</v>
      </c>
      <c r="F346" s="18" t="s">
        <v>57</v>
      </c>
      <c r="G346" s="22" t="s">
        <v>196</v>
      </c>
      <c r="H346" s="23" t="s">
        <v>37</v>
      </c>
      <c r="I346" s="24" t="s">
        <v>36</v>
      </c>
      <c r="J346" s="25" t="s">
        <v>6</v>
      </c>
      <c r="K346" s="22"/>
      <c r="L346" s="16"/>
      <c r="M346" s="16"/>
      <c r="N346" s="16"/>
      <c r="O346" s="16"/>
      <c r="P346" s="13"/>
      <c r="Q346" s="15"/>
    </row>
    <row r="347" spans="1:17" ht="14.4" customHeight="1">
      <c r="A347" s="60" t="s">
        <v>196</v>
      </c>
      <c r="B347" s="60">
        <v>60</v>
      </c>
      <c r="C347" s="75" t="str">
        <f>bitConcat(F348:F348)</f>
        <v>32'b00000000000000000000000000000000</v>
      </c>
      <c r="D347" s="76"/>
      <c r="E347" s="76"/>
      <c r="F347" s="76"/>
      <c r="G347" s="76"/>
      <c r="H347" s="76"/>
      <c r="I347" s="76"/>
      <c r="J347" s="76"/>
      <c r="K347" s="77"/>
      <c r="L347" s="33" t="str">
        <f>DEC2HEX(_xlfn.BITLSHIFT(N347,7)+4*O347)</f>
        <v>5E0</v>
      </c>
      <c r="M347" s="33"/>
      <c r="N347" s="33">
        <v>11</v>
      </c>
      <c r="O347" s="33">
        <v>24</v>
      </c>
      <c r="P347" s="11" t="str">
        <f>DEC2HEX(_xlfn.BITLSHIFT(N347,5)+O347*4)</f>
        <v>1C0</v>
      </c>
      <c r="Q347" s="14" t="str">
        <f t="shared" ref="Q347" si="107">BIN2HEX(LEFT(RIGHT(C347,32),4))&amp;BIN2HEX(LEFT(RIGHT(C347,28),4))&amp;BIN2HEX(LEFT(RIGHT(C347,24),4))&amp;BIN2HEX(LEFT(RIGHT(C347,20),4))&amp;BIN2HEX(LEFT(RIGHT(C347,16),4))&amp;BIN2HEX(LEFT(RIGHT(C347,12),4))&amp;BIN2HEX(LEFT(RIGHT(C347,8),4))&amp;BIN2HEX(LEFT(RIGHT(C347,4),4))</f>
        <v>00000000</v>
      </c>
    </row>
    <row r="348" spans="1:17" ht="15" thickBot="1">
      <c r="A348" s="61"/>
      <c r="B348" s="61"/>
      <c r="C348" s="21" t="s">
        <v>196</v>
      </c>
      <c r="D348" s="18">
        <v>32</v>
      </c>
      <c r="E348" s="18" t="str">
        <f>IF(D348&gt;1,(31)&amp;":"&amp;(31-D348+1),(31-D348+1)&amp;":"&amp;(31-D348+1))</f>
        <v>31:0</v>
      </c>
      <c r="F348" s="18" t="s">
        <v>57</v>
      </c>
      <c r="G348" s="22" t="s">
        <v>196</v>
      </c>
      <c r="H348" s="23" t="s">
        <v>37</v>
      </c>
      <c r="I348" s="24" t="s">
        <v>36</v>
      </c>
      <c r="J348" s="25" t="s">
        <v>6</v>
      </c>
      <c r="K348" s="22"/>
      <c r="L348" s="16"/>
      <c r="M348" s="16"/>
      <c r="N348" s="16"/>
      <c r="O348" s="16"/>
      <c r="P348" s="13"/>
      <c r="Q348" s="15"/>
    </row>
    <row r="349" spans="1:17" ht="14.4" customHeight="1">
      <c r="A349" s="60" t="s">
        <v>196</v>
      </c>
      <c r="B349" s="60">
        <v>64</v>
      </c>
      <c r="C349" s="75" t="str">
        <f>bitConcat(F350:F350)</f>
        <v>32'b00000000000000000000000000000000</v>
      </c>
      <c r="D349" s="76"/>
      <c r="E349" s="76"/>
      <c r="F349" s="76"/>
      <c r="G349" s="76"/>
      <c r="H349" s="76"/>
      <c r="I349" s="76"/>
      <c r="J349" s="76"/>
      <c r="K349" s="77"/>
      <c r="L349" s="33" t="str">
        <f>DEC2HEX(_xlfn.BITLSHIFT(N349,7)+4*O349)</f>
        <v>5E4</v>
      </c>
      <c r="M349" s="33"/>
      <c r="N349" s="33">
        <v>11</v>
      </c>
      <c r="O349" s="33">
        <v>25</v>
      </c>
      <c r="P349" s="11" t="str">
        <f>DEC2HEX(_xlfn.BITLSHIFT(N349,5)+O349*4)</f>
        <v>1C4</v>
      </c>
      <c r="Q349" s="14" t="str">
        <f t="shared" ref="Q349" si="108">BIN2HEX(LEFT(RIGHT(C349,32),4))&amp;BIN2HEX(LEFT(RIGHT(C349,28),4))&amp;BIN2HEX(LEFT(RIGHT(C349,24),4))&amp;BIN2HEX(LEFT(RIGHT(C349,20),4))&amp;BIN2HEX(LEFT(RIGHT(C349,16),4))&amp;BIN2HEX(LEFT(RIGHT(C349,12),4))&amp;BIN2HEX(LEFT(RIGHT(C349,8),4))&amp;BIN2HEX(LEFT(RIGHT(C349,4),4))</f>
        <v>00000000</v>
      </c>
    </row>
    <row r="350" spans="1:17" ht="15" thickBot="1">
      <c r="A350" s="61"/>
      <c r="B350" s="61"/>
      <c r="C350" s="21" t="s">
        <v>196</v>
      </c>
      <c r="D350" s="18">
        <v>32</v>
      </c>
      <c r="E350" s="18" t="str">
        <f>IF(D350&gt;1,(31)&amp;":"&amp;(31-D350+1),(31-D350+1)&amp;":"&amp;(31-D350+1))</f>
        <v>31:0</v>
      </c>
      <c r="F350" s="18" t="s">
        <v>57</v>
      </c>
      <c r="G350" s="22" t="s">
        <v>196</v>
      </c>
      <c r="H350" s="23" t="s">
        <v>37</v>
      </c>
      <c r="I350" s="24" t="s">
        <v>36</v>
      </c>
      <c r="J350" s="25" t="s">
        <v>6</v>
      </c>
      <c r="K350" s="22"/>
      <c r="L350" s="16"/>
      <c r="M350" s="16"/>
      <c r="N350" s="16"/>
      <c r="O350" s="16"/>
      <c r="P350" s="13"/>
      <c r="Q350" s="15"/>
    </row>
    <row r="351" spans="1:17" ht="14.4" customHeight="1">
      <c r="A351" s="60" t="s">
        <v>196</v>
      </c>
      <c r="B351" s="60">
        <v>68</v>
      </c>
      <c r="C351" s="75" t="str">
        <f>bitConcat(F352:F352)</f>
        <v>32'b00000000000000000000000000000000</v>
      </c>
      <c r="D351" s="76"/>
      <c r="E351" s="76"/>
      <c r="F351" s="76"/>
      <c r="G351" s="76"/>
      <c r="H351" s="76"/>
      <c r="I351" s="76"/>
      <c r="J351" s="76"/>
      <c r="K351" s="77"/>
      <c r="L351" s="33" t="str">
        <f>DEC2HEX(_xlfn.BITLSHIFT(N351,7)+4*O351)</f>
        <v>5E8</v>
      </c>
      <c r="M351" s="33"/>
      <c r="N351" s="33">
        <v>11</v>
      </c>
      <c r="O351" s="33">
        <v>26</v>
      </c>
      <c r="P351" s="11" t="str">
        <f>DEC2HEX(_xlfn.BITLSHIFT(N351,5)+O351*4)</f>
        <v>1C8</v>
      </c>
      <c r="Q351" s="14" t="str">
        <f t="shared" ref="Q351" si="109">BIN2HEX(LEFT(RIGHT(C351,32),4))&amp;BIN2HEX(LEFT(RIGHT(C351,28),4))&amp;BIN2HEX(LEFT(RIGHT(C351,24),4))&amp;BIN2HEX(LEFT(RIGHT(C351,20),4))&amp;BIN2HEX(LEFT(RIGHT(C351,16),4))&amp;BIN2HEX(LEFT(RIGHT(C351,12),4))&amp;BIN2HEX(LEFT(RIGHT(C351,8),4))&amp;BIN2HEX(LEFT(RIGHT(C351,4),4))</f>
        <v>00000000</v>
      </c>
    </row>
    <row r="352" spans="1:17" ht="15" thickBot="1">
      <c r="A352" s="61"/>
      <c r="B352" s="61"/>
      <c r="C352" s="21" t="s">
        <v>196</v>
      </c>
      <c r="D352" s="18">
        <v>32</v>
      </c>
      <c r="E352" s="18" t="str">
        <f>IF(D352&gt;1,(31)&amp;":"&amp;(31-D352+1),(31-D352+1)&amp;":"&amp;(31-D352+1))</f>
        <v>31:0</v>
      </c>
      <c r="F352" s="18" t="s">
        <v>57</v>
      </c>
      <c r="G352" s="22" t="s">
        <v>196</v>
      </c>
      <c r="H352" s="23" t="s">
        <v>37</v>
      </c>
      <c r="I352" s="24" t="s">
        <v>36</v>
      </c>
      <c r="J352" s="25" t="s">
        <v>6</v>
      </c>
      <c r="K352" s="22"/>
      <c r="L352" s="16"/>
      <c r="M352" s="16"/>
      <c r="N352" s="16"/>
      <c r="O352" s="16"/>
      <c r="P352" s="13"/>
      <c r="Q352" s="15"/>
    </row>
    <row r="353" spans="1:17" ht="14.4" customHeight="1">
      <c r="A353" s="60" t="s">
        <v>196</v>
      </c>
      <c r="B353" s="60" t="s">
        <v>210</v>
      </c>
      <c r="C353" s="75" t="str">
        <f>bitConcat(F354:F354)</f>
        <v>32'b00000000000000000000000000000000</v>
      </c>
      <c r="D353" s="76"/>
      <c r="E353" s="76"/>
      <c r="F353" s="76"/>
      <c r="G353" s="76"/>
      <c r="H353" s="76"/>
      <c r="I353" s="76"/>
      <c r="J353" s="76"/>
      <c r="K353" s="77"/>
      <c r="L353" s="33" t="str">
        <f>DEC2HEX(_xlfn.BITLSHIFT(N353,7)+4*O353)</f>
        <v>5EC</v>
      </c>
      <c r="M353" s="33"/>
      <c r="N353" s="33">
        <v>11</v>
      </c>
      <c r="O353" s="33">
        <v>27</v>
      </c>
      <c r="P353" s="11" t="str">
        <f>DEC2HEX(_xlfn.BITLSHIFT(N353,5)+O353*4)</f>
        <v>1CC</v>
      </c>
      <c r="Q353" s="14" t="str">
        <f t="shared" ref="Q353" si="110">BIN2HEX(LEFT(RIGHT(C353,32),4))&amp;BIN2HEX(LEFT(RIGHT(C353,28),4))&amp;BIN2HEX(LEFT(RIGHT(C353,24),4))&amp;BIN2HEX(LEFT(RIGHT(C353,20),4))&amp;BIN2HEX(LEFT(RIGHT(C353,16),4))&amp;BIN2HEX(LEFT(RIGHT(C353,12),4))&amp;BIN2HEX(LEFT(RIGHT(C353,8),4))&amp;BIN2HEX(LEFT(RIGHT(C353,4),4))</f>
        <v>00000000</v>
      </c>
    </row>
    <row r="354" spans="1:17" ht="15" thickBot="1">
      <c r="A354" s="61"/>
      <c r="B354" s="61"/>
      <c r="C354" s="21" t="s">
        <v>196</v>
      </c>
      <c r="D354" s="18">
        <v>32</v>
      </c>
      <c r="E354" s="18" t="str">
        <f>IF(D354&gt;1,(31)&amp;":"&amp;(31-D354+1),(31-D354+1)&amp;":"&amp;(31-D354+1))</f>
        <v>31:0</v>
      </c>
      <c r="F354" s="18" t="s">
        <v>57</v>
      </c>
      <c r="G354" s="22" t="s">
        <v>196</v>
      </c>
      <c r="H354" s="23" t="s">
        <v>37</v>
      </c>
      <c r="I354" s="24" t="s">
        <v>36</v>
      </c>
      <c r="J354" s="25" t="s">
        <v>6</v>
      </c>
      <c r="K354" s="22"/>
      <c r="L354" s="16"/>
      <c r="M354" s="16"/>
      <c r="N354" s="16"/>
      <c r="O354" s="16"/>
      <c r="P354" s="13"/>
      <c r="Q354" s="15"/>
    </row>
    <row r="355" spans="1:17" ht="14.4" customHeight="1">
      <c r="A355" s="60" t="s">
        <v>196</v>
      </c>
      <c r="B355" s="60">
        <v>70</v>
      </c>
      <c r="C355" s="75" t="str">
        <f>bitConcat(F356:F356)</f>
        <v>32'b00000000000000000000000000000000</v>
      </c>
      <c r="D355" s="76"/>
      <c r="E355" s="76"/>
      <c r="F355" s="76"/>
      <c r="G355" s="76"/>
      <c r="H355" s="76"/>
      <c r="I355" s="76"/>
      <c r="J355" s="76"/>
      <c r="K355" s="77"/>
      <c r="L355" s="33" t="str">
        <f>DEC2HEX(_xlfn.BITLSHIFT(N355,7)+4*O355)</f>
        <v>5F0</v>
      </c>
      <c r="M355" s="33"/>
      <c r="N355" s="33">
        <v>11</v>
      </c>
      <c r="O355" s="33">
        <v>28</v>
      </c>
      <c r="P355" s="11" t="str">
        <f>DEC2HEX(_xlfn.BITLSHIFT(N355,5)+O355*4)</f>
        <v>1D0</v>
      </c>
      <c r="Q355" s="14" t="str">
        <f t="shared" ref="Q355" si="111">BIN2HEX(LEFT(RIGHT(C355,32),4))&amp;BIN2HEX(LEFT(RIGHT(C355,28),4))&amp;BIN2HEX(LEFT(RIGHT(C355,24),4))&amp;BIN2HEX(LEFT(RIGHT(C355,20),4))&amp;BIN2HEX(LEFT(RIGHT(C355,16),4))&amp;BIN2HEX(LEFT(RIGHT(C355,12),4))&amp;BIN2HEX(LEFT(RIGHT(C355,8),4))&amp;BIN2HEX(LEFT(RIGHT(C355,4),4))</f>
        <v>00000000</v>
      </c>
    </row>
    <row r="356" spans="1:17" ht="15" thickBot="1">
      <c r="A356" s="61"/>
      <c r="B356" s="61"/>
      <c r="C356" s="21" t="s">
        <v>196</v>
      </c>
      <c r="D356" s="18">
        <v>32</v>
      </c>
      <c r="E356" s="18" t="str">
        <f>IF(D356&gt;1,(31)&amp;":"&amp;(31-D356+1),(31-D356+1)&amp;":"&amp;(31-D356+1))</f>
        <v>31:0</v>
      </c>
      <c r="F356" s="18" t="s">
        <v>57</v>
      </c>
      <c r="G356" s="22" t="s">
        <v>196</v>
      </c>
      <c r="H356" s="23" t="s">
        <v>37</v>
      </c>
      <c r="I356" s="24" t="s">
        <v>36</v>
      </c>
      <c r="J356" s="25" t="s">
        <v>6</v>
      </c>
      <c r="K356" s="22"/>
      <c r="L356" s="16"/>
      <c r="M356" s="16"/>
      <c r="N356" s="16"/>
      <c r="O356" s="16"/>
      <c r="P356" s="13"/>
      <c r="Q356" s="15"/>
    </row>
    <row r="357" spans="1:17" ht="14.4" customHeight="1">
      <c r="A357" s="60" t="s">
        <v>196</v>
      </c>
      <c r="B357" s="60">
        <v>74</v>
      </c>
      <c r="C357" s="75" t="str">
        <f>bitConcat(F358:F358)</f>
        <v>32'b00000000000000000000000000000000</v>
      </c>
      <c r="D357" s="76"/>
      <c r="E357" s="76"/>
      <c r="F357" s="76"/>
      <c r="G357" s="76"/>
      <c r="H357" s="76"/>
      <c r="I357" s="76"/>
      <c r="J357" s="76"/>
      <c r="K357" s="77"/>
      <c r="L357" s="33" t="str">
        <f>DEC2HEX(_xlfn.BITLSHIFT(N357,7)+4*O357)</f>
        <v>5F4</v>
      </c>
      <c r="M357" s="33"/>
      <c r="N357" s="33">
        <v>11</v>
      </c>
      <c r="O357" s="33">
        <v>29</v>
      </c>
      <c r="P357" s="11" t="str">
        <f>DEC2HEX(_xlfn.BITLSHIFT(N357,5)+O357*4)</f>
        <v>1D4</v>
      </c>
      <c r="Q357" s="14" t="str">
        <f t="shared" ref="Q357" si="112">BIN2HEX(LEFT(RIGHT(C357,32),4))&amp;BIN2HEX(LEFT(RIGHT(C357,28),4))&amp;BIN2HEX(LEFT(RIGHT(C357,24),4))&amp;BIN2HEX(LEFT(RIGHT(C357,20),4))&amp;BIN2HEX(LEFT(RIGHT(C357,16),4))&amp;BIN2HEX(LEFT(RIGHT(C357,12),4))&amp;BIN2HEX(LEFT(RIGHT(C357,8),4))&amp;BIN2HEX(LEFT(RIGHT(C357,4),4))</f>
        <v>00000000</v>
      </c>
    </row>
    <row r="358" spans="1:17" ht="15" thickBot="1">
      <c r="A358" s="61"/>
      <c r="B358" s="61"/>
      <c r="C358" s="21" t="s">
        <v>196</v>
      </c>
      <c r="D358" s="18">
        <v>32</v>
      </c>
      <c r="E358" s="18" t="str">
        <f>IF(D358&gt;1,(31)&amp;":"&amp;(31-D358+1),(31-D358+1)&amp;":"&amp;(31-D358+1))</f>
        <v>31:0</v>
      </c>
      <c r="F358" s="18" t="s">
        <v>57</v>
      </c>
      <c r="G358" s="22" t="s">
        <v>196</v>
      </c>
      <c r="H358" s="23" t="s">
        <v>37</v>
      </c>
      <c r="I358" s="24" t="s">
        <v>36</v>
      </c>
      <c r="J358" s="25" t="s">
        <v>6</v>
      </c>
      <c r="K358" s="22"/>
      <c r="L358" s="16"/>
      <c r="M358" s="16"/>
      <c r="N358" s="16"/>
      <c r="O358" s="16"/>
      <c r="P358" s="13"/>
      <c r="Q358" s="15"/>
    </row>
    <row r="359" spans="1:17" ht="14.4" customHeight="1">
      <c r="A359" s="60" t="s">
        <v>196</v>
      </c>
      <c r="B359" s="60">
        <v>78</v>
      </c>
      <c r="C359" s="75" t="str">
        <f>bitConcat(F360:F360)</f>
        <v>32'b00000000000000000000000000000000</v>
      </c>
      <c r="D359" s="76"/>
      <c r="E359" s="76"/>
      <c r="F359" s="76"/>
      <c r="G359" s="76"/>
      <c r="H359" s="76"/>
      <c r="I359" s="76"/>
      <c r="J359" s="76"/>
      <c r="K359" s="77"/>
      <c r="L359" s="33" t="str">
        <f>DEC2HEX(_xlfn.BITLSHIFT(N359,7)+4*O359)</f>
        <v>5F8</v>
      </c>
      <c r="M359" s="33"/>
      <c r="N359" s="33">
        <v>11</v>
      </c>
      <c r="O359" s="33">
        <v>30</v>
      </c>
      <c r="P359" s="11" t="str">
        <f>DEC2HEX(_xlfn.BITLSHIFT(N359,5)+O359*4)</f>
        <v>1D8</v>
      </c>
      <c r="Q359" s="14" t="str">
        <f t="shared" ref="Q359" si="113">BIN2HEX(LEFT(RIGHT(C359,32),4))&amp;BIN2HEX(LEFT(RIGHT(C359,28),4))&amp;BIN2HEX(LEFT(RIGHT(C359,24),4))&amp;BIN2HEX(LEFT(RIGHT(C359,20),4))&amp;BIN2HEX(LEFT(RIGHT(C359,16),4))&amp;BIN2HEX(LEFT(RIGHT(C359,12),4))&amp;BIN2HEX(LEFT(RIGHT(C359,8),4))&amp;BIN2HEX(LEFT(RIGHT(C359,4),4))</f>
        <v>00000000</v>
      </c>
    </row>
    <row r="360" spans="1:17" ht="15" thickBot="1">
      <c r="A360" s="61"/>
      <c r="B360" s="61"/>
      <c r="C360" s="21" t="s">
        <v>196</v>
      </c>
      <c r="D360" s="18">
        <v>32</v>
      </c>
      <c r="E360" s="18" t="str">
        <f>IF(D360&gt;1,(31)&amp;":"&amp;(31-D360+1),(31-D360+1)&amp;":"&amp;(31-D360+1))</f>
        <v>31:0</v>
      </c>
      <c r="F360" s="18" t="s">
        <v>57</v>
      </c>
      <c r="G360" s="22" t="s">
        <v>196</v>
      </c>
      <c r="H360" s="23" t="s">
        <v>37</v>
      </c>
      <c r="I360" s="24" t="s">
        <v>36</v>
      </c>
      <c r="J360" s="25" t="s">
        <v>6</v>
      </c>
      <c r="K360" s="22"/>
      <c r="L360" s="16"/>
      <c r="M360" s="16"/>
      <c r="N360" s="16"/>
      <c r="O360" s="16"/>
      <c r="P360" s="13"/>
      <c r="Q360" s="15"/>
    </row>
    <row r="361" spans="1:17" ht="14.4" customHeight="1">
      <c r="A361" s="60" t="s">
        <v>196</v>
      </c>
      <c r="B361" s="60" t="s">
        <v>211</v>
      </c>
      <c r="C361" s="75" t="str">
        <f>bitConcat(F362:F362)</f>
        <v>32'b00000000000000000000000000000000</v>
      </c>
      <c r="D361" s="76"/>
      <c r="E361" s="76"/>
      <c r="F361" s="76"/>
      <c r="G361" s="76"/>
      <c r="H361" s="76"/>
      <c r="I361" s="76"/>
      <c r="J361" s="76"/>
      <c r="K361" s="77"/>
      <c r="L361" s="33" t="str">
        <f>DEC2HEX(_xlfn.BITLSHIFT(N361,7)+4*O361)</f>
        <v>5FC</v>
      </c>
      <c r="M361" s="33"/>
      <c r="N361" s="33">
        <v>11</v>
      </c>
      <c r="O361" s="33">
        <v>31</v>
      </c>
      <c r="P361" s="11" t="str">
        <f>DEC2HEX(_xlfn.BITLSHIFT(N361,5)+O361*4)</f>
        <v>1DC</v>
      </c>
      <c r="Q361" s="14" t="str">
        <f t="shared" ref="Q361" si="114">BIN2HEX(LEFT(RIGHT(C361,32),4))&amp;BIN2HEX(LEFT(RIGHT(C361,28),4))&amp;BIN2HEX(LEFT(RIGHT(C361,24),4))&amp;BIN2HEX(LEFT(RIGHT(C361,20),4))&amp;BIN2HEX(LEFT(RIGHT(C361,16),4))&amp;BIN2HEX(LEFT(RIGHT(C361,12),4))&amp;BIN2HEX(LEFT(RIGHT(C361,8),4))&amp;BIN2HEX(LEFT(RIGHT(C361,4),4))</f>
        <v>00000000</v>
      </c>
    </row>
    <row r="362" spans="1:17" ht="15" thickBot="1">
      <c r="A362" s="61"/>
      <c r="B362" s="61"/>
      <c r="C362" s="21" t="s">
        <v>196</v>
      </c>
      <c r="D362" s="18">
        <v>32</v>
      </c>
      <c r="E362" s="18" t="str">
        <f>IF(D362&gt;1,(31)&amp;":"&amp;(31-D362+1),(31-D362+1)&amp;":"&amp;(31-D362+1))</f>
        <v>31:0</v>
      </c>
      <c r="F362" s="18" t="s">
        <v>57</v>
      </c>
      <c r="G362" s="22" t="s">
        <v>196</v>
      </c>
      <c r="H362" s="23" t="s">
        <v>37</v>
      </c>
      <c r="I362" s="24" t="s">
        <v>36</v>
      </c>
      <c r="J362" s="25" t="s">
        <v>6</v>
      </c>
      <c r="K362" s="22"/>
      <c r="L362" s="16"/>
      <c r="M362" s="16"/>
      <c r="N362" s="16"/>
      <c r="O362" s="16"/>
      <c r="P362" s="13"/>
      <c r="Q362" s="15"/>
    </row>
  </sheetData>
  <mergeCells count="489">
    <mergeCell ref="A262:A268"/>
    <mergeCell ref="B262:B268"/>
    <mergeCell ref="N318:N319"/>
    <mergeCell ref="O318:O319"/>
    <mergeCell ref="P318:P319"/>
    <mergeCell ref="Q318:Q319"/>
    <mergeCell ref="A249:A254"/>
    <mergeCell ref="B249:B254"/>
    <mergeCell ref="A255:A261"/>
    <mergeCell ref="B255:B261"/>
    <mergeCell ref="L314:L317"/>
    <mergeCell ref="M314:M317"/>
    <mergeCell ref="N314:N317"/>
    <mergeCell ref="O314:O317"/>
    <mergeCell ref="P314:P317"/>
    <mergeCell ref="Q314:Q317"/>
    <mergeCell ref="L309:L313"/>
    <mergeCell ref="M309:M313"/>
    <mergeCell ref="N309:N313"/>
    <mergeCell ref="O309:O313"/>
    <mergeCell ref="P309:P313"/>
    <mergeCell ref="Q309:Q313"/>
    <mergeCell ref="L301:L306"/>
    <mergeCell ref="M301:M306"/>
    <mergeCell ref="N301:N306"/>
    <mergeCell ref="O301:O306"/>
    <mergeCell ref="P301:P306"/>
    <mergeCell ref="Q301:Q306"/>
    <mergeCell ref="N293:N300"/>
    <mergeCell ref="O293:O300"/>
    <mergeCell ref="P293:P300"/>
    <mergeCell ref="Q293:Q300"/>
    <mergeCell ref="M293:M300"/>
    <mergeCell ref="L293:L300"/>
    <mergeCell ref="P285:P286"/>
    <mergeCell ref="Q285:Q286"/>
    <mergeCell ref="L287:L292"/>
    <mergeCell ref="M287:M292"/>
    <mergeCell ref="L276:L284"/>
    <mergeCell ref="M276:M284"/>
    <mergeCell ref="N276:N284"/>
    <mergeCell ref="O276:O284"/>
    <mergeCell ref="P276:P284"/>
    <mergeCell ref="Q276:Q284"/>
    <mergeCell ref="Q255:Q261"/>
    <mergeCell ref="L262:L268"/>
    <mergeCell ref="M262:M268"/>
    <mergeCell ref="N262:N268"/>
    <mergeCell ref="O262:O268"/>
    <mergeCell ref="P262:P268"/>
    <mergeCell ref="Q262:Q268"/>
    <mergeCell ref="A287:A292"/>
    <mergeCell ref="B287:B292"/>
    <mergeCell ref="N285:N286"/>
    <mergeCell ref="O285:O286"/>
    <mergeCell ref="N287:N292"/>
    <mergeCell ref="O287:O292"/>
    <mergeCell ref="L269:L275"/>
    <mergeCell ref="M269:M275"/>
    <mergeCell ref="N269:N275"/>
    <mergeCell ref="O269:O275"/>
    <mergeCell ref="C285:K285"/>
    <mergeCell ref="A285:A286"/>
    <mergeCell ref="B285:B286"/>
    <mergeCell ref="C287:K287"/>
    <mergeCell ref="P287:P292"/>
    <mergeCell ref="Q287:Q292"/>
    <mergeCell ref="B269:B275"/>
    <mergeCell ref="A337:A338"/>
    <mergeCell ref="B337:B338"/>
    <mergeCell ref="A335:A336"/>
    <mergeCell ref="B335:B336"/>
    <mergeCell ref="A333:A334"/>
    <mergeCell ref="N249:N254"/>
    <mergeCell ref="O249:O254"/>
    <mergeCell ref="P249:P254"/>
    <mergeCell ref="Q249:Q254"/>
    <mergeCell ref="L249:L254"/>
    <mergeCell ref="M249:M254"/>
    <mergeCell ref="L255:L261"/>
    <mergeCell ref="M255:M261"/>
    <mergeCell ref="A301:A306"/>
    <mergeCell ref="B301:B306"/>
    <mergeCell ref="A269:A275"/>
    <mergeCell ref="L322:L332"/>
    <mergeCell ref="M322:M332"/>
    <mergeCell ref="N322:N332"/>
    <mergeCell ref="P269:P275"/>
    <mergeCell ref="Q269:Q275"/>
    <mergeCell ref="N255:N261"/>
    <mergeCell ref="O255:O261"/>
    <mergeCell ref="P255:P261"/>
    <mergeCell ref="A345:A346"/>
    <mergeCell ref="B345:B346"/>
    <mergeCell ref="C345:K345"/>
    <mergeCell ref="A343:A344"/>
    <mergeCell ref="B343:B344"/>
    <mergeCell ref="C343:K343"/>
    <mergeCell ref="A341:A342"/>
    <mergeCell ref="B341:B342"/>
    <mergeCell ref="A339:A340"/>
    <mergeCell ref="B339:B340"/>
    <mergeCell ref="C359:K359"/>
    <mergeCell ref="C361:K361"/>
    <mergeCell ref="A351:A352"/>
    <mergeCell ref="B351:B352"/>
    <mergeCell ref="C351:K351"/>
    <mergeCell ref="A349:A350"/>
    <mergeCell ref="B349:B350"/>
    <mergeCell ref="C349:K349"/>
    <mergeCell ref="A347:A348"/>
    <mergeCell ref="B347:B348"/>
    <mergeCell ref="C347:K347"/>
    <mergeCell ref="C353:K353"/>
    <mergeCell ref="C355:K355"/>
    <mergeCell ref="C357:K357"/>
    <mergeCell ref="A359:A360"/>
    <mergeCell ref="B359:B360"/>
    <mergeCell ref="A361:A362"/>
    <mergeCell ref="B361:B362"/>
    <mergeCell ref="A353:A354"/>
    <mergeCell ref="B353:B354"/>
    <mergeCell ref="A355:A356"/>
    <mergeCell ref="B355:B356"/>
    <mergeCell ref="A357:A358"/>
    <mergeCell ref="B357:B358"/>
    <mergeCell ref="Q335:Q336"/>
    <mergeCell ref="C337:K337"/>
    <mergeCell ref="N337:N338"/>
    <mergeCell ref="O337:O338"/>
    <mergeCell ref="P337:P338"/>
    <mergeCell ref="Q337:Q338"/>
    <mergeCell ref="C335:K335"/>
    <mergeCell ref="N335:N336"/>
    <mergeCell ref="O335:O336"/>
    <mergeCell ref="P335:P336"/>
    <mergeCell ref="Q339:Q340"/>
    <mergeCell ref="C341:K341"/>
    <mergeCell ref="N341:N342"/>
    <mergeCell ref="O341:O342"/>
    <mergeCell ref="P341:P342"/>
    <mergeCell ref="Q341:Q342"/>
    <mergeCell ref="C339:K339"/>
    <mergeCell ref="N339:N340"/>
    <mergeCell ref="O339:O340"/>
    <mergeCell ref="P339:P340"/>
    <mergeCell ref="Q320:Q321"/>
    <mergeCell ref="C333:K333"/>
    <mergeCell ref="N333:N334"/>
    <mergeCell ref="O333:O334"/>
    <mergeCell ref="P333:P334"/>
    <mergeCell ref="Q333:Q334"/>
    <mergeCell ref="A320:A321"/>
    <mergeCell ref="B320:B321"/>
    <mergeCell ref="C320:K320"/>
    <mergeCell ref="N320:N321"/>
    <mergeCell ref="O320:O321"/>
    <mergeCell ref="P320:P321"/>
    <mergeCell ref="L320:L321"/>
    <mergeCell ref="M320:M321"/>
    <mergeCell ref="B333:B334"/>
    <mergeCell ref="O322:O332"/>
    <mergeCell ref="P322:P332"/>
    <mergeCell ref="Q322:Q332"/>
    <mergeCell ref="C322:K322"/>
    <mergeCell ref="A322:A332"/>
    <mergeCell ref="B322:B332"/>
    <mergeCell ref="C314:K314"/>
    <mergeCell ref="A314:A317"/>
    <mergeCell ref="B314:B317"/>
    <mergeCell ref="C318:K318"/>
    <mergeCell ref="A318:A319"/>
    <mergeCell ref="B318:B319"/>
    <mergeCell ref="Q307:Q308"/>
    <mergeCell ref="C309:K309"/>
    <mergeCell ref="A309:A313"/>
    <mergeCell ref="B309:B313"/>
    <mergeCell ref="A307:A308"/>
    <mergeCell ref="B307:B308"/>
    <mergeCell ref="C307:K307"/>
    <mergeCell ref="N307:N308"/>
    <mergeCell ref="O307:O308"/>
    <mergeCell ref="P307:P308"/>
    <mergeCell ref="C293:K293"/>
    <mergeCell ref="C301:K301"/>
    <mergeCell ref="A293:A300"/>
    <mergeCell ref="B293:B300"/>
    <mergeCell ref="A276:A284"/>
    <mergeCell ref="B276:B284"/>
    <mergeCell ref="Q240:Q246"/>
    <mergeCell ref="C249:K249"/>
    <mergeCell ref="C255:K255"/>
    <mergeCell ref="C262:K262"/>
    <mergeCell ref="C269:K269"/>
    <mergeCell ref="C276:K276"/>
    <mergeCell ref="O247:O248"/>
    <mergeCell ref="P247:P248"/>
    <mergeCell ref="Q247:Q248"/>
    <mergeCell ref="N240:N246"/>
    <mergeCell ref="O240:O246"/>
    <mergeCell ref="P240:P246"/>
    <mergeCell ref="C240:K240"/>
    <mergeCell ref="C247:K247"/>
    <mergeCell ref="A247:A248"/>
    <mergeCell ref="B247:B248"/>
    <mergeCell ref="N247:N248"/>
    <mergeCell ref="L240:L246"/>
    <mergeCell ref="M240:M246"/>
    <mergeCell ref="A240:A246"/>
    <mergeCell ref="B240:B246"/>
    <mergeCell ref="P222:P239"/>
    <mergeCell ref="Q222:Q239"/>
    <mergeCell ref="O213:O221"/>
    <mergeCell ref="P213:P221"/>
    <mergeCell ref="Q213:Q221"/>
    <mergeCell ref="A222:A239"/>
    <mergeCell ref="B222:B239"/>
    <mergeCell ref="C222:K222"/>
    <mergeCell ref="L222:L239"/>
    <mergeCell ref="M222:M239"/>
    <mergeCell ref="N222:N239"/>
    <mergeCell ref="O222:O239"/>
    <mergeCell ref="A213:A221"/>
    <mergeCell ref="B213:B221"/>
    <mergeCell ref="C213:K213"/>
    <mergeCell ref="L213:L221"/>
    <mergeCell ref="M213:M221"/>
    <mergeCell ref="N213:N221"/>
    <mergeCell ref="A204:A212"/>
    <mergeCell ref="B204:B212"/>
    <mergeCell ref="C204:K204"/>
    <mergeCell ref="L204:L212"/>
    <mergeCell ref="M204:M212"/>
    <mergeCell ref="N204:N212"/>
    <mergeCell ref="O204:O212"/>
    <mergeCell ref="P204:P212"/>
    <mergeCell ref="Q204:Q212"/>
    <mergeCell ref="A195:A203"/>
    <mergeCell ref="B195:B203"/>
    <mergeCell ref="C195:K195"/>
    <mergeCell ref="L195:L203"/>
    <mergeCell ref="M195:M203"/>
    <mergeCell ref="N195:N203"/>
    <mergeCell ref="O195:O203"/>
    <mergeCell ref="P195:P203"/>
    <mergeCell ref="Q195:Q203"/>
    <mergeCell ref="O177:O185"/>
    <mergeCell ref="P177:P185"/>
    <mergeCell ref="Q177:Q185"/>
    <mergeCell ref="A186:A194"/>
    <mergeCell ref="B186:B194"/>
    <mergeCell ref="C186:K186"/>
    <mergeCell ref="L186:L194"/>
    <mergeCell ref="M186:M194"/>
    <mergeCell ref="N186:N194"/>
    <mergeCell ref="O186:O194"/>
    <mergeCell ref="A177:A185"/>
    <mergeCell ref="B177:B185"/>
    <mergeCell ref="C177:K177"/>
    <mergeCell ref="L177:L185"/>
    <mergeCell ref="M177:M185"/>
    <mergeCell ref="N177:N185"/>
    <mergeCell ref="P186:P194"/>
    <mergeCell ref="Q186:Q194"/>
    <mergeCell ref="A168:A176"/>
    <mergeCell ref="B168:B176"/>
    <mergeCell ref="C168:K168"/>
    <mergeCell ref="L168:L176"/>
    <mergeCell ref="M168:M176"/>
    <mergeCell ref="N168:N176"/>
    <mergeCell ref="O168:O176"/>
    <mergeCell ref="P168:P176"/>
    <mergeCell ref="Q168:Q176"/>
    <mergeCell ref="A159:A167"/>
    <mergeCell ref="B159:B167"/>
    <mergeCell ref="C159:K159"/>
    <mergeCell ref="L159:L167"/>
    <mergeCell ref="M159:M167"/>
    <mergeCell ref="N159:N167"/>
    <mergeCell ref="O159:O167"/>
    <mergeCell ref="P159:P167"/>
    <mergeCell ref="Q159:Q167"/>
    <mergeCell ref="O141:O149"/>
    <mergeCell ref="P141:P149"/>
    <mergeCell ref="Q141:Q149"/>
    <mergeCell ref="A150:A158"/>
    <mergeCell ref="B150:B158"/>
    <mergeCell ref="C150:K150"/>
    <mergeCell ref="L150:L158"/>
    <mergeCell ref="M150:M158"/>
    <mergeCell ref="N150:N158"/>
    <mergeCell ref="O150:O158"/>
    <mergeCell ref="A141:A149"/>
    <mergeCell ref="B141:B149"/>
    <mergeCell ref="C141:K141"/>
    <mergeCell ref="L141:L149"/>
    <mergeCell ref="M141:M149"/>
    <mergeCell ref="N141:N149"/>
    <mergeCell ref="P150:P158"/>
    <mergeCell ref="Q150:Q158"/>
    <mergeCell ref="A132:A140"/>
    <mergeCell ref="B132:B140"/>
    <mergeCell ref="C132:K132"/>
    <mergeCell ref="L132:L140"/>
    <mergeCell ref="M132:M140"/>
    <mergeCell ref="N132:N140"/>
    <mergeCell ref="O132:O140"/>
    <mergeCell ref="P132:P140"/>
    <mergeCell ref="Q132:Q140"/>
    <mergeCell ref="A123:A131"/>
    <mergeCell ref="B123:B131"/>
    <mergeCell ref="C123:K123"/>
    <mergeCell ref="L123:L131"/>
    <mergeCell ref="M123:M131"/>
    <mergeCell ref="N123:N131"/>
    <mergeCell ref="O123:O131"/>
    <mergeCell ref="P123:P131"/>
    <mergeCell ref="Q123:Q131"/>
    <mergeCell ref="O105:O113"/>
    <mergeCell ref="P105:P113"/>
    <mergeCell ref="Q105:Q113"/>
    <mergeCell ref="A114:A122"/>
    <mergeCell ref="B114:B122"/>
    <mergeCell ref="C114:K114"/>
    <mergeCell ref="L114:L122"/>
    <mergeCell ref="M114:M122"/>
    <mergeCell ref="N114:N122"/>
    <mergeCell ref="O114:O122"/>
    <mergeCell ref="A105:A113"/>
    <mergeCell ref="B105:B113"/>
    <mergeCell ref="C105:K105"/>
    <mergeCell ref="L105:L113"/>
    <mergeCell ref="M105:M113"/>
    <mergeCell ref="N105:N113"/>
    <mergeCell ref="P114:P122"/>
    <mergeCell ref="Q114:Q122"/>
    <mergeCell ref="Q101:Q102"/>
    <mergeCell ref="A103:A104"/>
    <mergeCell ref="B103:B104"/>
    <mergeCell ref="C103:K103"/>
    <mergeCell ref="N103:N104"/>
    <mergeCell ref="O103:O104"/>
    <mergeCell ref="P103:P104"/>
    <mergeCell ref="Q103:Q104"/>
    <mergeCell ref="A101:A102"/>
    <mergeCell ref="B101:B102"/>
    <mergeCell ref="C101:K101"/>
    <mergeCell ref="N101:N102"/>
    <mergeCell ref="O101:O102"/>
    <mergeCell ref="P101:P102"/>
    <mergeCell ref="Q97:Q98"/>
    <mergeCell ref="A99:A100"/>
    <mergeCell ref="B99:B100"/>
    <mergeCell ref="C99:K99"/>
    <mergeCell ref="N99:N100"/>
    <mergeCell ref="O99:O100"/>
    <mergeCell ref="P99:P100"/>
    <mergeCell ref="Q99:Q100"/>
    <mergeCell ref="A97:A98"/>
    <mergeCell ref="B97:B98"/>
    <mergeCell ref="C97:K97"/>
    <mergeCell ref="N97:N98"/>
    <mergeCell ref="O97:O98"/>
    <mergeCell ref="P97:P98"/>
    <mergeCell ref="P93:P94"/>
    <mergeCell ref="Q93:Q94"/>
    <mergeCell ref="L95:L96"/>
    <mergeCell ref="M95:M96"/>
    <mergeCell ref="N95:N96"/>
    <mergeCell ref="O95:O96"/>
    <mergeCell ref="P95:P96"/>
    <mergeCell ref="Q95:Q96"/>
    <mergeCell ref="N84:N92"/>
    <mergeCell ref="O84:O92"/>
    <mergeCell ref="P84:P92"/>
    <mergeCell ref="Q84:Q92"/>
    <mergeCell ref="L93:L94"/>
    <mergeCell ref="M93:M94"/>
    <mergeCell ref="N93:N94"/>
    <mergeCell ref="O93:O94"/>
    <mergeCell ref="P76:P83"/>
    <mergeCell ref="Q76:Q83"/>
    <mergeCell ref="L84:L92"/>
    <mergeCell ref="M84:M92"/>
    <mergeCell ref="L60:L67"/>
    <mergeCell ref="M60:M67"/>
    <mergeCell ref="N60:N67"/>
    <mergeCell ref="O60:O67"/>
    <mergeCell ref="P60:P67"/>
    <mergeCell ref="Q60:Q67"/>
    <mergeCell ref="L68:L75"/>
    <mergeCell ref="M68:M75"/>
    <mergeCell ref="P68:P75"/>
    <mergeCell ref="Q68:Q75"/>
    <mergeCell ref="L76:L83"/>
    <mergeCell ref="M76:M83"/>
    <mergeCell ref="N76:N83"/>
    <mergeCell ref="O76:O83"/>
    <mergeCell ref="N68:N75"/>
    <mergeCell ref="O68:O75"/>
    <mergeCell ref="M47:M53"/>
    <mergeCell ref="N47:N53"/>
    <mergeCell ref="O47:O53"/>
    <mergeCell ref="L33:L39"/>
    <mergeCell ref="N54:N59"/>
    <mergeCell ref="O54:O59"/>
    <mergeCell ref="P54:P59"/>
    <mergeCell ref="Q54:Q59"/>
    <mergeCell ref="P47:P53"/>
    <mergeCell ref="Q47:Q53"/>
    <mergeCell ref="L54:L59"/>
    <mergeCell ref="M54:M59"/>
    <mergeCell ref="L40:L46"/>
    <mergeCell ref="M40:M46"/>
    <mergeCell ref="N40:N46"/>
    <mergeCell ref="O40:O46"/>
    <mergeCell ref="P40:P46"/>
    <mergeCell ref="Q40:Q46"/>
    <mergeCell ref="C93:K93"/>
    <mergeCell ref="C95:K95"/>
    <mergeCell ref="A93:A94"/>
    <mergeCell ref="A95:A96"/>
    <mergeCell ref="B93:B94"/>
    <mergeCell ref="B95:B96"/>
    <mergeCell ref="A76:A83"/>
    <mergeCell ref="B76:B83"/>
    <mergeCell ref="A84:A92"/>
    <mergeCell ref="B84:B92"/>
    <mergeCell ref="B47:B53"/>
    <mergeCell ref="B54:B59"/>
    <mergeCell ref="A47:A53"/>
    <mergeCell ref="A54:A59"/>
    <mergeCell ref="L23:L32"/>
    <mergeCell ref="C60:K60"/>
    <mergeCell ref="C68:K68"/>
    <mergeCell ref="C76:K76"/>
    <mergeCell ref="C84:K84"/>
    <mergeCell ref="A60:A67"/>
    <mergeCell ref="B60:B67"/>
    <mergeCell ref="A68:A75"/>
    <mergeCell ref="B68:B75"/>
    <mergeCell ref="C47:K47"/>
    <mergeCell ref="C54:K54"/>
    <mergeCell ref="L47:L53"/>
    <mergeCell ref="M23:M32"/>
    <mergeCell ref="N23:N32"/>
    <mergeCell ref="O23:O32"/>
    <mergeCell ref="P23:P32"/>
    <mergeCell ref="Q23:Q32"/>
    <mergeCell ref="C33:K33"/>
    <mergeCell ref="C40:K40"/>
    <mergeCell ref="C23:K23"/>
    <mergeCell ref="A23:A32"/>
    <mergeCell ref="B23:B32"/>
    <mergeCell ref="A33:A39"/>
    <mergeCell ref="B33:B39"/>
    <mergeCell ref="A40:A46"/>
    <mergeCell ref="B40:B46"/>
    <mergeCell ref="M33:M39"/>
    <mergeCell ref="N33:N39"/>
    <mergeCell ref="O33:O39"/>
    <mergeCell ref="P33:P39"/>
    <mergeCell ref="Q33:Q39"/>
    <mergeCell ref="L15:L22"/>
    <mergeCell ref="M15:M22"/>
    <mergeCell ref="N15:N22"/>
    <mergeCell ref="O15:O22"/>
    <mergeCell ref="P15:P22"/>
    <mergeCell ref="Q15:Q22"/>
    <mergeCell ref="C15:K15"/>
    <mergeCell ref="A15:A22"/>
    <mergeCell ref="B15:B22"/>
    <mergeCell ref="Q2:Q11"/>
    <mergeCell ref="C12:K12"/>
    <mergeCell ref="A12:A14"/>
    <mergeCell ref="B12:B14"/>
    <mergeCell ref="A2:A11"/>
    <mergeCell ref="B2:B11"/>
    <mergeCell ref="L2:L11"/>
    <mergeCell ref="M2:M11"/>
    <mergeCell ref="N2:N11"/>
    <mergeCell ref="O2:O11"/>
    <mergeCell ref="P2:P11"/>
    <mergeCell ref="C2:K2"/>
    <mergeCell ref="O12:O14"/>
    <mergeCell ref="N12:N14"/>
    <mergeCell ref="P12:P14"/>
    <mergeCell ref="L12:L14"/>
    <mergeCell ref="Q12:Q14"/>
  </mergeCells>
  <dataValidations disablePrompts="1" count="6">
    <dataValidation type="list" allowBlank="1" showErrorMessage="1" sqref="H1" xr:uid="{3D825DC0-871B-4E12-B1C8-A4E420C95CA7}">
      <formula1>"WR,RO"</formula1>
    </dataValidation>
    <dataValidation allowBlank="1" showInputMessage="1" showErrorMessage="1" prompt="8 bit Hexa number between 0x0 and 0xff. Offset within register space for block" sqref="B1:B2 L1:Q2 L12:Q12 L15:Q15 M21:Q21 M18:Q18 L23:Q23 M26:Q26 M29:Q29 M31:Q31 L33:Q33 M36:Q36 M39:Q39 L40:Q40 M43:Q43 M46:Q46 L47:Q47 M50:Q50 M53:Q53 L54:Q54 M57:Q57 L60:Q60 M66:Q66 M63:Q63 L68:Q68 M74:Q74 M71:Q71 L76:Q76 M82:Q82 M79:Q79 L84:Q84 M90:Q90 M87:Q87 L93:Q93 L97:Q97 L95:Q95 L99:Q99 L101:Q101 L103:Q103 B105 L105:Q105 B114 L114:Q114 B123 L123:Q123 B132 L132:Q132 B141 L141:Q141 B150 L150:Q150 B159 L159:Q159 B168 L168:Q168 B177 L177:Q177 B186 L186:Q186 B195 L195:Q195 B204 L204:Q204 B213 L213:Q213 B222 L222:Q222 L247:Q247 L240:Q240 L307:Q307 L320:Q320 L333:Q333 L335:Q335 L337:Q337 L339:Q339 L341:Q341 L343:Q343 L345:Q345 L347:Q347 L349:Q349 L351:Q351 L353:Q353 L355:Q355 L357:Q357 L359:Q359 L361:Q361 L322:Q322 M326:Q326 M328:Q328 M330:Q330 M324:Q324 L249:Q249 L255:Q255 L262:Q262 L269:Q269 L276:Q276 L285:Q285 L287:Q287 L293:Q293 L301:Q301 L309:Q309 L314:Q314 L318:Q318" xr:uid="{3AA6A5F8-20E6-4D40-B12F-F1B3FE14D08C}">
      <formula1>0</formula1>
      <formula2>0</formula2>
    </dataValidation>
    <dataValidation allowBlank="1" showInputMessage="1" sqref="F1:F2 F12 F15 F23 F33 F40 F47 F54 F60 F68 F76 F84 F93 F95 F97 F99 F101 F103 F105:F240 F247 F249 F255 F262 F269 F276 F285 F287 F293 F301 F307 F309 F314 F318 F320 F333 F335 F337 F339 F341 F361 F345 F347 F349 F351 F353 F355 F357 F359 F322" xr:uid="{2BF99C3E-EBB3-470C-A2A1-E7A1DD6B5686}"/>
    <dataValidation type="list" allowBlank="1" sqref="I344:I362 I1:I342" xr:uid="{31475032-C417-47DB-B607-CF8E104D1EB5}">
      <formula1>"Default, Soft Strap, Hard Strap, Fuse"</formula1>
    </dataValidation>
    <dataValidation type="list" allowBlank="1" showInputMessage="1" showErrorMessage="1" sqref="H3:H11 H13:H14 H16:H22 H24:H32 H34:H39 H41:H46 H48:H53 H55:H59 H61:H67 H69:H75 H77:H83 H85:H92 H94 H96 H98 H100 H102 H104 H106:H113 H115:H122 H124:H131 H133:H140 H142:H149 H214:H221 H151:H158 H160:H167 H169:H176 H178:H185 H187:H194 H196:H203 H205:H212 H223:H239 H248 H277:H284 H286 H308 H310:H313 H319 H362 H334 H336 H338 H340 H342 H344 H346 H348 H350 H352 H354 H356 H358 H360 H321 H323:H332 H241:H246 H288:H292 H294:H300 H302:H306 H315:H317 H270:H275 H263:H268 H256:H261 H250:H254" xr:uid="{69D8DD3F-3FCB-42E3-892A-9BCAFBAC9EF1}">
      <formula1>"WR,RO"</formula1>
    </dataValidation>
    <dataValidation type="list" allowBlank="1" showInputMessage="1" showErrorMessage="1" sqref="J3:J11 J13:J14 J16:J22 J24:J32 J34:J39 J41:J46 J48:J53 J55:J59 J61:J67 J69:J75 J77:J83 J85:J92 J94 J96 J98 J100 J102 J104 J106:J113 J115:J122 J124:J131 J133:J140 J142:J149 J214:J221 J151:J158 J160:J167 J169:J176 J178:J185 J187:J194 J196:J203 J205:J212 J223:J239 J248 J277:J284 J286 J308 J310:J313 J319 J362 J334 J336 J338 J340 J342 J344 J346 J348 J350 J352 J354 J356 J358 J360 J321 J323:J332 J241:J246 J288:J292 J294:J300 J302:J306 J315:J317 J270:J275 J263:J268 J256:J261 J250:J254" xr:uid="{DF11591E-21B2-41B4-8D52-3D5BAD5F4265}">
      <formula1>BOOLEAN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8" t="s">
        <v>27</v>
      </c>
      <c r="B1" s="10" t="s">
        <v>28</v>
      </c>
      <c r="C1" s="9"/>
      <c r="D1" s="10"/>
      <c r="E1" s="9"/>
      <c r="F1" s="10"/>
      <c r="G1" s="9"/>
      <c r="H1" s="10"/>
    </row>
    <row r="2" spans="1:8">
      <c r="A2" s="5" t="s">
        <v>25</v>
      </c>
      <c r="B2" s="3" t="s">
        <v>30</v>
      </c>
      <c r="C2" s="2"/>
      <c r="D2" s="3"/>
      <c r="E2" s="2"/>
      <c r="F2" s="3"/>
      <c r="G2" s="2"/>
      <c r="H2" s="3"/>
    </row>
    <row r="3" spans="1:8">
      <c r="A3" s="5" t="s">
        <v>26</v>
      </c>
      <c r="B3" s="3" t="s">
        <v>29</v>
      </c>
      <c r="C3" s="2"/>
      <c r="D3" s="3"/>
      <c r="E3" s="2"/>
      <c r="F3" s="3"/>
      <c r="G3" s="2"/>
      <c r="H3" s="3"/>
    </row>
    <row r="4" spans="1:8">
      <c r="A4" s="5"/>
      <c r="B4" s="3" t="s">
        <v>31</v>
      </c>
      <c r="C4" s="2"/>
      <c r="D4" s="3"/>
      <c r="E4" s="2"/>
      <c r="F4" s="3"/>
      <c r="G4" s="2"/>
      <c r="H4" s="3"/>
    </row>
    <row r="5" spans="1:8">
      <c r="A5" s="5"/>
      <c r="B5" s="3" t="s">
        <v>32</v>
      </c>
      <c r="C5" s="2"/>
      <c r="D5" s="3"/>
      <c r="E5" s="2"/>
      <c r="F5" s="3"/>
      <c r="G5" s="2"/>
      <c r="H5" s="3"/>
    </row>
    <row r="6" spans="1:8">
      <c r="A6" s="5"/>
      <c r="B6" s="3"/>
      <c r="C6" s="2"/>
      <c r="D6" s="3"/>
      <c r="E6" s="2"/>
      <c r="F6" s="3"/>
      <c r="G6" s="2"/>
      <c r="H6" s="3"/>
    </row>
    <row r="7" spans="1:8">
      <c r="A7" s="5"/>
      <c r="B7" s="3"/>
      <c r="C7" s="2"/>
      <c r="D7" s="3"/>
      <c r="E7" s="2"/>
      <c r="F7" s="3"/>
      <c r="G7" s="2"/>
      <c r="H7" s="3"/>
    </row>
    <row r="8" spans="1:8">
      <c r="A8" s="5"/>
      <c r="B8" s="3"/>
      <c r="C8" s="2"/>
      <c r="D8" s="3"/>
      <c r="E8" s="2"/>
      <c r="F8" s="3"/>
      <c r="G8" s="2"/>
      <c r="H8" s="3"/>
    </row>
    <row r="9" spans="1:8">
      <c r="A9" s="5"/>
      <c r="B9" s="3"/>
      <c r="C9" s="2"/>
      <c r="D9" s="3"/>
      <c r="E9" s="2"/>
      <c r="F9" s="3"/>
      <c r="G9" s="2"/>
      <c r="H9" s="3"/>
    </row>
    <row r="10" spans="1:8">
      <c r="A10" s="5"/>
      <c r="B10" s="3"/>
      <c r="C10" s="2"/>
      <c r="D10" s="3"/>
      <c r="E10" s="2"/>
      <c r="F10" s="3"/>
      <c r="G10" s="2"/>
      <c r="H10" s="3"/>
    </row>
    <row r="11" spans="1:8">
      <c r="A11" s="5"/>
      <c r="B11" s="3"/>
      <c r="C11" s="2"/>
      <c r="D11" s="3"/>
      <c r="E11" s="2"/>
      <c r="F11" s="3"/>
      <c r="G11" s="2"/>
      <c r="H11" s="3"/>
    </row>
    <row r="12" spans="1:8">
      <c r="A12" s="5"/>
      <c r="B12" s="3"/>
      <c r="C12" s="2"/>
      <c r="D12" s="3"/>
      <c r="E12" s="2"/>
      <c r="F12" s="3"/>
      <c r="G12" s="2"/>
      <c r="H12" s="3"/>
    </row>
    <row r="13" spans="1:8">
      <c r="A13" s="5"/>
      <c r="B13" s="3"/>
      <c r="C13" s="2"/>
      <c r="D13" s="3"/>
      <c r="E13" s="2"/>
      <c r="F13" s="3"/>
      <c r="G13" s="2"/>
      <c r="H13" s="3"/>
    </row>
    <row r="14" spans="1:8">
      <c r="A14" s="5"/>
      <c r="B14" s="3"/>
      <c r="C14" s="2"/>
      <c r="D14" s="3"/>
      <c r="E14" s="2"/>
      <c r="F14" s="3"/>
      <c r="G14" s="2"/>
      <c r="H14" s="3"/>
    </row>
    <row r="15" spans="1:8">
      <c r="A15" s="5"/>
      <c r="B15" s="3"/>
      <c r="C15" s="2"/>
      <c r="D15" s="3"/>
      <c r="E15" s="2"/>
      <c r="F15" s="3"/>
      <c r="G15" s="2"/>
      <c r="H15" s="3"/>
    </row>
    <row r="16" spans="1:8">
      <c r="A16" s="5"/>
      <c r="B16" s="3"/>
      <c r="C16" s="2"/>
      <c r="D16" s="3"/>
      <c r="E16" s="2"/>
      <c r="F16" s="3"/>
      <c r="G16" s="2"/>
      <c r="H16" s="3"/>
    </row>
    <row r="17" spans="1:8">
      <c r="A17" s="5"/>
      <c r="B17" s="3"/>
      <c r="C17" s="2"/>
      <c r="D17" s="3"/>
      <c r="E17" s="2"/>
      <c r="F17" s="3"/>
      <c r="G17" s="2"/>
      <c r="H17" s="3"/>
    </row>
    <row r="18" spans="1:8">
      <c r="A18" s="5"/>
      <c r="B18" s="3"/>
      <c r="C18" s="2"/>
      <c r="D18" s="3"/>
      <c r="E18" s="2"/>
      <c r="F18" s="3"/>
      <c r="G18" s="2"/>
      <c r="H18" s="3"/>
    </row>
    <row r="19" spans="1:8">
      <c r="A19" s="5"/>
      <c r="B19" s="3"/>
      <c r="C19" s="2"/>
      <c r="D19" s="3"/>
      <c r="E19" s="2"/>
      <c r="F19" s="3"/>
      <c r="G19" s="2"/>
      <c r="H19" s="3"/>
    </row>
    <row r="20" spans="1:8">
      <c r="A20" s="5"/>
      <c r="B20" s="3"/>
      <c r="C20" s="2"/>
      <c r="D20" s="3"/>
      <c r="E20" s="2"/>
      <c r="F20" s="3"/>
      <c r="G20" s="2"/>
      <c r="H20" s="3"/>
    </row>
    <row r="21" spans="1:8">
      <c r="A21" s="5"/>
      <c r="B21" s="3"/>
      <c r="C21" s="2"/>
      <c r="D21" s="3"/>
      <c r="E21" s="2"/>
      <c r="F21" s="3"/>
      <c r="G21" s="2"/>
      <c r="H21" s="3"/>
    </row>
    <row r="22" spans="1:8">
      <c r="A22" s="5"/>
      <c r="B22" s="3"/>
      <c r="C22" s="2"/>
      <c r="D22" s="3"/>
      <c r="E22" s="2"/>
      <c r="F22" s="3"/>
      <c r="G22" s="2"/>
      <c r="H22" s="3"/>
    </row>
    <row r="23" spans="1:8">
      <c r="A23" s="5"/>
      <c r="B23" s="3"/>
      <c r="C23" s="2"/>
      <c r="D23" s="3"/>
      <c r="E23" s="2"/>
      <c r="F23" s="3"/>
      <c r="G23" s="2"/>
      <c r="H23" s="3"/>
    </row>
    <row r="24" spans="1:8">
      <c r="A24" s="5"/>
      <c r="B24" s="3"/>
      <c r="C24" s="2"/>
      <c r="D24" s="3"/>
      <c r="E24" s="2"/>
      <c r="F24" s="3"/>
      <c r="G24" s="2"/>
      <c r="H24" s="3"/>
    </row>
    <row r="25" spans="1:8">
      <c r="A25" s="5"/>
      <c r="B25" s="3"/>
      <c r="C25" s="2"/>
      <c r="D25" s="3"/>
      <c r="E25" s="2"/>
      <c r="F25" s="3"/>
      <c r="G25" s="2"/>
      <c r="H25" s="3"/>
    </row>
    <row r="26" spans="1:8" ht="15" thickBot="1">
      <c r="A26" s="6"/>
      <c r="B26" s="4"/>
      <c r="C26" s="7"/>
      <c r="D26" s="4"/>
      <c r="E26" s="7"/>
      <c r="F26" s="4"/>
      <c r="G26" s="7"/>
      <c r="H26"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2.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FLC_RX</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2019-12-18T06:32:49Z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2019-12-16 09:31:15Z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