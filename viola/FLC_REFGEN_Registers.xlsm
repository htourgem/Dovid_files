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fircoh\Desktop\BRKII\soconline\flc\"/>
    </mc:Choice>
  </mc:AlternateContent>
  <xr:revisionPtr revIDLastSave="0" documentId="13_ncr:1_{23723D17-497D-4C72-B698-31F06FCB416E}" xr6:coauthVersionLast="41" xr6:coauthVersionMax="41" xr10:uidLastSave="{00000000-0000-0000-0000-000000000000}"/>
  <bookViews>
    <workbookView xWindow="28680" yWindow="2175" windowWidth="29040" windowHeight="17640" xr2:uid="{00000000-000D-0000-FFFF-FFFF00000000}"/>
  </bookViews>
  <sheets>
    <sheet name="FLC_SAR_refgen" sheetId="25" r:id="rId1"/>
    <sheet name="Sheet2" sheetId="2" state="hidden" r:id="rId2"/>
    <sheet name="lists" sheetId="19" state="hidden" r:id="rId3"/>
  </sheets>
  <functionGroups builtInGroupCount="19"/>
  <externalReferences>
    <externalReference r:id="rId4"/>
    <externalReference r:id="rId5"/>
  </externalReferences>
  <definedNames>
    <definedName name="_xlnm._FilterDatabase" localSheetId="0" hidden="1">FLC_SAR_refgen!$A$1:$AA$476</definedName>
    <definedName name="BLOCK_NAMES">Sheet2!$A$10:$A$14</definedName>
    <definedName name="BOOLEAN" localSheetId="0">[1]Sheet2!$H$10:$H$11</definedName>
    <definedName name="BOOLEAN">Sheet2!$H$10:$H$11</definedName>
    <definedName name="default">[2]List!$J$1:$J$5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73" i="25" l="1"/>
  <c r="AA472" i="25"/>
  <c r="Z472" i="25"/>
  <c r="P472" i="25"/>
  <c r="N472" i="25"/>
  <c r="B472" i="25"/>
  <c r="A472" i="25"/>
  <c r="E468" i="25"/>
  <c r="AA467" i="25"/>
  <c r="Z467" i="25"/>
  <c r="P467" i="25"/>
  <c r="N467" i="25"/>
  <c r="L467" i="25" s="1"/>
  <c r="B467" i="25"/>
  <c r="A467" i="25"/>
  <c r="E463" i="25"/>
  <c r="AA462" i="25"/>
  <c r="Z462" i="25"/>
  <c r="P462" i="25" s="1"/>
  <c r="N462" i="25"/>
  <c r="L462" i="25"/>
  <c r="B462" i="25"/>
  <c r="A462" i="25"/>
  <c r="E458" i="25"/>
  <c r="AA457" i="25"/>
  <c r="A457" i="25" s="1"/>
  <c r="Z457" i="25"/>
  <c r="P457" i="25" s="1"/>
  <c r="N457" i="25"/>
  <c r="B457" i="25"/>
  <c r="E453" i="25"/>
  <c r="AA452" i="25"/>
  <c r="Z452" i="25"/>
  <c r="P452" i="25"/>
  <c r="N452" i="25"/>
  <c r="B452" i="25"/>
  <c r="A452" i="25"/>
  <c r="E448" i="25"/>
  <c r="AA447" i="25"/>
  <c r="Z447" i="25"/>
  <c r="P447" i="25" s="1"/>
  <c r="L447" i="25" s="1"/>
  <c r="N447" i="25"/>
  <c r="B447" i="25"/>
  <c r="A447" i="25"/>
  <c r="E443" i="25"/>
  <c r="AA442" i="25"/>
  <c r="Z442" i="25"/>
  <c r="P442" i="25" s="1"/>
  <c r="L442" i="25" s="1"/>
  <c r="N442" i="25"/>
  <c r="B442" i="25"/>
  <c r="A442" i="25"/>
  <c r="E438" i="25"/>
  <c r="AA437" i="25"/>
  <c r="Z437" i="25"/>
  <c r="P437" i="25"/>
  <c r="N437" i="25"/>
  <c r="L437" i="25" s="1"/>
  <c r="B437" i="25"/>
  <c r="A437" i="25"/>
  <c r="E433" i="25"/>
  <c r="AA432" i="25"/>
  <c r="Z432" i="25"/>
  <c r="P432" i="25"/>
  <c r="L432" i="25" s="1"/>
  <c r="N432" i="25"/>
  <c r="B432" i="25"/>
  <c r="A432" i="25"/>
  <c r="E428" i="25"/>
  <c r="AA427" i="25"/>
  <c r="Z427" i="25"/>
  <c r="P427" i="25" s="1"/>
  <c r="N427" i="25"/>
  <c r="B427" i="25"/>
  <c r="A427" i="25"/>
  <c r="E423" i="25"/>
  <c r="AA422" i="25"/>
  <c r="Z422" i="25"/>
  <c r="P422" i="25" s="1"/>
  <c r="L422" i="25" s="1"/>
  <c r="N422" i="25"/>
  <c r="B422" i="25"/>
  <c r="A422" i="25"/>
  <c r="E418" i="25"/>
  <c r="AA417" i="25"/>
  <c r="Z417" i="25"/>
  <c r="P417" i="25"/>
  <c r="N417" i="25"/>
  <c r="L417" i="25" s="1"/>
  <c r="B417" i="25"/>
  <c r="A417" i="25"/>
  <c r="E413" i="25"/>
  <c r="AA412" i="25"/>
  <c r="Z412" i="25"/>
  <c r="P412" i="25"/>
  <c r="L412" i="25" s="1"/>
  <c r="N412" i="25"/>
  <c r="B412" i="25"/>
  <c r="A412" i="25"/>
  <c r="E408" i="25"/>
  <c r="AA407" i="25"/>
  <c r="Z407" i="25"/>
  <c r="P407" i="25"/>
  <c r="N407" i="25"/>
  <c r="L407" i="25" s="1"/>
  <c r="B407" i="25"/>
  <c r="A407" i="25"/>
  <c r="E403" i="25"/>
  <c r="AA402" i="25"/>
  <c r="Z402" i="25"/>
  <c r="P402" i="25" s="1"/>
  <c r="N402" i="25"/>
  <c r="L402" i="25"/>
  <c r="B402" i="25"/>
  <c r="A402" i="25"/>
  <c r="E398" i="25"/>
  <c r="AA397" i="25"/>
  <c r="A397" i="25" s="1"/>
  <c r="Z397" i="25"/>
  <c r="P397" i="25" s="1"/>
  <c r="N397" i="25"/>
  <c r="L397" i="25" s="1"/>
  <c r="B397" i="25"/>
  <c r="E393" i="25"/>
  <c r="AA392" i="25"/>
  <c r="Z392" i="25"/>
  <c r="P392" i="25"/>
  <c r="N392" i="25"/>
  <c r="B392" i="25"/>
  <c r="A392" i="25"/>
  <c r="E388" i="25"/>
  <c r="AA387" i="25"/>
  <c r="Z387" i="25"/>
  <c r="P387" i="25"/>
  <c r="N387" i="25"/>
  <c r="L387" i="25" s="1"/>
  <c r="B387" i="25"/>
  <c r="A387" i="25"/>
  <c r="E383" i="25"/>
  <c r="AA382" i="25"/>
  <c r="Z382" i="25"/>
  <c r="P382" i="25" s="1"/>
  <c r="N382" i="25"/>
  <c r="L382" i="25"/>
  <c r="B382" i="25"/>
  <c r="A382" i="25"/>
  <c r="E378" i="25"/>
  <c r="AA377" i="25"/>
  <c r="A377" i="25" s="1"/>
  <c r="Z377" i="25"/>
  <c r="P377" i="25" s="1"/>
  <c r="N377" i="25"/>
  <c r="B377" i="25"/>
  <c r="E373" i="25"/>
  <c r="AA372" i="25"/>
  <c r="Z372" i="25"/>
  <c r="P372" i="25"/>
  <c r="N372" i="25"/>
  <c r="B372" i="25"/>
  <c r="A372" i="25"/>
  <c r="E368" i="25"/>
  <c r="AA367" i="25"/>
  <c r="Z367" i="25"/>
  <c r="P367" i="25"/>
  <c r="N367" i="25"/>
  <c r="L367" i="25" s="1"/>
  <c r="B367" i="25"/>
  <c r="A367" i="25"/>
  <c r="E363" i="25"/>
  <c r="AA362" i="25"/>
  <c r="Z362" i="25"/>
  <c r="P362" i="25" s="1"/>
  <c r="N362" i="25"/>
  <c r="L362" i="25"/>
  <c r="B362" i="25"/>
  <c r="A362" i="25"/>
  <c r="E358" i="25"/>
  <c r="AA357" i="25"/>
  <c r="A357" i="25" s="1"/>
  <c r="Z357" i="25"/>
  <c r="P357" i="25" s="1"/>
  <c r="N357" i="25"/>
  <c r="B357" i="25"/>
  <c r="E353" i="25"/>
  <c r="AA352" i="25"/>
  <c r="Z352" i="25"/>
  <c r="P352" i="25"/>
  <c r="L352" i="25" s="1"/>
  <c r="N352" i="25"/>
  <c r="B352" i="25"/>
  <c r="A352" i="25"/>
  <c r="E348" i="25"/>
  <c r="AA347" i="25"/>
  <c r="Z347" i="25"/>
  <c r="P347" i="25"/>
  <c r="N347" i="25"/>
  <c r="L347" i="25" s="1"/>
  <c r="B347" i="25"/>
  <c r="A347" i="25"/>
  <c r="E343" i="25"/>
  <c r="AA342" i="25"/>
  <c r="Z342" i="25"/>
  <c r="P342" i="25" s="1"/>
  <c r="N342" i="25"/>
  <c r="L342" i="25"/>
  <c r="B342" i="25"/>
  <c r="A342" i="25"/>
  <c r="E338" i="25"/>
  <c r="AA337" i="25"/>
  <c r="A337" i="25" s="1"/>
  <c r="Z337" i="25"/>
  <c r="P337" i="25" s="1"/>
  <c r="N337" i="25"/>
  <c r="B337" i="25"/>
  <c r="E333" i="25"/>
  <c r="AA332" i="25"/>
  <c r="Z332" i="25"/>
  <c r="P332" i="25"/>
  <c r="N332" i="25"/>
  <c r="B332" i="25"/>
  <c r="A332" i="25"/>
  <c r="E328" i="25"/>
  <c r="AA327" i="25"/>
  <c r="Z327" i="25"/>
  <c r="P327" i="25"/>
  <c r="N327" i="25"/>
  <c r="L327" i="25" s="1"/>
  <c r="B327" i="25"/>
  <c r="A327" i="25"/>
  <c r="E323" i="25"/>
  <c r="AA322" i="25"/>
  <c r="Z322" i="25"/>
  <c r="P322" i="25" s="1"/>
  <c r="N322" i="25"/>
  <c r="L322" i="25"/>
  <c r="B322" i="25"/>
  <c r="A322" i="25"/>
  <c r="E318" i="25"/>
  <c r="AA317" i="25"/>
  <c r="A317" i="25" s="1"/>
  <c r="Z317" i="25"/>
  <c r="P317" i="25" s="1"/>
  <c r="N317" i="25"/>
  <c r="B317" i="25"/>
  <c r="E313" i="25"/>
  <c r="AA312" i="25"/>
  <c r="Z312" i="25"/>
  <c r="P312" i="25"/>
  <c r="N312" i="25"/>
  <c r="B312" i="25"/>
  <c r="A312" i="25"/>
  <c r="E308" i="25"/>
  <c r="AA307" i="25"/>
  <c r="Z307" i="25"/>
  <c r="P307" i="25"/>
  <c r="N307" i="25"/>
  <c r="L307" i="25" s="1"/>
  <c r="B307" i="25"/>
  <c r="A307" i="25"/>
  <c r="E303" i="25"/>
  <c r="AA302" i="25"/>
  <c r="Z302" i="25"/>
  <c r="P302" i="25" s="1"/>
  <c r="N302" i="25"/>
  <c r="L302" i="25"/>
  <c r="B302" i="25"/>
  <c r="A302" i="25"/>
  <c r="E298" i="25"/>
  <c r="AA297" i="25"/>
  <c r="A297" i="25" s="1"/>
  <c r="Z297" i="25"/>
  <c r="P297" i="25" s="1"/>
  <c r="N297" i="25"/>
  <c r="B297" i="25"/>
  <c r="E293" i="25"/>
  <c r="AA292" i="25"/>
  <c r="Z292" i="25"/>
  <c r="P292" i="25"/>
  <c r="N292" i="25"/>
  <c r="B292" i="25"/>
  <c r="A292" i="25"/>
  <c r="E288" i="25"/>
  <c r="AA287" i="25"/>
  <c r="Z287" i="25"/>
  <c r="P287" i="25"/>
  <c r="N287" i="25"/>
  <c r="L287" i="25" s="1"/>
  <c r="B287" i="25"/>
  <c r="A287" i="25"/>
  <c r="E283" i="25"/>
  <c r="AA282" i="25"/>
  <c r="Z282" i="25"/>
  <c r="P282" i="25" s="1"/>
  <c r="L282" i="25" s="1"/>
  <c r="N282" i="25"/>
  <c r="B282" i="25"/>
  <c r="A282" i="25"/>
  <c r="E278" i="25"/>
  <c r="AA277" i="25"/>
  <c r="A277" i="25" s="1"/>
  <c r="Z277" i="25"/>
  <c r="P277" i="25" s="1"/>
  <c r="N277" i="25"/>
  <c r="B277" i="25"/>
  <c r="E273" i="25"/>
  <c r="AA272" i="25"/>
  <c r="Z272" i="25"/>
  <c r="P272" i="25"/>
  <c r="N272" i="25"/>
  <c r="B272" i="25"/>
  <c r="A272" i="25"/>
  <c r="E268" i="25"/>
  <c r="AA267" i="25"/>
  <c r="Z267" i="25"/>
  <c r="P267" i="25"/>
  <c r="N267" i="25"/>
  <c r="L267" i="25" s="1"/>
  <c r="B267" i="25"/>
  <c r="A267" i="25"/>
  <c r="E263" i="25"/>
  <c r="AA262" i="25"/>
  <c r="Z262" i="25"/>
  <c r="P262" i="25" s="1"/>
  <c r="L262" i="25" s="1"/>
  <c r="N262" i="25"/>
  <c r="B262" i="25"/>
  <c r="A262" i="25"/>
  <c r="E258" i="25"/>
  <c r="AA257" i="25"/>
  <c r="A257" i="25" s="1"/>
  <c r="Z257" i="25"/>
  <c r="P257" i="25" s="1"/>
  <c r="N257" i="25"/>
  <c r="B257" i="25"/>
  <c r="E253" i="25"/>
  <c r="AA252" i="25"/>
  <c r="Z252" i="25"/>
  <c r="P252" i="25"/>
  <c r="N252" i="25"/>
  <c r="B252" i="25"/>
  <c r="A252" i="25"/>
  <c r="E248" i="25"/>
  <c r="AA247" i="25"/>
  <c r="Z247" i="25"/>
  <c r="P247" i="25"/>
  <c r="N247" i="25"/>
  <c r="L247" i="25" s="1"/>
  <c r="B247" i="25"/>
  <c r="A247" i="25"/>
  <c r="E243" i="25"/>
  <c r="AA242" i="25"/>
  <c r="Z242" i="25"/>
  <c r="P242" i="25" s="1"/>
  <c r="L242" i="25" s="1"/>
  <c r="N242" i="25"/>
  <c r="B242" i="25"/>
  <c r="A242" i="25"/>
  <c r="E238" i="25"/>
  <c r="AA237" i="25"/>
  <c r="A237" i="25" s="1"/>
  <c r="Z237" i="25"/>
  <c r="P237" i="25" s="1"/>
  <c r="N237" i="25"/>
  <c r="B237" i="25"/>
  <c r="E233" i="25"/>
  <c r="AA232" i="25"/>
  <c r="Z232" i="25"/>
  <c r="P232" i="25"/>
  <c r="N232" i="25"/>
  <c r="B232" i="25"/>
  <c r="A232" i="25"/>
  <c r="E228" i="25"/>
  <c r="AA227" i="25"/>
  <c r="Z227" i="25"/>
  <c r="P227" i="25"/>
  <c r="N227" i="25"/>
  <c r="L227" i="25" s="1"/>
  <c r="B227" i="25"/>
  <c r="A227" i="25"/>
  <c r="E223" i="25"/>
  <c r="AA222" i="25"/>
  <c r="Z222" i="25"/>
  <c r="P222" i="25" s="1"/>
  <c r="N222" i="25"/>
  <c r="L222" i="25" s="1"/>
  <c r="B222" i="25"/>
  <c r="A222" i="25"/>
  <c r="E218" i="25"/>
  <c r="AA217" i="25"/>
  <c r="A217" i="25" s="1"/>
  <c r="Z217" i="25"/>
  <c r="P217" i="25"/>
  <c r="N217" i="25"/>
  <c r="B217" i="25"/>
  <c r="E213" i="25"/>
  <c r="AA212" i="25"/>
  <c r="Z212" i="25"/>
  <c r="P212" i="25"/>
  <c r="N212" i="25"/>
  <c r="L212" i="25" s="1"/>
  <c r="B212" i="25"/>
  <c r="A212" i="25"/>
  <c r="E208" i="25"/>
  <c r="AA207" i="25"/>
  <c r="Z207" i="25"/>
  <c r="P207" i="25" s="1"/>
  <c r="L207" i="25" s="1"/>
  <c r="N207" i="25"/>
  <c r="B207" i="25"/>
  <c r="A207" i="25"/>
  <c r="E203" i="25"/>
  <c r="AA202" i="25"/>
  <c r="Z202" i="25"/>
  <c r="P202" i="25" s="1"/>
  <c r="N202" i="25"/>
  <c r="L202" i="25" s="1"/>
  <c r="B202" i="25"/>
  <c r="A202" i="25"/>
  <c r="E198" i="25"/>
  <c r="AA197" i="25"/>
  <c r="Z197" i="25"/>
  <c r="P197" i="25"/>
  <c r="N197" i="25"/>
  <c r="B197" i="25"/>
  <c r="A197" i="25"/>
  <c r="E193" i="25"/>
  <c r="AA192" i="25"/>
  <c r="Z192" i="25"/>
  <c r="P192" i="25"/>
  <c r="N192" i="25"/>
  <c r="B192" i="25"/>
  <c r="A192" i="25"/>
  <c r="E188" i="25"/>
  <c r="AA187" i="25"/>
  <c r="Z187" i="25"/>
  <c r="P187" i="25"/>
  <c r="L187" i="25" s="1"/>
  <c r="N187" i="25"/>
  <c r="B187" i="25"/>
  <c r="A187" i="25"/>
  <c r="E183" i="25"/>
  <c r="AA182" i="25"/>
  <c r="Z182" i="25"/>
  <c r="P182" i="25" s="1"/>
  <c r="N182" i="25"/>
  <c r="L182" i="25" s="1"/>
  <c r="B182" i="25"/>
  <c r="A182" i="25"/>
  <c r="E178" i="25"/>
  <c r="AA177" i="25"/>
  <c r="A177" i="25" s="1"/>
  <c r="Z177" i="25"/>
  <c r="P177" i="25" s="1"/>
  <c r="N177" i="25"/>
  <c r="B177" i="25"/>
  <c r="E173" i="25"/>
  <c r="AA172" i="25"/>
  <c r="Z172" i="25"/>
  <c r="P172" i="25" s="1"/>
  <c r="N172" i="25"/>
  <c r="B172" i="25"/>
  <c r="A172" i="25"/>
  <c r="E168" i="25"/>
  <c r="AA167" i="25"/>
  <c r="Z167" i="25"/>
  <c r="P167" i="25"/>
  <c r="N167" i="25"/>
  <c r="L167" i="25" s="1"/>
  <c r="B167" i="25"/>
  <c r="A167" i="25"/>
  <c r="E163" i="25"/>
  <c r="AA162" i="25"/>
  <c r="Z162" i="25"/>
  <c r="P162" i="25"/>
  <c r="N162" i="25"/>
  <c r="L162" i="25" s="1"/>
  <c r="B162" i="25"/>
  <c r="A162" i="25"/>
  <c r="E158" i="25"/>
  <c r="AA157" i="25"/>
  <c r="Z157" i="25"/>
  <c r="P157" i="25" s="1"/>
  <c r="L157" i="25" s="1"/>
  <c r="N157" i="25"/>
  <c r="B157" i="25"/>
  <c r="A157" i="25"/>
  <c r="E153" i="25"/>
  <c r="AA152" i="25"/>
  <c r="Z152" i="25"/>
  <c r="P152" i="25" s="1"/>
  <c r="N152" i="25"/>
  <c r="B152" i="25"/>
  <c r="A152" i="25"/>
  <c r="E148" i="25"/>
  <c r="AA147" i="25"/>
  <c r="Z147" i="25"/>
  <c r="P147" i="25"/>
  <c r="N147" i="25"/>
  <c r="L147" i="25" s="1"/>
  <c r="B147" i="25"/>
  <c r="A147" i="25"/>
  <c r="E143" i="25"/>
  <c r="AA142" i="25"/>
  <c r="Z142" i="25"/>
  <c r="P142" i="25"/>
  <c r="N142" i="25"/>
  <c r="L142" i="25" s="1"/>
  <c r="B142" i="25"/>
  <c r="A142" i="25"/>
  <c r="E138" i="25"/>
  <c r="AA137" i="25"/>
  <c r="Z137" i="25"/>
  <c r="P137" i="25" s="1"/>
  <c r="L137" i="25" s="1"/>
  <c r="N137" i="25"/>
  <c r="B137" i="25"/>
  <c r="A137" i="25"/>
  <c r="E133" i="25"/>
  <c r="AA132" i="25"/>
  <c r="Z132" i="25"/>
  <c r="P132" i="25" s="1"/>
  <c r="N132" i="25"/>
  <c r="B132" i="25"/>
  <c r="A132" i="25"/>
  <c r="E128" i="25"/>
  <c r="AA127" i="25"/>
  <c r="Z127" i="25"/>
  <c r="P127" i="25"/>
  <c r="N127" i="25"/>
  <c r="L127" i="25" s="1"/>
  <c r="B127" i="25"/>
  <c r="A127" i="25"/>
  <c r="E123" i="25"/>
  <c r="AA122" i="25"/>
  <c r="Z122" i="25"/>
  <c r="P122" i="25"/>
  <c r="N122" i="25"/>
  <c r="L122" i="25" s="1"/>
  <c r="B122" i="25"/>
  <c r="A122" i="25"/>
  <c r="E118" i="25"/>
  <c r="AA117" i="25"/>
  <c r="Z117" i="25"/>
  <c r="P117" i="25" s="1"/>
  <c r="L117" i="25" s="1"/>
  <c r="N117" i="25"/>
  <c r="B117" i="25"/>
  <c r="A117" i="25"/>
  <c r="E113" i="25"/>
  <c r="AA112" i="25"/>
  <c r="Z112" i="25"/>
  <c r="P112" i="25" s="1"/>
  <c r="N112" i="25"/>
  <c r="B112" i="25"/>
  <c r="A112" i="25"/>
  <c r="E108" i="25"/>
  <c r="AA107" i="25"/>
  <c r="Z107" i="25"/>
  <c r="P107" i="25"/>
  <c r="N107" i="25"/>
  <c r="L107" i="25" s="1"/>
  <c r="B107" i="25"/>
  <c r="A107" i="25"/>
  <c r="E103" i="25"/>
  <c r="AA102" i="25"/>
  <c r="Z102" i="25"/>
  <c r="P102" i="25"/>
  <c r="N102" i="25"/>
  <c r="L102" i="25" s="1"/>
  <c r="B102" i="25"/>
  <c r="A102" i="25"/>
  <c r="E98" i="25"/>
  <c r="AA97" i="25"/>
  <c r="Z97" i="25"/>
  <c r="P97" i="25" s="1"/>
  <c r="L97" i="25" s="1"/>
  <c r="N97" i="25"/>
  <c r="B97" i="25"/>
  <c r="A97" i="25"/>
  <c r="E93" i="25"/>
  <c r="AA92" i="25"/>
  <c r="Z92" i="25"/>
  <c r="P92" i="25" s="1"/>
  <c r="N92" i="25"/>
  <c r="B92" i="25"/>
  <c r="A92" i="25"/>
  <c r="E88" i="25"/>
  <c r="AA87" i="25"/>
  <c r="Z87" i="25"/>
  <c r="P87" i="25"/>
  <c r="N87" i="25"/>
  <c r="L87" i="25" s="1"/>
  <c r="B87" i="25"/>
  <c r="A87" i="25"/>
  <c r="E83" i="25"/>
  <c r="AA82" i="25"/>
  <c r="Z82" i="25"/>
  <c r="P82" i="25"/>
  <c r="N82" i="25"/>
  <c r="L82" i="25" s="1"/>
  <c r="B82" i="25"/>
  <c r="A82" i="25"/>
  <c r="E78" i="25"/>
  <c r="AA77" i="25"/>
  <c r="Z77" i="25"/>
  <c r="P77" i="25" s="1"/>
  <c r="L77" i="25" s="1"/>
  <c r="N77" i="25"/>
  <c r="B77" i="25"/>
  <c r="A77" i="25"/>
  <c r="E73" i="25"/>
  <c r="AA72" i="25"/>
  <c r="Z72" i="25"/>
  <c r="P72" i="25" s="1"/>
  <c r="N72" i="25"/>
  <c r="B72" i="25"/>
  <c r="A72" i="25"/>
  <c r="E68" i="25"/>
  <c r="AA67" i="25"/>
  <c r="Z67" i="25"/>
  <c r="P67" i="25"/>
  <c r="N67" i="25"/>
  <c r="L67" i="25" s="1"/>
  <c r="B67" i="25"/>
  <c r="A67" i="25"/>
  <c r="E63" i="25"/>
  <c r="AA62" i="25"/>
  <c r="Z62" i="25"/>
  <c r="P62" i="25"/>
  <c r="N62" i="25"/>
  <c r="L62" i="25" s="1"/>
  <c r="B62" i="25"/>
  <c r="A62" i="25"/>
  <c r="E58" i="25"/>
  <c r="AA57" i="25"/>
  <c r="Z57" i="25"/>
  <c r="P57" i="25" s="1"/>
  <c r="L57" i="25" s="1"/>
  <c r="N57" i="25"/>
  <c r="B57" i="25"/>
  <c r="A57" i="25"/>
  <c r="E53" i="25"/>
  <c r="AA52" i="25"/>
  <c r="A52" i="25" s="1"/>
  <c r="P52" i="25"/>
  <c r="N52" i="25"/>
  <c r="L52" i="25"/>
  <c r="B52" i="25"/>
  <c r="E48" i="25"/>
  <c r="AA47" i="25"/>
  <c r="Z47" i="25"/>
  <c r="P47" i="25" s="1"/>
  <c r="N47" i="25"/>
  <c r="L47" i="25" s="1"/>
  <c r="B47" i="25"/>
  <c r="A47" i="25"/>
  <c r="E43" i="25"/>
  <c r="AA42" i="25"/>
  <c r="Z42" i="25"/>
  <c r="P42" i="25"/>
  <c r="N42" i="25"/>
  <c r="L42" i="25" s="1"/>
  <c r="B42" i="25"/>
  <c r="A42" i="25"/>
  <c r="E38" i="25"/>
  <c r="AA37" i="25"/>
  <c r="Z37" i="25"/>
  <c r="P37" i="25"/>
  <c r="N37" i="25"/>
  <c r="L37" i="25" s="1"/>
  <c r="B37" i="25"/>
  <c r="A37" i="25"/>
  <c r="E33" i="25"/>
  <c r="AA32" i="25"/>
  <c r="Z32" i="25"/>
  <c r="P32" i="25" s="1"/>
  <c r="L32" i="25" s="1"/>
  <c r="N32" i="25"/>
  <c r="B32" i="25"/>
  <c r="A32" i="25"/>
  <c r="E28" i="25"/>
  <c r="AA27" i="25"/>
  <c r="Z27" i="25"/>
  <c r="P27" i="25" s="1"/>
  <c r="N27" i="25"/>
  <c r="L27" i="25" s="1"/>
  <c r="B27" i="25"/>
  <c r="A27" i="25"/>
  <c r="E23" i="25"/>
  <c r="AA22" i="25"/>
  <c r="Z22" i="25"/>
  <c r="P22" i="25"/>
  <c r="N22" i="25"/>
  <c r="L22" i="25" s="1"/>
  <c r="B22" i="25"/>
  <c r="A22" i="25"/>
  <c r="E18" i="25"/>
  <c r="AA17" i="25"/>
  <c r="Z17" i="25"/>
  <c r="P17" i="25"/>
  <c r="N17" i="25"/>
  <c r="L17" i="25" s="1"/>
  <c r="B17" i="25"/>
  <c r="A17" i="25"/>
  <c r="E13" i="25"/>
  <c r="AA12" i="25"/>
  <c r="Z12" i="25"/>
  <c r="P12" i="25" s="1"/>
  <c r="L12" i="25" s="1"/>
  <c r="N12" i="25"/>
  <c r="B12" i="25"/>
  <c r="A12" i="25"/>
  <c r="E8" i="25"/>
  <c r="AA7" i="25"/>
  <c r="Z7" i="25"/>
  <c r="P7" i="25" s="1"/>
  <c r="N7" i="25"/>
  <c r="L7" i="25" s="1"/>
  <c r="B7" i="25"/>
  <c r="A7" i="25"/>
  <c r="E3" i="25"/>
  <c r="AA2" i="25"/>
  <c r="Z2" i="25"/>
  <c r="P2" i="25"/>
  <c r="N2" i="25"/>
  <c r="L2" i="25" s="1"/>
  <c r="B2" i="25"/>
  <c r="A2" i="25"/>
  <c r="L177" i="25" l="1"/>
  <c r="L72" i="25"/>
  <c r="L92" i="25"/>
  <c r="L112" i="25"/>
  <c r="L132" i="25"/>
  <c r="L152" i="25"/>
  <c r="L172" i="25"/>
  <c r="L217" i="25"/>
  <c r="L192" i="25"/>
  <c r="L237" i="25"/>
  <c r="L257" i="25"/>
  <c r="L277" i="25"/>
  <c r="L297" i="25"/>
  <c r="L317" i="25"/>
  <c r="L337" i="25"/>
  <c r="L357" i="25"/>
  <c r="L377" i="25"/>
  <c r="L457" i="25"/>
  <c r="L197" i="25"/>
  <c r="L232" i="25"/>
  <c r="L252" i="25"/>
  <c r="L272" i="25"/>
  <c r="L292" i="25"/>
  <c r="L312" i="25"/>
  <c r="L332" i="25"/>
  <c r="L372" i="25"/>
  <c r="L392" i="25"/>
  <c r="L427" i="25"/>
  <c r="L452" i="25"/>
  <c r="L472" i="25"/>
  <c r="C362" i="25"/>
  <c r="C202" i="25"/>
  <c r="C317" i="25"/>
  <c r="C472" i="25"/>
  <c r="C312" i="25"/>
  <c r="C117" i="25"/>
  <c r="C447" i="25"/>
  <c r="E49" i="25"/>
  <c r="C287" i="25"/>
  <c r="C67" i="25"/>
  <c r="C162" i="25"/>
  <c r="E259" i="25"/>
  <c r="E414" i="25"/>
  <c r="E254" i="25"/>
  <c r="E59" i="25"/>
  <c r="E154" i="25"/>
  <c r="C7" i="25"/>
  <c r="E189" i="25"/>
  <c r="E44" i="25"/>
  <c r="E124" i="25"/>
  <c r="E439" i="25"/>
  <c r="E354" i="25"/>
  <c r="E174" i="25"/>
  <c r="C182" i="25"/>
  <c r="E424" i="25"/>
  <c r="E264" i="25"/>
  <c r="E379" i="25"/>
  <c r="C422" i="25"/>
  <c r="C262" i="25"/>
  <c r="C377" i="25"/>
  <c r="C217" i="25"/>
  <c r="C372" i="25"/>
  <c r="E209" i="25"/>
  <c r="E14" i="25"/>
  <c r="E214" i="25"/>
  <c r="E29" i="25"/>
  <c r="C247" i="25"/>
  <c r="C87" i="25"/>
  <c r="E229" i="25"/>
  <c r="E39" i="25"/>
  <c r="E404" i="25"/>
  <c r="E399" i="25"/>
  <c r="E434" i="25"/>
  <c r="E425" i="25"/>
  <c r="E134" i="25"/>
  <c r="C227" i="25"/>
  <c r="C207" i="25"/>
  <c r="E19" i="25"/>
  <c r="E324" i="25"/>
  <c r="E394" i="25"/>
  <c r="E119" i="25"/>
  <c r="E149" i="25"/>
  <c r="E84" i="25"/>
  <c r="C442" i="25"/>
  <c r="C282" i="25"/>
  <c r="C237" i="25"/>
  <c r="C392" i="25"/>
  <c r="E34" i="25"/>
  <c r="E35" i="25" s="1"/>
  <c r="C147" i="25"/>
  <c r="E409" i="25"/>
  <c r="E179" i="25"/>
  <c r="E334" i="25"/>
  <c r="E269" i="25"/>
  <c r="E74" i="25"/>
  <c r="E369" i="25"/>
  <c r="C62" i="25"/>
  <c r="E239" i="25"/>
  <c r="E159" i="25"/>
  <c r="E344" i="25"/>
  <c r="E459" i="25"/>
  <c r="C342" i="25"/>
  <c r="C297" i="25"/>
  <c r="C292" i="25"/>
  <c r="C37" i="25"/>
  <c r="E279" i="25"/>
  <c r="E314" i="25"/>
  <c r="C387" i="25"/>
  <c r="E24" i="25"/>
  <c r="E210" i="25"/>
  <c r="C242" i="25"/>
  <c r="C197" i="25"/>
  <c r="E289" i="25"/>
  <c r="E309" i="25"/>
  <c r="E294" i="25"/>
  <c r="C47" i="25"/>
  <c r="E249" i="25"/>
  <c r="E244" i="25"/>
  <c r="E449" i="25"/>
  <c r="E419" i="25"/>
  <c r="C302" i="25"/>
  <c r="C412" i="25"/>
  <c r="E245" i="25"/>
  <c r="E349" i="25"/>
  <c r="E199" i="25"/>
  <c r="E429" i="25"/>
  <c r="C322" i="25"/>
  <c r="C437" i="25"/>
  <c r="C277" i="25"/>
  <c r="C432" i="25"/>
  <c r="C272" i="25"/>
  <c r="C77" i="25"/>
  <c r="C172" i="25"/>
  <c r="E9" i="25"/>
  <c r="C192" i="25"/>
  <c r="C22" i="25"/>
  <c r="C82" i="25"/>
  <c r="E219" i="25"/>
  <c r="E374" i="25"/>
  <c r="C212" i="25"/>
  <c r="C32" i="25"/>
  <c r="E114" i="25"/>
  <c r="C467" i="25"/>
  <c r="E169" i="25"/>
  <c r="E4" i="25"/>
  <c r="C142" i="25"/>
  <c r="E184" i="25"/>
  <c r="E319" i="25"/>
  <c r="E274" i="25"/>
  <c r="E94" i="25"/>
  <c r="E109" i="25"/>
  <c r="E384" i="25"/>
  <c r="E224" i="25"/>
  <c r="E339" i="25"/>
  <c r="C382" i="25"/>
  <c r="C222" i="25"/>
  <c r="C337" i="25"/>
  <c r="C177" i="25"/>
  <c r="C332" i="25"/>
  <c r="C137" i="25"/>
  <c r="C152" i="25"/>
  <c r="E469" i="25"/>
  <c r="C187" i="25"/>
  <c r="C42" i="25"/>
  <c r="E160" i="25"/>
  <c r="E15" i="25"/>
  <c r="E359" i="25"/>
  <c r="E54" i="25"/>
  <c r="C17" i="25"/>
  <c r="C397" i="25"/>
  <c r="C232" i="25"/>
  <c r="C132" i="25"/>
  <c r="E389" i="25"/>
  <c r="E144" i="25"/>
  <c r="E139" i="25"/>
  <c r="C347" i="25"/>
  <c r="E129" i="25"/>
  <c r="E364" i="25"/>
  <c r="E365" i="25" s="1"/>
  <c r="C27" i="25"/>
  <c r="E69" i="25"/>
  <c r="E299" i="25"/>
  <c r="C457" i="25"/>
  <c r="C452" i="25"/>
  <c r="C97" i="25"/>
  <c r="C112" i="25"/>
  <c r="C407" i="25"/>
  <c r="C167" i="25"/>
  <c r="C2" i="25"/>
  <c r="E284" i="25"/>
  <c r="E79" i="25"/>
  <c r="C102" i="25"/>
  <c r="C402" i="25"/>
  <c r="C357" i="25"/>
  <c r="C157" i="25"/>
  <c r="C92" i="25"/>
  <c r="E64" i="25"/>
  <c r="C427" i="25"/>
  <c r="E89" i="25"/>
  <c r="C52" i="25"/>
  <c r="E304" i="25"/>
  <c r="C417" i="25"/>
  <c r="C57" i="25"/>
  <c r="C327" i="25"/>
  <c r="C122" i="25"/>
  <c r="E204" i="25"/>
  <c r="C307" i="25"/>
  <c r="E164" i="25"/>
  <c r="E104" i="25"/>
  <c r="C352" i="25"/>
  <c r="C367" i="25"/>
  <c r="C107" i="25"/>
  <c r="E454" i="25"/>
  <c r="E99" i="25"/>
  <c r="C267" i="25"/>
  <c r="E194" i="25"/>
  <c r="E474" i="25"/>
  <c r="E464" i="25"/>
  <c r="E465" i="25" s="1"/>
  <c r="C462" i="25"/>
  <c r="C257" i="25"/>
  <c r="C252" i="25"/>
  <c r="C72" i="25"/>
  <c r="C127" i="25"/>
  <c r="E444" i="25"/>
  <c r="E234" i="25"/>
  <c r="C12" i="25"/>
  <c r="E329" i="25"/>
  <c r="Q17" i="25" l="1"/>
  <c r="Q102" i="25"/>
  <c r="Q207" i="25"/>
  <c r="Q227" i="25"/>
  <c r="Q307" i="25"/>
  <c r="Q387" i="25"/>
  <c r="Q12" i="25"/>
  <c r="Q122" i="25"/>
  <c r="Q37" i="25"/>
  <c r="Q2" i="25"/>
  <c r="Q42" i="25"/>
  <c r="Q87" i="25"/>
  <c r="Q127" i="25"/>
  <c r="Q167" i="25"/>
  <c r="Q187" i="25"/>
  <c r="Q247" i="25"/>
  <c r="Q327" i="25"/>
  <c r="Q407" i="25"/>
  <c r="Q72" i="25"/>
  <c r="Q112" i="25"/>
  <c r="Q152" i="25"/>
  <c r="Q57" i="25"/>
  <c r="Q97" i="25"/>
  <c r="Q137" i="25"/>
  <c r="Q252" i="25"/>
  <c r="Q292" i="25"/>
  <c r="Q332" i="25"/>
  <c r="Q372" i="25"/>
  <c r="Q412" i="25"/>
  <c r="Q452" i="25"/>
  <c r="Q177" i="25"/>
  <c r="Q217" i="25"/>
  <c r="Q257" i="25"/>
  <c r="Q297" i="25"/>
  <c r="Q337" i="25"/>
  <c r="Q377" i="25"/>
  <c r="Q417" i="25"/>
  <c r="Q457" i="25"/>
  <c r="Q222" i="25"/>
  <c r="Q262" i="25"/>
  <c r="Q302" i="25"/>
  <c r="Q342" i="25"/>
  <c r="Q382" i="25"/>
  <c r="Q422" i="25"/>
  <c r="Q462" i="25"/>
  <c r="Q182" i="25"/>
  <c r="Q27" i="25"/>
  <c r="Q52" i="25"/>
  <c r="Q62" i="25"/>
  <c r="Q142" i="25"/>
  <c r="Q267" i="25"/>
  <c r="Q347" i="25"/>
  <c r="Q467" i="25"/>
  <c r="Q7" i="25"/>
  <c r="Q47" i="25"/>
  <c r="Q427" i="25"/>
  <c r="Q32" i="25"/>
  <c r="Q212" i="25"/>
  <c r="Q82" i="25"/>
  <c r="Q162" i="25"/>
  <c r="Q22" i="25"/>
  <c r="Q67" i="25"/>
  <c r="Q107" i="25"/>
  <c r="Q147" i="25"/>
  <c r="Q192" i="25"/>
  <c r="Q287" i="25"/>
  <c r="Q367" i="25"/>
  <c r="Q92" i="25"/>
  <c r="Q132" i="25"/>
  <c r="Q172" i="25"/>
  <c r="Q447" i="25"/>
  <c r="Q77" i="25"/>
  <c r="Q117" i="25"/>
  <c r="Q157" i="25"/>
  <c r="Q232" i="25"/>
  <c r="Q272" i="25"/>
  <c r="Q312" i="25"/>
  <c r="Q352" i="25"/>
  <c r="Q392" i="25"/>
  <c r="Q432" i="25"/>
  <c r="Q472" i="25"/>
  <c r="Q197" i="25"/>
  <c r="Q237" i="25"/>
  <c r="Q277" i="25"/>
  <c r="Q317" i="25"/>
  <c r="Q357" i="25"/>
  <c r="Q397" i="25"/>
  <c r="Q437" i="25"/>
  <c r="Q202" i="25"/>
  <c r="Q242" i="25"/>
  <c r="Q282" i="25"/>
  <c r="Q322" i="25"/>
  <c r="Q362" i="25"/>
  <c r="Q402" i="25"/>
  <c r="Q442" i="25"/>
  <c r="E445" i="25"/>
  <c r="E80" i="25"/>
  <c r="E385" i="25"/>
  <c r="E325" i="25"/>
  <c r="E330" i="25"/>
  <c r="E340" i="25"/>
  <c r="E240" i="25"/>
  <c r="E190" i="25"/>
  <c r="E415" i="25"/>
  <c r="E81" i="25"/>
  <c r="E105" i="25"/>
  <c r="E70" i="25"/>
  <c r="E250" i="25"/>
  <c r="E455" i="25"/>
  <c r="E85" i="25"/>
  <c r="E395" i="25"/>
  <c r="E161" i="25"/>
  <c r="E440" i="25"/>
  <c r="E270" i="25"/>
  <c r="E145" i="25"/>
  <c r="E135" i="25"/>
  <c r="E215" i="25"/>
  <c r="E175" i="25"/>
  <c r="E170" i="25"/>
  <c r="E10" i="25"/>
  <c r="E446" i="25"/>
  <c r="E155" i="25"/>
  <c r="E366" i="25"/>
  <c r="E90" i="25"/>
  <c r="E150" i="25"/>
  <c r="E470" i="25"/>
  <c r="E370" i="25"/>
  <c r="E410" i="25"/>
  <c r="E30" i="25"/>
  <c r="E100" i="25"/>
  <c r="E285" i="25"/>
  <c r="E345" i="25"/>
  <c r="E405" i="25"/>
  <c r="E406" i="25" s="1"/>
  <c r="E430" i="25"/>
  <c r="E125" i="25"/>
  <c r="E260" i="25"/>
  <c r="E315" i="25"/>
  <c r="E275" i="25"/>
  <c r="E65" i="25"/>
  <c r="E360" i="25"/>
  <c r="E110" i="25"/>
  <c r="E426" i="25"/>
  <c r="E40" i="25"/>
  <c r="E300" i="25"/>
  <c r="E475" i="25"/>
  <c r="E115" i="25"/>
  <c r="E290" i="25"/>
  <c r="E355" i="25"/>
  <c r="E400" i="25"/>
  <c r="E220" i="25"/>
  <c r="E205" i="25"/>
  <c r="E206" i="25" s="1"/>
  <c r="E140" i="25"/>
  <c r="E141" i="25" s="1"/>
  <c r="E180" i="25"/>
  <c r="E181" i="25" s="1"/>
  <c r="E265" i="25"/>
  <c r="E235" i="25"/>
  <c r="E350" i="25"/>
  <c r="E386" i="25"/>
  <c r="E36" i="25"/>
  <c r="E50" i="25"/>
  <c r="E211" i="25"/>
  <c r="E280" i="25"/>
  <c r="E380" i="25"/>
  <c r="E320" i="25"/>
  <c r="E101" i="25"/>
  <c r="E310" i="25"/>
  <c r="E55" i="25"/>
  <c r="E326" i="25"/>
  <c r="E466" i="25"/>
  <c r="E95" i="25"/>
  <c r="E130" i="25"/>
  <c r="E335" i="25"/>
  <c r="E390" i="25"/>
  <c r="E435" i="25"/>
  <c r="E230" i="25"/>
  <c r="E460" i="25"/>
  <c r="E185" i="25"/>
  <c r="E375" i="25"/>
  <c r="E165" i="25"/>
  <c r="E200" i="25"/>
  <c r="E246" i="25"/>
  <c r="E450" i="25"/>
  <c r="E45" i="25"/>
  <c r="E255" i="25"/>
  <c r="E25" i="25"/>
  <c r="E286" i="25"/>
  <c r="E195" i="25"/>
  <c r="E16" i="25"/>
  <c r="E75" i="25"/>
  <c r="E20" i="25"/>
  <c r="E5" i="25"/>
  <c r="E305" i="25"/>
  <c r="E306" i="25" s="1"/>
  <c r="E225" i="25"/>
  <c r="E226" i="25" s="1"/>
  <c r="E120" i="25"/>
  <c r="E121" i="25" s="1"/>
  <c r="E60" i="25"/>
  <c r="E61" i="25" s="1"/>
  <c r="E266" i="25"/>
  <c r="E295" i="25"/>
  <c r="E420" i="25"/>
  <c r="E346" i="25"/>
  <c r="E421" i="25"/>
  <c r="E461" i="25"/>
  <c r="E381" i="25"/>
  <c r="E401" i="25"/>
  <c r="E261" i="25"/>
  <c r="E156" i="25"/>
  <c r="E341" i="25"/>
  <c r="E76" i="25"/>
  <c r="E96" i="25"/>
  <c r="E281" i="25"/>
  <c r="E116" i="25"/>
  <c r="E31" i="25"/>
  <c r="E11" i="25"/>
  <c r="E376" i="25"/>
  <c r="E311" i="25"/>
  <c r="E166" i="25"/>
  <c r="E151" i="25"/>
  <c r="E236" i="25"/>
  <c r="E86" i="25"/>
  <c r="E431" i="25"/>
  <c r="E291" i="25"/>
  <c r="E331" i="25"/>
  <c r="E321" i="25"/>
  <c r="E221" i="25"/>
  <c r="E241" i="25"/>
  <c r="E371" i="25"/>
  <c r="E191" i="25"/>
  <c r="E216" i="25"/>
  <c r="E416" i="25"/>
  <c r="E256" i="25"/>
  <c r="E21" i="25"/>
  <c r="E46" i="25"/>
  <c r="E111" i="25"/>
  <c r="E451" i="25"/>
  <c r="E56" i="25"/>
  <c r="E51" i="25"/>
  <c r="E301" i="25"/>
  <c r="E176" i="25"/>
  <c r="E441" i="25"/>
  <c r="E476" i="25"/>
  <c r="E146" i="25"/>
  <c r="E91" i="25"/>
  <c r="E171" i="25"/>
  <c r="E66" i="25"/>
  <c r="E6" i="25"/>
  <c r="E391" i="25"/>
  <c r="E456" i="25"/>
  <c r="E186" i="25"/>
  <c r="E411" i="25"/>
  <c r="E296" i="25"/>
  <c r="E201" i="25"/>
  <c r="E361" i="25"/>
  <c r="E136" i="25"/>
  <c r="E71" i="25"/>
  <c r="E336" i="25"/>
  <c r="E231" i="25"/>
  <c r="E271" i="25"/>
  <c r="E41" i="25"/>
  <c r="E131" i="25"/>
  <c r="E396" i="25"/>
  <c r="E351" i="25"/>
  <c r="E356" i="25"/>
  <c r="E126" i="25"/>
  <c r="E26" i="25"/>
  <c r="E436" i="25"/>
  <c r="E251" i="25"/>
  <c r="E196" i="25"/>
  <c r="E276" i="25"/>
  <c r="E106" i="25"/>
  <c r="E316" i="25"/>
  <c r="E471" i="25"/>
</calcChain>
</file>

<file path=xl/sharedStrings.xml><?xml version="1.0" encoding="utf-8"?>
<sst xmlns="http://schemas.openxmlformats.org/spreadsheetml/2006/main" count="2326" uniqueCount="54">
  <si>
    <t>Field Name</t>
  </si>
  <si>
    <t>Width</t>
  </si>
  <si>
    <t>Bits</t>
  </si>
  <si>
    <t>Description</t>
  </si>
  <si>
    <t>Need to latch for at-speed scan?</t>
  </si>
  <si>
    <t>COMMON</t>
  </si>
  <si>
    <t>NO</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</si>
  <si>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</si>
  <si>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</si>
  <si>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</si>
  <si>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</si>
  <si>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</si>
  <si>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</si>
  <si>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</si>
  <si>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</si>
  <si>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</si>
  <si>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</si>
  <si>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</si>
  <si>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</si>
  <si>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</si>
  <si>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</si>
  <si>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</si>
  <si>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</si>
  <si>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</si>
  <si>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</si>
  <si>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</si>
  <si>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</si>
  <si>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</si>
  <si>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</si>
  <si>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</si>
  <si>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</si>
  <si>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</si>
  <si>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Default value</t>
  </si>
  <si>
    <t>Reg Name</t>
  </si>
  <si>
    <t>Sus Well</t>
  </si>
  <si>
    <t>Default</t>
  </si>
  <si>
    <t>RW</t>
  </si>
  <si>
    <t>Reg Soconline Offset</t>
  </si>
  <si>
    <t>user define</t>
  </si>
  <si>
    <t xml:space="preserve">Domain </t>
  </si>
  <si>
    <t>decoder pin</t>
  </si>
  <si>
    <t>SA ADDRESS</t>
  </si>
  <si>
    <t>Default Value(HEX)</t>
  </si>
  <si>
    <t>8'b0</t>
  </si>
  <si>
    <t>SLC</t>
  </si>
  <si>
    <t>SAR</t>
  </si>
  <si>
    <t>quad</t>
  </si>
  <si>
    <t>addr</t>
  </si>
  <si>
    <t>quartet3_g</t>
  </si>
  <si>
    <t>8 bit: MSB,sign  ,others , magnitude gray code.</t>
  </si>
  <si>
    <t>quartet2_g</t>
  </si>
  <si>
    <t>quartet1_g</t>
  </si>
  <si>
    <t>quartet0_g</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</si>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</sst>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1"/>
      <color theme="1"/>
      <name val="Calibri"/>
      <family val="2"/>
      <scheme val="minor"/>
    </font>
    <font>
      <b/>
      <sz val="10"/>
      <name val="Neo Sans Intel"/>
      <family val="2"/>
    </font>
  </fonts>
  <fills count="32">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theme="0"/>
        <bgColor indexed="64"/>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BBF2FD"/>
        <bgColor indexed="26"/>
      </patternFill>
    </fill>
    <fill>
      <patternFill patternType="solid">
        <fgColor theme="5"/>
        <bgColor indexed="64"/>
      </patternFill>
    </fill>
    <fill>
      <patternFill patternType="solid">
        <fgColor theme="4" tint="0.79998168889431442"/>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s>
  <cellStyleXfs count="59">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5" fillId="0" borderId="0"/>
    <xf numFmtId="0" fontId="15" fillId="0" borderId="0"/>
    <xf numFmtId="0" fontId="22" fillId="0" borderId="0"/>
    <xf numFmtId="0" fontId="21" fillId="23" borderId="7" applyNumberForma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5" fillId="25" borderId="0" applyNumberFormat="0" applyBorder="0" applyAlignment="0" applyProtection="0"/>
    <xf numFmtId="0" fontId="26" fillId="26" borderId="14" applyNumberFormat="0" applyAlignment="0" applyProtection="0"/>
    <xf numFmtId="0" fontId="16" fillId="20" borderId="23" applyNumberFormat="0" applyAlignment="0" applyProtection="0"/>
    <xf numFmtId="0" fontId="21" fillId="23" borderId="22" applyNumberFormat="0" applyAlignment="0" applyProtection="0"/>
    <xf numFmtId="0" fontId="18" fillId="0" borderId="28" applyNumberFormat="0" applyFill="0" applyAlignment="0" applyProtection="0"/>
    <xf numFmtId="0" fontId="16" fillId="20" borderId="27" applyNumberFormat="0" applyAlignment="0" applyProtection="0"/>
    <xf numFmtId="0" fontId="21" fillId="23" borderId="26" applyNumberFormat="0" applyAlignment="0" applyProtection="0"/>
    <xf numFmtId="0" fontId="12" fillId="7" borderId="21" applyNumberFormat="0" applyAlignment="0" applyProtection="0"/>
    <xf numFmtId="0" fontId="12" fillId="7" borderId="25" applyNumberFormat="0" applyAlignment="0" applyProtection="0"/>
    <xf numFmtId="0" fontId="5" fillId="20" borderId="21" applyNumberFormat="0" applyAlignment="0" applyProtection="0"/>
    <xf numFmtId="0" fontId="5" fillId="20" borderId="25" applyNumberFormat="0" applyAlignment="0" applyProtection="0"/>
    <xf numFmtId="0" fontId="2" fillId="0" borderId="0"/>
    <xf numFmtId="0" fontId="18" fillId="0" borderId="24" applyNumberFormat="0" applyFill="0" applyAlignment="0" applyProtection="0"/>
    <xf numFmtId="0" fontId="1" fillId="0" borderId="0"/>
  </cellStyleXfs>
  <cellXfs count="49">
    <xf numFmtId="0" fontId="0" fillId="0" borderId="0" xfId="0"/>
    <xf numFmtId="0" fontId="20" fillId="0" borderId="0" xfId="0" applyFont="1" applyBorder="1" applyAlignment="1">
      <alignment wrapText="1"/>
    </xf>
    <xf numFmtId="0" fontId="0" fillId="0" borderId="0" xfId="0" applyFill="1" applyBorder="1" applyAlignment="1">
      <alignment wrapText="1"/>
    </xf>
    <xf numFmtId="0" fontId="0" fillId="0" borderId="0" xfId="0" applyBorder="1"/>
    <xf numFmtId="0" fontId="0" fillId="0" borderId="16" xfId="0" applyBorder="1"/>
    <xf numFmtId="0" fontId="0" fillId="0" borderId="17" xfId="0" applyBorder="1"/>
    <xf numFmtId="0" fontId="0" fillId="0" borderId="12" xfId="0" applyBorder="1"/>
    <xf numFmtId="0" fontId="0" fillId="0" borderId="13" xfId="0" applyBorder="1"/>
    <xf numFmtId="0" fontId="0" fillId="0" borderId="18" xfId="0" applyBorder="1"/>
    <xf numFmtId="0" fontId="0" fillId="0" borderId="19" xfId="0" applyBorder="1"/>
    <xf numFmtId="0" fontId="0" fillId="0" borderId="20" xfId="0" applyBorder="1"/>
    <xf numFmtId="0" fontId="0" fillId="0" borderId="15" xfId="0" applyBorder="1"/>
    <xf numFmtId="0" fontId="0" fillId="0" borderId="0" xfId="0" applyBorder="1" applyAlignment="1">
      <alignment horizontal="center" vertical="center" wrapText="1"/>
    </xf>
    <xf numFmtId="49" fontId="0" fillId="0" borderId="0"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left" wrapText="1"/>
    </xf>
    <xf numFmtId="0" fontId="27" fillId="0" borderId="33" xfId="0" applyFont="1" applyBorder="1" applyAlignment="1">
      <alignment horizontal="left" vertical="center"/>
    </xf>
    <xf numFmtId="0" fontId="23" fillId="27" borderId="34" xfId="0" applyFont="1" applyFill="1" applyBorder="1" applyAlignment="1">
      <alignment horizontal="center" vertical="center" wrapText="1"/>
    </xf>
    <xf numFmtId="49" fontId="23" fillId="27" borderId="34" xfId="0" applyNumberFormat="1" applyFont="1" applyFill="1" applyBorder="1" applyAlignment="1">
      <alignment horizontal="center" vertical="center" wrapText="1"/>
    </xf>
    <xf numFmtId="0" fontId="23" fillId="27" borderId="35" xfId="0" applyFont="1" applyFill="1" applyBorder="1" applyAlignment="1">
      <alignment horizontal="center" vertical="center" wrapText="1"/>
    </xf>
    <xf numFmtId="0" fontId="23" fillId="27" borderId="29" xfId="0" applyFont="1" applyFill="1" applyBorder="1" applyAlignment="1">
      <alignment horizontal="center" vertical="center" wrapText="1"/>
    </xf>
    <xf numFmtId="0" fontId="18" fillId="0" borderId="33" xfId="0" applyFont="1" applyFill="1" applyBorder="1" applyAlignment="1">
      <alignment horizontal="center" wrapText="1"/>
    </xf>
    <xf numFmtId="49" fontId="23" fillId="0" borderId="33" xfId="0" applyNumberFormat="1" applyFont="1" applyBorder="1" applyAlignment="1">
      <alignment horizontal="center" vertical="center" wrapText="1"/>
    </xf>
    <xf numFmtId="49" fontId="23" fillId="0" borderId="33" xfId="0" applyNumberFormat="1" applyFont="1" applyFill="1" applyBorder="1" applyAlignment="1">
      <alignment horizontal="center" vertical="center" wrapText="1"/>
    </xf>
    <xf numFmtId="0" fontId="28" fillId="0" borderId="33" xfId="37" applyFont="1" applyBorder="1" applyAlignment="1">
      <alignment horizontal="center" vertical="center" wrapText="1"/>
    </xf>
    <xf numFmtId="0" fontId="23" fillId="0" borderId="33" xfId="0" applyFont="1" applyBorder="1" applyAlignment="1">
      <alignment horizontal="center" vertical="center" wrapText="1"/>
    </xf>
    <xf numFmtId="0" fontId="23" fillId="24" borderId="33" xfId="0" applyFont="1" applyFill="1" applyBorder="1" applyAlignment="1">
      <alignment wrapText="1"/>
    </xf>
    <xf numFmtId="0" fontId="18" fillId="0" borderId="0" xfId="0" applyFont="1" applyFill="1" applyBorder="1" applyAlignment="1">
      <alignment wrapText="1"/>
    </xf>
    <xf numFmtId="0" fontId="27" fillId="30" borderId="0" xfId="0" applyFont="1" applyFill="1" applyAlignment="1">
      <alignment horizontal="center" vertical="center"/>
    </xf>
    <xf numFmtId="0" fontId="27" fillId="31" borderId="12" xfId="0" applyFont="1" applyFill="1" applyBorder="1" applyAlignment="1">
      <alignment horizontal="center" vertical="center"/>
    </xf>
    <xf numFmtId="0" fontId="27" fillId="31" borderId="0" xfId="0" applyFont="1" applyFill="1" applyBorder="1" applyAlignment="1">
      <alignment horizontal="center" vertical="center"/>
    </xf>
    <xf numFmtId="0" fontId="27" fillId="31" borderId="39" xfId="0" applyFont="1" applyFill="1" applyBorder="1" applyAlignment="1">
      <alignment horizontal="center" vertical="center"/>
    </xf>
    <xf numFmtId="0" fontId="27" fillId="31" borderId="0" xfId="0" applyFont="1" applyFill="1" applyAlignment="1">
      <alignment horizontal="center" vertical="center"/>
    </xf>
    <xf numFmtId="0" fontId="27" fillId="31" borderId="13" xfId="0" applyFont="1" applyFill="1" applyBorder="1" applyAlignment="1">
      <alignment horizontal="center" vertical="center"/>
    </xf>
    <xf numFmtId="0" fontId="27" fillId="31" borderId="18" xfId="0" applyFont="1" applyFill="1" applyBorder="1" applyAlignment="1">
      <alignment horizontal="center" vertical="center"/>
    </xf>
    <xf numFmtId="0" fontId="27" fillId="31" borderId="36" xfId="0" applyFont="1" applyFill="1" applyBorder="1" applyAlignment="1">
      <alignment horizontal="center" vertical="center"/>
    </xf>
    <xf numFmtId="0" fontId="28" fillId="0" borderId="33" xfId="58" applyFont="1" applyFill="1" applyBorder="1" applyAlignment="1">
      <alignment horizontal="center" vertical="center" wrapText="1"/>
    </xf>
    <xf numFmtId="0" fontId="24" fillId="28" borderId="32" xfId="36" applyNumberFormat="1" applyFont="1" applyFill="1" applyBorder="1" applyAlignment="1" applyProtection="1">
      <alignment horizontal="center" vertical="center" wrapText="1"/>
    </xf>
    <xf numFmtId="0" fontId="24" fillId="28" borderId="11" xfId="36" applyNumberFormat="1" applyFont="1" applyFill="1" applyBorder="1" applyAlignment="1" applyProtection="1">
      <alignment horizontal="center" vertical="center" wrapText="1"/>
    </xf>
    <xf numFmtId="0" fontId="24" fillId="29" borderId="31" xfId="36" applyNumberFormat="1" applyFont="1" applyFill="1" applyBorder="1" applyAlignment="1" applyProtection="1">
      <alignment horizontal="center" vertical="center" wrapText="1"/>
    </xf>
    <xf numFmtId="0" fontId="24" fillId="29" borderId="33" xfId="36" applyNumberFormat="1" applyFont="1" applyFill="1" applyBorder="1" applyAlignment="1" applyProtection="1">
      <alignment horizontal="center" vertical="center" wrapText="1"/>
    </xf>
    <xf numFmtId="0" fontId="24" fillId="28" borderId="33" xfId="36" applyNumberFormat="1" applyFont="1" applyFill="1" applyBorder="1" applyAlignment="1" applyProtection="1">
      <alignment horizontal="center" vertical="center" wrapText="1"/>
    </xf>
    <xf numFmtId="0" fontId="24" fillId="29" borderId="30" xfId="36" applyNumberFormat="1" applyFont="1" applyFill="1" applyBorder="1" applyAlignment="1" applyProtection="1">
      <alignment horizontal="center" vertical="center" wrapText="1"/>
    </xf>
    <xf numFmtId="0" fontId="24" fillId="29" borderId="10" xfId="36" applyNumberFormat="1" applyFont="1" applyFill="1" applyBorder="1" applyAlignment="1" applyProtection="1">
      <alignment horizontal="center" vertical="center" wrapText="1"/>
    </xf>
    <xf numFmtId="0" fontId="24" fillId="22" borderId="10" xfId="36" applyNumberFormat="1" applyFont="1" applyBorder="1" applyAlignment="1" applyProtection="1">
      <alignment horizontal="center" vertical="center" wrapText="1"/>
    </xf>
    <xf numFmtId="0" fontId="24" fillId="28" borderId="10" xfId="36" applyNumberFormat="1" applyFont="1" applyFill="1" applyBorder="1" applyAlignment="1" applyProtection="1">
      <alignment horizontal="center" vertical="center" wrapText="1"/>
    </xf>
    <xf numFmtId="0" fontId="27" fillId="30" borderId="38" xfId="0" applyFont="1" applyFill="1" applyBorder="1" applyAlignment="1">
      <alignment horizontal="center" vertical="center"/>
    </xf>
    <xf numFmtId="0" fontId="27" fillId="30" borderId="37" xfId="0" applyFont="1" applyFill="1" applyBorder="1" applyAlignment="1">
      <alignment horizontal="center" vertical="center"/>
    </xf>
    <xf numFmtId="0" fontId="27" fillId="30" borderId="35" xfId="0" applyFont="1" applyFill="1" applyBorder="1" applyAlignment="1">
      <alignment horizontal="center" vertical="center"/>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3" xfId="58" xr:uid="{FE9D1D86-7B45-4C7C-BC67-550AFF10726D}"/>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285">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s>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2.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kovshov/AppData/Local/Microsoft/Windows/INetCache/Content.Outlook/RUFBWC84/ipn5adcrefgen_regist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PLL_Config"/>
      <sheetName val="Sheet3"/>
      <sheetName val="Sheet1"/>
      <sheetName val="Sheet2"/>
      <sheetName val="lists"/>
      <sheetName val="rel-notes"/>
    </sheetNames>
    <sheetDataSet>
      <sheetData sheetId="0"/>
      <sheetData sheetId="1" refreshError="1"/>
      <sheetData sheetId="2" refreshError="1"/>
      <sheetData sheetId="3">
        <row r="10">
          <cell r="H10" t="str">
            <v>YES</v>
          </cell>
        </row>
        <row r="11">
          <cell r="H11" t="str">
            <v>NO</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B957-9471-4CCB-B217-7645EB3335D3}">
  <sheetPr codeName="Sheet4">
    <tabColor theme="0" tint="-0.14999847407452621"/>
  </sheetPr>
  <dimension ref="A1:AA476"/>
  <sheetViews>
    <sheetView tabSelected="1" zoomScale="85" zoomScaleNormal="85" workbookViewId="0">
      <pane ySplit="1" topLeftCell="A2" activePane="bottomLeft" state="frozen"/>
      <selection activeCell="A22" sqref="A22:N22"/>
      <selection pane="bottomLeft" activeCell="G28" sqref="G28"/>
    </sheetView>
  </sheetViews>
  <sheetFormatPr defaultColWidth="32.28515625" defaultRowHeight="15"/>
  <cols>
    <col min="1" max="1" width="32.85546875" style="14" bestFit="1" customWidth="1"/>
    <col min="2" max="2" width="16.28515625" style="15" bestFit="1" customWidth="1"/>
    <col min="3" max="3" width="16.5703125" style="12" bestFit="1" customWidth="1"/>
    <col min="4" max="4" width="11.7109375" style="12" bestFit="1" customWidth="1"/>
    <col min="5" max="5" width="10" style="13" bestFit="1" customWidth="1"/>
    <col min="6" max="6" width="18.28515625" style="13" bestFit="1" customWidth="1"/>
    <col min="7" max="7" width="42.7109375" style="1" bestFit="1" customWidth="1"/>
    <col min="8" max="8" width="15.140625" style="12" bestFit="1" customWidth="1"/>
    <col min="9" max="9" width="17.42578125" style="12" bestFit="1" customWidth="1"/>
    <col min="10" max="10" width="14.42578125" style="14" bestFit="1" customWidth="1"/>
    <col min="11" max="11" width="37.28515625" style="14" bestFit="1" customWidth="1"/>
    <col min="12" max="12" width="26.140625" style="15" bestFit="1" customWidth="1"/>
    <col min="13" max="13" width="17.28515625" style="15" bestFit="1" customWidth="1"/>
    <col min="14" max="14" width="13.42578125" style="15" bestFit="1" customWidth="1"/>
    <col min="15" max="15" width="17.5703125" style="15" bestFit="1" customWidth="1"/>
    <col min="16" max="16" width="17.85546875" style="15" bestFit="1" customWidth="1"/>
    <col min="17" max="17" width="23.7109375" style="15" bestFit="1" customWidth="1"/>
    <col min="18" max="18" width="0.5703125" style="2" customWidth="1"/>
    <col min="19" max="25" width="2.140625" style="2" bestFit="1" customWidth="1"/>
    <col min="26" max="26" width="10.28515625" style="2" bestFit="1" customWidth="1"/>
    <col min="27" max="27" width="31.140625" style="2" bestFit="1" customWidth="1"/>
    <col min="28" max="16384" width="32.28515625" style="2"/>
  </cols>
  <sheetData>
    <row r="1" spans="1:27" ht="15.75" thickBot="1">
      <c r="A1" s="17" t="s">
        <v>33</v>
      </c>
      <c r="B1" s="17" t="s">
        <v>20</v>
      </c>
      <c r="C1" s="17" t="s">
        <v>0</v>
      </c>
      <c r="D1" s="17" t="s">
        <v>1</v>
      </c>
      <c r="E1" s="18" t="s">
        <v>2</v>
      </c>
      <c r="F1" s="18" t="s">
        <v>32</v>
      </c>
      <c r="G1" s="17" t="s">
        <v>3</v>
      </c>
      <c r="H1" s="17" t="s">
        <v>23</v>
      </c>
      <c r="I1" s="17" t="s">
        <v>22</v>
      </c>
      <c r="J1" s="17" t="s">
        <v>34</v>
      </c>
      <c r="K1" s="17" t="s">
        <v>4</v>
      </c>
      <c r="L1" s="19" t="s">
        <v>37</v>
      </c>
      <c r="M1" s="20" t="s">
        <v>38</v>
      </c>
      <c r="N1" s="20" t="s">
        <v>39</v>
      </c>
      <c r="O1" s="20" t="s">
        <v>40</v>
      </c>
      <c r="P1" s="20" t="s">
        <v>41</v>
      </c>
      <c r="Q1" s="20" t="s">
        <v>42</v>
      </c>
      <c r="S1" s="46" t="s">
        <v>44</v>
      </c>
      <c r="T1" s="47"/>
      <c r="U1" s="48"/>
      <c r="V1" s="46" t="s">
        <v>45</v>
      </c>
      <c r="W1" s="48"/>
      <c r="X1" s="46" t="s">
        <v>46</v>
      </c>
      <c r="Y1" s="48"/>
      <c r="Z1" s="28" t="s">
        <v>47</v>
      </c>
      <c r="AA1" s="28"/>
    </row>
    <row r="2" spans="1:27">
      <c r="A2" s="42" t="str">
        <f>AA2</f>
        <v>REFGEN_REG_QUAD0_SAR0_SLC0</v>
      </c>
      <c r="B2" s="43" t="str">
        <f>DEC2HEX(O2*4)</f>
        <v>0</v>
      </c>
      <c r="C2" s="44" t="str">
        <f>bitConcat(F3:F6)</f>
        <v>32'b00000000000000000000000000000000</v>
      </c>
      <c r="D2" s="44"/>
      <c r="E2" s="44"/>
      <c r="F2" s="44"/>
      <c r="G2" s="44"/>
      <c r="H2" s="44"/>
      <c r="I2" s="44"/>
      <c r="J2" s="44"/>
      <c r="K2" s="44"/>
      <c r="L2" s="45" t="str">
        <f>DEC2HEX(_xlfn.BITLSHIFT(N2,7)+HEX2DEC(P2))</f>
        <v>0</v>
      </c>
      <c r="M2" s="45"/>
      <c r="N2" s="45">
        <f>S2</f>
        <v>0</v>
      </c>
      <c r="O2" s="38">
        <v>0</v>
      </c>
      <c r="P2" s="38" t="str">
        <f>DEC2HEX(HEX2DEC(Z2)*4)</f>
        <v>0</v>
      </c>
      <c r="Q2" s="38" t="str">
        <f>BIN2HEX(LEFT(RIGHT(C2,32),4))&amp;BIN2HEX(LEFT(RIGHT(C2,28),4))&amp;BIN2HEX(LEFT(RIGHT(C2,24),4))&amp;BIN2HEX(LEFT(RIGHT(C2,20),4))&amp;BIN2HEX(LEFT(RIGHT(C2,16),4))&amp;BIN2HEX(LEFT(RIGHT(C2,12),4))&amp;BIN2HEX(LEFT(RIGHT(C2,8),4))&amp;BIN2HEX(LEFT(RIGHT(C2,4),4))</f>
        <v>00000000</v>
      </c>
      <c r="S2" s="29">
        <v>0</v>
      </c>
      <c r="T2" s="30">
        <v>0</v>
      </c>
      <c r="U2" s="31">
        <v>0</v>
      </c>
      <c r="V2" s="29">
        <v>0</v>
      </c>
      <c r="W2" s="31">
        <v>0</v>
      </c>
      <c r="X2" s="29">
        <v>0</v>
      </c>
      <c r="Y2" s="31">
        <v>0</v>
      </c>
      <c r="Z2" s="32" t="str">
        <f t="shared" ref="Z2:Z117" si="0">BIN2HEX(S2&amp;T2&amp;U2&amp;V2&amp;W2&amp;X2&amp;Y2)</f>
        <v>0</v>
      </c>
      <c r="AA2" s="32" t="str">
        <f>CONCATENATE("REFGEN_REG_QUAD",BIN2DEC(X2&amp;Y2),"_SAR",BIN2DEC(V2&amp;W2),"_SLC",BIN2DEC(S2&amp;T2&amp;U2),)</f>
        <v>REFGEN_REG_QUAD0_SAR0_SLC0</v>
      </c>
    </row>
    <row r="3" spans="1:27" ht="30">
      <c r="A3" s="39"/>
      <c r="B3" s="40"/>
      <c r="C3" s="16" t="s">
        <v>48</v>
      </c>
      <c r="D3" s="36">
        <v>8</v>
      </c>
      <c r="E3" s="21" t="str">
        <f>IF(D3&gt;1,(31)&amp;":"&amp;(31-D3+1),(31-D3+1)&amp;":"&amp;(31-D3+1))</f>
        <v>31:24</v>
      </c>
      <c r="F3" s="22" t="s">
        <v>43</v>
      </c>
      <c r="G3" s="27" t="s">
        <v>49</v>
      </c>
      <c r="H3" s="23" t="s">
        <v>36</v>
      </c>
      <c r="I3" s="24" t="s">
        <v>35</v>
      </c>
      <c r="J3" s="25" t="s">
        <v>6</v>
      </c>
      <c r="K3" s="26"/>
      <c r="L3" s="41"/>
      <c r="M3" s="41"/>
      <c r="N3" s="41"/>
      <c r="O3" s="37"/>
      <c r="P3" s="37"/>
      <c r="Q3" s="37"/>
      <c r="S3" s="29"/>
      <c r="T3" s="30"/>
      <c r="U3" s="31"/>
      <c r="V3" s="29"/>
      <c r="W3" s="31"/>
      <c r="X3" s="29"/>
      <c r="Y3" s="31"/>
      <c r="Z3" s="32"/>
      <c r="AA3" s="32"/>
    </row>
    <row r="4" spans="1:27" ht="30">
      <c r="A4" s="39"/>
      <c r="B4" s="40"/>
      <c r="C4" s="16" t="s">
        <v>50</v>
      </c>
      <c r="D4" s="36">
        <v>8</v>
      </c>
      <c r="E4" s="22" t="str">
        <f t="shared" ref="E4:E6" si="1">(MID(str_cnvt(E3),SEARCH(":",str_cnvt(E3))+1,2)-1) &amp; ":" &amp; (MID(str_cnvt(E3),SEARCH(":",str_cnvt(E3))+1,2)-D4)</f>
        <v>23:16</v>
      </c>
      <c r="F4" s="22" t="s">
        <v>43</v>
      </c>
      <c r="G4" s="27" t="s">
        <v>49</v>
      </c>
      <c r="H4" s="23" t="s">
        <v>36</v>
      </c>
      <c r="I4" s="24" t="s">
        <v>35</v>
      </c>
      <c r="J4" s="25" t="s">
        <v>6</v>
      </c>
      <c r="K4" s="26"/>
      <c r="L4" s="41"/>
      <c r="M4" s="41"/>
      <c r="N4" s="41"/>
      <c r="O4" s="37"/>
      <c r="P4" s="37"/>
      <c r="Q4" s="37"/>
      <c r="S4" s="29"/>
      <c r="T4" s="30"/>
      <c r="U4" s="31"/>
      <c r="V4" s="29"/>
      <c r="W4" s="31"/>
      <c r="X4" s="29"/>
      <c r="Y4" s="31"/>
      <c r="Z4" s="32"/>
      <c r="AA4" s="32"/>
    </row>
    <row r="5" spans="1:27" ht="30">
      <c r="A5" s="39"/>
      <c r="B5" s="40"/>
      <c r="C5" s="16" t="s">
        <v>51</v>
      </c>
      <c r="D5" s="36">
        <v>8</v>
      </c>
      <c r="E5" s="22" t="str">
        <f t="shared" si="1"/>
        <v>15:8</v>
      </c>
      <c r="F5" s="22" t="s">
        <v>43</v>
      </c>
      <c r="G5" s="27" t="s">
        <v>49</v>
      </c>
      <c r="H5" s="23" t="s">
        <v>36</v>
      </c>
      <c r="I5" s="24" t="s">
        <v>35</v>
      </c>
      <c r="J5" s="25" t="s">
        <v>6</v>
      </c>
      <c r="K5" s="26"/>
      <c r="L5" s="41"/>
      <c r="M5" s="41"/>
      <c r="N5" s="41"/>
      <c r="O5" s="37"/>
      <c r="P5" s="37"/>
      <c r="Q5" s="37"/>
      <c r="S5" s="29"/>
      <c r="T5" s="30"/>
      <c r="U5" s="31"/>
      <c r="V5" s="29"/>
      <c r="W5" s="31"/>
      <c r="X5" s="29"/>
      <c r="Y5" s="31"/>
      <c r="Z5" s="32"/>
      <c r="AA5" s="32"/>
    </row>
    <row r="6" spans="1:27" ht="30.75" thickBot="1">
      <c r="A6" s="39"/>
      <c r="B6" s="40"/>
      <c r="C6" s="16" t="s">
        <v>52</v>
      </c>
      <c r="D6" s="36">
        <v>8</v>
      </c>
      <c r="E6" s="22" t="str">
        <f t="shared" si="1"/>
        <v>7:0</v>
      </c>
      <c r="F6" s="22" t="s">
        <v>43</v>
      </c>
      <c r="G6" s="27" t="s">
        <v>49</v>
      </c>
      <c r="H6" s="23" t="s">
        <v>36</v>
      </c>
      <c r="I6" s="24" t="s">
        <v>35</v>
      </c>
      <c r="J6" s="25" t="s">
        <v>6</v>
      </c>
      <c r="K6" s="26"/>
      <c r="L6" s="41"/>
      <c r="M6" s="41"/>
      <c r="N6" s="41"/>
      <c r="O6" s="37"/>
      <c r="P6" s="37"/>
      <c r="Q6" s="37"/>
      <c r="S6" s="29"/>
      <c r="T6" s="30"/>
      <c r="U6" s="31"/>
      <c r="V6" s="29"/>
      <c r="W6" s="31"/>
      <c r="X6" s="29"/>
      <c r="Y6" s="31"/>
      <c r="Z6" s="32"/>
      <c r="AA6" s="32"/>
    </row>
    <row r="7" spans="1:27">
      <c r="A7" s="42" t="str">
        <f>AA7</f>
        <v>REFGEN_REG_QUAD1_SAR0_SLC0</v>
      </c>
      <c r="B7" s="43" t="str">
        <f>DEC2HEX(O7*4)</f>
        <v>0</v>
      </c>
      <c r="C7" s="44" t="str">
        <f>bitConcat(F8:F11)</f>
        <v>32'b00000000000000000000000000000000</v>
      </c>
      <c r="D7" s="44"/>
      <c r="E7" s="44"/>
      <c r="F7" s="44"/>
      <c r="G7" s="44"/>
      <c r="H7" s="44"/>
      <c r="I7" s="44"/>
      <c r="J7" s="44"/>
      <c r="K7" s="44"/>
      <c r="L7" s="45" t="str">
        <f t="shared" ref="L7" si="2">DEC2HEX(_xlfn.BITLSHIFT(N7,7)+HEX2DEC(P7))</f>
        <v>4</v>
      </c>
      <c r="M7" s="45"/>
      <c r="N7" s="45">
        <f t="shared" ref="N7" si="3">S7</f>
        <v>0</v>
      </c>
      <c r="O7" s="38">
        <v>0</v>
      </c>
      <c r="P7" s="38" t="str">
        <f t="shared" ref="P7" si="4">DEC2HEX(HEX2DEC(Z7)*4)</f>
        <v>4</v>
      </c>
      <c r="Q7" s="38" t="str">
        <f>BIN2HEX(LEFT(RIGHT(C7,32),4))&amp;BIN2HEX(LEFT(RIGHT(C7,28),4))&amp;BIN2HEX(LEFT(RIGHT(C7,24),4))&amp;BIN2HEX(LEFT(RIGHT(C7,20),4))&amp;BIN2HEX(LEFT(RIGHT(C7,16),4))&amp;BIN2HEX(LEFT(RIGHT(C7,12),4))&amp;BIN2HEX(LEFT(RIGHT(C7,8),4))&amp;BIN2HEX(LEFT(RIGHT(C7,4),4))</f>
        <v>00000000</v>
      </c>
      <c r="S7" s="29">
        <v>0</v>
      </c>
      <c r="T7" s="30">
        <v>0</v>
      </c>
      <c r="U7" s="31">
        <v>0</v>
      </c>
      <c r="V7" s="29">
        <v>0</v>
      </c>
      <c r="W7" s="31">
        <v>0</v>
      </c>
      <c r="X7" s="29">
        <v>0</v>
      </c>
      <c r="Y7" s="31">
        <v>1</v>
      </c>
      <c r="Z7" s="32" t="str">
        <f t="shared" si="0"/>
        <v>1</v>
      </c>
      <c r="AA7" s="32" t="str">
        <f>CONCATENATE("REFGEN_REG_QUAD",BIN2DEC(X7&amp;Y7),"_SAR",BIN2DEC(V7&amp;W7),"_SLC",BIN2DEC(S7&amp;T7&amp;U7),)</f>
        <v>REFGEN_REG_QUAD1_SAR0_SLC0</v>
      </c>
    </row>
    <row r="8" spans="1:27" ht="30">
      <c r="A8" s="39"/>
      <c r="B8" s="40"/>
      <c r="C8" s="16" t="s">
        <v>48</v>
      </c>
      <c r="D8" s="36">
        <v>8</v>
      </c>
      <c r="E8" s="21" t="str">
        <f>IF(D8&gt;1,(31)&amp;":"&amp;(31-D8+1),(31-D8+1)&amp;":"&amp;(31-D8+1))</f>
        <v>31:24</v>
      </c>
      <c r="F8" s="22" t="s">
        <v>43</v>
      </c>
      <c r="G8" s="27" t="s">
        <v>49</v>
      </c>
      <c r="H8" s="23" t="s">
        <v>36</v>
      </c>
      <c r="I8" s="24" t="s">
        <v>35</v>
      </c>
      <c r="J8" s="25" t="s">
        <v>6</v>
      </c>
      <c r="K8" s="26"/>
      <c r="L8" s="41"/>
      <c r="M8" s="41"/>
      <c r="N8" s="41"/>
      <c r="O8" s="37"/>
      <c r="P8" s="37"/>
      <c r="Q8" s="37"/>
      <c r="S8" s="29"/>
      <c r="T8" s="30"/>
      <c r="U8" s="31"/>
      <c r="V8" s="29"/>
      <c r="W8" s="31"/>
      <c r="X8" s="29"/>
      <c r="Y8" s="31"/>
      <c r="Z8" s="32"/>
      <c r="AA8" s="32"/>
    </row>
    <row r="9" spans="1:27" ht="30">
      <c r="A9" s="39"/>
      <c r="B9" s="40"/>
      <c r="C9" s="16" t="s">
        <v>50</v>
      </c>
      <c r="D9" s="36">
        <v>8</v>
      </c>
      <c r="E9" s="22" t="str">
        <f t="shared" ref="E9:E11" si="5">(MID(str_cnvt(E8),SEARCH(":",str_cnvt(E8))+1,2)-1) &amp; ":" &amp; (MID(str_cnvt(E8),SEARCH(":",str_cnvt(E8))+1,2)-D9)</f>
        <v>23:16</v>
      </c>
      <c r="F9" s="22" t="s">
        <v>43</v>
      </c>
      <c r="G9" s="27" t="s">
        <v>49</v>
      </c>
      <c r="H9" s="23" t="s">
        <v>36</v>
      </c>
      <c r="I9" s="24" t="s">
        <v>35</v>
      </c>
      <c r="J9" s="25" t="s">
        <v>6</v>
      </c>
      <c r="K9" s="26"/>
      <c r="L9" s="41"/>
      <c r="M9" s="41"/>
      <c r="N9" s="41"/>
      <c r="O9" s="37"/>
      <c r="P9" s="37"/>
      <c r="Q9" s="37"/>
      <c r="S9" s="29"/>
      <c r="T9" s="30"/>
      <c r="U9" s="31"/>
      <c r="V9" s="29"/>
      <c r="W9" s="31"/>
      <c r="X9" s="29"/>
      <c r="Y9" s="31"/>
      <c r="Z9" s="32"/>
      <c r="AA9" s="32"/>
    </row>
    <row r="10" spans="1:27" ht="30">
      <c r="A10" s="39"/>
      <c r="B10" s="40"/>
      <c r="C10" s="16" t="s">
        <v>51</v>
      </c>
      <c r="D10" s="36">
        <v>8</v>
      </c>
      <c r="E10" s="22" t="str">
        <f t="shared" si="5"/>
        <v>15:8</v>
      </c>
      <c r="F10" s="22" t="s">
        <v>43</v>
      </c>
      <c r="G10" s="27" t="s">
        <v>49</v>
      </c>
      <c r="H10" s="23" t="s">
        <v>36</v>
      </c>
      <c r="I10" s="24" t="s">
        <v>35</v>
      </c>
      <c r="J10" s="25" t="s">
        <v>6</v>
      </c>
      <c r="K10" s="26"/>
      <c r="L10" s="41"/>
      <c r="M10" s="41"/>
      <c r="N10" s="41"/>
      <c r="O10" s="37"/>
      <c r="P10" s="37"/>
      <c r="Q10" s="37"/>
      <c r="S10" s="29"/>
      <c r="T10" s="30"/>
      <c r="U10" s="31"/>
      <c r="V10" s="29"/>
      <c r="W10" s="31"/>
      <c r="X10" s="29"/>
      <c r="Y10" s="31"/>
      <c r="Z10" s="32"/>
      <c r="AA10" s="32"/>
    </row>
    <row r="11" spans="1:27" ht="30.75" thickBot="1">
      <c r="A11" s="39"/>
      <c r="B11" s="40"/>
      <c r="C11" s="16" t="s">
        <v>52</v>
      </c>
      <c r="D11" s="36">
        <v>8</v>
      </c>
      <c r="E11" s="22" t="str">
        <f t="shared" si="5"/>
        <v>7:0</v>
      </c>
      <c r="F11" s="22" t="s">
        <v>43</v>
      </c>
      <c r="G11" s="27" t="s">
        <v>49</v>
      </c>
      <c r="H11" s="23" t="s">
        <v>36</v>
      </c>
      <c r="I11" s="24" t="s">
        <v>35</v>
      </c>
      <c r="J11" s="25" t="s">
        <v>6</v>
      </c>
      <c r="K11" s="26"/>
      <c r="L11" s="41"/>
      <c r="M11" s="41"/>
      <c r="N11" s="41"/>
      <c r="O11" s="37"/>
      <c r="P11" s="37"/>
      <c r="Q11" s="37"/>
      <c r="S11" s="29"/>
      <c r="T11" s="30"/>
      <c r="U11" s="31"/>
      <c r="V11" s="29"/>
      <c r="W11" s="31"/>
      <c r="X11" s="29"/>
      <c r="Y11" s="31"/>
      <c r="Z11" s="32"/>
      <c r="AA11" s="32"/>
    </row>
    <row r="12" spans="1:27">
      <c r="A12" s="42" t="str">
        <f>AA12</f>
        <v>REFGEN_REG_QUAD2_SAR0_SLC0</v>
      </c>
      <c r="B12" s="43" t="str">
        <f>DEC2HEX(O12*4)</f>
        <v>0</v>
      </c>
      <c r="C12" s="44" t="str">
        <f>bitConcat(F13:F16)</f>
        <v>32'b00000000000000000000000000000000</v>
      </c>
      <c r="D12" s="44"/>
      <c r="E12" s="44"/>
      <c r="F12" s="44"/>
      <c r="G12" s="44"/>
      <c r="H12" s="44"/>
      <c r="I12" s="44"/>
      <c r="J12" s="44"/>
      <c r="K12" s="44"/>
      <c r="L12" s="45" t="str">
        <f t="shared" ref="L12" si="6">DEC2HEX(_xlfn.BITLSHIFT(N12,7)+HEX2DEC(P12))</f>
        <v>8</v>
      </c>
      <c r="M12" s="45"/>
      <c r="N12" s="45">
        <f t="shared" ref="N12" si="7">S12</f>
        <v>0</v>
      </c>
      <c r="O12" s="38">
        <v>0</v>
      </c>
      <c r="P12" s="38" t="str">
        <f t="shared" ref="P12" si="8">DEC2HEX(HEX2DEC(Z12)*4)</f>
        <v>8</v>
      </c>
      <c r="Q12" s="38" t="str">
        <f>BIN2HEX(LEFT(RIGHT(C12,32),4))&amp;BIN2HEX(LEFT(RIGHT(C12,28),4))&amp;BIN2HEX(LEFT(RIGHT(C12,24),4))&amp;BIN2HEX(LEFT(RIGHT(C12,20),4))&amp;BIN2HEX(LEFT(RIGHT(C12,16),4))&amp;BIN2HEX(LEFT(RIGHT(C12,12),4))&amp;BIN2HEX(LEFT(RIGHT(C12,8),4))&amp;BIN2HEX(LEFT(RIGHT(C12,4),4))</f>
        <v>00000000</v>
      </c>
      <c r="S12" s="29">
        <v>0</v>
      </c>
      <c r="T12" s="30">
        <v>0</v>
      </c>
      <c r="U12" s="31">
        <v>0</v>
      </c>
      <c r="V12" s="29">
        <v>0</v>
      </c>
      <c r="W12" s="31">
        <v>0</v>
      </c>
      <c r="X12" s="29">
        <v>1</v>
      </c>
      <c r="Y12" s="31">
        <v>0</v>
      </c>
      <c r="Z12" s="32" t="str">
        <f t="shared" si="0"/>
        <v>2</v>
      </c>
      <c r="AA12" s="32" t="str">
        <f>CONCATENATE("REFGEN_REG_QUAD",BIN2DEC(X12&amp;Y12),"_SAR",BIN2DEC(V12&amp;W12),"_SLC",BIN2DEC(S12&amp;T12&amp;U12),)</f>
        <v>REFGEN_REG_QUAD2_SAR0_SLC0</v>
      </c>
    </row>
    <row r="13" spans="1:27" ht="30">
      <c r="A13" s="39"/>
      <c r="B13" s="40"/>
      <c r="C13" s="16" t="s">
        <v>48</v>
      </c>
      <c r="D13" s="36">
        <v>8</v>
      </c>
      <c r="E13" s="21" t="str">
        <f>IF(D13&gt;1,(31)&amp;":"&amp;(31-D13+1),(31-D13+1)&amp;":"&amp;(31-D13+1))</f>
        <v>31:24</v>
      </c>
      <c r="F13" s="22" t="s">
        <v>43</v>
      </c>
      <c r="G13" s="27" t="s">
        <v>49</v>
      </c>
      <c r="H13" s="23" t="s">
        <v>36</v>
      </c>
      <c r="I13" s="24" t="s">
        <v>35</v>
      </c>
      <c r="J13" s="25" t="s">
        <v>6</v>
      </c>
      <c r="K13" s="26"/>
      <c r="L13" s="41"/>
      <c r="M13" s="41"/>
      <c r="N13" s="41"/>
      <c r="O13" s="37"/>
      <c r="P13" s="37"/>
      <c r="Q13" s="37"/>
      <c r="S13" s="29"/>
      <c r="T13" s="30"/>
      <c r="U13" s="31"/>
      <c r="V13" s="29"/>
      <c r="W13" s="31"/>
      <c r="X13" s="29"/>
      <c r="Y13" s="31"/>
      <c r="Z13" s="32"/>
      <c r="AA13" s="32"/>
    </row>
    <row r="14" spans="1:27" ht="30">
      <c r="A14" s="39"/>
      <c r="B14" s="40"/>
      <c r="C14" s="16" t="s">
        <v>50</v>
      </c>
      <c r="D14" s="36">
        <v>8</v>
      </c>
      <c r="E14" s="22" t="str">
        <f t="shared" ref="E14:E16" si="9">(MID(str_cnvt(E13),SEARCH(":",str_cnvt(E13))+1,2)-1) &amp; ":" &amp; (MID(str_cnvt(E13),SEARCH(":",str_cnvt(E13))+1,2)-D14)</f>
        <v>23:16</v>
      </c>
      <c r="F14" s="22" t="s">
        <v>43</v>
      </c>
      <c r="G14" s="27" t="s">
        <v>49</v>
      </c>
      <c r="H14" s="23" t="s">
        <v>36</v>
      </c>
      <c r="I14" s="24" t="s">
        <v>35</v>
      </c>
      <c r="J14" s="25" t="s">
        <v>6</v>
      </c>
      <c r="K14" s="26"/>
      <c r="L14" s="41"/>
      <c r="M14" s="41"/>
      <c r="N14" s="41"/>
      <c r="O14" s="37"/>
      <c r="P14" s="37"/>
      <c r="Q14" s="37"/>
      <c r="S14" s="29"/>
      <c r="T14" s="30"/>
      <c r="U14" s="31"/>
      <c r="V14" s="29"/>
      <c r="W14" s="31"/>
      <c r="X14" s="29"/>
      <c r="Y14" s="31"/>
      <c r="Z14" s="32"/>
      <c r="AA14" s="32"/>
    </row>
    <row r="15" spans="1:27" ht="30">
      <c r="A15" s="39"/>
      <c r="B15" s="40"/>
      <c r="C15" s="16" t="s">
        <v>51</v>
      </c>
      <c r="D15" s="36">
        <v>8</v>
      </c>
      <c r="E15" s="22" t="str">
        <f t="shared" si="9"/>
        <v>15:8</v>
      </c>
      <c r="F15" s="22" t="s">
        <v>43</v>
      </c>
      <c r="G15" s="27" t="s">
        <v>49</v>
      </c>
      <c r="H15" s="23" t="s">
        <v>36</v>
      </c>
      <c r="I15" s="24" t="s">
        <v>35</v>
      </c>
      <c r="J15" s="25" t="s">
        <v>6</v>
      </c>
      <c r="K15" s="26"/>
      <c r="L15" s="41"/>
      <c r="M15" s="41"/>
      <c r="N15" s="41"/>
      <c r="O15" s="37"/>
      <c r="P15" s="37"/>
      <c r="Q15" s="37"/>
      <c r="S15" s="29"/>
      <c r="T15" s="30"/>
      <c r="U15" s="31"/>
      <c r="V15" s="29"/>
      <c r="W15" s="31"/>
      <c r="X15" s="29"/>
      <c r="Y15" s="31"/>
      <c r="Z15" s="32"/>
      <c r="AA15" s="32"/>
    </row>
    <row r="16" spans="1:27" ht="30.75" thickBot="1">
      <c r="A16" s="39"/>
      <c r="B16" s="40"/>
      <c r="C16" s="16" t="s">
        <v>52</v>
      </c>
      <c r="D16" s="36">
        <v>8</v>
      </c>
      <c r="E16" s="22" t="str">
        <f t="shared" si="9"/>
        <v>7:0</v>
      </c>
      <c r="F16" s="22" t="s">
        <v>43</v>
      </c>
      <c r="G16" s="27" t="s">
        <v>49</v>
      </c>
      <c r="H16" s="23" t="s">
        <v>36</v>
      </c>
      <c r="I16" s="24" t="s">
        <v>35</v>
      </c>
      <c r="J16" s="25" t="s">
        <v>6</v>
      </c>
      <c r="K16" s="26"/>
      <c r="L16" s="41"/>
      <c r="M16" s="41"/>
      <c r="N16" s="41"/>
      <c r="O16" s="37"/>
      <c r="P16" s="37"/>
      <c r="Q16" s="37"/>
      <c r="S16" s="29"/>
      <c r="T16" s="30"/>
      <c r="U16" s="31"/>
      <c r="V16" s="29"/>
      <c r="W16" s="31"/>
      <c r="X16" s="29"/>
      <c r="Y16" s="31"/>
      <c r="Z16" s="32"/>
      <c r="AA16" s="32"/>
    </row>
    <row r="17" spans="1:27">
      <c r="A17" s="42" t="str">
        <f>AA17</f>
        <v>REFGEN_REG_QUAD3_SAR0_SLC0</v>
      </c>
      <c r="B17" s="43" t="str">
        <f>DEC2HEX(O17*4)</f>
        <v>0</v>
      </c>
      <c r="C17" s="44" t="str">
        <f>bitConcat(F18:F21)</f>
        <v>32'b00000000000000000000000000000000</v>
      </c>
      <c r="D17" s="44"/>
      <c r="E17" s="44"/>
      <c r="F17" s="44"/>
      <c r="G17" s="44"/>
      <c r="H17" s="44"/>
      <c r="I17" s="44"/>
      <c r="J17" s="44"/>
      <c r="K17" s="44"/>
      <c r="L17" s="45" t="str">
        <f t="shared" ref="L17:L77" si="10">DEC2HEX(_xlfn.BITLSHIFT(N17,7)+HEX2DEC(P17))</f>
        <v>C</v>
      </c>
      <c r="M17" s="45"/>
      <c r="N17" s="45">
        <f t="shared" ref="N17" si="11">S17</f>
        <v>0</v>
      </c>
      <c r="O17" s="38">
        <v>0</v>
      </c>
      <c r="P17" s="38" t="str">
        <f t="shared" ref="P17" si="12">DEC2HEX(HEX2DEC(Z17)*4)</f>
        <v>C</v>
      </c>
      <c r="Q17" s="38" t="str">
        <f>BIN2HEX(LEFT(RIGHT(C17,32),4))&amp;BIN2HEX(LEFT(RIGHT(C17,28),4))&amp;BIN2HEX(LEFT(RIGHT(C17,24),4))&amp;BIN2HEX(LEFT(RIGHT(C17,20),4))&amp;BIN2HEX(LEFT(RIGHT(C17,16),4))&amp;BIN2HEX(LEFT(RIGHT(C17,12),4))&amp;BIN2HEX(LEFT(RIGHT(C17,8),4))&amp;BIN2HEX(LEFT(RIGHT(C17,4),4))</f>
        <v>00000000</v>
      </c>
      <c r="S17" s="29">
        <v>0</v>
      </c>
      <c r="T17" s="30">
        <v>0</v>
      </c>
      <c r="U17" s="31">
        <v>0</v>
      </c>
      <c r="V17" s="29">
        <v>0</v>
      </c>
      <c r="W17" s="31">
        <v>0</v>
      </c>
      <c r="X17" s="29">
        <v>1</v>
      </c>
      <c r="Y17" s="31">
        <v>1</v>
      </c>
      <c r="Z17" s="32" t="str">
        <f t="shared" si="0"/>
        <v>3</v>
      </c>
      <c r="AA17" s="32" t="str">
        <f>CONCATENATE("REFGEN_REG_QUAD",BIN2DEC(X17&amp;Y17),"_SAR",BIN2DEC(V17&amp;W17),"_SLC",BIN2DEC(S17&amp;T17&amp;U17),)</f>
        <v>REFGEN_REG_QUAD3_SAR0_SLC0</v>
      </c>
    </row>
    <row r="18" spans="1:27" ht="30">
      <c r="A18" s="39"/>
      <c r="B18" s="40"/>
      <c r="C18" s="16" t="s">
        <v>48</v>
      </c>
      <c r="D18" s="36">
        <v>8</v>
      </c>
      <c r="E18" s="21" t="str">
        <f>IF(D18&gt;1,(31)&amp;":"&amp;(31-D18+1),(31-D18+1)&amp;":"&amp;(31-D18+1))</f>
        <v>31:24</v>
      </c>
      <c r="F18" s="22" t="s">
        <v>43</v>
      </c>
      <c r="G18" s="27" t="s">
        <v>49</v>
      </c>
      <c r="H18" s="23" t="s">
        <v>36</v>
      </c>
      <c r="I18" s="24" t="s">
        <v>35</v>
      </c>
      <c r="J18" s="25" t="s">
        <v>6</v>
      </c>
      <c r="K18" s="26"/>
      <c r="L18" s="41"/>
      <c r="M18" s="41"/>
      <c r="N18" s="41"/>
      <c r="O18" s="37"/>
      <c r="P18" s="37"/>
      <c r="Q18" s="37"/>
      <c r="S18" s="29"/>
      <c r="T18" s="30"/>
      <c r="U18" s="31"/>
      <c r="V18" s="29"/>
      <c r="W18" s="31"/>
      <c r="X18" s="29"/>
      <c r="Y18" s="31"/>
      <c r="Z18" s="32"/>
      <c r="AA18" s="32"/>
    </row>
    <row r="19" spans="1:27" ht="30">
      <c r="A19" s="39"/>
      <c r="B19" s="40"/>
      <c r="C19" s="16" t="s">
        <v>50</v>
      </c>
      <c r="D19" s="36">
        <v>8</v>
      </c>
      <c r="E19" s="22" t="str">
        <f t="shared" ref="E19:E21" si="13">(MID(str_cnvt(E18),SEARCH(":",str_cnvt(E18))+1,2)-1) &amp; ":" &amp; (MID(str_cnvt(E18),SEARCH(":",str_cnvt(E18))+1,2)-D19)</f>
        <v>23:16</v>
      </c>
      <c r="F19" s="22" t="s">
        <v>43</v>
      </c>
      <c r="G19" s="27" t="s">
        <v>49</v>
      </c>
      <c r="H19" s="23" t="s">
        <v>36</v>
      </c>
      <c r="I19" s="24" t="s">
        <v>35</v>
      </c>
      <c r="J19" s="25" t="s">
        <v>6</v>
      </c>
      <c r="K19" s="26"/>
      <c r="L19" s="41"/>
      <c r="M19" s="41"/>
      <c r="N19" s="41"/>
      <c r="O19" s="37"/>
      <c r="P19" s="37"/>
      <c r="Q19" s="37"/>
      <c r="S19" s="29"/>
      <c r="T19" s="30"/>
      <c r="U19" s="31"/>
      <c r="V19" s="29"/>
      <c r="W19" s="31"/>
      <c r="X19" s="29"/>
      <c r="Y19" s="31"/>
      <c r="Z19" s="32"/>
      <c r="AA19" s="32"/>
    </row>
    <row r="20" spans="1:27" ht="30">
      <c r="A20" s="39"/>
      <c r="B20" s="40"/>
      <c r="C20" s="16" t="s">
        <v>51</v>
      </c>
      <c r="D20" s="36">
        <v>8</v>
      </c>
      <c r="E20" s="22" t="str">
        <f t="shared" si="13"/>
        <v>15:8</v>
      </c>
      <c r="F20" s="22" t="s">
        <v>43</v>
      </c>
      <c r="G20" s="27" t="s">
        <v>49</v>
      </c>
      <c r="H20" s="23" t="s">
        <v>36</v>
      </c>
      <c r="I20" s="24" t="s">
        <v>35</v>
      </c>
      <c r="J20" s="25" t="s">
        <v>6</v>
      </c>
      <c r="K20" s="26"/>
      <c r="L20" s="41"/>
      <c r="M20" s="41"/>
      <c r="N20" s="41"/>
      <c r="O20" s="37"/>
      <c r="P20" s="37"/>
      <c r="Q20" s="37"/>
      <c r="S20" s="29"/>
      <c r="T20" s="30"/>
      <c r="U20" s="31"/>
      <c r="V20" s="29"/>
      <c r="W20" s="31"/>
      <c r="X20" s="29"/>
      <c r="Y20" s="31"/>
      <c r="Z20" s="32"/>
      <c r="AA20" s="32"/>
    </row>
    <row r="21" spans="1:27" ht="30.75" thickBot="1">
      <c r="A21" s="39"/>
      <c r="B21" s="40"/>
      <c r="C21" s="16" t="s">
        <v>52</v>
      </c>
      <c r="D21" s="36">
        <v>8</v>
      </c>
      <c r="E21" s="22" t="str">
        <f t="shared" si="13"/>
        <v>7:0</v>
      </c>
      <c r="F21" s="22" t="s">
        <v>43</v>
      </c>
      <c r="G21" s="27" t="s">
        <v>49</v>
      </c>
      <c r="H21" s="23" t="s">
        <v>36</v>
      </c>
      <c r="I21" s="24" t="s">
        <v>35</v>
      </c>
      <c r="J21" s="25" t="s">
        <v>6</v>
      </c>
      <c r="K21" s="26"/>
      <c r="L21" s="41"/>
      <c r="M21" s="41"/>
      <c r="N21" s="41"/>
      <c r="O21" s="37"/>
      <c r="P21" s="37"/>
      <c r="Q21" s="37"/>
      <c r="S21" s="29"/>
      <c r="T21" s="30"/>
      <c r="U21" s="31"/>
      <c r="V21" s="29"/>
      <c r="W21" s="31"/>
      <c r="X21" s="29"/>
      <c r="Y21" s="31"/>
      <c r="Z21" s="32"/>
      <c r="AA21" s="32"/>
    </row>
    <row r="22" spans="1:27">
      <c r="A22" s="42" t="str">
        <f>AA22</f>
        <v>REFGEN_REG_QUAD0_SAR0_SLC1</v>
      </c>
      <c r="B22" s="43" t="str">
        <f>DEC2HEX(O22*4)</f>
        <v>0</v>
      </c>
      <c r="C22" s="44" t="str">
        <f>bitConcat(F23:F26)</f>
        <v>32'b00000000000000000000000000000000</v>
      </c>
      <c r="D22" s="44"/>
      <c r="E22" s="44"/>
      <c r="F22" s="44"/>
      <c r="G22" s="44"/>
      <c r="H22" s="44"/>
      <c r="I22" s="44"/>
      <c r="J22" s="44"/>
      <c r="K22" s="44"/>
      <c r="L22" s="45" t="str">
        <f t="shared" si="10"/>
        <v>40</v>
      </c>
      <c r="M22" s="45"/>
      <c r="N22" s="45">
        <f t="shared" ref="N22" si="14">S22</f>
        <v>0</v>
      </c>
      <c r="O22" s="38">
        <v>0</v>
      </c>
      <c r="P22" s="38" t="str">
        <f t="shared" ref="P22" si="15">DEC2HEX(HEX2DEC(Z22)*4)</f>
        <v>40</v>
      </c>
      <c r="Q22" s="38" t="str">
        <f>BIN2HEX(LEFT(RIGHT(C22,32),4))&amp;BIN2HEX(LEFT(RIGHT(C22,28),4))&amp;BIN2HEX(LEFT(RIGHT(C22,24),4))&amp;BIN2HEX(LEFT(RIGHT(C22,20),4))&amp;BIN2HEX(LEFT(RIGHT(C22,16),4))&amp;BIN2HEX(LEFT(RIGHT(C22,12),4))&amp;BIN2HEX(LEFT(RIGHT(C22,8),4))&amp;BIN2HEX(LEFT(RIGHT(C22,4),4))</f>
        <v>00000000</v>
      </c>
      <c r="S22" s="29">
        <v>0</v>
      </c>
      <c r="T22" s="30">
        <v>0</v>
      </c>
      <c r="U22" s="31">
        <v>1</v>
      </c>
      <c r="V22" s="29">
        <v>0</v>
      </c>
      <c r="W22" s="31">
        <v>0</v>
      </c>
      <c r="X22" s="29">
        <v>0</v>
      </c>
      <c r="Y22" s="31">
        <v>0</v>
      </c>
      <c r="Z22" s="32" t="str">
        <f t="shared" si="0"/>
        <v>10</v>
      </c>
      <c r="AA22" s="32" t="str">
        <f>CONCATENATE("REFGEN_REG_QUAD",BIN2DEC(X22&amp;Y22),"_SAR",BIN2DEC(V22&amp;W22),"_SLC",BIN2DEC(S22&amp;T22&amp;U22),)</f>
        <v>REFGEN_REG_QUAD0_SAR0_SLC1</v>
      </c>
    </row>
    <row r="23" spans="1:27" ht="30">
      <c r="A23" s="39"/>
      <c r="B23" s="40"/>
      <c r="C23" s="16" t="s">
        <v>48</v>
      </c>
      <c r="D23" s="36">
        <v>8</v>
      </c>
      <c r="E23" s="21" t="str">
        <f>IF(D23&gt;1,(31)&amp;":"&amp;(31-D23+1),(31-D23+1)&amp;":"&amp;(31-D23+1))</f>
        <v>31:24</v>
      </c>
      <c r="F23" s="22" t="s">
        <v>43</v>
      </c>
      <c r="G23" s="27" t="s">
        <v>49</v>
      </c>
      <c r="H23" s="23" t="s">
        <v>36</v>
      </c>
      <c r="I23" s="24" t="s">
        <v>35</v>
      </c>
      <c r="J23" s="25" t="s">
        <v>6</v>
      </c>
      <c r="K23" s="26"/>
      <c r="L23" s="41"/>
      <c r="M23" s="41"/>
      <c r="N23" s="41"/>
      <c r="O23" s="37"/>
      <c r="P23" s="37"/>
      <c r="Q23" s="37"/>
      <c r="S23" s="29"/>
      <c r="T23" s="30"/>
      <c r="U23" s="31"/>
      <c r="V23" s="29"/>
      <c r="W23" s="31"/>
      <c r="X23" s="29"/>
      <c r="Y23" s="31"/>
      <c r="Z23" s="32"/>
      <c r="AA23" s="32"/>
    </row>
    <row r="24" spans="1:27" ht="30">
      <c r="A24" s="39"/>
      <c r="B24" s="40"/>
      <c r="C24" s="16" t="s">
        <v>50</v>
      </c>
      <c r="D24" s="36">
        <v>8</v>
      </c>
      <c r="E24" s="22" t="str">
        <f t="shared" ref="E24:E26" si="16">(MID(str_cnvt(E23),SEARCH(":",str_cnvt(E23))+1,2)-1) &amp; ":" &amp; (MID(str_cnvt(E23),SEARCH(":",str_cnvt(E23))+1,2)-D24)</f>
        <v>23:16</v>
      </c>
      <c r="F24" s="22" t="s">
        <v>43</v>
      </c>
      <c r="G24" s="27" t="s">
        <v>49</v>
      </c>
      <c r="H24" s="23" t="s">
        <v>36</v>
      </c>
      <c r="I24" s="24" t="s">
        <v>35</v>
      </c>
      <c r="J24" s="25" t="s">
        <v>6</v>
      </c>
      <c r="K24" s="26"/>
      <c r="L24" s="41"/>
      <c r="M24" s="41"/>
      <c r="N24" s="41"/>
      <c r="O24" s="37"/>
      <c r="P24" s="37"/>
      <c r="Q24" s="37"/>
      <c r="S24" s="29"/>
      <c r="T24" s="30"/>
      <c r="U24" s="31"/>
      <c r="V24" s="29"/>
      <c r="W24" s="31"/>
      <c r="X24" s="29"/>
      <c r="Y24" s="31"/>
      <c r="Z24" s="32"/>
      <c r="AA24" s="32"/>
    </row>
    <row r="25" spans="1:27" ht="30">
      <c r="A25" s="39"/>
      <c r="B25" s="40"/>
      <c r="C25" s="16" t="s">
        <v>51</v>
      </c>
      <c r="D25" s="36">
        <v>8</v>
      </c>
      <c r="E25" s="22" t="str">
        <f t="shared" si="16"/>
        <v>15:8</v>
      </c>
      <c r="F25" s="22" t="s">
        <v>43</v>
      </c>
      <c r="G25" s="27" t="s">
        <v>49</v>
      </c>
      <c r="H25" s="23" t="s">
        <v>36</v>
      </c>
      <c r="I25" s="24" t="s">
        <v>35</v>
      </c>
      <c r="J25" s="25" t="s">
        <v>6</v>
      </c>
      <c r="K25" s="26"/>
      <c r="L25" s="41"/>
      <c r="M25" s="41"/>
      <c r="N25" s="41"/>
      <c r="O25" s="37"/>
      <c r="P25" s="37"/>
      <c r="Q25" s="37"/>
      <c r="S25" s="29"/>
      <c r="T25" s="30"/>
      <c r="U25" s="31"/>
      <c r="V25" s="29"/>
      <c r="W25" s="31"/>
      <c r="X25" s="29"/>
      <c r="Y25" s="31"/>
      <c r="Z25" s="32"/>
      <c r="AA25" s="32"/>
    </row>
    <row r="26" spans="1:27" ht="30.75" thickBot="1">
      <c r="A26" s="39"/>
      <c r="B26" s="40"/>
      <c r="C26" s="16" t="s">
        <v>52</v>
      </c>
      <c r="D26" s="36">
        <v>8</v>
      </c>
      <c r="E26" s="22" t="str">
        <f t="shared" si="16"/>
        <v>7:0</v>
      </c>
      <c r="F26" s="22" t="s">
        <v>43</v>
      </c>
      <c r="G26" s="27" t="s">
        <v>49</v>
      </c>
      <c r="H26" s="23" t="s">
        <v>36</v>
      </c>
      <c r="I26" s="24" t="s">
        <v>35</v>
      </c>
      <c r="J26" s="25" t="s">
        <v>6</v>
      </c>
      <c r="K26" s="26"/>
      <c r="L26" s="41"/>
      <c r="M26" s="41"/>
      <c r="N26" s="41"/>
      <c r="O26" s="37"/>
      <c r="P26" s="37"/>
      <c r="Q26" s="37"/>
      <c r="S26" s="29"/>
      <c r="T26" s="30"/>
      <c r="U26" s="31"/>
      <c r="V26" s="29"/>
      <c r="W26" s="31"/>
      <c r="X26" s="29"/>
      <c r="Y26" s="31"/>
      <c r="Z26" s="32"/>
      <c r="AA26" s="32"/>
    </row>
    <row r="27" spans="1:27">
      <c r="A27" s="42" t="str">
        <f>AA27</f>
        <v>REFGEN_REG_QUAD1_SAR0_SLC1</v>
      </c>
      <c r="B27" s="43" t="str">
        <f>DEC2HEX(O27*4)</f>
        <v>0</v>
      </c>
      <c r="C27" s="44" t="str">
        <f>bitConcat(F28:F31)</f>
        <v>32'b00000000000000000000000000000000</v>
      </c>
      <c r="D27" s="44"/>
      <c r="E27" s="44"/>
      <c r="F27" s="44"/>
      <c r="G27" s="44"/>
      <c r="H27" s="44"/>
      <c r="I27" s="44"/>
      <c r="J27" s="44"/>
      <c r="K27" s="44"/>
      <c r="L27" s="45" t="str">
        <f t="shared" si="10"/>
        <v>44</v>
      </c>
      <c r="M27" s="45"/>
      <c r="N27" s="45">
        <f t="shared" ref="N27" si="17">S27</f>
        <v>0</v>
      </c>
      <c r="O27" s="38">
        <v>0</v>
      </c>
      <c r="P27" s="38" t="str">
        <f t="shared" ref="P27" si="18">DEC2HEX(HEX2DEC(Z27)*4)</f>
        <v>44</v>
      </c>
      <c r="Q27" s="38" t="str">
        <f>BIN2HEX(LEFT(RIGHT(C27,32),4))&amp;BIN2HEX(LEFT(RIGHT(C27,28),4))&amp;BIN2HEX(LEFT(RIGHT(C27,24),4))&amp;BIN2HEX(LEFT(RIGHT(C27,20),4))&amp;BIN2HEX(LEFT(RIGHT(C27,16),4))&amp;BIN2HEX(LEFT(RIGHT(C27,12),4))&amp;BIN2HEX(LEFT(RIGHT(C27,8),4))&amp;BIN2HEX(LEFT(RIGHT(C27,4),4))</f>
        <v>00000000</v>
      </c>
      <c r="S27" s="29">
        <v>0</v>
      </c>
      <c r="T27" s="30">
        <v>0</v>
      </c>
      <c r="U27" s="31">
        <v>1</v>
      </c>
      <c r="V27" s="29">
        <v>0</v>
      </c>
      <c r="W27" s="31">
        <v>0</v>
      </c>
      <c r="X27" s="29">
        <v>0</v>
      </c>
      <c r="Y27" s="31">
        <v>1</v>
      </c>
      <c r="Z27" s="32" t="str">
        <f t="shared" si="0"/>
        <v>11</v>
      </c>
      <c r="AA27" s="32" t="str">
        <f>CONCATENATE("REFGEN_REG_QUAD",BIN2DEC(X27&amp;Y27),"_SAR",BIN2DEC(V27&amp;W27),"_SLC",BIN2DEC(S27&amp;T27&amp;U27),)</f>
        <v>REFGEN_REG_QUAD1_SAR0_SLC1</v>
      </c>
    </row>
    <row r="28" spans="1:27" ht="30">
      <c r="A28" s="39"/>
      <c r="B28" s="40"/>
      <c r="C28" s="16" t="s">
        <v>48</v>
      </c>
      <c r="D28" s="36">
        <v>8</v>
      </c>
      <c r="E28" s="21" t="str">
        <f>IF(D28&gt;1,(31)&amp;":"&amp;(31-D28+1),(31-D28+1)&amp;":"&amp;(31-D28+1))</f>
        <v>31:24</v>
      </c>
      <c r="F28" s="22" t="s">
        <v>43</v>
      </c>
      <c r="G28" s="27" t="s">
        <v>49</v>
      </c>
      <c r="H28" s="23" t="s">
        <v>36</v>
      </c>
      <c r="I28" s="24" t="s">
        <v>35</v>
      </c>
      <c r="J28" s="25" t="s">
        <v>6</v>
      </c>
      <c r="K28" s="26"/>
      <c r="L28" s="41"/>
      <c r="M28" s="41"/>
      <c r="N28" s="41"/>
      <c r="O28" s="37"/>
      <c r="P28" s="37"/>
      <c r="Q28" s="37"/>
      <c r="S28" s="29"/>
      <c r="T28" s="30"/>
      <c r="U28" s="31"/>
      <c r="V28" s="29"/>
      <c r="W28" s="31"/>
      <c r="X28" s="29"/>
      <c r="Y28" s="31"/>
      <c r="Z28" s="32"/>
      <c r="AA28" s="32"/>
    </row>
    <row r="29" spans="1:27" ht="30">
      <c r="A29" s="39"/>
      <c r="B29" s="40"/>
      <c r="C29" s="16" t="s">
        <v>50</v>
      </c>
      <c r="D29" s="36">
        <v>8</v>
      </c>
      <c r="E29" s="22" t="str">
        <f t="shared" ref="E29:E31" si="19">(MID(str_cnvt(E28),SEARCH(":",str_cnvt(E28))+1,2)-1) &amp; ":" &amp; (MID(str_cnvt(E28),SEARCH(":",str_cnvt(E28))+1,2)-D29)</f>
        <v>23:16</v>
      </c>
      <c r="F29" s="22" t="s">
        <v>43</v>
      </c>
      <c r="G29" s="27" t="s">
        <v>49</v>
      </c>
      <c r="H29" s="23" t="s">
        <v>36</v>
      </c>
      <c r="I29" s="24" t="s">
        <v>35</v>
      </c>
      <c r="J29" s="25" t="s">
        <v>6</v>
      </c>
      <c r="K29" s="26"/>
      <c r="L29" s="41"/>
      <c r="M29" s="41"/>
      <c r="N29" s="41"/>
      <c r="O29" s="37"/>
      <c r="P29" s="37"/>
      <c r="Q29" s="37"/>
      <c r="S29" s="29"/>
      <c r="T29" s="30"/>
      <c r="U29" s="31"/>
      <c r="V29" s="29"/>
      <c r="W29" s="31"/>
      <c r="X29" s="29"/>
      <c r="Y29" s="31"/>
      <c r="Z29" s="32"/>
      <c r="AA29" s="32"/>
    </row>
    <row r="30" spans="1:27" ht="30">
      <c r="A30" s="39"/>
      <c r="B30" s="40"/>
      <c r="C30" s="16" t="s">
        <v>51</v>
      </c>
      <c r="D30" s="36">
        <v>8</v>
      </c>
      <c r="E30" s="22" t="str">
        <f t="shared" si="19"/>
        <v>15:8</v>
      </c>
      <c r="F30" s="22" t="s">
        <v>43</v>
      </c>
      <c r="G30" s="27" t="s">
        <v>49</v>
      </c>
      <c r="H30" s="23" t="s">
        <v>36</v>
      </c>
      <c r="I30" s="24" t="s">
        <v>35</v>
      </c>
      <c r="J30" s="25" t="s">
        <v>6</v>
      </c>
      <c r="K30" s="26"/>
      <c r="L30" s="41"/>
      <c r="M30" s="41"/>
      <c r="N30" s="41"/>
      <c r="O30" s="37"/>
      <c r="P30" s="37"/>
      <c r="Q30" s="37"/>
      <c r="S30" s="29"/>
      <c r="T30" s="30"/>
      <c r="U30" s="31"/>
      <c r="V30" s="29"/>
      <c r="W30" s="31"/>
      <c r="X30" s="29"/>
      <c r="Y30" s="31"/>
      <c r="Z30" s="32"/>
      <c r="AA30" s="32"/>
    </row>
    <row r="31" spans="1:27" ht="15.75" thickBot="1">
      <c r="A31" s="39"/>
      <c r="B31" s="40"/>
      <c r="C31" s="16" t="s">
        <v>52</v>
      </c>
      <c r="D31" s="36">
        <v>8</v>
      </c>
      <c r="E31" s="22" t="str">
        <f t="shared" si="19"/>
        <v>7:0</v>
      </c>
      <c r="F31" s="22" t="s">
        <v>43</v>
      </c>
      <c r="G31" s="27" t="s">
        <v>49</v>
      </c>
      <c r="H31" s="23" t="s">
        <v>36</v>
      </c>
      <c r="I31" s="24" t="s">
        <v>35</v>
      </c>
      <c r="J31" s="25" t="s">
        <v>6</v>
      </c>
      <c r="K31" s="26"/>
      <c r="L31" s="41"/>
      <c r="M31" s="41"/>
      <c r="N31" s="41"/>
      <c r="O31" s="37"/>
      <c r="P31" s="37"/>
      <c r="Q31" s="37"/>
      <c r="S31" s="29"/>
      <c r="T31" s="30"/>
      <c r="U31" s="31"/>
      <c r="V31" s="29"/>
      <c r="W31" s="31"/>
      <c r="X31" s="29"/>
      <c r="Y31" s="31"/>
      <c r="Z31" s="32"/>
      <c r="AA31" s="32"/>
    </row>
    <row r="32" spans="1:27">
      <c r="A32" s="42" t="str">
        <f>AA32</f>
        <v>REFGEN_REG_QUAD2_SAR0_SLC1</v>
      </c>
      <c r="B32" s="43" t="str">
        <f>DEC2HEX(O32*4)</f>
        <v>0</v>
      </c>
      <c r="C32" s="44" t="str">
        <f>bitConcat(F33:F36)</f>
        <v>32'b00000000000000000000000000000000</v>
      </c>
      <c r="D32" s="44"/>
      <c r="E32" s="44"/>
      <c r="F32" s="44"/>
      <c r="G32" s="44"/>
      <c r="H32" s="44"/>
      <c r="I32" s="44"/>
      <c r="J32" s="44"/>
      <c r="K32" s="44"/>
      <c r="L32" s="45" t="str">
        <f t="shared" si="10"/>
        <v>48</v>
      </c>
      <c r="M32" s="45"/>
      <c r="N32" s="45">
        <f t="shared" ref="N32" si="20">S32</f>
        <v>0</v>
      </c>
      <c r="O32" s="38">
        <v>0</v>
      </c>
      <c r="P32" s="38" t="str">
        <f t="shared" ref="P32" si="21">DEC2HEX(HEX2DEC(Z32)*4)</f>
        <v>48</v>
      </c>
      <c r="Q32" s="38" t="str">
        <f>BIN2HEX(LEFT(RIGHT(C32,32),4))&amp;BIN2HEX(LEFT(RIGHT(C32,28),4))&amp;BIN2HEX(LEFT(RIGHT(C32,24),4))&amp;BIN2HEX(LEFT(RIGHT(C32,20),4))&amp;BIN2HEX(LEFT(RIGHT(C32,16),4))&amp;BIN2HEX(LEFT(RIGHT(C32,12),4))&amp;BIN2HEX(LEFT(RIGHT(C32,8),4))&amp;BIN2HEX(LEFT(RIGHT(C32,4),4))</f>
        <v>00000000</v>
      </c>
      <c r="S32" s="29">
        <v>0</v>
      </c>
      <c r="T32" s="30">
        <v>0</v>
      </c>
      <c r="U32" s="31">
        <v>1</v>
      </c>
      <c r="V32" s="29">
        <v>0</v>
      </c>
      <c r="W32" s="31">
        <v>0</v>
      </c>
      <c r="X32" s="29">
        <v>1</v>
      </c>
      <c r="Y32" s="31">
        <v>0</v>
      </c>
      <c r="Z32" s="32" t="str">
        <f t="shared" si="0"/>
        <v>12</v>
      </c>
      <c r="AA32" s="32" t="str">
        <f>CONCATENATE("REFGEN_REG_QUAD",BIN2DEC(X32&amp;Y32),"_SAR",BIN2DEC(V32&amp;W32),"_SLC",BIN2DEC(S32&amp;T32&amp;U32),)</f>
        <v>REFGEN_REG_QUAD2_SAR0_SLC1</v>
      </c>
    </row>
    <row r="33" spans="1:27">
      <c r="A33" s="39"/>
      <c r="B33" s="40"/>
      <c r="C33" s="16" t="s">
        <v>48</v>
      </c>
      <c r="D33" s="36">
        <v>8</v>
      </c>
      <c r="E33" s="21" t="str">
        <f>IF(D33&gt;1,(31)&amp;":"&amp;(31-D33+1),(31-D33+1)&amp;":"&amp;(31-D33+1))</f>
        <v>31:24</v>
      </c>
      <c r="F33" s="22" t="s">
        <v>43</v>
      </c>
      <c r="G33" s="27" t="s">
        <v>49</v>
      </c>
      <c r="H33" s="23" t="s">
        <v>36</v>
      </c>
      <c r="I33" s="24" t="s">
        <v>35</v>
      </c>
      <c r="J33" s="25" t="s">
        <v>6</v>
      </c>
      <c r="K33" s="26"/>
      <c r="L33" s="41"/>
      <c r="M33" s="41"/>
      <c r="N33" s="41"/>
      <c r="O33" s="37"/>
      <c r="P33" s="37"/>
      <c r="Q33" s="37"/>
      <c r="S33" s="29"/>
      <c r="T33" s="30"/>
      <c r="U33" s="31"/>
      <c r="V33" s="29"/>
      <c r="W33" s="31"/>
      <c r="X33" s="29"/>
      <c r="Y33" s="31"/>
      <c r="Z33" s="32"/>
      <c r="AA33" s="32"/>
    </row>
    <row r="34" spans="1:27">
      <c r="A34" s="39"/>
      <c r="B34" s="40"/>
      <c r="C34" s="16" t="s">
        <v>50</v>
      </c>
      <c r="D34" s="36">
        <v>8</v>
      </c>
      <c r="E34" s="22" t="str">
        <f t="shared" ref="E34:E36" si="22">(MID(str_cnvt(E33),SEARCH(":",str_cnvt(E33))+1,2)-1) &amp; ":" &amp; (MID(str_cnvt(E33),SEARCH(":",str_cnvt(E33))+1,2)-D34)</f>
        <v>23:16</v>
      </c>
      <c r="F34" s="22" t="s">
        <v>43</v>
      </c>
      <c r="G34" s="27" t="s">
        <v>49</v>
      </c>
      <c r="H34" s="23" t="s">
        <v>36</v>
      </c>
      <c r="I34" s="24" t="s">
        <v>35</v>
      </c>
      <c r="J34" s="25" t="s">
        <v>6</v>
      </c>
      <c r="K34" s="26"/>
      <c r="L34" s="41"/>
      <c r="M34" s="41"/>
      <c r="N34" s="41"/>
      <c r="O34" s="37"/>
      <c r="P34" s="37"/>
      <c r="Q34" s="37"/>
      <c r="S34" s="29"/>
      <c r="T34" s="30"/>
      <c r="U34" s="31"/>
      <c r="V34" s="29"/>
      <c r="W34" s="31"/>
      <c r="X34" s="29"/>
      <c r="Y34" s="31"/>
      <c r="Z34" s="32"/>
      <c r="AA34" s="32"/>
    </row>
    <row r="35" spans="1:27">
      <c r="A35" s="39"/>
      <c r="B35" s="40"/>
      <c r="C35" s="16" t="s">
        <v>51</v>
      </c>
      <c r="D35" s="36">
        <v>8</v>
      </c>
      <c r="E35" s="22" t="str">
        <f t="shared" si="22"/>
        <v>15:8</v>
      </c>
      <c r="F35" s="22" t="s">
        <v>43</v>
      </c>
      <c r="G35" s="27" t="s">
        <v>49</v>
      </c>
      <c r="H35" s="23" t="s">
        <v>36</v>
      </c>
      <c r="I35" s="24" t="s">
        <v>35</v>
      </c>
      <c r="J35" s="25" t="s">
        <v>6</v>
      </c>
      <c r="K35" s="26"/>
      <c r="L35" s="41"/>
      <c r="M35" s="41"/>
      <c r="N35" s="41"/>
      <c r="O35" s="37"/>
      <c r="P35" s="37"/>
      <c r="Q35" s="37"/>
      <c r="S35" s="29"/>
      <c r="T35" s="30"/>
      <c r="U35" s="31"/>
      <c r="V35" s="29"/>
      <c r="W35" s="31"/>
      <c r="X35" s="29"/>
      <c r="Y35" s="31"/>
      <c r="Z35" s="32"/>
      <c r="AA35" s="32"/>
    </row>
    <row r="36" spans="1:27" ht="15.75" thickBot="1">
      <c r="A36" s="39"/>
      <c r="B36" s="40"/>
      <c r="C36" s="16" t="s">
        <v>52</v>
      </c>
      <c r="D36" s="36">
        <v>8</v>
      </c>
      <c r="E36" s="22" t="str">
        <f t="shared" si="22"/>
        <v>7:0</v>
      </c>
      <c r="F36" s="22" t="s">
        <v>43</v>
      </c>
      <c r="G36" s="27" t="s">
        <v>49</v>
      </c>
      <c r="H36" s="23" t="s">
        <v>36</v>
      </c>
      <c r="I36" s="24" t="s">
        <v>35</v>
      </c>
      <c r="J36" s="25" t="s">
        <v>6</v>
      </c>
      <c r="K36" s="26"/>
      <c r="L36" s="41"/>
      <c r="M36" s="41"/>
      <c r="N36" s="41"/>
      <c r="O36" s="37"/>
      <c r="P36" s="37"/>
      <c r="Q36" s="37"/>
      <c r="S36" s="29"/>
      <c r="T36" s="30"/>
      <c r="U36" s="31"/>
      <c r="V36" s="29"/>
      <c r="W36" s="31"/>
      <c r="X36" s="29"/>
      <c r="Y36" s="31"/>
      <c r="Z36" s="32"/>
      <c r="AA36" s="32"/>
    </row>
    <row r="37" spans="1:27">
      <c r="A37" s="42" t="str">
        <f>AA37</f>
        <v>REFGEN_REG_QUAD3_SAR0_SLC1</v>
      </c>
      <c r="B37" s="43" t="str">
        <f>DEC2HEX(O37*4)</f>
        <v>0</v>
      </c>
      <c r="C37" s="44" t="str">
        <f>bitConcat(F38:F41)</f>
        <v>32'b00000000000000000000000000000000</v>
      </c>
      <c r="D37" s="44"/>
      <c r="E37" s="44"/>
      <c r="F37" s="44"/>
      <c r="G37" s="44"/>
      <c r="H37" s="44"/>
      <c r="I37" s="44"/>
      <c r="J37" s="44"/>
      <c r="K37" s="44"/>
      <c r="L37" s="45" t="str">
        <f t="shared" si="10"/>
        <v>4C</v>
      </c>
      <c r="M37" s="45"/>
      <c r="N37" s="45">
        <f t="shared" ref="N37" si="23">S37</f>
        <v>0</v>
      </c>
      <c r="O37" s="38">
        <v>0</v>
      </c>
      <c r="P37" s="38" t="str">
        <f t="shared" ref="P37" si="24">DEC2HEX(HEX2DEC(Z37)*4)</f>
        <v>4C</v>
      </c>
      <c r="Q37" s="38" t="str">
        <f>BIN2HEX(LEFT(RIGHT(C37,32),4))&amp;BIN2HEX(LEFT(RIGHT(C37,28),4))&amp;BIN2HEX(LEFT(RIGHT(C37,24),4))&amp;BIN2HEX(LEFT(RIGHT(C37,20),4))&amp;BIN2HEX(LEFT(RIGHT(C37,16),4))&amp;BIN2HEX(LEFT(RIGHT(C37,12),4))&amp;BIN2HEX(LEFT(RIGHT(C37,8),4))&amp;BIN2HEX(LEFT(RIGHT(C37,4),4))</f>
        <v>00000000</v>
      </c>
      <c r="S37" s="29">
        <v>0</v>
      </c>
      <c r="T37" s="30">
        <v>0</v>
      </c>
      <c r="U37" s="31">
        <v>1</v>
      </c>
      <c r="V37" s="29">
        <v>0</v>
      </c>
      <c r="W37" s="31">
        <v>0</v>
      </c>
      <c r="X37" s="29">
        <v>1</v>
      </c>
      <c r="Y37" s="31">
        <v>1</v>
      </c>
      <c r="Z37" s="32" t="str">
        <f t="shared" si="0"/>
        <v>13</v>
      </c>
      <c r="AA37" s="32" t="str">
        <f>CONCATENATE("REFGEN_REG_QUAD",BIN2DEC(X37&amp;Y37),"_SAR",BIN2DEC(V37&amp;W37),"_SLC",BIN2DEC(S37&amp;T37&amp;U37),)</f>
        <v>REFGEN_REG_QUAD3_SAR0_SLC1</v>
      </c>
    </row>
    <row r="38" spans="1:27">
      <c r="A38" s="39"/>
      <c r="B38" s="40"/>
      <c r="C38" s="16" t="s">
        <v>48</v>
      </c>
      <c r="D38" s="36">
        <v>8</v>
      </c>
      <c r="E38" s="21" t="str">
        <f>IF(D38&gt;1,(31)&amp;":"&amp;(31-D38+1),(31-D38+1)&amp;":"&amp;(31-D38+1))</f>
        <v>31:24</v>
      </c>
      <c r="F38" s="22" t="s">
        <v>43</v>
      </c>
      <c r="G38" s="27" t="s">
        <v>49</v>
      </c>
      <c r="H38" s="23" t="s">
        <v>36</v>
      </c>
      <c r="I38" s="24" t="s">
        <v>35</v>
      </c>
      <c r="J38" s="25" t="s">
        <v>6</v>
      </c>
      <c r="K38" s="26"/>
      <c r="L38" s="41"/>
      <c r="M38" s="41"/>
      <c r="N38" s="41"/>
      <c r="O38" s="37"/>
      <c r="P38" s="37"/>
      <c r="Q38" s="37"/>
      <c r="S38" s="29"/>
      <c r="T38" s="30"/>
      <c r="U38" s="31"/>
      <c r="V38" s="29"/>
      <c r="W38" s="31"/>
      <c r="X38" s="29"/>
      <c r="Y38" s="31"/>
      <c r="Z38" s="32"/>
      <c r="AA38" s="32"/>
    </row>
    <row r="39" spans="1:27">
      <c r="A39" s="39"/>
      <c r="B39" s="40"/>
      <c r="C39" s="16" t="s">
        <v>50</v>
      </c>
      <c r="D39" s="36">
        <v>8</v>
      </c>
      <c r="E39" s="22" t="str">
        <f t="shared" ref="E39:E41" si="25">(MID(str_cnvt(E38),SEARCH(":",str_cnvt(E38))+1,2)-1) &amp; ":" &amp; (MID(str_cnvt(E38),SEARCH(":",str_cnvt(E38))+1,2)-D39)</f>
        <v>23:16</v>
      </c>
      <c r="F39" s="22" t="s">
        <v>43</v>
      </c>
      <c r="G39" s="27" t="s">
        <v>49</v>
      </c>
      <c r="H39" s="23" t="s">
        <v>36</v>
      </c>
      <c r="I39" s="24" t="s">
        <v>35</v>
      </c>
      <c r="J39" s="25" t="s">
        <v>6</v>
      </c>
      <c r="K39" s="26"/>
      <c r="L39" s="41"/>
      <c r="M39" s="41"/>
      <c r="N39" s="41"/>
      <c r="O39" s="37"/>
      <c r="P39" s="37"/>
      <c r="Q39" s="37"/>
      <c r="S39" s="29"/>
      <c r="T39" s="30"/>
      <c r="U39" s="31"/>
      <c r="V39" s="29"/>
      <c r="W39" s="31"/>
      <c r="X39" s="29"/>
      <c r="Y39" s="31"/>
      <c r="Z39" s="32"/>
      <c r="AA39" s="32"/>
    </row>
    <row r="40" spans="1:27">
      <c r="A40" s="39"/>
      <c r="B40" s="40"/>
      <c r="C40" s="16" t="s">
        <v>51</v>
      </c>
      <c r="D40" s="36">
        <v>8</v>
      </c>
      <c r="E40" s="22" t="str">
        <f t="shared" si="25"/>
        <v>15:8</v>
      </c>
      <c r="F40" s="22" t="s">
        <v>43</v>
      </c>
      <c r="G40" s="27" t="s">
        <v>49</v>
      </c>
      <c r="H40" s="23" t="s">
        <v>36</v>
      </c>
      <c r="I40" s="24" t="s">
        <v>35</v>
      </c>
      <c r="J40" s="25" t="s">
        <v>6</v>
      </c>
      <c r="K40" s="26"/>
      <c r="L40" s="41"/>
      <c r="M40" s="41"/>
      <c r="N40" s="41"/>
      <c r="O40" s="37"/>
      <c r="P40" s="37"/>
      <c r="Q40" s="37"/>
      <c r="S40" s="29"/>
      <c r="T40" s="30"/>
      <c r="U40" s="31"/>
      <c r="V40" s="29"/>
      <c r="W40" s="31"/>
      <c r="X40" s="29"/>
      <c r="Y40" s="31"/>
      <c r="Z40" s="32"/>
      <c r="AA40" s="32"/>
    </row>
    <row r="41" spans="1:27" ht="15.75" thickBot="1">
      <c r="A41" s="39"/>
      <c r="B41" s="40"/>
      <c r="C41" s="16" t="s">
        <v>52</v>
      </c>
      <c r="D41" s="36">
        <v>8</v>
      </c>
      <c r="E41" s="22" t="str">
        <f t="shared" si="25"/>
        <v>7:0</v>
      </c>
      <c r="F41" s="22" t="s">
        <v>43</v>
      </c>
      <c r="G41" s="27" t="s">
        <v>49</v>
      </c>
      <c r="H41" s="23" t="s">
        <v>36</v>
      </c>
      <c r="I41" s="24" t="s">
        <v>35</v>
      </c>
      <c r="J41" s="25" t="s">
        <v>6</v>
      </c>
      <c r="K41" s="26"/>
      <c r="L41" s="41"/>
      <c r="M41" s="41"/>
      <c r="N41" s="41"/>
      <c r="O41" s="37"/>
      <c r="P41" s="37"/>
      <c r="Q41" s="37"/>
      <c r="S41" s="29"/>
      <c r="T41" s="30"/>
      <c r="U41" s="31"/>
      <c r="V41" s="29"/>
      <c r="W41" s="31"/>
      <c r="X41" s="29"/>
      <c r="Y41" s="31"/>
      <c r="Z41" s="32"/>
      <c r="AA41" s="32"/>
    </row>
    <row r="42" spans="1:27">
      <c r="A42" s="42" t="str">
        <f>AA42</f>
        <v>REFGEN_REG_QUAD0_SAR0_SLC2</v>
      </c>
      <c r="B42" s="43" t="str">
        <f>DEC2HEX(O42*4)</f>
        <v>0</v>
      </c>
      <c r="C42" s="44" t="str">
        <f>bitConcat(F43:F46)</f>
        <v>32'b00000000000000000000000000000000</v>
      </c>
      <c r="D42" s="44"/>
      <c r="E42" s="44"/>
      <c r="F42" s="44"/>
      <c r="G42" s="44"/>
      <c r="H42" s="44"/>
      <c r="I42" s="44"/>
      <c r="J42" s="44"/>
      <c r="K42" s="44"/>
      <c r="L42" s="45" t="str">
        <f t="shared" si="10"/>
        <v>80</v>
      </c>
      <c r="M42" s="45"/>
      <c r="N42" s="45">
        <f t="shared" ref="N42" si="26">S42</f>
        <v>0</v>
      </c>
      <c r="O42" s="38">
        <v>0</v>
      </c>
      <c r="P42" s="38" t="str">
        <f t="shared" ref="P42" si="27">DEC2HEX(HEX2DEC(Z42)*4)</f>
        <v>80</v>
      </c>
      <c r="Q42" s="38" t="str">
        <f>BIN2HEX(LEFT(RIGHT(C42,32),4))&amp;BIN2HEX(LEFT(RIGHT(C42,28),4))&amp;BIN2HEX(LEFT(RIGHT(C42,24),4))&amp;BIN2HEX(LEFT(RIGHT(C42,20),4))&amp;BIN2HEX(LEFT(RIGHT(C42,16),4))&amp;BIN2HEX(LEFT(RIGHT(C42,12),4))&amp;BIN2HEX(LEFT(RIGHT(C42,8),4))&amp;BIN2HEX(LEFT(RIGHT(C42,4),4))</f>
        <v>00000000</v>
      </c>
      <c r="S42" s="29">
        <v>0</v>
      </c>
      <c r="T42" s="30">
        <v>1</v>
      </c>
      <c r="U42" s="31">
        <v>0</v>
      </c>
      <c r="V42" s="29">
        <v>0</v>
      </c>
      <c r="W42" s="31">
        <v>0</v>
      </c>
      <c r="X42" s="29">
        <v>0</v>
      </c>
      <c r="Y42" s="31">
        <v>0</v>
      </c>
      <c r="Z42" s="32" t="str">
        <f t="shared" si="0"/>
        <v>20</v>
      </c>
      <c r="AA42" s="32" t="str">
        <f>CONCATENATE("REFGEN_REG_QUAD",BIN2DEC(X42&amp;Y42),"_SAR",BIN2DEC(V42&amp;W42),"_SLC",BIN2DEC(S42&amp;T42&amp;U42),)</f>
        <v>REFGEN_REG_QUAD0_SAR0_SLC2</v>
      </c>
    </row>
    <row r="43" spans="1:27" ht="30">
      <c r="A43" s="39"/>
      <c r="B43" s="40"/>
      <c r="C43" s="16" t="s">
        <v>48</v>
      </c>
      <c r="D43" s="36">
        <v>8</v>
      </c>
      <c r="E43" s="21" t="str">
        <f>IF(D43&gt;1,(31)&amp;":"&amp;(31-D43+1),(31-D43+1)&amp;":"&amp;(31-D43+1))</f>
        <v>31:24</v>
      </c>
      <c r="F43" s="22" t="s">
        <v>43</v>
      </c>
      <c r="G43" s="27" t="s">
        <v>49</v>
      </c>
      <c r="H43" s="23" t="s">
        <v>36</v>
      </c>
      <c r="I43" s="24" t="s">
        <v>35</v>
      </c>
      <c r="J43" s="25" t="s">
        <v>6</v>
      </c>
      <c r="K43" s="26"/>
      <c r="L43" s="41"/>
      <c r="M43" s="41"/>
      <c r="N43" s="41"/>
      <c r="O43" s="37"/>
      <c r="P43" s="37"/>
      <c r="Q43" s="37"/>
      <c r="S43" s="29"/>
      <c r="T43" s="30"/>
      <c r="U43" s="31"/>
      <c r="V43" s="29"/>
      <c r="W43" s="31"/>
      <c r="X43" s="29"/>
      <c r="Y43" s="31"/>
      <c r="Z43" s="32"/>
      <c r="AA43" s="32"/>
    </row>
    <row r="44" spans="1:27" ht="30">
      <c r="A44" s="39"/>
      <c r="B44" s="40"/>
      <c r="C44" s="16" t="s">
        <v>50</v>
      </c>
      <c r="D44" s="36">
        <v>8</v>
      </c>
      <c r="E44" s="22" t="str">
        <f t="shared" ref="E44:E46" si="28">(MID(str_cnvt(E43),SEARCH(":",str_cnvt(E43))+1,2)-1) &amp; ":" &amp; (MID(str_cnvt(E43),SEARCH(":",str_cnvt(E43))+1,2)-D44)</f>
        <v>23:16</v>
      </c>
      <c r="F44" s="22" t="s">
        <v>43</v>
      </c>
      <c r="G44" s="27" t="s">
        <v>49</v>
      </c>
      <c r="H44" s="23" t="s">
        <v>36</v>
      </c>
      <c r="I44" s="24" t="s">
        <v>35</v>
      </c>
      <c r="J44" s="25" t="s">
        <v>6</v>
      </c>
      <c r="K44" s="26"/>
      <c r="L44" s="41"/>
      <c r="M44" s="41"/>
      <c r="N44" s="41"/>
      <c r="O44" s="37"/>
      <c r="P44" s="37"/>
      <c r="Q44" s="37"/>
      <c r="S44" s="29"/>
      <c r="T44" s="30"/>
      <c r="U44" s="31"/>
      <c r="V44" s="29"/>
      <c r="W44" s="31"/>
      <c r="X44" s="29"/>
      <c r="Y44" s="31"/>
      <c r="Z44" s="32"/>
      <c r="AA44" s="32"/>
    </row>
    <row r="45" spans="1:27" ht="30">
      <c r="A45" s="39"/>
      <c r="B45" s="40"/>
      <c r="C45" s="16" t="s">
        <v>51</v>
      </c>
      <c r="D45" s="36">
        <v>8</v>
      </c>
      <c r="E45" s="22" t="str">
        <f t="shared" si="28"/>
        <v>15:8</v>
      </c>
      <c r="F45" s="22" t="s">
        <v>43</v>
      </c>
      <c r="G45" s="27" t="s">
        <v>49</v>
      </c>
      <c r="H45" s="23" t="s">
        <v>36</v>
      </c>
      <c r="I45" s="24" t="s">
        <v>35</v>
      </c>
      <c r="J45" s="25" t="s">
        <v>6</v>
      </c>
      <c r="K45" s="26"/>
      <c r="L45" s="41"/>
      <c r="M45" s="41"/>
      <c r="N45" s="41"/>
      <c r="O45" s="37"/>
      <c r="P45" s="37"/>
      <c r="Q45" s="37"/>
      <c r="S45" s="29"/>
      <c r="T45" s="30"/>
      <c r="U45" s="31"/>
      <c r="V45" s="29"/>
      <c r="W45" s="31"/>
      <c r="X45" s="29"/>
      <c r="Y45" s="31"/>
      <c r="Z45" s="32"/>
      <c r="AA45" s="32"/>
    </row>
    <row r="46" spans="1:27" ht="30.75" thickBot="1">
      <c r="A46" s="39"/>
      <c r="B46" s="40"/>
      <c r="C46" s="16" t="s">
        <v>52</v>
      </c>
      <c r="D46" s="36">
        <v>8</v>
      </c>
      <c r="E46" s="22" t="str">
        <f t="shared" si="28"/>
        <v>7:0</v>
      </c>
      <c r="F46" s="22" t="s">
        <v>43</v>
      </c>
      <c r="G46" s="27" t="s">
        <v>49</v>
      </c>
      <c r="H46" s="23" t="s">
        <v>36</v>
      </c>
      <c r="I46" s="24" t="s">
        <v>35</v>
      </c>
      <c r="J46" s="25" t="s">
        <v>6</v>
      </c>
      <c r="K46" s="26"/>
      <c r="L46" s="41"/>
      <c r="M46" s="41"/>
      <c r="N46" s="41"/>
      <c r="O46" s="37"/>
      <c r="P46" s="37"/>
      <c r="Q46" s="37"/>
      <c r="S46" s="29"/>
      <c r="T46" s="30"/>
      <c r="U46" s="31"/>
      <c r="V46" s="29"/>
      <c r="W46" s="31"/>
      <c r="X46" s="29"/>
      <c r="Y46" s="31"/>
      <c r="Z46" s="32"/>
      <c r="AA46" s="32"/>
    </row>
    <row r="47" spans="1:27">
      <c r="A47" s="42" t="str">
        <f>AA47</f>
        <v>REFGEN_REG_QUAD1_SAR0_SLC2</v>
      </c>
      <c r="B47" s="43" t="str">
        <f>DEC2HEX(O47*4)</f>
        <v>0</v>
      </c>
      <c r="C47" s="44" t="str">
        <f>bitConcat(F48:F51)</f>
        <v>32'b00000000000000000000000000000000</v>
      </c>
      <c r="D47" s="44"/>
      <c r="E47" s="44"/>
      <c r="F47" s="44"/>
      <c r="G47" s="44"/>
      <c r="H47" s="44"/>
      <c r="I47" s="44"/>
      <c r="J47" s="44"/>
      <c r="K47" s="44"/>
      <c r="L47" s="45" t="str">
        <f t="shared" si="10"/>
        <v>84</v>
      </c>
      <c r="M47" s="45"/>
      <c r="N47" s="45">
        <f t="shared" ref="N47" si="29">S47</f>
        <v>0</v>
      </c>
      <c r="O47" s="38">
        <v>0</v>
      </c>
      <c r="P47" s="38" t="str">
        <f t="shared" ref="P47" si="30">DEC2HEX(HEX2DEC(Z47)*4)</f>
        <v>84</v>
      </c>
      <c r="Q47" s="38" t="str">
        <f>BIN2HEX(LEFT(RIGHT(C47,32),4))&amp;BIN2HEX(LEFT(RIGHT(C47,28),4))&amp;BIN2HEX(LEFT(RIGHT(C47,24),4))&amp;BIN2HEX(LEFT(RIGHT(C47,20),4))&amp;BIN2HEX(LEFT(RIGHT(C47,16),4))&amp;BIN2HEX(LEFT(RIGHT(C47,12),4))&amp;BIN2HEX(LEFT(RIGHT(C47,8),4))&amp;BIN2HEX(LEFT(RIGHT(C47,4),4))</f>
        <v>00000000</v>
      </c>
      <c r="S47" s="29">
        <v>0</v>
      </c>
      <c r="T47" s="30">
        <v>1</v>
      </c>
      <c r="U47" s="31">
        <v>0</v>
      </c>
      <c r="V47" s="29">
        <v>0</v>
      </c>
      <c r="W47" s="31">
        <v>0</v>
      </c>
      <c r="X47" s="29">
        <v>0</v>
      </c>
      <c r="Y47" s="31">
        <v>1</v>
      </c>
      <c r="Z47" s="32" t="str">
        <f t="shared" si="0"/>
        <v>21</v>
      </c>
      <c r="AA47" s="32" t="str">
        <f>CONCATENATE("REFGEN_REG_QUAD",BIN2DEC(X47&amp;Y47),"_SAR",BIN2DEC(V47&amp;W47),"_SLC",BIN2DEC(S47&amp;T47&amp;U47),)</f>
        <v>REFGEN_REG_QUAD1_SAR0_SLC2</v>
      </c>
    </row>
    <row r="48" spans="1:27" ht="30">
      <c r="A48" s="39"/>
      <c r="B48" s="40"/>
      <c r="C48" s="16" t="s">
        <v>48</v>
      </c>
      <c r="D48" s="36">
        <v>8</v>
      </c>
      <c r="E48" s="21" t="str">
        <f>IF(D48&gt;1,(31)&amp;":"&amp;(31-D48+1),(31-D48+1)&amp;":"&amp;(31-D48+1))</f>
        <v>31:24</v>
      </c>
      <c r="F48" s="22" t="s">
        <v>43</v>
      </c>
      <c r="G48" s="27" t="s">
        <v>49</v>
      </c>
      <c r="H48" s="23" t="s">
        <v>36</v>
      </c>
      <c r="I48" s="24" t="s">
        <v>35</v>
      </c>
      <c r="J48" s="25" t="s">
        <v>6</v>
      </c>
      <c r="K48" s="26"/>
      <c r="L48" s="41"/>
      <c r="M48" s="41"/>
      <c r="N48" s="41"/>
      <c r="O48" s="37"/>
      <c r="P48" s="37"/>
      <c r="Q48" s="37"/>
      <c r="S48" s="29"/>
      <c r="T48" s="30"/>
      <c r="U48" s="31"/>
      <c r="V48" s="29"/>
      <c r="W48" s="31"/>
      <c r="X48" s="29"/>
      <c r="Y48" s="31"/>
      <c r="Z48" s="32"/>
      <c r="AA48" s="32"/>
    </row>
    <row r="49" spans="1:27" ht="30">
      <c r="A49" s="39"/>
      <c r="B49" s="40"/>
      <c r="C49" s="16" t="s">
        <v>50</v>
      </c>
      <c r="D49" s="36">
        <v>8</v>
      </c>
      <c r="E49" s="22" t="str">
        <f t="shared" ref="E49:E51" si="31">(MID(str_cnvt(E48),SEARCH(":",str_cnvt(E48))+1,2)-1) &amp; ":" &amp; (MID(str_cnvt(E48),SEARCH(":",str_cnvt(E48))+1,2)-D49)</f>
        <v>23:16</v>
      </c>
      <c r="F49" s="22" t="s">
        <v>43</v>
      </c>
      <c r="G49" s="27" t="s">
        <v>49</v>
      </c>
      <c r="H49" s="23" t="s">
        <v>36</v>
      </c>
      <c r="I49" s="24" t="s">
        <v>35</v>
      </c>
      <c r="J49" s="25" t="s">
        <v>6</v>
      </c>
      <c r="K49" s="26"/>
      <c r="L49" s="41"/>
      <c r="M49" s="41"/>
      <c r="N49" s="41"/>
      <c r="O49" s="37"/>
      <c r="P49" s="37"/>
      <c r="Q49" s="37"/>
      <c r="S49" s="29"/>
      <c r="T49" s="30"/>
      <c r="U49" s="31"/>
      <c r="V49" s="29"/>
      <c r="W49" s="31"/>
      <c r="X49" s="29"/>
      <c r="Y49" s="31"/>
      <c r="Z49" s="32"/>
      <c r="AA49" s="32"/>
    </row>
    <row r="50" spans="1:27" ht="30">
      <c r="A50" s="39"/>
      <c r="B50" s="40"/>
      <c r="C50" s="16" t="s">
        <v>51</v>
      </c>
      <c r="D50" s="36">
        <v>8</v>
      </c>
      <c r="E50" s="22" t="str">
        <f t="shared" si="31"/>
        <v>15:8</v>
      </c>
      <c r="F50" s="22" t="s">
        <v>43</v>
      </c>
      <c r="G50" s="27" t="s">
        <v>49</v>
      </c>
      <c r="H50" s="23" t="s">
        <v>36</v>
      </c>
      <c r="I50" s="24" t="s">
        <v>35</v>
      </c>
      <c r="J50" s="25" t="s">
        <v>6</v>
      </c>
      <c r="K50" s="26"/>
      <c r="L50" s="41"/>
      <c r="M50" s="41"/>
      <c r="N50" s="41"/>
      <c r="O50" s="37"/>
      <c r="P50" s="37"/>
      <c r="Q50" s="37"/>
      <c r="S50" s="29"/>
      <c r="T50" s="30"/>
      <c r="U50" s="31"/>
      <c r="V50" s="29"/>
      <c r="W50" s="31"/>
      <c r="X50" s="29"/>
      <c r="Y50" s="31"/>
      <c r="Z50" s="32"/>
      <c r="AA50" s="32"/>
    </row>
    <row r="51" spans="1:27" ht="30.75" thickBot="1">
      <c r="A51" s="39"/>
      <c r="B51" s="40"/>
      <c r="C51" s="16" t="s">
        <v>52</v>
      </c>
      <c r="D51" s="36">
        <v>8</v>
      </c>
      <c r="E51" s="22" t="str">
        <f t="shared" si="31"/>
        <v>7:0</v>
      </c>
      <c r="F51" s="22" t="s">
        <v>43</v>
      </c>
      <c r="G51" s="27" t="s">
        <v>49</v>
      </c>
      <c r="H51" s="23" t="s">
        <v>36</v>
      </c>
      <c r="I51" s="24" t="s">
        <v>35</v>
      </c>
      <c r="J51" s="25" t="s">
        <v>6</v>
      </c>
      <c r="K51" s="26"/>
      <c r="L51" s="41"/>
      <c r="M51" s="41"/>
      <c r="N51" s="41"/>
      <c r="O51" s="37"/>
      <c r="P51" s="37"/>
      <c r="Q51" s="37"/>
      <c r="S51" s="29"/>
      <c r="T51" s="30"/>
      <c r="U51" s="31"/>
      <c r="V51" s="29"/>
      <c r="W51" s="31"/>
      <c r="X51" s="29"/>
      <c r="Y51" s="31"/>
      <c r="Z51" s="32"/>
      <c r="AA51" s="32"/>
    </row>
    <row r="52" spans="1:27">
      <c r="A52" s="42" t="str">
        <f>AA52</f>
        <v>REFGEN_REG_QUAD2_SAR0_SLC2</v>
      </c>
      <c r="B52" s="43" t="str">
        <f>DEC2HEX(O52*4)</f>
        <v>0</v>
      </c>
      <c r="C52" s="44" t="str">
        <f>bitConcat(F53:F56)</f>
        <v>32'b00000000000000000000000000000000</v>
      </c>
      <c r="D52" s="44"/>
      <c r="E52" s="44"/>
      <c r="F52" s="44"/>
      <c r="G52" s="44"/>
      <c r="H52" s="44"/>
      <c r="I52" s="44"/>
      <c r="J52" s="44"/>
      <c r="K52" s="44"/>
      <c r="L52" s="45" t="str">
        <f t="shared" si="10"/>
        <v>38</v>
      </c>
      <c r="M52" s="45"/>
      <c r="N52" s="45">
        <f t="shared" ref="N52" si="32">S52</f>
        <v>0</v>
      </c>
      <c r="O52" s="38">
        <v>0</v>
      </c>
      <c r="P52" s="38" t="str">
        <f t="shared" ref="P52" si="33">DEC2HEX(HEX2DEC(Z52)*4)</f>
        <v>38</v>
      </c>
      <c r="Q52" s="38" t="str">
        <f>BIN2HEX(LEFT(RIGHT(C52,32),4))&amp;BIN2HEX(LEFT(RIGHT(C52,28),4))&amp;BIN2HEX(LEFT(RIGHT(C52,24),4))&amp;BIN2HEX(LEFT(RIGHT(C52,20),4))&amp;BIN2HEX(LEFT(RIGHT(C52,16),4))&amp;BIN2HEX(LEFT(RIGHT(C52,12),4))&amp;BIN2HEX(LEFT(RIGHT(C52,8),4))&amp;BIN2HEX(LEFT(RIGHT(C52,4),4))</f>
        <v>00000000</v>
      </c>
      <c r="S52" s="29">
        <v>0</v>
      </c>
      <c r="T52" s="30">
        <v>1</v>
      </c>
      <c r="U52" s="31">
        <v>0</v>
      </c>
      <c r="V52" s="29">
        <v>0</v>
      </c>
      <c r="W52" s="31">
        <v>0</v>
      </c>
      <c r="X52" s="29">
        <v>1</v>
      </c>
      <c r="Y52" s="31">
        <v>0</v>
      </c>
      <c r="Z52" s="32" t="s">
        <v>53</v>
      </c>
      <c r="AA52" s="32" t="str">
        <f>CONCATENATE("REFGEN_REG_QUAD",BIN2DEC(X52&amp;Y52),"_SAR",BIN2DEC(V52&amp;W52),"_SLC",BIN2DEC(S52&amp;T52&amp;U52),)</f>
        <v>REFGEN_REG_QUAD2_SAR0_SLC2</v>
      </c>
    </row>
    <row r="53" spans="1:27" ht="30">
      <c r="A53" s="39"/>
      <c r="B53" s="40"/>
      <c r="C53" s="16" t="s">
        <v>48</v>
      </c>
      <c r="D53" s="36">
        <v>8</v>
      </c>
      <c r="E53" s="21" t="str">
        <f>IF(D53&gt;1,(31)&amp;":"&amp;(31-D53+1),(31-D53+1)&amp;":"&amp;(31-D53+1))</f>
        <v>31:24</v>
      </c>
      <c r="F53" s="22" t="s">
        <v>43</v>
      </c>
      <c r="G53" s="27" t="s">
        <v>49</v>
      </c>
      <c r="H53" s="23" t="s">
        <v>36</v>
      </c>
      <c r="I53" s="24" t="s">
        <v>35</v>
      </c>
      <c r="J53" s="25" t="s">
        <v>6</v>
      </c>
      <c r="K53" s="26"/>
      <c r="L53" s="41"/>
      <c r="M53" s="41"/>
      <c r="N53" s="41"/>
      <c r="O53" s="37"/>
      <c r="P53" s="37"/>
      <c r="Q53" s="37"/>
      <c r="S53" s="29"/>
      <c r="T53" s="30"/>
      <c r="U53" s="31"/>
      <c r="V53" s="29"/>
      <c r="W53" s="31"/>
      <c r="X53" s="29"/>
      <c r="Y53" s="31"/>
      <c r="Z53" s="32"/>
      <c r="AA53" s="32"/>
    </row>
    <row r="54" spans="1:27" ht="30">
      <c r="A54" s="39"/>
      <c r="B54" s="40"/>
      <c r="C54" s="16" t="s">
        <v>50</v>
      </c>
      <c r="D54" s="36">
        <v>8</v>
      </c>
      <c r="E54" s="22" t="str">
        <f t="shared" ref="E54:E56" si="34">(MID(str_cnvt(E53),SEARCH(":",str_cnvt(E53))+1,2)-1) &amp; ":" &amp; (MID(str_cnvt(E53),SEARCH(":",str_cnvt(E53))+1,2)-D54)</f>
        <v>23:16</v>
      </c>
      <c r="F54" s="22" t="s">
        <v>43</v>
      </c>
      <c r="G54" s="27" t="s">
        <v>49</v>
      </c>
      <c r="H54" s="23" t="s">
        <v>36</v>
      </c>
      <c r="I54" s="24" t="s">
        <v>35</v>
      </c>
      <c r="J54" s="25" t="s">
        <v>6</v>
      </c>
      <c r="K54" s="26"/>
      <c r="L54" s="41"/>
      <c r="M54" s="41"/>
      <c r="N54" s="41"/>
      <c r="O54" s="37"/>
      <c r="P54" s="37"/>
      <c r="Q54" s="37"/>
      <c r="S54" s="29"/>
      <c r="T54" s="30"/>
      <c r="U54" s="31"/>
      <c r="V54" s="29"/>
      <c r="W54" s="31"/>
      <c r="X54" s="29"/>
      <c r="Y54" s="31"/>
      <c r="Z54" s="32"/>
      <c r="AA54" s="32"/>
    </row>
    <row r="55" spans="1:27" ht="30">
      <c r="A55" s="39"/>
      <c r="B55" s="40"/>
      <c r="C55" s="16" t="s">
        <v>51</v>
      </c>
      <c r="D55" s="36">
        <v>8</v>
      </c>
      <c r="E55" s="22" t="str">
        <f t="shared" si="34"/>
        <v>15:8</v>
      </c>
      <c r="F55" s="22" t="s">
        <v>43</v>
      </c>
      <c r="G55" s="27" t="s">
        <v>49</v>
      </c>
      <c r="H55" s="23" t="s">
        <v>36</v>
      </c>
      <c r="I55" s="24" t="s">
        <v>35</v>
      </c>
      <c r="J55" s="25" t="s">
        <v>6</v>
      </c>
      <c r="K55" s="26"/>
      <c r="L55" s="41"/>
      <c r="M55" s="41"/>
      <c r="N55" s="41"/>
      <c r="O55" s="37"/>
      <c r="P55" s="37"/>
      <c r="Q55" s="37"/>
      <c r="S55" s="29"/>
      <c r="T55" s="30"/>
      <c r="U55" s="31"/>
      <c r="V55" s="29"/>
      <c r="W55" s="31"/>
      <c r="X55" s="29"/>
      <c r="Y55" s="31"/>
      <c r="Z55" s="32"/>
      <c r="AA55" s="32"/>
    </row>
    <row r="56" spans="1:27" ht="30.75" thickBot="1">
      <c r="A56" s="39"/>
      <c r="B56" s="40"/>
      <c r="C56" s="16" t="s">
        <v>52</v>
      </c>
      <c r="D56" s="36">
        <v>8</v>
      </c>
      <c r="E56" s="22" t="str">
        <f t="shared" si="34"/>
        <v>7:0</v>
      </c>
      <c r="F56" s="22" t="s">
        <v>43</v>
      </c>
      <c r="G56" s="27" t="s">
        <v>49</v>
      </c>
      <c r="H56" s="23" t="s">
        <v>36</v>
      </c>
      <c r="I56" s="24" t="s">
        <v>35</v>
      </c>
      <c r="J56" s="25" t="s">
        <v>6</v>
      </c>
      <c r="K56" s="26"/>
      <c r="L56" s="41"/>
      <c r="M56" s="41"/>
      <c r="N56" s="41"/>
      <c r="O56" s="37"/>
      <c r="P56" s="37"/>
      <c r="Q56" s="37"/>
      <c r="S56" s="29"/>
      <c r="T56" s="30"/>
      <c r="U56" s="31"/>
      <c r="V56" s="29"/>
      <c r="W56" s="31"/>
      <c r="X56" s="29"/>
      <c r="Y56" s="31"/>
      <c r="Z56" s="32"/>
      <c r="AA56" s="32"/>
    </row>
    <row r="57" spans="1:27">
      <c r="A57" s="42" t="str">
        <f>AA57</f>
        <v>REFGEN_REG_QUAD3_SAR0_SLC2</v>
      </c>
      <c r="B57" s="43" t="str">
        <f>DEC2HEX(O57*4)</f>
        <v>0</v>
      </c>
      <c r="C57" s="44" t="str">
        <f>bitConcat(F58:F61)</f>
        <v>32'b00000000000000000000000000000000</v>
      </c>
      <c r="D57" s="44"/>
      <c r="E57" s="44"/>
      <c r="F57" s="44"/>
      <c r="G57" s="44"/>
      <c r="H57" s="44"/>
      <c r="I57" s="44"/>
      <c r="J57" s="44"/>
      <c r="K57" s="44"/>
      <c r="L57" s="45" t="str">
        <f t="shared" si="10"/>
        <v>8C</v>
      </c>
      <c r="M57" s="45"/>
      <c r="N57" s="45">
        <f t="shared" ref="N57" si="35">S57</f>
        <v>0</v>
      </c>
      <c r="O57" s="38">
        <v>0</v>
      </c>
      <c r="P57" s="38" t="str">
        <f t="shared" ref="P57" si="36">DEC2HEX(HEX2DEC(Z57)*4)</f>
        <v>8C</v>
      </c>
      <c r="Q57" s="38" t="str">
        <f>BIN2HEX(LEFT(RIGHT(C57,32),4))&amp;BIN2HEX(LEFT(RIGHT(C57,28),4))&amp;BIN2HEX(LEFT(RIGHT(C57,24),4))&amp;BIN2HEX(LEFT(RIGHT(C57,20),4))&amp;BIN2HEX(LEFT(RIGHT(C57,16),4))&amp;BIN2HEX(LEFT(RIGHT(C57,12),4))&amp;BIN2HEX(LEFT(RIGHT(C57,8),4))&amp;BIN2HEX(LEFT(RIGHT(C57,4),4))</f>
        <v>00000000</v>
      </c>
      <c r="S57" s="29">
        <v>0</v>
      </c>
      <c r="T57" s="30">
        <v>1</v>
      </c>
      <c r="U57" s="31">
        <v>0</v>
      </c>
      <c r="V57" s="29">
        <v>0</v>
      </c>
      <c r="W57" s="31">
        <v>0</v>
      </c>
      <c r="X57" s="29">
        <v>1</v>
      </c>
      <c r="Y57" s="31">
        <v>1</v>
      </c>
      <c r="Z57" s="32" t="str">
        <f t="shared" si="0"/>
        <v>23</v>
      </c>
      <c r="AA57" s="32" t="str">
        <f>CONCATENATE("REFGEN_REG_QUAD",BIN2DEC(X57&amp;Y57),"_SAR",BIN2DEC(V57&amp;W57),"_SLC",BIN2DEC(S57&amp;T57&amp;U57),)</f>
        <v>REFGEN_REG_QUAD3_SAR0_SLC2</v>
      </c>
    </row>
    <row r="58" spans="1:27" ht="30">
      <c r="A58" s="39"/>
      <c r="B58" s="40"/>
      <c r="C58" s="16" t="s">
        <v>48</v>
      </c>
      <c r="D58" s="36">
        <v>8</v>
      </c>
      <c r="E58" s="21" t="str">
        <f>IF(D58&gt;1,(31)&amp;":"&amp;(31-D58+1),(31-D58+1)&amp;":"&amp;(31-D58+1))</f>
        <v>31:24</v>
      </c>
      <c r="F58" s="22" t="s">
        <v>43</v>
      </c>
      <c r="G58" s="27" t="s">
        <v>49</v>
      </c>
      <c r="H58" s="23" t="s">
        <v>36</v>
      </c>
      <c r="I58" s="24" t="s">
        <v>35</v>
      </c>
      <c r="J58" s="25" t="s">
        <v>6</v>
      </c>
      <c r="K58" s="26"/>
      <c r="L58" s="41"/>
      <c r="M58" s="41"/>
      <c r="N58" s="41"/>
      <c r="O58" s="37"/>
      <c r="P58" s="37"/>
      <c r="Q58" s="37"/>
      <c r="S58" s="29"/>
      <c r="T58" s="30"/>
      <c r="U58" s="31"/>
      <c r="V58" s="29"/>
      <c r="W58" s="31"/>
      <c r="X58" s="29"/>
      <c r="Y58" s="31"/>
      <c r="Z58" s="32"/>
      <c r="AA58" s="32"/>
    </row>
    <row r="59" spans="1:27" ht="30">
      <c r="A59" s="39"/>
      <c r="B59" s="40"/>
      <c r="C59" s="16" t="s">
        <v>50</v>
      </c>
      <c r="D59" s="36">
        <v>8</v>
      </c>
      <c r="E59" s="22" t="str">
        <f t="shared" ref="E59:E61" si="37">(MID(str_cnvt(E58),SEARCH(":",str_cnvt(E58))+1,2)-1) &amp; ":" &amp; (MID(str_cnvt(E58),SEARCH(":",str_cnvt(E58))+1,2)-D59)</f>
        <v>23:16</v>
      </c>
      <c r="F59" s="22" t="s">
        <v>43</v>
      </c>
      <c r="G59" s="27" t="s">
        <v>49</v>
      </c>
      <c r="H59" s="23" t="s">
        <v>36</v>
      </c>
      <c r="I59" s="24" t="s">
        <v>35</v>
      </c>
      <c r="J59" s="25" t="s">
        <v>6</v>
      </c>
      <c r="K59" s="26"/>
      <c r="L59" s="41"/>
      <c r="M59" s="41"/>
      <c r="N59" s="41"/>
      <c r="O59" s="37"/>
      <c r="P59" s="37"/>
      <c r="Q59" s="37"/>
      <c r="S59" s="29"/>
      <c r="T59" s="30"/>
      <c r="U59" s="31"/>
      <c r="V59" s="29"/>
      <c r="W59" s="31"/>
      <c r="X59" s="29"/>
      <c r="Y59" s="31"/>
      <c r="Z59" s="32"/>
      <c r="AA59" s="32"/>
    </row>
    <row r="60" spans="1:27" ht="30">
      <c r="A60" s="39"/>
      <c r="B60" s="40"/>
      <c r="C60" s="16" t="s">
        <v>51</v>
      </c>
      <c r="D60" s="36">
        <v>8</v>
      </c>
      <c r="E60" s="22" t="str">
        <f t="shared" si="37"/>
        <v>15:8</v>
      </c>
      <c r="F60" s="22" t="s">
        <v>43</v>
      </c>
      <c r="G60" s="27" t="s">
        <v>49</v>
      </c>
      <c r="H60" s="23" t="s">
        <v>36</v>
      </c>
      <c r="I60" s="24" t="s">
        <v>35</v>
      </c>
      <c r="J60" s="25" t="s">
        <v>6</v>
      </c>
      <c r="K60" s="26"/>
      <c r="L60" s="41"/>
      <c r="M60" s="41"/>
      <c r="N60" s="41"/>
      <c r="O60" s="37"/>
      <c r="P60" s="37"/>
      <c r="Q60" s="37"/>
      <c r="S60" s="29"/>
      <c r="T60" s="30"/>
      <c r="U60" s="31"/>
      <c r="V60" s="29"/>
      <c r="W60" s="31"/>
      <c r="X60" s="29"/>
      <c r="Y60" s="31"/>
      <c r="Z60" s="32"/>
      <c r="AA60" s="32"/>
    </row>
    <row r="61" spans="1:27" ht="30.75" thickBot="1">
      <c r="A61" s="39"/>
      <c r="B61" s="40"/>
      <c r="C61" s="16" t="s">
        <v>52</v>
      </c>
      <c r="D61" s="36">
        <v>8</v>
      </c>
      <c r="E61" s="22" t="str">
        <f t="shared" si="37"/>
        <v>7:0</v>
      </c>
      <c r="F61" s="22" t="s">
        <v>43</v>
      </c>
      <c r="G61" s="27" t="s">
        <v>49</v>
      </c>
      <c r="H61" s="23" t="s">
        <v>36</v>
      </c>
      <c r="I61" s="24" t="s">
        <v>35</v>
      </c>
      <c r="J61" s="25" t="s">
        <v>6</v>
      </c>
      <c r="K61" s="26"/>
      <c r="L61" s="41"/>
      <c r="M61" s="41"/>
      <c r="N61" s="41"/>
      <c r="O61" s="37"/>
      <c r="P61" s="37"/>
      <c r="Q61" s="37"/>
      <c r="S61" s="29"/>
      <c r="T61" s="30"/>
      <c r="U61" s="31"/>
      <c r="V61" s="29"/>
      <c r="W61" s="31"/>
      <c r="X61" s="29"/>
      <c r="Y61" s="31"/>
      <c r="Z61" s="32"/>
      <c r="AA61" s="32"/>
    </row>
    <row r="62" spans="1:27">
      <c r="A62" s="42" t="str">
        <f>AA62</f>
        <v>REFGEN_REG_QUAD0_SAR0_SLC3</v>
      </c>
      <c r="B62" s="43" t="str">
        <f>DEC2HEX(O62*4)</f>
        <v>0</v>
      </c>
      <c r="C62" s="44" t="str">
        <f>bitConcat(F63:F66)</f>
        <v>32'b00000000000000000000000000000000</v>
      </c>
      <c r="D62" s="44"/>
      <c r="E62" s="44"/>
      <c r="F62" s="44"/>
      <c r="G62" s="44"/>
      <c r="H62" s="44"/>
      <c r="I62" s="44"/>
      <c r="J62" s="44"/>
      <c r="K62" s="44"/>
      <c r="L62" s="45" t="str">
        <f t="shared" si="10"/>
        <v>C0</v>
      </c>
      <c r="M62" s="45"/>
      <c r="N62" s="45">
        <f t="shared" ref="N62" si="38">S62</f>
        <v>0</v>
      </c>
      <c r="O62" s="38">
        <v>0</v>
      </c>
      <c r="P62" s="38" t="str">
        <f t="shared" ref="P62" si="39">DEC2HEX(HEX2DEC(Z62)*4)</f>
        <v>C0</v>
      </c>
      <c r="Q62" s="38" t="str">
        <f>BIN2HEX(LEFT(RIGHT(C62,32),4))&amp;BIN2HEX(LEFT(RIGHT(C62,28),4))&amp;BIN2HEX(LEFT(RIGHT(C62,24),4))&amp;BIN2HEX(LEFT(RIGHT(C62,20),4))&amp;BIN2HEX(LEFT(RIGHT(C62,16),4))&amp;BIN2HEX(LEFT(RIGHT(C62,12),4))&amp;BIN2HEX(LEFT(RIGHT(C62,8),4))&amp;BIN2HEX(LEFT(RIGHT(C62,4),4))</f>
        <v>00000000</v>
      </c>
      <c r="S62" s="29">
        <v>0</v>
      </c>
      <c r="T62" s="30">
        <v>1</v>
      </c>
      <c r="U62" s="31">
        <v>1</v>
      </c>
      <c r="V62" s="29">
        <v>0</v>
      </c>
      <c r="W62" s="31">
        <v>0</v>
      </c>
      <c r="X62" s="29">
        <v>0</v>
      </c>
      <c r="Y62" s="31">
        <v>0</v>
      </c>
      <c r="Z62" s="32" t="str">
        <f t="shared" si="0"/>
        <v>30</v>
      </c>
      <c r="AA62" s="32" t="str">
        <f>CONCATENATE("REFGEN_REG_QUAD",BIN2DEC(X62&amp;Y62),"_SAR",BIN2DEC(V62&amp;W62),"_SLC",BIN2DEC(S62&amp;T62&amp;U62),)</f>
        <v>REFGEN_REG_QUAD0_SAR0_SLC3</v>
      </c>
    </row>
    <row r="63" spans="1:27" ht="30">
      <c r="A63" s="39"/>
      <c r="B63" s="40"/>
      <c r="C63" s="16" t="s">
        <v>48</v>
      </c>
      <c r="D63" s="36">
        <v>8</v>
      </c>
      <c r="E63" s="21" t="str">
        <f>IF(D63&gt;1,(31)&amp;":"&amp;(31-D63+1),(31-D63+1)&amp;":"&amp;(31-D63+1))</f>
        <v>31:24</v>
      </c>
      <c r="F63" s="22" t="s">
        <v>43</v>
      </c>
      <c r="G63" s="27" t="s">
        <v>49</v>
      </c>
      <c r="H63" s="23" t="s">
        <v>36</v>
      </c>
      <c r="I63" s="24" t="s">
        <v>35</v>
      </c>
      <c r="J63" s="25" t="s">
        <v>6</v>
      </c>
      <c r="K63" s="26"/>
      <c r="L63" s="41"/>
      <c r="M63" s="41"/>
      <c r="N63" s="41"/>
      <c r="O63" s="37"/>
      <c r="P63" s="37"/>
      <c r="Q63" s="37"/>
      <c r="S63" s="29"/>
      <c r="T63" s="30"/>
      <c r="U63" s="31"/>
      <c r="V63" s="29"/>
      <c r="W63" s="31"/>
      <c r="X63" s="29"/>
      <c r="Y63" s="31"/>
      <c r="Z63" s="32"/>
      <c r="AA63" s="32"/>
    </row>
    <row r="64" spans="1:27" ht="30">
      <c r="A64" s="39"/>
      <c r="B64" s="40"/>
      <c r="C64" s="16" t="s">
        <v>50</v>
      </c>
      <c r="D64" s="36">
        <v>8</v>
      </c>
      <c r="E64" s="22" t="str">
        <f t="shared" ref="E64:E66" si="40">(MID(str_cnvt(E63),SEARCH(":",str_cnvt(E63))+1,2)-1) &amp; ":" &amp; (MID(str_cnvt(E63),SEARCH(":",str_cnvt(E63))+1,2)-D64)</f>
        <v>23:16</v>
      </c>
      <c r="F64" s="22" t="s">
        <v>43</v>
      </c>
      <c r="G64" s="27" t="s">
        <v>49</v>
      </c>
      <c r="H64" s="23" t="s">
        <v>36</v>
      </c>
      <c r="I64" s="24" t="s">
        <v>35</v>
      </c>
      <c r="J64" s="25" t="s">
        <v>6</v>
      </c>
      <c r="K64" s="26"/>
      <c r="L64" s="41"/>
      <c r="M64" s="41"/>
      <c r="N64" s="41"/>
      <c r="O64" s="37"/>
      <c r="P64" s="37"/>
      <c r="Q64" s="37"/>
      <c r="S64" s="29"/>
      <c r="T64" s="30"/>
      <c r="U64" s="31"/>
      <c r="V64" s="29"/>
      <c r="W64" s="31"/>
      <c r="X64" s="29"/>
      <c r="Y64" s="31"/>
      <c r="Z64" s="32"/>
      <c r="AA64" s="32"/>
    </row>
    <row r="65" spans="1:27" ht="30">
      <c r="A65" s="39"/>
      <c r="B65" s="40"/>
      <c r="C65" s="16" t="s">
        <v>51</v>
      </c>
      <c r="D65" s="36">
        <v>8</v>
      </c>
      <c r="E65" s="22" t="str">
        <f t="shared" si="40"/>
        <v>15:8</v>
      </c>
      <c r="F65" s="22" t="s">
        <v>43</v>
      </c>
      <c r="G65" s="27" t="s">
        <v>49</v>
      </c>
      <c r="H65" s="23" t="s">
        <v>36</v>
      </c>
      <c r="I65" s="24" t="s">
        <v>35</v>
      </c>
      <c r="J65" s="25" t="s">
        <v>6</v>
      </c>
      <c r="K65" s="26"/>
      <c r="L65" s="41"/>
      <c r="M65" s="41"/>
      <c r="N65" s="41"/>
      <c r="O65" s="37"/>
      <c r="P65" s="37"/>
      <c r="Q65" s="37"/>
      <c r="S65" s="29"/>
      <c r="T65" s="30"/>
      <c r="U65" s="31"/>
      <c r="V65" s="29"/>
      <c r="W65" s="31"/>
      <c r="X65" s="29"/>
      <c r="Y65" s="31"/>
      <c r="Z65" s="32"/>
      <c r="AA65" s="32"/>
    </row>
    <row r="66" spans="1:27" ht="30.75" thickBot="1">
      <c r="A66" s="39"/>
      <c r="B66" s="40"/>
      <c r="C66" s="16" t="s">
        <v>52</v>
      </c>
      <c r="D66" s="36">
        <v>8</v>
      </c>
      <c r="E66" s="22" t="str">
        <f t="shared" si="40"/>
        <v>7:0</v>
      </c>
      <c r="F66" s="22" t="s">
        <v>43</v>
      </c>
      <c r="G66" s="27" t="s">
        <v>49</v>
      </c>
      <c r="H66" s="23" t="s">
        <v>36</v>
      </c>
      <c r="I66" s="24" t="s">
        <v>35</v>
      </c>
      <c r="J66" s="25" t="s">
        <v>6</v>
      </c>
      <c r="K66" s="26"/>
      <c r="L66" s="41"/>
      <c r="M66" s="41"/>
      <c r="N66" s="41"/>
      <c r="O66" s="37"/>
      <c r="P66" s="37"/>
      <c r="Q66" s="37"/>
      <c r="S66" s="29"/>
      <c r="T66" s="30"/>
      <c r="U66" s="31"/>
      <c r="V66" s="29"/>
      <c r="W66" s="31"/>
      <c r="X66" s="29"/>
      <c r="Y66" s="31"/>
      <c r="Z66" s="32"/>
      <c r="AA66" s="32"/>
    </row>
    <row r="67" spans="1:27">
      <c r="A67" s="42" t="str">
        <f>AA67</f>
        <v>REFGEN_REG_QUAD1_SAR0_SLC3</v>
      </c>
      <c r="B67" s="43" t="str">
        <f>DEC2HEX(O67*4)</f>
        <v>0</v>
      </c>
      <c r="C67" s="44" t="str">
        <f>bitConcat(F68:F71)</f>
        <v>32'b00000000000000000000000000000000</v>
      </c>
      <c r="D67" s="44"/>
      <c r="E67" s="44"/>
      <c r="F67" s="44"/>
      <c r="G67" s="44"/>
      <c r="H67" s="44"/>
      <c r="I67" s="44"/>
      <c r="J67" s="44"/>
      <c r="K67" s="44"/>
      <c r="L67" s="45" t="str">
        <f t="shared" si="10"/>
        <v>C4</v>
      </c>
      <c r="M67" s="45"/>
      <c r="N67" s="45">
        <f t="shared" ref="N67" si="41">S67</f>
        <v>0</v>
      </c>
      <c r="O67" s="38">
        <v>0</v>
      </c>
      <c r="P67" s="38" t="str">
        <f t="shared" ref="P67" si="42">DEC2HEX(HEX2DEC(Z67)*4)</f>
        <v>C4</v>
      </c>
      <c r="Q67" s="38" t="str">
        <f>BIN2HEX(LEFT(RIGHT(C67,32),4))&amp;BIN2HEX(LEFT(RIGHT(C67,28),4))&amp;BIN2HEX(LEFT(RIGHT(C67,24),4))&amp;BIN2HEX(LEFT(RIGHT(C67,20),4))&amp;BIN2HEX(LEFT(RIGHT(C67,16),4))&amp;BIN2HEX(LEFT(RIGHT(C67,12),4))&amp;BIN2HEX(LEFT(RIGHT(C67,8),4))&amp;BIN2HEX(LEFT(RIGHT(C67,4),4))</f>
        <v>00000000</v>
      </c>
      <c r="S67" s="29">
        <v>0</v>
      </c>
      <c r="T67" s="30">
        <v>1</v>
      </c>
      <c r="U67" s="31">
        <v>1</v>
      </c>
      <c r="V67" s="29">
        <v>0</v>
      </c>
      <c r="W67" s="31">
        <v>0</v>
      </c>
      <c r="X67" s="29">
        <v>0</v>
      </c>
      <c r="Y67" s="31">
        <v>1</v>
      </c>
      <c r="Z67" s="32" t="str">
        <f t="shared" si="0"/>
        <v>31</v>
      </c>
      <c r="AA67" s="32" t="str">
        <f>CONCATENATE("REFGEN_REG_QUAD",BIN2DEC(X67&amp;Y67),"_SAR",BIN2DEC(V67&amp;W67),"_SLC",BIN2DEC(S67&amp;T67&amp;U67),)</f>
        <v>REFGEN_REG_QUAD1_SAR0_SLC3</v>
      </c>
    </row>
    <row r="68" spans="1:27" ht="30">
      <c r="A68" s="39"/>
      <c r="B68" s="40"/>
      <c r="C68" s="16" t="s">
        <v>48</v>
      </c>
      <c r="D68" s="36">
        <v>8</v>
      </c>
      <c r="E68" s="21" t="str">
        <f>IF(D68&gt;1,(31)&amp;":"&amp;(31-D68+1),(31-D68+1)&amp;":"&amp;(31-D68+1))</f>
        <v>31:24</v>
      </c>
      <c r="F68" s="22" t="s">
        <v>43</v>
      </c>
      <c r="G68" s="27" t="s">
        <v>49</v>
      </c>
      <c r="H68" s="23" t="s">
        <v>36</v>
      </c>
      <c r="I68" s="24" t="s">
        <v>35</v>
      </c>
      <c r="J68" s="25" t="s">
        <v>6</v>
      </c>
      <c r="K68" s="26"/>
      <c r="L68" s="41"/>
      <c r="M68" s="41"/>
      <c r="N68" s="41"/>
      <c r="O68" s="37"/>
      <c r="P68" s="37"/>
      <c r="Q68" s="37"/>
      <c r="S68" s="29"/>
      <c r="T68" s="30"/>
      <c r="U68" s="31"/>
      <c r="V68" s="29"/>
      <c r="W68" s="31"/>
      <c r="X68" s="29"/>
      <c r="Y68" s="31"/>
      <c r="Z68" s="32"/>
      <c r="AA68" s="32"/>
    </row>
    <row r="69" spans="1:27" ht="30">
      <c r="A69" s="39"/>
      <c r="B69" s="40"/>
      <c r="C69" s="16" t="s">
        <v>50</v>
      </c>
      <c r="D69" s="36">
        <v>8</v>
      </c>
      <c r="E69" s="22" t="str">
        <f t="shared" ref="E69:E71" si="43">(MID(str_cnvt(E68),SEARCH(":",str_cnvt(E68))+1,2)-1) &amp; ":" &amp; (MID(str_cnvt(E68),SEARCH(":",str_cnvt(E68))+1,2)-D69)</f>
        <v>23:16</v>
      </c>
      <c r="F69" s="22" t="s">
        <v>43</v>
      </c>
      <c r="G69" s="27" t="s">
        <v>49</v>
      </c>
      <c r="H69" s="23" t="s">
        <v>36</v>
      </c>
      <c r="I69" s="24" t="s">
        <v>35</v>
      </c>
      <c r="J69" s="25" t="s">
        <v>6</v>
      </c>
      <c r="K69" s="26"/>
      <c r="L69" s="41"/>
      <c r="M69" s="41"/>
      <c r="N69" s="41"/>
      <c r="O69" s="37"/>
      <c r="P69" s="37"/>
      <c r="Q69" s="37"/>
      <c r="S69" s="29"/>
      <c r="T69" s="30"/>
      <c r="U69" s="31"/>
      <c r="V69" s="29"/>
      <c r="W69" s="31"/>
      <c r="X69" s="29"/>
      <c r="Y69" s="31"/>
      <c r="Z69" s="32"/>
      <c r="AA69" s="32"/>
    </row>
    <row r="70" spans="1:27" ht="30">
      <c r="A70" s="39"/>
      <c r="B70" s="40"/>
      <c r="C70" s="16" t="s">
        <v>51</v>
      </c>
      <c r="D70" s="36">
        <v>8</v>
      </c>
      <c r="E70" s="22" t="str">
        <f t="shared" si="43"/>
        <v>15:8</v>
      </c>
      <c r="F70" s="22" t="s">
        <v>43</v>
      </c>
      <c r="G70" s="27" t="s">
        <v>49</v>
      </c>
      <c r="H70" s="23" t="s">
        <v>36</v>
      </c>
      <c r="I70" s="24" t="s">
        <v>35</v>
      </c>
      <c r="J70" s="25" t="s">
        <v>6</v>
      </c>
      <c r="K70" s="26"/>
      <c r="L70" s="41"/>
      <c r="M70" s="41"/>
      <c r="N70" s="41"/>
      <c r="O70" s="37"/>
      <c r="P70" s="37"/>
      <c r="Q70" s="37"/>
      <c r="S70" s="29"/>
      <c r="T70" s="30"/>
      <c r="U70" s="31"/>
      <c r="V70" s="29"/>
      <c r="W70" s="31"/>
      <c r="X70" s="29"/>
      <c r="Y70" s="31"/>
      <c r="Z70" s="32"/>
      <c r="AA70" s="32"/>
    </row>
    <row r="71" spans="1:27" ht="30.75" thickBot="1">
      <c r="A71" s="39"/>
      <c r="B71" s="40"/>
      <c r="C71" s="16" t="s">
        <v>52</v>
      </c>
      <c r="D71" s="36">
        <v>8</v>
      </c>
      <c r="E71" s="22" t="str">
        <f t="shared" si="43"/>
        <v>7:0</v>
      </c>
      <c r="F71" s="22" t="s">
        <v>43</v>
      </c>
      <c r="G71" s="27" t="s">
        <v>49</v>
      </c>
      <c r="H71" s="23" t="s">
        <v>36</v>
      </c>
      <c r="I71" s="24" t="s">
        <v>35</v>
      </c>
      <c r="J71" s="25" t="s">
        <v>6</v>
      </c>
      <c r="K71" s="26"/>
      <c r="L71" s="41"/>
      <c r="M71" s="41"/>
      <c r="N71" s="41"/>
      <c r="O71" s="37"/>
      <c r="P71" s="37"/>
      <c r="Q71" s="37"/>
      <c r="S71" s="29"/>
      <c r="T71" s="30"/>
      <c r="U71" s="31"/>
      <c r="V71" s="29"/>
      <c r="W71" s="31"/>
      <c r="X71" s="29"/>
      <c r="Y71" s="31"/>
      <c r="Z71" s="32"/>
      <c r="AA71" s="32"/>
    </row>
    <row r="72" spans="1:27">
      <c r="A72" s="42" t="str">
        <f>AA72</f>
        <v>REFGEN_REG_QUAD2_SAR0_SLC3</v>
      </c>
      <c r="B72" s="43" t="str">
        <f>DEC2HEX(O72*4)</f>
        <v>0</v>
      </c>
      <c r="C72" s="44" t="str">
        <f>bitConcat(F73:F76)</f>
        <v>32'b00000000000000000000000000000000</v>
      </c>
      <c r="D72" s="44"/>
      <c r="E72" s="44"/>
      <c r="F72" s="44"/>
      <c r="G72" s="44"/>
      <c r="H72" s="44"/>
      <c r="I72" s="44"/>
      <c r="J72" s="44"/>
      <c r="K72" s="44"/>
      <c r="L72" s="45" t="str">
        <f t="shared" si="10"/>
        <v>C8</v>
      </c>
      <c r="M72" s="45"/>
      <c r="N72" s="45">
        <f t="shared" ref="N72" si="44">S72</f>
        <v>0</v>
      </c>
      <c r="O72" s="38">
        <v>0</v>
      </c>
      <c r="P72" s="38" t="str">
        <f t="shared" ref="P72" si="45">DEC2HEX(HEX2DEC(Z72)*4)</f>
        <v>C8</v>
      </c>
      <c r="Q72" s="38" t="str">
        <f>BIN2HEX(LEFT(RIGHT(C72,32),4))&amp;BIN2HEX(LEFT(RIGHT(C72,28),4))&amp;BIN2HEX(LEFT(RIGHT(C72,24),4))&amp;BIN2HEX(LEFT(RIGHT(C72,20),4))&amp;BIN2HEX(LEFT(RIGHT(C72,16),4))&amp;BIN2HEX(LEFT(RIGHT(C72,12),4))&amp;BIN2HEX(LEFT(RIGHT(C72,8),4))&amp;BIN2HEX(LEFT(RIGHT(C72,4),4))</f>
        <v>00000000</v>
      </c>
      <c r="S72" s="29">
        <v>0</v>
      </c>
      <c r="T72" s="30">
        <v>1</v>
      </c>
      <c r="U72" s="31">
        <v>1</v>
      </c>
      <c r="V72" s="29">
        <v>0</v>
      </c>
      <c r="W72" s="31">
        <v>0</v>
      </c>
      <c r="X72" s="29">
        <v>1</v>
      </c>
      <c r="Y72" s="31">
        <v>0</v>
      </c>
      <c r="Z72" s="32" t="str">
        <f t="shared" si="0"/>
        <v>32</v>
      </c>
      <c r="AA72" s="32" t="str">
        <f>CONCATENATE("REFGEN_REG_QUAD",BIN2DEC(X72&amp;Y72),"_SAR",BIN2DEC(V72&amp;W72),"_SLC",BIN2DEC(S72&amp;T72&amp;U72),)</f>
        <v>REFGEN_REG_QUAD2_SAR0_SLC3</v>
      </c>
    </row>
    <row r="73" spans="1:27" ht="30">
      <c r="A73" s="39"/>
      <c r="B73" s="40"/>
      <c r="C73" s="16" t="s">
        <v>48</v>
      </c>
      <c r="D73" s="36">
        <v>8</v>
      </c>
      <c r="E73" s="21" t="str">
        <f>IF(D73&gt;1,(31)&amp;":"&amp;(31-D73+1),(31-D73+1)&amp;":"&amp;(31-D73+1))</f>
        <v>31:24</v>
      </c>
      <c r="F73" s="22" t="s">
        <v>43</v>
      </c>
      <c r="G73" s="27" t="s">
        <v>49</v>
      </c>
      <c r="H73" s="23" t="s">
        <v>36</v>
      </c>
      <c r="I73" s="24" t="s">
        <v>35</v>
      </c>
      <c r="J73" s="25" t="s">
        <v>6</v>
      </c>
      <c r="K73" s="26"/>
      <c r="L73" s="41"/>
      <c r="M73" s="41"/>
      <c r="N73" s="41"/>
      <c r="O73" s="37"/>
      <c r="P73" s="37"/>
      <c r="Q73" s="37"/>
      <c r="S73" s="29"/>
      <c r="T73" s="30"/>
      <c r="U73" s="31"/>
      <c r="V73" s="29"/>
      <c r="W73" s="31"/>
      <c r="X73" s="29"/>
      <c r="Y73" s="31"/>
      <c r="Z73" s="32"/>
      <c r="AA73" s="32"/>
    </row>
    <row r="74" spans="1:27" ht="30">
      <c r="A74" s="39"/>
      <c r="B74" s="40"/>
      <c r="C74" s="16" t="s">
        <v>50</v>
      </c>
      <c r="D74" s="36">
        <v>8</v>
      </c>
      <c r="E74" s="22" t="str">
        <f t="shared" ref="E74:E76" si="46">(MID(str_cnvt(E73),SEARCH(":",str_cnvt(E73))+1,2)-1) &amp; ":" &amp; (MID(str_cnvt(E73),SEARCH(":",str_cnvt(E73))+1,2)-D74)</f>
        <v>23:16</v>
      </c>
      <c r="F74" s="22" t="s">
        <v>43</v>
      </c>
      <c r="G74" s="27" t="s">
        <v>49</v>
      </c>
      <c r="H74" s="23" t="s">
        <v>36</v>
      </c>
      <c r="I74" s="24" t="s">
        <v>35</v>
      </c>
      <c r="J74" s="25" t="s">
        <v>6</v>
      </c>
      <c r="K74" s="26"/>
      <c r="L74" s="41"/>
      <c r="M74" s="41"/>
      <c r="N74" s="41"/>
      <c r="O74" s="37"/>
      <c r="P74" s="37"/>
      <c r="Q74" s="37"/>
      <c r="S74" s="29"/>
      <c r="T74" s="30"/>
      <c r="U74" s="31"/>
      <c r="V74" s="29"/>
      <c r="W74" s="31"/>
      <c r="X74" s="29"/>
      <c r="Y74" s="31"/>
      <c r="Z74" s="32"/>
      <c r="AA74" s="32"/>
    </row>
    <row r="75" spans="1:27" ht="30">
      <c r="A75" s="39"/>
      <c r="B75" s="40"/>
      <c r="C75" s="16" t="s">
        <v>51</v>
      </c>
      <c r="D75" s="36">
        <v>8</v>
      </c>
      <c r="E75" s="22" t="str">
        <f t="shared" si="46"/>
        <v>15:8</v>
      </c>
      <c r="F75" s="22" t="s">
        <v>43</v>
      </c>
      <c r="G75" s="27" t="s">
        <v>49</v>
      </c>
      <c r="H75" s="23" t="s">
        <v>36</v>
      </c>
      <c r="I75" s="24" t="s">
        <v>35</v>
      </c>
      <c r="J75" s="25" t="s">
        <v>6</v>
      </c>
      <c r="K75" s="26"/>
      <c r="L75" s="41"/>
      <c r="M75" s="41"/>
      <c r="N75" s="41"/>
      <c r="O75" s="37"/>
      <c r="P75" s="37"/>
      <c r="Q75" s="37"/>
      <c r="S75" s="29"/>
      <c r="T75" s="30"/>
      <c r="U75" s="31"/>
      <c r="V75" s="29"/>
      <c r="W75" s="31"/>
      <c r="X75" s="29"/>
      <c r="Y75" s="31"/>
      <c r="Z75" s="32"/>
      <c r="AA75" s="32"/>
    </row>
    <row r="76" spans="1:27" ht="30.75" thickBot="1">
      <c r="A76" s="39"/>
      <c r="B76" s="40"/>
      <c r="C76" s="16" t="s">
        <v>52</v>
      </c>
      <c r="D76" s="36">
        <v>8</v>
      </c>
      <c r="E76" s="22" t="str">
        <f t="shared" si="46"/>
        <v>7:0</v>
      </c>
      <c r="F76" s="22" t="s">
        <v>43</v>
      </c>
      <c r="G76" s="27" t="s">
        <v>49</v>
      </c>
      <c r="H76" s="23" t="s">
        <v>36</v>
      </c>
      <c r="I76" s="24" t="s">
        <v>35</v>
      </c>
      <c r="J76" s="25" t="s">
        <v>6</v>
      </c>
      <c r="K76" s="26"/>
      <c r="L76" s="41"/>
      <c r="M76" s="41"/>
      <c r="N76" s="41"/>
      <c r="O76" s="37"/>
      <c r="P76" s="37"/>
      <c r="Q76" s="37"/>
      <c r="S76" s="29"/>
      <c r="T76" s="30"/>
      <c r="U76" s="31"/>
      <c r="V76" s="29"/>
      <c r="W76" s="31"/>
      <c r="X76" s="29"/>
      <c r="Y76" s="31"/>
      <c r="Z76" s="32"/>
      <c r="AA76" s="32"/>
    </row>
    <row r="77" spans="1:27">
      <c r="A77" s="42" t="str">
        <f>AA77</f>
        <v>REFGEN_REG_QUAD3_SAR0_SLC3</v>
      </c>
      <c r="B77" s="43" t="str">
        <f>DEC2HEX(O77*4)</f>
        <v>0</v>
      </c>
      <c r="C77" s="44" t="str">
        <f>bitConcat(F78:F81)</f>
        <v>32'b00000000000000000000000000000000</v>
      </c>
      <c r="D77" s="44"/>
      <c r="E77" s="44"/>
      <c r="F77" s="44"/>
      <c r="G77" s="44"/>
      <c r="H77" s="44"/>
      <c r="I77" s="44"/>
      <c r="J77" s="44"/>
      <c r="K77" s="44"/>
      <c r="L77" s="45" t="str">
        <f t="shared" si="10"/>
        <v>CC</v>
      </c>
      <c r="M77" s="45"/>
      <c r="N77" s="45">
        <f t="shared" ref="N77" si="47">S77</f>
        <v>0</v>
      </c>
      <c r="O77" s="38">
        <v>0</v>
      </c>
      <c r="P77" s="38" t="str">
        <f t="shared" ref="P77" si="48">DEC2HEX(HEX2DEC(Z77)*4)</f>
        <v>CC</v>
      </c>
      <c r="Q77" s="38" t="str">
        <f>BIN2HEX(LEFT(RIGHT(C77,32),4))&amp;BIN2HEX(LEFT(RIGHT(C77,28),4))&amp;BIN2HEX(LEFT(RIGHT(C77,24),4))&amp;BIN2HEX(LEFT(RIGHT(C77,20),4))&amp;BIN2HEX(LEFT(RIGHT(C77,16),4))&amp;BIN2HEX(LEFT(RIGHT(C77,12),4))&amp;BIN2HEX(LEFT(RIGHT(C77,8),4))&amp;BIN2HEX(LEFT(RIGHT(C77,4),4))</f>
        <v>00000000</v>
      </c>
      <c r="S77" s="29">
        <v>0</v>
      </c>
      <c r="T77" s="30">
        <v>1</v>
      </c>
      <c r="U77" s="31">
        <v>1</v>
      </c>
      <c r="V77" s="29">
        <v>0</v>
      </c>
      <c r="W77" s="31">
        <v>0</v>
      </c>
      <c r="X77" s="29">
        <v>1</v>
      </c>
      <c r="Y77" s="31">
        <v>1</v>
      </c>
      <c r="Z77" s="32" t="str">
        <f t="shared" si="0"/>
        <v>33</v>
      </c>
      <c r="AA77" s="32" t="str">
        <f>CONCATENATE("REFGEN_REG_QUAD",BIN2DEC(X77&amp;Y77),"_SAR",BIN2DEC(V77&amp;W77),"_SLC",BIN2DEC(S77&amp;T77&amp;U77),)</f>
        <v>REFGEN_REG_QUAD3_SAR0_SLC3</v>
      </c>
    </row>
    <row r="78" spans="1:27" ht="30">
      <c r="A78" s="39"/>
      <c r="B78" s="40"/>
      <c r="C78" s="16" t="s">
        <v>48</v>
      </c>
      <c r="D78" s="36">
        <v>8</v>
      </c>
      <c r="E78" s="21" t="str">
        <f>IF(D78&gt;1,(31)&amp;":"&amp;(31-D78+1),(31-D78+1)&amp;":"&amp;(31-D78+1))</f>
        <v>31:24</v>
      </c>
      <c r="F78" s="22" t="s">
        <v>43</v>
      </c>
      <c r="G78" s="27" t="s">
        <v>49</v>
      </c>
      <c r="H78" s="23" t="s">
        <v>36</v>
      </c>
      <c r="I78" s="24" t="s">
        <v>35</v>
      </c>
      <c r="J78" s="25" t="s">
        <v>6</v>
      </c>
      <c r="K78" s="26"/>
      <c r="L78" s="41"/>
      <c r="M78" s="41"/>
      <c r="N78" s="41"/>
      <c r="O78" s="37"/>
      <c r="P78" s="37"/>
      <c r="Q78" s="37"/>
      <c r="S78" s="29"/>
      <c r="T78" s="30"/>
      <c r="U78" s="31"/>
      <c r="V78" s="29"/>
      <c r="W78" s="31"/>
      <c r="X78" s="29"/>
      <c r="Y78" s="31"/>
      <c r="Z78" s="32"/>
      <c r="AA78" s="32"/>
    </row>
    <row r="79" spans="1:27" ht="30">
      <c r="A79" s="39"/>
      <c r="B79" s="40"/>
      <c r="C79" s="16" t="s">
        <v>50</v>
      </c>
      <c r="D79" s="36">
        <v>8</v>
      </c>
      <c r="E79" s="22" t="str">
        <f t="shared" ref="E79:E81" si="49">(MID(str_cnvt(E78),SEARCH(":",str_cnvt(E78))+1,2)-1) &amp; ":" &amp; (MID(str_cnvt(E78),SEARCH(":",str_cnvt(E78))+1,2)-D79)</f>
        <v>23:16</v>
      </c>
      <c r="F79" s="22" t="s">
        <v>43</v>
      </c>
      <c r="G79" s="27" t="s">
        <v>49</v>
      </c>
      <c r="H79" s="23" t="s">
        <v>36</v>
      </c>
      <c r="I79" s="24" t="s">
        <v>35</v>
      </c>
      <c r="J79" s="25" t="s">
        <v>6</v>
      </c>
      <c r="K79" s="26"/>
      <c r="L79" s="41"/>
      <c r="M79" s="41"/>
      <c r="N79" s="41"/>
      <c r="O79" s="37"/>
      <c r="P79" s="37"/>
      <c r="Q79" s="37"/>
      <c r="S79" s="29"/>
      <c r="T79" s="30"/>
      <c r="U79" s="31"/>
      <c r="V79" s="29"/>
      <c r="W79" s="31"/>
      <c r="X79" s="29"/>
      <c r="Y79" s="31"/>
      <c r="Z79" s="32"/>
      <c r="AA79" s="32"/>
    </row>
    <row r="80" spans="1:27" ht="30">
      <c r="A80" s="39"/>
      <c r="B80" s="40"/>
      <c r="C80" s="16" t="s">
        <v>51</v>
      </c>
      <c r="D80" s="36">
        <v>8</v>
      </c>
      <c r="E80" s="22" t="str">
        <f t="shared" si="49"/>
        <v>15:8</v>
      </c>
      <c r="F80" s="22" t="s">
        <v>43</v>
      </c>
      <c r="G80" s="27" t="s">
        <v>49</v>
      </c>
      <c r="H80" s="23" t="s">
        <v>36</v>
      </c>
      <c r="I80" s="24" t="s">
        <v>35</v>
      </c>
      <c r="J80" s="25" t="s">
        <v>6</v>
      </c>
      <c r="K80" s="26"/>
      <c r="L80" s="41"/>
      <c r="M80" s="41"/>
      <c r="N80" s="41"/>
      <c r="O80" s="37"/>
      <c r="P80" s="37"/>
      <c r="Q80" s="37"/>
      <c r="S80" s="29"/>
      <c r="T80" s="30"/>
      <c r="U80" s="31"/>
      <c r="V80" s="29"/>
      <c r="W80" s="31"/>
      <c r="X80" s="29"/>
      <c r="Y80" s="31"/>
      <c r="Z80" s="32"/>
      <c r="AA80" s="32"/>
    </row>
    <row r="81" spans="1:27" ht="30.75" thickBot="1">
      <c r="A81" s="39"/>
      <c r="B81" s="40"/>
      <c r="C81" s="16" t="s">
        <v>52</v>
      </c>
      <c r="D81" s="36">
        <v>8</v>
      </c>
      <c r="E81" s="22" t="str">
        <f t="shared" si="49"/>
        <v>7:0</v>
      </c>
      <c r="F81" s="22" t="s">
        <v>43</v>
      </c>
      <c r="G81" s="27" t="s">
        <v>49</v>
      </c>
      <c r="H81" s="23" t="s">
        <v>36</v>
      </c>
      <c r="I81" s="24" t="s">
        <v>35</v>
      </c>
      <c r="J81" s="25" t="s">
        <v>6</v>
      </c>
      <c r="K81" s="26"/>
      <c r="L81" s="41"/>
      <c r="M81" s="41"/>
      <c r="N81" s="41"/>
      <c r="O81" s="37"/>
      <c r="P81" s="37"/>
      <c r="Q81" s="37"/>
      <c r="S81" s="29"/>
      <c r="T81" s="30"/>
      <c r="U81" s="31"/>
      <c r="V81" s="29"/>
      <c r="W81" s="31"/>
      <c r="X81" s="29"/>
      <c r="Y81" s="31"/>
      <c r="Z81" s="32"/>
      <c r="AA81" s="32"/>
    </row>
    <row r="82" spans="1:27">
      <c r="A82" s="42" t="str">
        <f>AA82</f>
        <v>REFGEN_REG_QUAD0_SAR0_SLC4</v>
      </c>
      <c r="B82" s="43" t="str">
        <f>DEC2HEX(O82*4)</f>
        <v>0</v>
      </c>
      <c r="C82" s="44" t="str">
        <f>bitConcat(F83:F86)</f>
        <v>32'b00000000000000000000000000000000</v>
      </c>
      <c r="D82" s="44"/>
      <c r="E82" s="44"/>
      <c r="F82" s="44"/>
      <c r="G82" s="44"/>
      <c r="H82" s="44"/>
      <c r="I82" s="44"/>
      <c r="J82" s="44"/>
      <c r="K82" s="44"/>
      <c r="L82" s="45" t="str">
        <f t="shared" ref="L82:L142" si="50">DEC2HEX(_xlfn.BITLSHIFT(N82,7)+HEX2DEC(P82))</f>
        <v>180</v>
      </c>
      <c r="M82" s="45"/>
      <c r="N82" s="45">
        <f t="shared" ref="N82" si="51">S82</f>
        <v>1</v>
      </c>
      <c r="O82" s="38">
        <v>0</v>
      </c>
      <c r="P82" s="38" t="str">
        <f t="shared" ref="P82" si="52">DEC2HEX(HEX2DEC(Z82)*4)</f>
        <v>100</v>
      </c>
      <c r="Q82" s="38" t="str">
        <f>BIN2HEX(LEFT(RIGHT(C82,32),4))&amp;BIN2HEX(LEFT(RIGHT(C82,28),4))&amp;BIN2HEX(LEFT(RIGHT(C82,24),4))&amp;BIN2HEX(LEFT(RIGHT(C82,20),4))&amp;BIN2HEX(LEFT(RIGHT(C82,16),4))&amp;BIN2HEX(LEFT(RIGHT(C82,12),4))&amp;BIN2HEX(LEFT(RIGHT(C82,8),4))&amp;BIN2HEX(LEFT(RIGHT(C82,4),4))</f>
        <v>00000000</v>
      </c>
      <c r="S82" s="29">
        <v>1</v>
      </c>
      <c r="T82" s="30">
        <v>0</v>
      </c>
      <c r="U82" s="31">
        <v>0</v>
      </c>
      <c r="V82" s="29">
        <v>0</v>
      </c>
      <c r="W82" s="31">
        <v>0</v>
      </c>
      <c r="X82" s="29">
        <v>0</v>
      </c>
      <c r="Y82" s="31">
        <v>0</v>
      </c>
      <c r="Z82" s="32" t="str">
        <f t="shared" si="0"/>
        <v>40</v>
      </c>
      <c r="AA82" s="32" t="str">
        <f>CONCATENATE("REFGEN_REG_QUAD",BIN2DEC(X82&amp;Y82),"_SAR",BIN2DEC(V82&amp;W82),"_SLC",BIN2DEC(S82&amp;T82&amp;U82),)</f>
        <v>REFGEN_REG_QUAD0_SAR0_SLC4</v>
      </c>
    </row>
    <row r="83" spans="1:27" ht="30">
      <c r="A83" s="39"/>
      <c r="B83" s="40"/>
      <c r="C83" s="16" t="s">
        <v>48</v>
      </c>
      <c r="D83" s="36">
        <v>8</v>
      </c>
      <c r="E83" s="21" t="str">
        <f>IF(D83&gt;1,(31)&amp;":"&amp;(31-D83+1),(31-D83+1)&amp;":"&amp;(31-D83+1))</f>
        <v>31:24</v>
      </c>
      <c r="F83" s="22" t="s">
        <v>43</v>
      </c>
      <c r="G83" s="27" t="s">
        <v>49</v>
      </c>
      <c r="H83" s="23" t="s">
        <v>36</v>
      </c>
      <c r="I83" s="24" t="s">
        <v>35</v>
      </c>
      <c r="J83" s="25" t="s">
        <v>6</v>
      </c>
      <c r="K83" s="26"/>
      <c r="L83" s="41"/>
      <c r="M83" s="41"/>
      <c r="N83" s="41"/>
      <c r="O83" s="37"/>
      <c r="P83" s="37"/>
      <c r="Q83" s="37"/>
      <c r="S83" s="29"/>
      <c r="T83" s="30"/>
      <c r="U83" s="31"/>
      <c r="V83" s="29"/>
      <c r="W83" s="31"/>
      <c r="X83" s="29"/>
      <c r="Y83" s="31"/>
      <c r="Z83" s="32"/>
      <c r="AA83" s="32"/>
    </row>
    <row r="84" spans="1:27" ht="30">
      <c r="A84" s="39"/>
      <c r="B84" s="40"/>
      <c r="C84" s="16" t="s">
        <v>50</v>
      </c>
      <c r="D84" s="36">
        <v>8</v>
      </c>
      <c r="E84" s="22" t="str">
        <f t="shared" ref="E84:E86" si="53">(MID(str_cnvt(E83),SEARCH(":",str_cnvt(E83))+1,2)-1) &amp; ":" &amp; (MID(str_cnvt(E83),SEARCH(":",str_cnvt(E83))+1,2)-D84)</f>
        <v>23:16</v>
      </c>
      <c r="F84" s="22" t="s">
        <v>43</v>
      </c>
      <c r="G84" s="27" t="s">
        <v>49</v>
      </c>
      <c r="H84" s="23" t="s">
        <v>36</v>
      </c>
      <c r="I84" s="24" t="s">
        <v>35</v>
      </c>
      <c r="J84" s="25" t="s">
        <v>6</v>
      </c>
      <c r="K84" s="26"/>
      <c r="L84" s="41"/>
      <c r="M84" s="41"/>
      <c r="N84" s="41"/>
      <c r="O84" s="37"/>
      <c r="P84" s="37"/>
      <c r="Q84" s="37"/>
      <c r="S84" s="29"/>
      <c r="T84" s="30"/>
      <c r="U84" s="31"/>
      <c r="V84" s="29"/>
      <c r="W84" s="31"/>
      <c r="X84" s="29"/>
      <c r="Y84" s="31"/>
      <c r="Z84" s="32"/>
      <c r="AA84" s="32"/>
    </row>
    <row r="85" spans="1:27" ht="30">
      <c r="A85" s="39"/>
      <c r="B85" s="40"/>
      <c r="C85" s="16" t="s">
        <v>51</v>
      </c>
      <c r="D85" s="36">
        <v>8</v>
      </c>
      <c r="E85" s="22" t="str">
        <f t="shared" si="53"/>
        <v>15:8</v>
      </c>
      <c r="F85" s="22" t="s">
        <v>43</v>
      </c>
      <c r="G85" s="27" t="s">
        <v>49</v>
      </c>
      <c r="H85" s="23" t="s">
        <v>36</v>
      </c>
      <c r="I85" s="24" t="s">
        <v>35</v>
      </c>
      <c r="J85" s="25" t="s">
        <v>6</v>
      </c>
      <c r="K85" s="26"/>
      <c r="L85" s="41"/>
      <c r="M85" s="41"/>
      <c r="N85" s="41"/>
      <c r="O85" s="37"/>
      <c r="P85" s="37"/>
      <c r="Q85" s="37"/>
      <c r="S85" s="29"/>
      <c r="T85" s="30"/>
      <c r="U85" s="31"/>
      <c r="V85" s="29"/>
      <c r="W85" s="31"/>
      <c r="X85" s="29"/>
      <c r="Y85" s="31"/>
      <c r="Z85" s="32"/>
      <c r="AA85" s="32"/>
    </row>
    <row r="86" spans="1:27" ht="30.75" thickBot="1">
      <c r="A86" s="39"/>
      <c r="B86" s="40"/>
      <c r="C86" s="16" t="s">
        <v>52</v>
      </c>
      <c r="D86" s="36">
        <v>8</v>
      </c>
      <c r="E86" s="22" t="str">
        <f t="shared" si="53"/>
        <v>7:0</v>
      </c>
      <c r="F86" s="22" t="s">
        <v>43</v>
      </c>
      <c r="G86" s="27" t="s">
        <v>49</v>
      </c>
      <c r="H86" s="23" t="s">
        <v>36</v>
      </c>
      <c r="I86" s="24" t="s">
        <v>35</v>
      </c>
      <c r="J86" s="25" t="s">
        <v>6</v>
      </c>
      <c r="K86" s="26"/>
      <c r="L86" s="41"/>
      <c r="M86" s="41"/>
      <c r="N86" s="41"/>
      <c r="O86" s="37"/>
      <c r="P86" s="37"/>
      <c r="Q86" s="37"/>
      <c r="S86" s="29"/>
      <c r="T86" s="30"/>
      <c r="U86" s="31"/>
      <c r="V86" s="29"/>
      <c r="W86" s="31"/>
      <c r="X86" s="29"/>
      <c r="Y86" s="31"/>
      <c r="Z86" s="32"/>
      <c r="AA86" s="32"/>
    </row>
    <row r="87" spans="1:27">
      <c r="A87" s="42" t="str">
        <f>AA87</f>
        <v>REFGEN_REG_QUAD1_SAR0_SLC4</v>
      </c>
      <c r="B87" s="43" t="str">
        <f>DEC2HEX(O87*4)</f>
        <v>0</v>
      </c>
      <c r="C87" s="44" t="str">
        <f>bitConcat(F88:F91)</f>
        <v>32'b00000000000000000000000000000000</v>
      </c>
      <c r="D87" s="44"/>
      <c r="E87" s="44"/>
      <c r="F87" s="44"/>
      <c r="G87" s="44"/>
      <c r="H87" s="44"/>
      <c r="I87" s="44"/>
      <c r="J87" s="44"/>
      <c r="K87" s="44"/>
      <c r="L87" s="45" t="str">
        <f t="shared" si="50"/>
        <v>184</v>
      </c>
      <c r="M87" s="45"/>
      <c r="N87" s="45">
        <f t="shared" ref="N87" si="54">S87</f>
        <v>1</v>
      </c>
      <c r="O87" s="38">
        <v>0</v>
      </c>
      <c r="P87" s="38" t="str">
        <f t="shared" ref="P87" si="55">DEC2HEX(HEX2DEC(Z87)*4)</f>
        <v>104</v>
      </c>
      <c r="Q87" s="38" t="str">
        <f>BIN2HEX(LEFT(RIGHT(C87,32),4))&amp;BIN2HEX(LEFT(RIGHT(C87,28),4))&amp;BIN2HEX(LEFT(RIGHT(C87,24),4))&amp;BIN2HEX(LEFT(RIGHT(C87,20),4))&amp;BIN2HEX(LEFT(RIGHT(C87,16),4))&amp;BIN2HEX(LEFT(RIGHT(C87,12),4))&amp;BIN2HEX(LEFT(RIGHT(C87,8),4))&amp;BIN2HEX(LEFT(RIGHT(C87,4),4))</f>
        <v>00000000</v>
      </c>
      <c r="S87" s="29">
        <v>1</v>
      </c>
      <c r="T87" s="30">
        <v>0</v>
      </c>
      <c r="U87" s="31">
        <v>0</v>
      </c>
      <c r="V87" s="29">
        <v>0</v>
      </c>
      <c r="W87" s="31">
        <v>0</v>
      </c>
      <c r="X87" s="29">
        <v>0</v>
      </c>
      <c r="Y87" s="31">
        <v>1</v>
      </c>
      <c r="Z87" s="32" t="str">
        <f t="shared" si="0"/>
        <v>41</v>
      </c>
      <c r="AA87" s="32" t="str">
        <f>CONCATENATE("REFGEN_REG_QUAD",BIN2DEC(X87&amp;Y87),"_SAR",BIN2DEC(V87&amp;W87),"_SLC",BIN2DEC(S87&amp;T87&amp;U87),)</f>
        <v>REFGEN_REG_QUAD1_SAR0_SLC4</v>
      </c>
    </row>
    <row r="88" spans="1:27" ht="30">
      <c r="A88" s="39"/>
      <c r="B88" s="40"/>
      <c r="C88" s="16" t="s">
        <v>48</v>
      </c>
      <c r="D88" s="36">
        <v>8</v>
      </c>
      <c r="E88" s="21" t="str">
        <f>IF(D88&gt;1,(31)&amp;":"&amp;(31-D88+1),(31-D88+1)&amp;":"&amp;(31-D88+1))</f>
        <v>31:24</v>
      </c>
      <c r="F88" s="22" t="s">
        <v>43</v>
      </c>
      <c r="G88" s="27" t="s">
        <v>49</v>
      </c>
      <c r="H88" s="23" t="s">
        <v>36</v>
      </c>
      <c r="I88" s="24" t="s">
        <v>35</v>
      </c>
      <c r="J88" s="25" t="s">
        <v>6</v>
      </c>
      <c r="K88" s="26"/>
      <c r="L88" s="41"/>
      <c r="M88" s="41"/>
      <c r="N88" s="41"/>
      <c r="O88" s="37"/>
      <c r="P88" s="37"/>
      <c r="Q88" s="37"/>
      <c r="S88" s="29"/>
      <c r="T88" s="30"/>
      <c r="U88" s="31"/>
      <c r="V88" s="29"/>
      <c r="W88" s="31"/>
      <c r="X88" s="29"/>
      <c r="Y88" s="31"/>
      <c r="Z88" s="32"/>
      <c r="AA88" s="32"/>
    </row>
    <row r="89" spans="1:27" ht="30">
      <c r="A89" s="39"/>
      <c r="B89" s="40"/>
      <c r="C89" s="16" t="s">
        <v>50</v>
      </c>
      <c r="D89" s="36">
        <v>8</v>
      </c>
      <c r="E89" s="22" t="str">
        <f t="shared" ref="E89:E91" si="56">(MID(str_cnvt(E88),SEARCH(":",str_cnvt(E88))+1,2)-1) &amp; ":" &amp; (MID(str_cnvt(E88),SEARCH(":",str_cnvt(E88))+1,2)-D89)</f>
        <v>23:16</v>
      </c>
      <c r="F89" s="22" t="s">
        <v>43</v>
      </c>
      <c r="G89" s="27" t="s">
        <v>49</v>
      </c>
      <c r="H89" s="23" t="s">
        <v>36</v>
      </c>
      <c r="I89" s="24" t="s">
        <v>35</v>
      </c>
      <c r="J89" s="25" t="s">
        <v>6</v>
      </c>
      <c r="K89" s="26"/>
      <c r="L89" s="41"/>
      <c r="M89" s="41"/>
      <c r="N89" s="41"/>
      <c r="O89" s="37"/>
      <c r="P89" s="37"/>
      <c r="Q89" s="37"/>
      <c r="S89" s="29"/>
      <c r="T89" s="30"/>
      <c r="U89" s="31"/>
      <c r="V89" s="29"/>
      <c r="W89" s="31"/>
      <c r="X89" s="29"/>
      <c r="Y89" s="31"/>
      <c r="Z89" s="32"/>
      <c r="AA89" s="32"/>
    </row>
    <row r="90" spans="1:27" ht="30">
      <c r="A90" s="39"/>
      <c r="B90" s="40"/>
      <c r="C90" s="16" t="s">
        <v>51</v>
      </c>
      <c r="D90" s="36">
        <v>8</v>
      </c>
      <c r="E90" s="22" t="str">
        <f t="shared" si="56"/>
        <v>15:8</v>
      </c>
      <c r="F90" s="22" t="s">
        <v>43</v>
      </c>
      <c r="G90" s="27" t="s">
        <v>49</v>
      </c>
      <c r="H90" s="23" t="s">
        <v>36</v>
      </c>
      <c r="I90" s="24" t="s">
        <v>35</v>
      </c>
      <c r="J90" s="25" t="s">
        <v>6</v>
      </c>
      <c r="K90" s="26"/>
      <c r="L90" s="41"/>
      <c r="M90" s="41"/>
      <c r="N90" s="41"/>
      <c r="O90" s="37"/>
      <c r="P90" s="37"/>
      <c r="Q90" s="37"/>
      <c r="S90" s="29"/>
      <c r="T90" s="30"/>
      <c r="U90" s="31"/>
      <c r="V90" s="29"/>
      <c r="W90" s="31"/>
      <c r="X90" s="29"/>
      <c r="Y90" s="31"/>
      <c r="Z90" s="32"/>
      <c r="AA90" s="32"/>
    </row>
    <row r="91" spans="1:27" ht="30.75" thickBot="1">
      <c r="A91" s="39"/>
      <c r="B91" s="40"/>
      <c r="C91" s="16" t="s">
        <v>52</v>
      </c>
      <c r="D91" s="36">
        <v>8</v>
      </c>
      <c r="E91" s="22" t="str">
        <f t="shared" si="56"/>
        <v>7:0</v>
      </c>
      <c r="F91" s="22" t="s">
        <v>43</v>
      </c>
      <c r="G91" s="27" t="s">
        <v>49</v>
      </c>
      <c r="H91" s="23" t="s">
        <v>36</v>
      </c>
      <c r="I91" s="24" t="s">
        <v>35</v>
      </c>
      <c r="J91" s="25" t="s">
        <v>6</v>
      </c>
      <c r="K91" s="26"/>
      <c r="L91" s="41"/>
      <c r="M91" s="41"/>
      <c r="N91" s="41"/>
      <c r="O91" s="37"/>
      <c r="P91" s="37"/>
      <c r="Q91" s="37"/>
      <c r="S91" s="29"/>
      <c r="T91" s="30"/>
      <c r="U91" s="31"/>
      <c r="V91" s="29"/>
      <c r="W91" s="31"/>
      <c r="X91" s="29"/>
      <c r="Y91" s="31"/>
      <c r="Z91" s="32"/>
      <c r="AA91" s="32"/>
    </row>
    <row r="92" spans="1:27">
      <c r="A92" s="42" t="str">
        <f>AA92</f>
        <v>REFGEN_REG_QUAD2_SAR0_SLC4</v>
      </c>
      <c r="B92" s="43" t="str">
        <f>DEC2HEX(O92*4)</f>
        <v>0</v>
      </c>
      <c r="C92" s="44" t="str">
        <f>bitConcat(F93:F96)</f>
        <v>32'b00000000000000000000000000000000</v>
      </c>
      <c r="D92" s="44"/>
      <c r="E92" s="44"/>
      <c r="F92" s="44"/>
      <c r="G92" s="44"/>
      <c r="H92" s="44"/>
      <c r="I92" s="44"/>
      <c r="J92" s="44"/>
      <c r="K92" s="44"/>
      <c r="L92" s="45" t="str">
        <f t="shared" si="50"/>
        <v>188</v>
      </c>
      <c r="M92" s="45"/>
      <c r="N92" s="45">
        <f t="shared" ref="N92" si="57">S92</f>
        <v>1</v>
      </c>
      <c r="O92" s="38">
        <v>0</v>
      </c>
      <c r="P92" s="38" t="str">
        <f t="shared" ref="P92" si="58">DEC2HEX(HEX2DEC(Z92)*4)</f>
        <v>108</v>
      </c>
      <c r="Q92" s="38" t="str">
        <f>BIN2HEX(LEFT(RIGHT(C92,32),4))&amp;BIN2HEX(LEFT(RIGHT(C92,28),4))&amp;BIN2HEX(LEFT(RIGHT(C92,24),4))&amp;BIN2HEX(LEFT(RIGHT(C92,20),4))&amp;BIN2HEX(LEFT(RIGHT(C92,16),4))&amp;BIN2HEX(LEFT(RIGHT(C92,12),4))&amp;BIN2HEX(LEFT(RIGHT(C92,8),4))&amp;BIN2HEX(LEFT(RIGHT(C92,4),4))</f>
        <v>00000000</v>
      </c>
      <c r="S92" s="29">
        <v>1</v>
      </c>
      <c r="T92" s="30">
        <v>0</v>
      </c>
      <c r="U92" s="31">
        <v>0</v>
      </c>
      <c r="V92" s="29">
        <v>0</v>
      </c>
      <c r="W92" s="31">
        <v>0</v>
      </c>
      <c r="X92" s="29">
        <v>1</v>
      </c>
      <c r="Y92" s="31">
        <v>0</v>
      </c>
      <c r="Z92" s="32" t="str">
        <f t="shared" si="0"/>
        <v>42</v>
      </c>
      <c r="AA92" s="32" t="str">
        <f>CONCATENATE("REFGEN_REG_QUAD",BIN2DEC(X92&amp;Y92),"_SAR",BIN2DEC(V92&amp;W92),"_SLC",BIN2DEC(S92&amp;T92&amp;U92),)</f>
        <v>REFGEN_REG_QUAD2_SAR0_SLC4</v>
      </c>
    </row>
    <row r="93" spans="1:27" ht="30">
      <c r="A93" s="39"/>
      <c r="B93" s="40"/>
      <c r="C93" s="16" t="s">
        <v>48</v>
      </c>
      <c r="D93" s="36">
        <v>8</v>
      </c>
      <c r="E93" s="21" t="str">
        <f>IF(D93&gt;1,(31)&amp;":"&amp;(31-D93+1),(31-D93+1)&amp;":"&amp;(31-D93+1))</f>
        <v>31:24</v>
      </c>
      <c r="F93" s="22" t="s">
        <v>43</v>
      </c>
      <c r="G93" s="27" t="s">
        <v>49</v>
      </c>
      <c r="H93" s="23" t="s">
        <v>36</v>
      </c>
      <c r="I93" s="24" t="s">
        <v>35</v>
      </c>
      <c r="J93" s="25" t="s">
        <v>6</v>
      </c>
      <c r="K93" s="26"/>
      <c r="L93" s="41"/>
      <c r="M93" s="41"/>
      <c r="N93" s="41"/>
      <c r="O93" s="37"/>
      <c r="P93" s="37"/>
      <c r="Q93" s="37"/>
      <c r="S93" s="29"/>
      <c r="T93" s="30"/>
      <c r="U93" s="31"/>
      <c r="V93" s="29"/>
      <c r="W93" s="31"/>
      <c r="X93" s="29"/>
      <c r="Y93" s="31"/>
      <c r="Z93" s="32"/>
      <c r="AA93" s="32"/>
    </row>
    <row r="94" spans="1:27" ht="30">
      <c r="A94" s="39"/>
      <c r="B94" s="40"/>
      <c r="C94" s="16" t="s">
        <v>50</v>
      </c>
      <c r="D94" s="36">
        <v>8</v>
      </c>
      <c r="E94" s="22" t="str">
        <f t="shared" ref="E94:E96" si="59">(MID(str_cnvt(E93),SEARCH(":",str_cnvt(E93))+1,2)-1) &amp; ":" &amp; (MID(str_cnvt(E93),SEARCH(":",str_cnvt(E93))+1,2)-D94)</f>
        <v>23:16</v>
      </c>
      <c r="F94" s="22" t="s">
        <v>43</v>
      </c>
      <c r="G94" s="27" t="s">
        <v>49</v>
      </c>
      <c r="H94" s="23" t="s">
        <v>36</v>
      </c>
      <c r="I94" s="24" t="s">
        <v>35</v>
      </c>
      <c r="J94" s="25" t="s">
        <v>6</v>
      </c>
      <c r="K94" s="26"/>
      <c r="L94" s="41"/>
      <c r="M94" s="41"/>
      <c r="N94" s="41"/>
      <c r="O94" s="37"/>
      <c r="P94" s="37"/>
      <c r="Q94" s="37"/>
      <c r="S94" s="29"/>
      <c r="T94" s="30"/>
      <c r="U94" s="31"/>
      <c r="V94" s="29"/>
      <c r="W94" s="31"/>
      <c r="X94" s="29"/>
      <c r="Y94" s="31"/>
      <c r="Z94" s="32"/>
      <c r="AA94" s="32"/>
    </row>
    <row r="95" spans="1:27" ht="30">
      <c r="A95" s="39"/>
      <c r="B95" s="40"/>
      <c r="C95" s="16" t="s">
        <v>51</v>
      </c>
      <c r="D95" s="36">
        <v>8</v>
      </c>
      <c r="E95" s="22" t="str">
        <f t="shared" si="59"/>
        <v>15:8</v>
      </c>
      <c r="F95" s="22" t="s">
        <v>43</v>
      </c>
      <c r="G95" s="27" t="s">
        <v>49</v>
      </c>
      <c r="H95" s="23" t="s">
        <v>36</v>
      </c>
      <c r="I95" s="24" t="s">
        <v>35</v>
      </c>
      <c r="J95" s="25" t="s">
        <v>6</v>
      </c>
      <c r="K95" s="26"/>
      <c r="L95" s="41"/>
      <c r="M95" s="41"/>
      <c r="N95" s="41"/>
      <c r="O95" s="37"/>
      <c r="P95" s="37"/>
      <c r="Q95" s="37"/>
      <c r="S95" s="29"/>
      <c r="T95" s="30"/>
      <c r="U95" s="31"/>
      <c r="V95" s="29"/>
      <c r="W95" s="31"/>
      <c r="X95" s="29"/>
      <c r="Y95" s="31"/>
      <c r="Z95" s="32"/>
      <c r="AA95" s="32"/>
    </row>
    <row r="96" spans="1:27" ht="30.75" thickBot="1">
      <c r="A96" s="39"/>
      <c r="B96" s="40"/>
      <c r="C96" s="16" t="s">
        <v>52</v>
      </c>
      <c r="D96" s="36">
        <v>8</v>
      </c>
      <c r="E96" s="22" t="str">
        <f t="shared" si="59"/>
        <v>7:0</v>
      </c>
      <c r="F96" s="22" t="s">
        <v>43</v>
      </c>
      <c r="G96" s="27" t="s">
        <v>49</v>
      </c>
      <c r="H96" s="23" t="s">
        <v>36</v>
      </c>
      <c r="I96" s="24" t="s">
        <v>35</v>
      </c>
      <c r="J96" s="25" t="s">
        <v>6</v>
      </c>
      <c r="K96" s="26"/>
      <c r="L96" s="41"/>
      <c r="M96" s="41"/>
      <c r="N96" s="41"/>
      <c r="O96" s="37"/>
      <c r="P96" s="37"/>
      <c r="Q96" s="37"/>
      <c r="S96" s="29"/>
      <c r="T96" s="30"/>
      <c r="U96" s="31"/>
      <c r="V96" s="29"/>
      <c r="W96" s="31"/>
      <c r="X96" s="29"/>
      <c r="Y96" s="31"/>
      <c r="Z96" s="32"/>
      <c r="AA96" s="32"/>
    </row>
    <row r="97" spans="1:27">
      <c r="A97" s="42" t="str">
        <f>AA97</f>
        <v>REFGEN_REG_QUAD3_SAR0_SLC4</v>
      </c>
      <c r="B97" s="43" t="str">
        <f>DEC2HEX(O97*4)</f>
        <v>0</v>
      </c>
      <c r="C97" s="44" t="str">
        <f>bitConcat(F98:F101)</f>
        <v>32'b00000000000000000000000000000000</v>
      </c>
      <c r="D97" s="44"/>
      <c r="E97" s="44"/>
      <c r="F97" s="44"/>
      <c r="G97" s="44"/>
      <c r="H97" s="44"/>
      <c r="I97" s="44"/>
      <c r="J97" s="44"/>
      <c r="K97" s="44"/>
      <c r="L97" s="45" t="str">
        <f t="shared" si="50"/>
        <v>18C</v>
      </c>
      <c r="M97" s="45"/>
      <c r="N97" s="45">
        <f t="shared" ref="N97" si="60">S97</f>
        <v>1</v>
      </c>
      <c r="O97" s="38">
        <v>0</v>
      </c>
      <c r="P97" s="38" t="str">
        <f t="shared" ref="P97" si="61">DEC2HEX(HEX2DEC(Z97)*4)</f>
        <v>10C</v>
      </c>
      <c r="Q97" s="38" t="str">
        <f>BIN2HEX(LEFT(RIGHT(C97,32),4))&amp;BIN2HEX(LEFT(RIGHT(C97,28),4))&amp;BIN2HEX(LEFT(RIGHT(C97,24),4))&amp;BIN2HEX(LEFT(RIGHT(C97,20),4))&amp;BIN2HEX(LEFT(RIGHT(C97,16),4))&amp;BIN2HEX(LEFT(RIGHT(C97,12),4))&amp;BIN2HEX(LEFT(RIGHT(C97,8),4))&amp;BIN2HEX(LEFT(RIGHT(C97,4),4))</f>
        <v>00000000</v>
      </c>
      <c r="S97" s="29">
        <v>1</v>
      </c>
      <c r="T97" s="30">
        <v>0</v>
      </c>
      <c r="U97" s="31">
        <v>0</v>
      </c>
      <c r="V97" s="29">
        <v>0</v>
      </c>
      <c r="W97" s="31">
        <v>0</v>
      </c>
      <c r="X97" s="29">
        <v>1</v>
      </c>
      <c r="Y97" s="31">
        <v>1</v>
      </c>
      <c r="Z97" s="32" t="str">
        <f t="shared" si="0"/>
        <v>43</v>
      </c>
      <c r="AA97" s="32" t="str">
        <f>CONCATENATE("REFGEN_REG_QUAD",BIN2DEC(X97&amp;Y97),"_SAR",BIN2DEC(V97&amp;W97),"_SLC",BIN2DEC(S97&amp;T97&amp;U97),)</f>
        <v>REFGEN_REG_QUAD3_SAR0_SLC4</v>
      </c>
    </row>
    <row r="98" spans="1:27" ht="30">
      <c r="A98" s="39"/>
      <c r="B98" s="40"/>
      <c r="C98" s="16" t="s">
        <v>48</v>
      </c>
      <c r="D98" s="36">
        <v>8</v>
      </c>
      <c r="E98" s="21" t="str">
        <f>IF(D98&gt;1,(31)&amp;":"&amp;(31-D98+1),(31-D98+1)&amp;":"&amp;(31-D98+1))</f>
        <v>31:24</v>
      </c>
      <c r="F98" s="22" t="s">
        <v>43</v>
      </c>
      <c r="G98" s="27" t="s">
        <v>49</v>
      </c>
      <c r="H98" s="23" t="s">
        <v>36</v>
      </c>
      <c r="I98" s="24" t="s">
        <v>35</v>
      </c>
      <c r="J98" s="25" t="s">
        <v>6</v>
      </c>
      <c r="K98" s="26"/>
      <c r="L98" s="41"/>
      <c r="M98" s="41"/>
      <c r="N98" s="41"/>
      <c r="O98" s="37"/>
      <c r="P98" s="37"/>
      <c r="Q98" s="37"/>
      <c r="S98" s="29"/>
      <c r="T98" s="30"/>
      <c r="U98" s="31"/>
      <c r="V98" s="29"/>
      <c r="W98" s="31"/>
      <c r="X98" s="29"/>
      <c r="Y98" s="31"/>
      <c r="Z98" s="32"/>
      <c r="AA98" s="32"/>
    </row>
    <row r="99" spans="1:27" ht="30">
      <c r="A99" s="39"/>
      <c r="B99" s="40"/>
      <c r="C99" s="16" t="s">
        <v>50</v>
      </c>
      <c r="D99" s="36">
        <v>8</v>
      </c>
      <c r="E99" s="22" t="str">
        <f t="shared" ref="E99:E101" si="62">(MID(str_cnvt(E98),SEARCH(":",str_cnvt(E98))+1,2)-1) &amp; ":" &amp; (MID(str_cnvt(E98),SEARCH(":",str_cnvt(E98))+1,2)-D99)</f>
        <v>23:16</v>
      </c>
      <c r="F99" s="22" t="s">
        <v>43</v>
      </c>
      <c r="G99" s="27" t="s">
        <v>49</v>
      </c>
      <c r="H99" s="23" t="s">
        <v>36</v>
      </c>
      <c r="I99" s="24" t="s">
        <v>35</v>
      </c>
      <c r="J99" s="25" t="s">
        <v>6</v>
      </c>
      <c r="K99" s="26"/>
      <c r="L99" s="41"/>
      <c r="M99" s="41"/>
      <c r="N99" s="41"/>
      <c r="O99" s="37"/>
      <c r="P99" s="37"/>
      <c r="Q99" s="37"/>
      <c r="S99" s="29"/>
      <c r="T99" s="30"/>
      <c r="U99" s="31"/>
      <c r="V99" s="29"/>
      <c r="W99" s="31"/>
      <c r="X99" s="29"/>
      <c r="Y99" s="31"/>
      <c r="Z99" s="32"/>
      <c r="AA99" s="32"/>
    </row>
    <row r="100" spans="1:27" ht="30">
      <c r="A100" s="39"/>
      <c r="B100" s="40"/>
      <c r="C100" s="16" t="s">
        <v>51</v>
      </c>
      <c r="D100" s="36">
        <v>8</v>
      </c>
      <c r="E100" s="22" t="str">
        <f t="shared" si="62"/>
        <v>15:8</v>
      </c>
      <c r="F100" s="22" t="s">
        <v>43</v>
      </c>
      <c r="G100" s="27" t="s">
        <v>49</v>
      </c>
      <c r="H100" s="23" t="s">
        <v>36</v>
      </c>
      <c r="I100" s="24" t="s">
        <v>35</v>
      </c>
      <c r="J100" s="25" t="s">
        <v>6</v>
      </c>
      <c r="K100" s="26"/>
      <c r="L100" s="41"/>
      <c r="M100" s="41"/>
      <c r="N100" s="41"/>
      <c r="O100" s="37"/>
      <c r="P100" s="37"/>
      <c r="Q100" s="37"/>
      <c r="S100" s="29"/>
      <c r="T100" s="30"/>
      <c r="U100" s="31"/>
      <c r="V100" s="29"/>
      <c r="W100" s="31"/>
      <c r="X100" s="29"/>
      <c r="Y100" s="31"/>
      <c r="Z100" s="32"/>
      <c r="AA100" s="32"/>
    </row>
    <row r="101" spans="1:27" ht="30.75" thickBot="1">
      <c r="A101" s="39"/>
      <c r="B101" s="40"/>
      <c r="C101" s="16" t="s">
        <v>52</v>
      </c>
      <c r="D101" s="36">
        <v>8</v>
      </c>
      <c r="E101" s="22" t="str">
        <f t="shared" si="62"/>
        <v>7:0</v>
      </c>
      <c r="F101" s="22" t="s">
        <v>43</v>
      </c>
      <c r="G101" s="27" t="s">
        <v>49</v>
      </c>
      <c r="H101" s="23" t="s">
        <v>36</v>
      </c>
      <c r="I101" s="24" t="s">
        <v>35</v>
      </c>
      <c r="J101" s="25" t="s">
        <v>6</v>
      </c>
      <c r="K101" s="26"/>
      <c r="L101" s="41"/>
      <c r="M101" s="41"/>
      <c r="N101" s="41"/>
      <c r="O101" s="37"/>
      <c r="P101" s="37"/>
      <c r="Q101" s="37"/>
      <c r="S101" s="29"/>
      <c r="T101" s="30"/>
      <c r="U101" s="31"/>
      <c r="V101" s="29"/>
      <c r="W101" s="31"/>
      <c r="X101" s="29"/>
      <c r="Y101" s="31"/>
      <c r="Z101" s="32"/>
      <c r="AA101" s="32"/>
    </row>
    <row r="102" spans="1:27">
      <c r="A102" s="42" t="str">
        <f>AA102</f>
        <v>REFGEN_REG_QUAD0_SAR0_SLC5</v>
      </c>
      <c r="B102" s="43" t="str">
        <f>DEC2HEX(O102*4)</f>
        <v>0</v>
      </c>
      <c r="C102" s="44" t="str">
        <f>bitConcat(F103:F106)</f>
        <v>32'b00000000000000000000000000000000</v>
      </c>
      <c r="D102" s="44"/>
      <c r="E102" s="44"/>
      <c r="F102" s="44"/>
      <c r="G102" s="44"/>
      <c r="H102" s="44"/>
      <c r="I102" s="44"/>
      <c r="J102" s="44"/>
      <c r="K102" s="44"/>
      <c r="L102" s="45" t="str">
        <f t="shared" si="50"/>
        <v>1C0</v>
      </c>
      <c r="M102" s="45"/>
      <c r="N102" s="45">
        <f t="shared" ref="N102" si="63">S102</f>
        <v>1</v>
      </c>
      <c r="O102" s="38">
        <v>0</v>
      </c>
      <c r="P102" s="38" t="str">
        <f t="shared" ref="P102" si="64">DEC2HEX(HEX2DEC(Z102)*4)</f>
        <v>140</v>
      </c>
      <c r="Q102" s="38" t="str">
        <f>BIN2HEX(LEFT(RIGHT(C102,32),4))&amp;BIN2HEX(LEFT(RIGHT(C102,28),4))&amp;BIN2HEX(LEFT(RIGHT(C102,24),4))&amp;BIN2HEX(LEFT(RIGHT(C102,20),4))&amp;BIN2HEX(LEFT(RIGHT(C102,16),4))&amp;BIN2HEX(LEFT(RIGHT(C102,12),4))&amp;BIN2HEX(LEFT(RIGHT(C102,8),4))&amp;BIN2HEX(LEFT(RIGHT(C102,4),4))</f>
        <v>00000000</v>
      </c>
      <c r="S102" s="29">
        <v>1</v>
      </c>
      <c r="T102" s="30">
        <v>0</v>
      </c>
      <c r="U102" s="31">
        <v>1</v>
      </c>
      <c r="V102" s="29">
        <v>0</v>
      </c>
      <c r="W102" s="31">
        <v>0</v>
      </c>
      <c r="X102" s="29">
        <v>0</v>
      </c>
      <c r="Y102" s="31">
        <v>0</v>
      </c>
      <c r="Z102" s="32" t="str">
        <f t="shared" si="0"/>
        <v>50</v>
      </c>
      <c r="AA102" s="32" t="str">
        <f>CONCATENATE("REFGEN_REG_QUAD",BIN2DEC(X102&amp;Y102),"_SAR",BIN2DEC(V102&amp;W102),"_SLC",BIN2DEC(S102&amp;T102&amp;U102),)</f>
        <v>REFGEN_REG_QUAD0_SAR0_SLC5</v>
      </c>
    </row>
    <row r="103" spans="1:27" ht="30">
      <c r="A103" s="39"/>
      <c r="B103" s="40"/>
      <c r="C103" s="16" t="s">
        <v>48</v>
      </c>
      <c r="D103" s="36">
        <v>8</v>
      </c>
      <c r="E103" s="21" t="str">
        <f>IF(D103&gt;1,(31)&amp;":"&amp;(31-D103+1),(31-D103+1)&amp;":"&amp;(31-D103+1))</f>
        <v>31:24</v>
      </c>
      <c r="F103" s="22" t="s">
        <v>43</v>
      </c>
      <c r="G103" s="27" t="s">
        <v>49</v>
      </c>
      <c r="H103" s="23" t="s">
        <v>36</v>
      </c>
      <c r="I103" s="24" t="s">
        <v>35</v>
      </c>
      <c r="J103" s="25" t="s">
        <v>6</v>
      </c>
      <c r="K103" s="26"/>
      <c r="L103" s="41"/>
      <c r="M103" s="41"/>
      <c r="N103" s="41"/>
      <c r="O103" s="37"/>
      <c r="P103" s="37"/>
      <c r="Q103" s="37"/>
      <c r="S103" s="29"/>
      <c r="T103" s="30"/>
      <c r="U103" s="31"/>
      <c r="V103" s="29"/>
      <c r="W103" s="31"/>
      <c r="X103" s="29"/>
      <c r="Y103" s="31"/>
      <c r="Z103" s="32"/>
      <c r="AA103" s="32"/>
    </row>
    <row r="104" spans="1:27" ht="30">
      <c r="A104" s="39"/>
      <c r="B104" s="40"/>
      <c r="C104" s="16" t="s">
        <v>50</v>
      </c>
      <c r="D104" s="36">
        <v>8</v>
      </c>
      <c r="E104" s="22" t="str">
        <f t="shared" ref="E104:E106" si="65">(MID(str_cnvt(E103),SEARCH(":",str_cnvt(E103))+1,2)-1) &amp; ":" &amp; (MID(str_cnvt(E103),SEARCH(":",str_cnvt(E103))+1,2)-D104)</f>
        <v>23:16</v>
      </c>
      <c r="F104" s="22" t="s">
        <v>43</v>
      </c>
      <c r="G104" s="27" t="s">
        <v>49</v>
      </c>
      <c r="H104" s="23" t="s">
        <v>36</v>
      </c>
      <c r="I104" s="24" t="s">
        <v>35</v>
      </c>
      <c r="J104" s="25" t="s">
        <v>6</v>
      </c>
      <c r="K104" s="26"/>
      <c r="L104" s="41"/>
      <c r="M104" s="41"/>
      <c r="N104" s="41"/>
      <c r="O104" s="37"/>
      <c r="P104" s="37"/>
      <c r="Q104" s="37"/>
      <c r="S104" s="29"/>
      <c r="T104" s="30"/>
      <c r="U104" s="31"/>
      <c r="V104" s="29"/>
      <c r="W104" s="31"/>
      <c r="X104" s="29"/>
      <c r="Y104" s="31"/>
      <c r="Z104" s="32"/>
      <c r="AA104" s="32"/>
    </row>
    <row r="105" spans="1:27" ht="30">
      <c r="A105" s="39"/>
      <c r="B105" s="40"/>
      <c r="C105" s="16" t="s">
        <v>51</v>
      </c>
      <c r="D105" s="36">
        <v>8</v>
      </c>
      <c r="E105" s="22" t="str">
        <f t="shared" si="65"/>
        <v>15:8</v>
      </c>
      <c r="F105" s="22" t="s">
        <v>43</v>
      </c>
      <c r="G105" s="27" t="s">
        <v>49</v>
      </c>
      <c r="H105" s="23" t="s">
        <v>36</v>
      </c>
      <c r="I105" s="24" t="s">
        <v>35</v>
      </c>
      <c r="J105" s="25" t="s">
        <v>6</v>
      </c>
      <c r="K105" s="26"/>
      <c r="L105" s="41"/>
      <c r="M105" s="41"/>
      <c r="N105" s="41"/>
      <c r="O105" s="37"/>
      <c r="P105" s="37"/>
      <c r="Q105" s="37"/>
      <c r="S105" s="29"/>
      <c r="T105" s="30"/>
      <c r="U105" s="31"/>
      <c r="V105" s="29"/>
      <c r="W105" s="31"/>
      <c r="X105" s="29"/>
      <c r="Y105" s="31"/>
      <c r="Z105" s="32"/>
      <c r="AA105" s="32"/>
    </row>
    <row r="106" spans="1:27" ht="30.75" thickBot="1">
      <c r="A106" s="39"/>
      <c r="B106" s="40"/>
      <c r="C106" s="16" t="s">
        <v>52</v>
      </c>
      <c r="D106" s="36">
        <v>8</v>
      </c>
      <c r="E106" s="22" t="str">
        <f t="shared" si="65"/>
        <v>7:0</v>
      </c>
      <c r="F106" s="22" t="s">
        <v>43</v>
      </c>
      <c r="G106" s="27" t="s">
        <v>49</v>
      </c>
      <c r="H106" s="23" t="s">
        <v>36</v>
      </c>
      <c r="I106" s="24" t="s">
        <v>35</v>
      </c>
      <c r="J106" s="25" t="s">
        <v>6</v>
      </c>
      <c r="K106" s="26"/>
      <c r="L106" s="41"/>
      <c r="M106" s="41"/>
      <c r="N106" s="41"/>
      <c r="O106" s="37"/>
      <c r="P106" s="37"/>
      <c r="Q106" s="37"/>
      <c r="S106" s="29"/>
      <c r="T106" s="30"/>
      <c r="U106" s="31"/>
      <c r="V106" s="29"/>
      <c r="W106" s="31"/>
      <c r="X106" s="29"/>
      <c r="Y106" s="31"/>
      <c r="Z106" s="32"/>
      <c r="AA106" s="32"/>
    </row>
    <row r="107" spans="1:27">
      <c r="A107" s="42" t="str">
        <f>AA107</f>
        <v>REFGEN_REG_QUAD1_SAR0_SLC5</v>
      </c>
      <c r="B107" s="43" t="str">
        <f>DEC2HEX(O107*4)</f>
        <v>0</v>
      </c>
      <c r="C107" s="44" t="str">
        <f>bitConcat(F108:F111)</f>
        <v>32'b00000000000000000000000000000000</v>
      </c>
      <c r="D107" s="44"/>
      <c r="E107" s="44"/>
      <c r="F107" s="44"/>
      <c r="G107" s="44"/>
      <c r="H107" s="44"/>
      <c r="I107" s="44"/>
      <c r="J107" s="44"/>
      <c r="K107" s="44"/>
      <c r="L107" s="45" t="str">
        <f t="shared" si="50"/>
        <v>1C4</v>
      </c>
      <c r="M107" s="45"/>
      <c r="N107" s="45">
        <f t="shared" ref="N107" si="66">S107</f>
        <v>1</v>
      </c>
      <c r="O107" s="38">
        <v>0</v>
      </c>
      <c r="P107" s="38" t="str">
        <f t="shared" ref="P107" si="67">DEC2HEX(HEX2DEC(Z107)*4)</f>
        <v>144</v>
      </c>
      <c r="Q107" s="38" t="str">
        <f>BIN2HEX(LEFT(RIGHT(C107,32),4))&amp;BIN2HEX(LEFT(RIGHT(C107,28),4))&amp;BIN2HEX(LEFT(RIGHT(C107,24),4))&amp;BIN2HEX(LEFT(RIGHT(C107,20),4))&amp;BIN2HEX(LEFT(RIGHT(C107,16),4))&amp;BIN2HEX(LEFT(RIGHT(C107,12),4))&amp;BIN2HEX(LEFT(RIGHT(C107,8),4))&amp;BIN2HEX(LEFT(RIGHT(C107,4),4))</f>
        <v>00000000</v>
      </c>
      <c r="S107" s="29">
        <v>1</v>
      </c>
      <c r="T107" s="30">
        <v>0</v>
      </c>
      <c r="U107" s="31">
        <v>1</v>
      </c>
      <c r="V107" s="29">
        <v>0</v>
      </c>
      <c r="W107" s="31">
        <v>0</v>
      </c>
      <c r="X107" s="29">
        <v>0</v>
      </c>
      <c r="Y107" s="31">
        <v>1</v>
      </c>
      <c r="Z107" s="32" t="str">
        <f t="shared" si="0"/>
        <v>51</v>
      </c>
      <c r="AA107" s="32" t="str">
        <f>CONCATENATE("REFGEN_REG_QUAD",BIN2DEC(X107&amp;Y107),"_SAR",BIN2DEC(V107&amp;W107),"_SLC",BIN2DEC(S107&amp;T107&amp;U107),)</f>
        <v>REFGEN_REG_QUAD1_SAR0_SLC5</v>
      </c>
    </row>
    <row r="108" spans="1:27" ht="30">
      <c r="A108" s="39"/>
      <c r="B108" s="40"/>
      <c r="C108" s="16" t="s">
        <v>48</v>
      </c>
      <c r="D108" s="36">
        <v>8</v>
      </c>
      <c r="E108" s="21" t="str">
        <f>IF(D108&gt;1,(31)&amp;":"&amp;(31-D108+1),(31-D108+1)&amp;":"&amp;(31-D108+1))</f>
        <v>31:24</v>
      </c>
      <c r="F108" s="22" t="s">
        <v>43</v>
      </c>
      <c r="G108" s="27" t="s">
        <v>49</v>
      </c>
      <c r="H108" s="23" t="s">
        <v>36</v>
      </c>
      <c r="I108" s="24" t="s">
        <v>35</v>
      </c>
      <c r="J108" s="25" t="s">
        <v>6</v>
      </c>
      <c r="K108" s="26"/>
      <c r="L108" s="41"/>
      <c r="M108" s="41"/>
      <c r="N108" s="41"/>
      <c r="O108" s="37"/>
      <c r="P108" s="37"/>
      <c r="Q108" s="37"/>
      <c r="S108" s="29"/>
      <c r="T108" s="30"/>
      <c r="U108" s="31"/>
      <c r="V108" s="29"/>
      <c r="W108" s="31"/>
      <c r="X108" s="29"/>
      <c r="Y108" s="31"/>
      <c r="Z108" s="32"/>
      <c r="AA108" s="32"/>
    </row>
    <row r="109" spans="1:27" ht="30">
      <c r="A109" s="39"/>
      <c r="B109" s="40"/>
      <c r="C109" s="16" t="s">
        <v>50</v>
      </c>
      <c r="D109" s="36">
        <v>8</v>
      </c>
      <c r="E109" s="22" t="str">
        <f t="shared" ref="E109:E111" si="68">(MID(str_cnvt(E108),SEARCH(":",str_cnvt(E108))+1,2)-1) &amp; ":" &amp; (MID(str_cnvt(E108),SEARCH(":",str_cnvt(E108))+1,2)-D109)</f>
        <v>23:16</v>
      </c>
      <c r="F109" s="22" t="s">
        <v>43</v>
      </c>
      <c r="G109" s="27" t="s">
        <v>49</v>
      </c>
      <c r="H109" s="23" t="s">
        <v>36</v>
      </c>
      <c r="I109" s="24" t="s">
        <v>35</v>
      </c>
      <c r="J109" s="25" t="s">
        <v>6</v>
      </c>
      <c r="K109" s="26"/>
      <c r="L109" s="41"/>
      <c r="M109" s="41"/>
      <c r="N109" s="41"/>
      <c r="O109" s="37"/>
      <c r="P109" s="37"/>
      <c r="Q109" s="37"/>
      <c r="S109" s="29"/>
      <c r="T109" s="30"/>
      <c r="U109" s="31"/>
      <c r="V109" s="29"/>
      <c r="W109" s="31"/>
      <c r="X109" s="29"/>
      <c r="Y109" s="31"/>
      <c r="Z109" s="32"/>
      <c r="AA109" s="32"/>
    </row>
    <row r="110" spans="1:27" ht="30">
      <c r="A110" s="39"/>
      <c r="B110" s="40"/>
      <c r="C110" s="16" t="s">
        <v>51</v>
      </c>
      <c r="D110" s="36">
        <v>8</v>
      </c>
      <c r="E110" s="22" t="str">
        <f t="shared" si="68"/>
        <v>15:8</v>
      </c>
      <c r="F110" s="22" t="s">
        <v>43</v>
      </c>
      <c r="G110" s="27" t="s">
        <v>49</v>
      </c>
      <c r="H110" s="23" t="s">
        <v>36</v>
      </c>
      <c r="I110" s="24" t="s">
        <v>35</v>
      </c>
      <c r="J110" s="25" t="s">
        <v>6</v>
      </c>
      <c r="K110" s="26"/>
      <c r="L110" s="41"/>
      <c r="M110" s="41"/>
      <c r="N110" s="41"/>
      <c r="O110" s="37"/>
      <c r="P110" s="37"/>
      <c r="Q110" s="37"/>
      <c r="S110" s="29"/>
      <c r="T110" s="30"/>
      <c r="U110" s="31"/>
      <c r="V110" s="29"/>
      <c r="W110" s="31"/>
      <c r="X110" s="29"/>
      <c r="Y110" s="31"/>
      <c r="Z110" s="32"/>
      <c r="AA110" s="32"/>
    </row>
    <row r="111" spans="1:27" ht="30.75" thickBot="1">
      <c r="A111" s="39"/>
      <c r="B111" s="40"/>
      <c r="C111" s="16" t="s">
        <v>52</v>
      </c>
      <c r="D111" s="36">
        <v>8</v>
      </c>
      <c r="E111" s="22" t="str">
        <f t="shared" si="68"/>
        <v>7:0</v>
      </c>
      <c r="F111" s="22" t="s">
        <v>43</v>
      </c>
      <c r="G111" s="27" t="s">
        <v>49</v>
      </c>
      <c r="H111" s="23" t="s">
        <v>36</v>
      </c>
      <c r="I111" s="24" t="s">
        <v>35</v>
      </c>
      <c r="J111" s="25" t="s">
        <v>6</v>
      </c>
      <c r="K111" s="26"/>
      <c r="L111" s="41"/>
      <c r="M111" s="41"/>
      <c r="N111" s="41"/>
      <c r="O111" s="37"/>
      <c r="P111" s="37"/>
      <c r="Q111" s="37"/>
      <c r="S111" s="29"/>
      <c r="T111" s="30"/>
      <c r="U111" s="31"/>
      <c r="V111" s="29"/>
      <c r="W111" s="31"/>
      <c r="X111" s="29"/>
      <c r="Y111" s="31"/>
      <c r="Z111" s="32"/>
      <c r="AA111" s="32"/>
    </row>
    <row r="112" spans="1:27">
      <c r="A112" s="42" t="str">
        <f>AA112</f>
        <v>REFGEN_REG_QUAD2_SAR0_SLC5</v>
      </c>
      <c r="B112" s="43" t="str">
        <f>DEC2HEX(O112*4)</f>
        <v>0</v>
      </c>
      <c r="C112" s="44" t="str">
        <f>bitConcat(F113:F116)</f>
        <v>32'b00000000000000000000000000000000</v>
      </c>
      <c r="D112" s="44"/>
      <c r="E112" s="44"/>
      <c r="F112" s="44"/>
      <c r="G112" s="44"/>
      <c r="H112" s="44"/>
      <c r="I112" s="44"/>
      <c r="J112" s="44"/>
      <c r="K112" s="44"/>
      <c r="L112" s="45" t="str">
        <f t="shared" si="50"/>
        <v>1C8</v>
      </c>
      <c r="M112" s="45"/>
      <c r="N112" s="45">
        <f t="shared" ref="N112" si="69">S112</f>
        <v>1</v>
      </c>
      <c r="O112" s="38">
        <v>0</v>
      </c>
      <c r="P112" s="38" t="str">
        <f t="shared" ref="P112" si="70">DEC2HEX(HEX2DEC(Z112)*4)</f>
        <v>148</v>
      </c>
      <c r="Q112" s="38" t="str">
        <f>BIN2HEX(LEFT(RIGHT(C112,32),4))&amp;BIN2HEX(LEFT(RIGHT(C112,28),4))&amp;BIN2HEX(LEFT(RIGHT(C112,24),4))&amp;BIN2HEX(LEFT(RIGHT(C112,20),4))&amp;BIN2HEX(LEFT(RIGHT(C112,16),4))&amp;BIN2HEX(LEFT(RIGHT(C112,12),4))&amp;BIN2HEX(LEFT(RIGHT(C112,8),4))&amp;BIN2HEX(LEFT(RIGHT(C112,4),4))</f>
        <v>00000000</v>
      </c>
      <c r="S112" s="29">
        <v>1</v>
      </c>
      <c r="T112" s="30">
        <v>0</v>
      </c>
      <c r="U112" s="31">
        <v>1</v>
      </c>
      <c r="V112" s="29">
        <v>0</v>
      </c>
      <c r="W112" s="31">
        <v>0</v>
      </c>
      <c r="X112" s="29">
        <v>1</v>
      </c>
      <c r="Y112" s="31">
        <v>0</v>
      </c>
      <c r="Z112" s="32" t="str">
        <f t="shared" si="0"/>
        <v>52</v>
      </c>
      <c r="AA112" s="32" t="str">
        <f>CONCATENATE("REFGEN_REG_QUAD",BIN2DEC(X112&amp;Y112),"_SAR",BIN2DEC(V112&amp;W112),"_SLC",BIN2DEC(S112&amp;T112&amp;U112),)</f>
        <v>REFGEN_REG_QUAD2_SAR0_SLC5</v>
      </c>
    </row>
    <row r="113" spans="1:27" ht="30">
      <c r="A113" s="39"/>
      <c r="B113" s="40"/>
      <c r="C113" s="16" t="s">
        <v>48</v>
      </c>
      <c r="D113" s="36">
        <v>8</v>
      </c>
      <c r="E113" s="21" t="str">
        <f>IF(D113&gt;1,(31)&amp;":"&amp;(31-D113+1),(31-D113+1)&amp;":"&amp;(31-D113+1))</f>
        <v>31:24</v>
      </c>
      <c r="F113" s="22" t="s">
        <v>43</v>
      </c>
      <c r="G113" s="27" t="s">
        <v>49</v>
      </c>
      <c r="H113" s="23" t="s">
        <v>36</v>
      </c>
      <c r="I113" s="24" t="s">
        <v>35</v>
      </c>
      <c r="J113" s="25" t="s">
        <v>6</v>
      </c>
      <c r="K113" s="26"/>
      <c r="L113" s="41"/>
      <c r="M113" s="41"/>
      <c r="N113" s="41"/>
      <c r="O113" s="37"/>
      <c r="P113" s="37"/>
      <c r="Q113" s="37"/>
      <c r="S113" s="29"/>
      <c r="T113" s="30"/>
      <c r="U113" s="31"/>
      <c r="V113" s="29"/>
      <c r="W113" s="31"/>
      <c r="X113" s="29"/>
      <c r="Y113" s="31"/>
      <c r="Z113" s="32"/>
      <c r="AA113" s="32"/>
    </row>
    <row r="114" spans="1:27" ht="30">
      <c r="A114" s="39"/>
      <c r="B114" s="40"/>
      <c r="C114" s="16" t="s">
        <v>50</v>
      </c>
      <c r="D114" s="36">
        <v>8</v>
      </c>
      <c r="E114" s="22" t="str">
        <f t="shared" ref="E114:E116" si="71">(MID(str_cnvt(E113),SEARCH(":",str_cnvt(E113))+1,2)-1) &amp; ":" &amp; (MID(str_cnvt(E113),SEARCH(":",str_cnvt(E113))+1,2)-D114)</f>
        <v>23:16</v>
      </c>
      <c r="F114" s="22" t="s">
        <v>43</v>
      </c>
      <c r="G114" s="27" t="s">
        <v>49</v>
      </c>
      <c r="H114" s="23" t="s">
        <v>36</v>
      </c>
      <c r="I114" s="24" t="s">
        <v>35</v>
      </c>
      <c r="J114" s="25" t="s">
        <v>6</v>
      </c>
      <c r="K114" s="26"/>
      <c r="L114" s="41"/>
      <c r="M114" s="41"/>
      <c r="N114" s="41"/>
      <c r="O114" s="37"/>
      <c r="P114" s="37"/>
      <c r="Q114" s="37"/>
      <c r="S114" s="29"/>
      <c r="T114" s="30"/>
      <c r="U114" s="31"/>
      <c r="V114" s="29"/>
      <c r="W114" s="31"/>
      <c r="X114" s="29"/>
      <c r="Y114" s="31"/>
      <c r="Z114" s="32"/>
      <c r="AA114" s="32"/>
    </row>
    <row r="115" spans="1:27" ht="30">
      <c r="A115" s="39"/>
      <c r="B115" s="40"/>
      <c r="C115" s="16" t="s">
        <v>51</v>
      </c>
      <c r="D115" s="36">
        <v>8</v>
      </c>
      <c r="E115" s="22" t="str">
        <f t="shared" si="71"/>
        <v>15:8</v>
      </c>
      <c r="F115" s="22" t="s">
        <v>43</v>
      </c>
      <c r="G115" s="27" t="s">
        <v>49</v>
      </c>
      <c r="H115" s="23" t="s">
        <v>36</v>
      </c>
      <c r="I115" s="24" t="s">
        <v>35</v>
      </c>
      <c r="J115" s="25" t="s">
        <v>6</v>
      </c>
      <c r="K115" s="26"/>
      <c r="L115" s="41"/>
      <c r="M115" s="41"/>
      <c r="N115" s="41"/>
      <c r="O115" s="37"/>
      <c r="P115" s="37"/>
      <c r="Q115" s="37"/>
      <c r="S115" s="29"/>
      <c r="T115" s="30"/>
      <c r="U115" s="31"/>
      <c r="V115" s="29"/>
      <c r="W115" s="31"/>
      <c r="X115" s="29"/>
      <c r="Y115" s="31"/>
      <c r="Z115" s="32"/>
      <c r="AA115" s="32"/>
    </row>
    <row r="116" spans="1:27" ht="30.75" thickBot="1">
      <c r="A116" s="39"/>
      <c r="B116" s="40"/>
      <c r="C116" s="16" t="s">
        <v>52</v>
      </c>
      <c r="D116" s="36">
        <v>8</v>
      </c>
      <c r="E116" s="22" t="str">
        <f t="shared" si="71"/>
        <v>7:0</v>
      </c>
      <c r="F116" s="22" t="s">
        <v>43</v>
      </c>
      <c r="G116" s="27" t="s">
        <v>49</v>
      </c>
      <c r="H116" s="23" t="s">
        <v>36</v>
      </c>
      <c r="I116" s="24" t="s">
        <v>35</v>
      </c>
      <c r="J116" s="25" t="s">
        <v>6</v>
      </c>
      <c r="K116" s="26"/>
      <c r="L116" s="41"/>
      <c r="M116" s="41"/>
      <c r="N116" s="41"/>
      <c r="O116" s="37"/>
      <c r="P116" s="37"/>
      <c r="Q116" s="37"/>
      <c r="S116" s="29"/>
      <c r="T116" s="30"/>
      <c r="U116" s="31"/>
      <c r="V116" s="29"/>
      <c r="W116" s="31"/>
      <c r="X116" s="29"/>
      <c r="Y116" s="31"/>
      <c r="Z116" s="32"/>
      <c r="AA116" s="32"/>
    </row>
    <row r="117" spans="1:27" ht="15.75" thickBot="1">
      <c r="A117" s="42" t="str">
        <f>AA117</f>
        <v>REFGEN_REG_QUAD3_SAR0_SLC5</v>
      </c>
      <c r="B117" s="43" t="str">
        <f>DEC2HEX(O117*4)</f>
        <v>0</v>
      </c>
      <c r="C117" s="44" t="str">
        <f>bitConcat(F118:F121)</f>
        <v>32'b00000000000000000000000000000000</v>
      </c>
      <c r="D117" s="44"/>
      <c r="E117" s="44"/>
      <c r="F117" s="44"/>
      <c r="G117" s="44"/>
      <c r="H117" s="44"/>
      <c r="I117" s="44"/>
      <c r="J117" s="44"/>
      <c r="K117" s="44"/>
      <c r="L117" s="45" t="str">
        <f t="shared" si="50"/>
        <v>1CC</v>
      </c>
      <c r="M117" s="45"/>
      <c r="N117" s="45">
        <f t="shared" ref="N117" si="72">S117</f>
        <v>1</v>
      </c>
      <c r="O117" s="38">
        <v>0</v>
      </c>
      <c r="P117" s="38" t="str">
        <f t="shared" ref="P117" si="73">DEC2HEX(HEX2DEC(Z117)*4)</f>
        <v>14C</v>
      </c>
      <c r="Q117" s="38" t="str">
        <f>BIN2HEX(LEFT(RIGHT(C117,32),4))&amp;BIN2HEX(LEFT(RIGHT(C117,28),4))&amp;BIN2HEX(LEFT(RIGHT(C117,24),4))&amp;BIN2HEX(LEFT(RIGHT(C117,20),4))&amp;BIN2HEX(LEFT(RIGHT(C117,16),4))&amp;BIN2HEX(LEFT(RIGHT(C117,12),4))&amp;BIN2HEX(LEFT(RIGHT(C117,8),4))&amp;BIN2HEX(LEFT(RIGHT(C117,4),4))</f>
        <v>00000000</v>
      </c>
      <c r="S117" s="33">
        <v>1</v>
      </c>
      <c r="T117" s="34">
        <v>0</v>
      </c>
      <c r="U117" s="35">
        <v>1</v>
      </c>
      <c r="V117" s="33">
        <v>0</v>
      </c>
      <c r="W117" s="35">
        <v>0</v>
      </c>
      <c r="X117" s="33">
        <v>1</v>
      </c>
      <c r="Y117" s="35">
        <v>1</v>
      </c>
      <c r="Z117" s="32" t="str">
        <f t="shared" si="0"/>
        <v>53</v>
      </c>
      <c r="AA117" s="32" t="str">
        <f>CONCATENATE("REFGEN_REG_QUAD",BIN2DEC(X117&amp;Y117),"_SAR",BIN2DEC(V117&amp;W117),"_SLC",BIN2DEC(S117&amp;T117&amp;U117),)</f>
        <v>REFGEN_REG_QUAD3_SAR0_SLC5</v>
      </c>
    </row>
    <row r="118" spans="1:27" ht="30">
      <c r="A118" s="39"/>
      <c r="B118" s="40"/>
      <c r="C118" s="16" t="s">
        <v>48</v>
      </c>
      <c r="D118" s="36">
        <v>8</v>
      </c>
      <c r="E118" s="21" t="str">
        <f>IF(D118&gt;1,(31)&amp;":"&amp;(31-D118+1),(31-D118+1)&amp;":"&amp;(31-D118+1))</f>
        <v>31:24</v>
      </c>
      <c r="F118" s="22" t="s">
        <v>43</v>
      </c>
      <c r="G118" s="27" t="s">
        <v>49</v>
      </c>
      <c r="H118" s="23" t="s">
        <v>36</v>
      </c>
      <c r="I118" s="24" t="s">
        <v>35</v>
      </c>
      <c r="J118" s="25" t="s">
        <v>6</v>
      </c>
      <c r="K118" s="26"/>
      <c r="L118" s="41"/>
      <c r="M118" s="41"/>
      <c r="N118" s="41"/>
      <c r="O118" s="37"/>
      <c r="P118" s="37"/>
      <c r="Q118" s="37"/>
      <c r="S118" s="29"/>
      <c r="T118" s="30"/>
      <c r="U118" s="31"/>
      <c r="V118" s="29"/>
      <c r="W118" s="31"/>
      <c r="X118" s="29"/>
      <c r="Y118" s="31"/>
    </row>
    <row r="119" spans="1:27" ht="30">
      <c r="A119" s="39"/>
      <c r="B119" s="40"/>
      <c r="C119" s="16" t="s">
        <v>50</v>
      </c>
      <c r="D119" s="36">
        <v>8</v>
      </c>
      <c r="E119" s="22" t="str">
        <f t="shared" ref="E119:E121" si="74">(MID(str_cnvt(E118),SEARCH(":",str_cnvt(E118))+1,2)-1) &amp; ":" &amp; (MID(str_cnvt(E118),SEARCH(":",str_cnvt(E118))+1,2)-D119)</f>
        <v>23:16</v>
      </c>
      <c r="F119" s="22" t="s">
        <v>43</v>
      </c>
      <c r="G119" s="27" t="s">
        <v>49</v>
      </c>
      <c r="H119" s="23" t="s">
        <v>36</v>
      </c>
      <c r="I119" s="24" t="s">
        <v>35</v>
      </c>
      <c r="J119" s="25" t="s">
        <v>6</v>
      </c>
      <c r="K119" s="26"/>
      <c r="L119" s="41"/>
      <c r="M119" s="41"/>
      <c r="N119" s="41"/>
      <c r="O119" s="37"/>
      <c r="P119" s="37"/>
      <c r="Q119" s="37"/>
      <c r="S119" s="29"/>
      <c r="T119" s="30"/>
      <c r="U119" s="31"/>
      <c r="V119" s="29"/>
      <c r="W119" s="31"/>
      <c r="X119" s="29"/>
      <c r="Y119" s="31"/>
    </row>
    <row r="120" spans="1:27" ht="30">
      <c r="A120" s="39"/>
      <c r="B120" s="40"/>
      <c r="C120" s="16" t="s">
        <v>51</v>
      </c>
      <c r="D120" s="36">
        <v>8</v>
      </c>
      <c r="E120" s="22" t="str">
        <f t="shared" si="74"/>
        <v>15:8</v>
      </c>
      <c r="F120" s="22" t="s">
        <v>43</v>
      </c>
      <c r="G120" s="27" t="s">
        <v>49</v>
      </c>
      <c r="H120" s="23" t="s">
        <v>36</v>
      </c>
      <c r="I120" s="24" t="s">
        <v>35</v>
      </c>
      <c r="J120" s="25" t="s">
        <v>6</v>
      </c>
      <c r="K120" s="26"/>
      <c r="L120" s="41"/>
      <c r="M120" s="41"/>
      <c r="N120" s="41"/>
      <c r="O120" s="37"/>
      <c r="P120" s="37"/>
      <c r="Q120" s="37"/>
      <c r="S120" s="29"/>
      <c r="T120" s="30"/>
      <c r="U120" s="31"/>
      <c r="V120" s="29"/>
      <c r="W120" s="31"/>
      <c r="X120" s="29"/>
      <c r="Y120" s="31"/>
    </row>
    <row r="121" spans="1:27" ht="30.75" thickBot="1">
      <c r="A121" s="39"/>
      <c r="B121" s="40"/>
      <c r="C121" s="16" t="s">
        <v>52</v>
      </c>
      <c r="D121" s="36">
        <v>8</v>
      </c>
      <c r="E121" s="22" t="str">
        <f t="shared" si="74"/>
        <v>7:0</v>
      </c>
      <c r="F121" s="22" t="s">
        <v>43</v>
      </c>
      <c r="G121" s="27" t="s">
        <v>49</v>
      </c>
      <c r="H121" s="23" t="s">
        <v>36</v>
      </c>
      <c r="I121" s="24" t="s">
        <v>35</v>
      </c>
      <c r="J121" s="25" t="s">
        <v>6</v>
      </c>
      <c r="K121" s="26"/>
      <c r="L121" s="41"/>
      <c r="M121" s="41"/>
      <c r="N121" s="41"/>
      <c r="O121" s="37"/>
      <c r="P121" s="37"/>
      <c r="Q121" s="37"/>
      <c r="S121" s="29"/>
      <c r="T121" s="30"/>
      <c r="U121" s="31"/>
      <c r="V121" s="29"/>
      <c r="W121" s="31"/>
      <c r="X121" s="29"/>
      <c r="Y121" s="31"/>
    </row>
    <row r="122" spans="1:27">
      <c r="A122" s="42" t="str">
        <f>AA122</f>
        <v>REFGEN_REG_QUAD0_SAR1_SLC0</v>
      </c>
      <c r="B122" s="43" t="str">
        <f>DEC2HEX(O122*4)</f>
        <v>0</v>
      </c>
      <c r="C122" s="44" t="str">
        <f>bitConcat(F123:F126)</f>
        <v>32'b00000000000000000000000000000000</v>
      </c>
      <c r="D122" s="44"/>
      <c r="E122" s="44"/>
      <c r="F122" s="44"/>
      <c r="G122" s="44"/>
      <c r="H122" s="44"/>
      <c r="I122" s="44"/>
      <c r="J122" s="44"/>
      <c r="K122" s="44"/>
      <c r="L122" s="45" t="str">
        <f t="shared" si="50"/>
        <v>10</v>
      </c>
      <c r="M122" s="45"/>
      <c r="N122" s="45">
        <f t="shared" ref="N122" si="75">S122</f>
        <v>0</v>
      </c>
      <c r="O122" s="38">
        <v>0</v>
      </c>
      <c r="P122" s="38" t="str">
        <f t="shared" ref="P122" si="76">DEC2HEX(HEX2DEC(Z122)*4)</f>
        <v>10</v>
      </c>
      <c r="Q122" s="38" t="str">
        <f>BIN2HEX(LEFT(RIGHT(C122,32),4))&amp;BIN2HEX(LEFT(RIGHT(C122,28),4))&amp;BIN2HEX(LEFT(RIGHT(C122,24),4))&amp;BIN2HEX(LEFT(RIGHT(C122,20),4))&amp;BIN2HEX(LEFT(RIGHT(C122,16),4))&amp;BIN2HEX(LEFT(RIGHT(C122,12),4))&amp;BIN2HEX(LEFT(RIGHT(C122,8),4))&amp;BIN2HEX(LEFT(RIGHT(C122,4),4))</f>
        <v>00000000</v>
      </c>
      <c r="S122" s="32">
        <v>0</v>
      </c>
      <c r="T122" s="32">
        <v>0</v>
      </c>
      <c r="U122" s="32">
        <v>0</v>
      </c>
      <c r="V122" s="32">
        <v>0</v>
      </c>
      <c r="W122" s="32">
        <v>1</v>
      </c>
      <c r="X122" s="32">
        <v>0</v>
      </c>
      <c r="Y122" s="32">
        <v>0</v>
      </c>
      <c r="Z122" s="32" t="str">
        <f>BIN2HEX(S122&amp;T122&amp;U122&amp;V122&amp;W122&amp;X122&amp;Y122)</f>
        <v>4</v>
      </c>
      <c r="AA122" s="32" t="str">
        <f>CONCATENATE("REFGEN_REG_QUAD",BIN2DEC(X122&amp;Y122),"_SAR",BIN2DEC(V122&amp;W122),"_SLC",BIN2DEC(S122&amp;T122&amp;U122),)</f>
        <v>REFGEN_REG_QUAD0_SAR1_SLC0</v>
      </c>
    </row>
    <row r="123" spans="1:27" ht="30">
      <c r="A123" s="39"/>
      <c r="B123" s="40"/>
      <c r="C123" s="16" t="s">
        <v>48</v>
      </c>
      <c r="D123" s="36">
        <v>8</v>
      </c>
      <c r="E123" s="21" t="str">
        <f>IF(D123&gt;1,(31)&amp;":"&amp;(31-D123+1),(31-D123+1)&amp;":"&amp;(31-D123+1))</f>
        <v>31:24</v>
      </c>
      <c r="F123" s="22" t="s">
        <v>43</v>
      </c>
      <c r="G123" s="27" t="s">
        <v>49</v>
      </c>
      <c r="H123" s="23" t="s">
        <v>36</v>
      </c>
      <c r="I123" s="24" t="s">
        <v>35</v>
      </c>
      <c r="J123" s="25" t="s">
        <v>6</v>
      </c>
      <c r="K123" s="26"/>
      <c r="L123" s="41"/>
      <c r="M123" s="41"/>
      <c r="N123" s="41"/>
      <c r="O123" s="37"/>
      <c r="P123" s="37"/>
      <c r="Q123" s="37"/>
      <c r="S123" s="32"/>
      <c r="T123" s="32"/>
      <c r="U123" s="32"/>
      <c r="V123" s="32"/>
      <c r="W123" s="32"/>
      <c r="X123" s="32"/>
      <c r="Y123" s="32"/>
      <c r="Z123" s="32"/>
      <c r="AA123" s="32"/>
    </row>
    <row r="124" spans="1:27" ht="30">
      <c r="A124" s="39"/>
      <c r="B124" s="40"/>
      <c r="C124" s="16" t="s">
        <v>50</v>
      </c>
      <c r="D124" s="36">
        <v>8</v>
      </c>
      <c r="E124" s="22" t="str">
        <f t="shared" ref="E124:E126" si="77">(MID(str_cnvt(E123),SEARCH(":",str_cnvt(E123))+1,2)-1) &amp; ":" &amp; (MID(str_cnvt(E123),SEARCH(":",str_cnvt(E123))+1,2)-D124)</f>
        <v>23:16</v>
      </c>
      <c r="F124" s="22" t="s">
        <v>43</v>
      </c>
      <c r="G124" s="27" t="s">
        <v>49</v>
      </c>
      <c r="H124" s="23" t="s">
        <v>36</v>
      </c>
      <c r="I124" s="24" t="s">
        <v>35</v>
      </c>
      <c r="J124" s="25" t="s">
        <v>6</v>
      </c>
      <c r="K124" s="26"/>
      <c r="L124" s="41"/>
      <c r="M124" s="41"/>
      <c r="N124" s="41"/>
      <c r="O124" s="37"/>
      <c r="P124" s="37"/>
      <c r="Q124" s="37"/>
      <c r="S124" s="32"/>
      <c r="T124" s="32"/>
      <c r="U124" s="32"/>
      <c r="V124" s="32"/>
      <c r="W124" s="32"/>
      <c r="X124" s="32"/>
      <c r="Y124" s="32"/>
      <c r="Z124" s="32"/>
      <c r="AA124" s="32"/>
    </row>
    <row r="125" spans="1:27" ht="30">
      <c r="A125" s="39"/>
      <c r="B125" s="40"/>
      <c r="C125" s="16" t="s">
        <v>51</v>
      </c>
      <c r="D125" s="36">
        <v>8</v>
      </c>
      <c r="E125" s="22" t="str">
        <f t="shared" si="77"/>
        <v>15:8</v>
      </c>
      <c r="F125" s="22" t="s">
        <v>43</v>
      </c>
      <c r="G125" s="27" t="s">
        <v>49</v>
      </c>
      <c r="H125" s="23" t="s">
        <v>36</v>
      </c>
      <c r="I125" s="24" t="s">
        <v>35</v>
      </c>
      <c r="J125" s="25" t="s">
        <v>6</v>
      </c>
      <c r="K125" s="26"/>
      <c r="L125" s="41"/>
      <c r="M125" s="41"/>
      <c r="N125" s="41"/>
      <c r="O125" s="37"/>
      <c r="P125" s="37"/>
      <c r="Q125" s="37"/>
      <c r="S125" s="32"/>
      <c r="T125" s="32"/>
      <c r="U125" s="32"/>
      <c r="V125" s="32"/>
      <c r="W125" s="32"/>
      <c r="X125" s="32"/>
      <c r="Y125" s="32"/>
      <c r="Z125" s="32"/>
      <c r="AA125" s="32"/>
    </row>
    <row r="126" spans="1:27" ht="30.75" thickBot="1">
      <c r="A126" s="39"/>
      <c r="B126" s="40"/>
      <c r="C126" s="16" t="s">
        <v>52</v>
      </c>
      <c r="D126" s="36">
        <v>8</v>
      </c>
      <c r="E126" s="22" t="str">
        <f t="shared" si="77"/>
        <v>7:0</v>
      </c>
      <c r="F126" s="22" t="s">
        <v>43</v>
      </c>
      <c r="G126" s="27" t="s">
        <v>49</v>
      </c>
      <c r="H126" s="23" t="s">
        <v>36</v>
      </c>
      <c r="I126" s="24" t="s">
        <v>35</v>
      </c>
      <c r="J126" s="25" t="s">
        <v>6</v>
      </c>
      <c r="K126" s="26"/>
      <c r="L126" s="41"/>
      <c r="M126" s="41"/>
      <c r="N126" s="41"/>
      <c r="O126" s="37"/>
      <c r="P126" s="37"/>
      <c r="Q126" s="37"/>
      <c r="S126" s="32"/>
      <c r="T126" s="32"/>
      <c r="U126" s="32"/>
      <c r="V126" s="32"/>
      <c r="W126" s="32"/>
      <c r="X126" s="32"/>
      <c r="Y126" s="32"/>
      <c r="Z126" s="32"/>
      <c r="AA126" s="32"/>
    </row>
    <row r="127" spans="1:27">
      <c r="A127" s="42" t="str">
        <f>AA127</f>
        <v>REFGEN_REG_QUAD1_SAR1_SLC0</v>
      </c>
      <c r="B127" s="43" t="str">
        <f>DEC2HEX(O127*4)</f>
        <v>0</v>
      </c>
      <c r="C127" s="44" t="str">
        <f>bitConcat(F128:F131)</f>
        <v>32'b00000000000000000000000000000000</v>
      </c>
      <c r="D127" s="44"/>
      <c r="E127" s="44"/>
      <c r="F127" s="44"/>
      <c r="G127" s="44"/>
      <c r="H127" s="44"/>
      <c r="I127" s="44"/>
      <c r="J127" s="44"/>
      <c r="K127" s="44"/>
      <c r="L127" s="45" t="str">
        <f t="shared" si="50"/>
        <v>14</v>
      </c>
      <c r="M127" s="45"/>
      <c r="N127" s="45">
        <f t="shared" ref="N127" si="78">S127</f>
        <v>0</v>
      </c>
      <c r="O127" s="38">
        <v>0</v>
      </c>
      <c r="P127" s="38" t="str">
        <f t="shared" ref="P127" si="79">DEC2HEX(HEX2DEC(Z127)*4)</f>
        <v>14</v>
      </c>
      <c r="Q127" s="38" t="str">
        <f>BIN2HEX(LEFT(RIGHT(C127,32),4))&amp;BIN2HEX(LEFT(RIGHT(C127,28),4))&amp;BIN2HEX(LEFT(RIGHT(C127,24),4))&amp;BIN2HEX(LEFT(RIGHT(C127,20),4))&amp;BIN2HEX(LEFT(RIGHT(C127,16),4))&amp;BIN2HEX(LEFT(RIGHT(C127,12),4))&amp;BIN2HEX(LEFT(RIGHT(C127,8),4))&amp;BIN2HEX(LEFT(RIGHT(C127,4),4))</f>
        <v>00000000</v>
      </c>
      <c r="S127" s="32">
        <v>0</v>
      </c>
      <c r="T127" s="32">
        <v>0</v>
      </c>
      <c r="U127" s="32">
        <v>0</v>
      </c>
      <c r="V127" s="32">
        <v>0</v>
      </c>
      <c r="W127" s="32">
        <v>1</v>
      </c>
      <c r="X127" s="32">
        <v>0</v>
      </c>
      <c r="Y127" s="32">
        <v>1</v>
      </c>
      <c r="Z127" s="32" t="str">
        <f t="shared" ref="Z127:Z237" si="80">BIN2HEX(S127&amp;T127&amp;U127&amp;V127&amp;W127&amp;X127&amp;Y127)</f>
        <v>5</v>
      </c>
      <c r="AA127" s="32" t="str">
        <f>CONCATENATE("REFGEN_REG_QUAD",BIN2DEC(X127&amp;Y127),"_SAR",BIN2DEC(V127&amp;W127),"_SLC",BIN2DEC(S127&amp;T127&amp;U127),)</f>
        <v>REFGEN_REG_QUAD1_SAR1_SLC0</v>
      </c>
    </row>
    <row r="128" spans="1:27" ht="30">
      <c r="A128" s="39"/>
      <c r="B128" s="40"/>
      <c r="C128" s="16" t="s">
        <v>48</v>
      </c>
      <c r="D128" s="36">
        <v>8</v>
      </c>
      <c r="E128" s="21" t="str">
        <f>IF(D128&gt;1,(31)&amp;":"&amp;(31-D128+1),(31-D128+1)&amp;":"&amp;(31-D128+1))</f>
        <v>31:24</v>
      </c>
      <c r="F128" s="22" t="s">
        <v>43</v>
      </c>
      <c r="G128" s="27" t="s">
        <v>49</v>
      </c>
      <c r="H128" s="23" t="s">
        <v>36</v>
      </c>
      <c r="I128" s="24" t="s">
        <v>35</v>
      </c>
      <c r="J128" s="25" t="s">
        <v>6</v>
      </c>
      <c r="K128" s="26"/>
      <c r="L128" s="41"/>
      <c r="M128" s="41"/>
      <c r="N128" s="41"/>
      <c r="O128" s="37"/>
      <c r="P128" s="37"/>
      <c r="Q128" s="37"/>
      <c r="S128" s="32"/>
      <c r="T128" s="32"/>
      <c r="U128" s="32"/>
      <c r="V128" s="32"/>
      <c r="W128" s="32"/>
      <c r="X128" s="32"/>
      <c r="Y128" s="32"/>
      <c r="Z128" s="32"/>
      <c r="AA128" s="32"/>
    </row>
    <row r="129" spans="1:27" ht="30">
      <c r="A129" s="39"/>
      <c r="B129" s="40"/>
      <c r="C129" s="16" t="s">
        <v>50</v>
      </c>
      <c r="D129" s="36">
        <v>8</v>
      </c>
      <c r="E129" s="22" t="str">
        <f t="shared" ref="E129:E131" si="81">(MID(str_cnvt(E128),SEARCH(":",str_cnvt(E128))+1,2)-1) &amp; ":" &amp; (MID(str_cnvt(E128),SEARCH(":",str_cnvt(E128))+1,2)-D129)</f>
        <v>23:16</v>
      </c>
      <c r="F129" s="22" t="s">
        <v>43</v>
      </c>
      <c r="G129" s="27" t="s">
        <v>49</v>
      </c>
      <c r="H129" s="23" t="s">
        <v>36</v>
      </c>
      <c r="I129" s="24" t="s">
        <v>35</v>
      </c>
      <c r="J129" s="25" t="s">
        <v>6</v>
      </c>
      <c r="K129" s="26"/>
      <c r="L129" s="41"/>
      <c r="M129" s="41"/>
      <c r="N129" s="41"/>
      <c r="O129" s="37"/>
      <c r="P129" s="37"/>
      <c r="Q129" s="37"/>
      <c r="S129" s="32"/>
      <c r="T129" s="32"/>
      <c r="U129" s="32"/>
      <c r="V129" s="32"/>
      <c r="W129" s="32"/>
      <c r="X129" s="32"/>
      <c r="Y129" s="32"/>
      <c r="Z129" s="32"/>
      <c r="AA129" s="32"/>
    </row>
    <row r="130" spans="1:27" ht="30">
      <c r="A130" s="39"/>
      <c r="B130" s="40"/>
      <c r="C130" s="16" t="s">
        <v>51</v>
      </c>
      <c r="D130" s="36">
        <v>8</v>
      </c>
      <c r="E130" s="22" t="str">
        <f t="shared" si="81"/>
        <v>15:8</v>
      </c>
      <c r="F130" s="22" t="s">
        <v>43</v>
      </c>
      <c r="G130" s="27" t="s">
        <v>49</v>
      </c>
      <c r="H130" s="23" t="s">
        <v>36</v>
      </c>
      <c r="I130" s="24" t="s">
        <v>35</v>
      </c>
      <c r="J130" s="25" t="s">
        <v>6</v>
      </c>
      <c r="K130" s="26"/>
      <c r="L130" s="41"/>
      <c r="M130" s="41"/>
      <c r="N130" s="41"/>
      <c r="O130" s="37"/>
      <c r="P130" s="37"/>
      <c r="Q130" s="37"/>
      <c r="S130" s="32"/>
      <c r="T130" s="32"/>
      <c r="U130" s="32"/>
      <c r="V130" s="32"/>
      <c r="W130" s="32"/>
      <c r="X130" s="32"/>
      <c r="Y130" s="32"/>
      <c r="Z130" s="32"/>
      <c r="AA130" s="32"/>
    </row>
    <row r="131" spans="1:27" ht="30.75" thickBot="1">
      <c r="A131" s="39"/>
      <c r="B131" s="40"/>
      <c r="C131" s="16" t="s">
        <v>52</v>
      </c>
      <c r="D131" s="36">
        <v>8</v>
      </c>
      <c r="E131" s="22" t="str">
        <f t="shared" si="81"/>
        <v>7:0</v>
      </c>
      <c r="F131" s="22" t="s">
        <v>43</v>
      </c>
      <c r="G131" s="27" t="s">
        <v>49</v>
      </c>
      <c r="H131" s="23" t="s">
        <v>36</v>
      </c>
      <c r="I131" s="24" t="s">
        <v>35</v>
      </c>
      <c r="J131" s="25" t="s">
        <v>6</v>
      </c>
      <c r="K131" s="26"/>
      <c r="L131" s="41"/>
      <c r="M131" s="41"/>
      <c r="N131" s="41"/>
      <c r="O131" s="37"/>
      <c r="P131" s="37"/>
      <c r="Q131" s="37"/>
      <c r="S131" s="32"/>
      <c r="T131" s="32"/>
      <c r="U131" s="32"/>
      <c r="V131" s="32"/>
      <c r="W131" s="32"/>
      <c r="X131" s="32"/>
      <c r="Y131" s="32"/>
      <c r="Z131" s="32"/>
      <c r="AA131" s="32"/>
    </row>
    <row r="132" spans="1:27">
      <c r="A132" s="42" t="str">
        <f>AA132</f>
        <v>REFGEN_REG_QUAD2_SAR1_SLC0</v>
      </c>
      <c r="B132" s="43" t="str">
        <f>DEC2HEX(O132*4)</f>
        <v>0</v>
      </c>
      <c r="C132" s="44" t="str">
        <f>bitConcat(F133:F136)</f>
        <v>32'b00000000000000000000000000000000</v>
      </c>
      <c r="D132" s="44"/>
      <c r="E132" s="44"/>
      <c r="F132" s="44"/>
      <c r="G132" s="44"/>
      <c r="H132" s="44"/>
      <c r="I132" s="44"/>
      <c r="J132" s="44"/>
      <c r="K132" s="44"/>
      <c r="L132" s="45" t="str">
        <f t="shared" si="50"/>
        <v>18</v>
      </c>
      <c r="M132" s="45"/>
      <c r="N132" s="45">
        <f t="shared" ref="N132" si="82">S132</f>
        <v>0</v>
      </c>
      <c r="O132" s="38">
        <v>0</v>
      </c>
      <c r="P132" s="38" t="str">
        <f t="shared" ref="P132" si="83">DEC2HEX(HEX2DEC(Z132)*4)</f>
        <v>18</v>
      </c>
      <c r="Q132" s="38" t="str">
        <f>BIN2HEX(LEFT(RIGHT(C132,32),4))&amp;BIN2HEX(LEFT(RIGHT(C132,28),4))&amp;BIN2HEX(LEFT(RIGHT(C132,24),4))&amp;BIN2HEX(LEFT(RIGHT(C132,20),4))&amp;BIN2HEX(LEFT(RIGHT(C132,16),4))&amp;BIN2HEX(LEFT(RIGHT(C132,12),4))&amp;BIN2HEX(LEFT(RIGHT(C132,8),4))&amp;BIN2HEX(LEFT(RIGHT(C132,4),4))</f>
        <v>00000000</v>
      </c>
      <c r="S132" s="32">
        <v>0</v>
      </c>
      <c r="T132" s="32">
        <v>0</v>
      </c>
      <c r="U132" s="32">
        <v>0</v>
      </c>
      <c r="V132" s="32">
        <v>0</v>
      </c>
      <c r="W132" s="32">
        <v>1</v>
      </c>
      <c r="X132" s="32">
        <v>1</v>
      </c>
      <c r="Y132" s="32">
        <v>0</v>
      </c>
      <c r="Z132" s="32" t="str">
        <f t="shared" si="80"/>
        <v>6</v>
      </c>
      <c r="AA132" s="32" t="str">
        <f>CONCATENATE("REFGEN_REG_QUAD",BIN2DEC(X132&amp;Y132),"_SAR",BIN2DEC(V132&amp;W132),"_SLC",BIN2DEC(S132&amp;T132&amp;U132),)</f>
        <v>REFGEN_REG_QUAD2_SAR1_SLC0</v>
      </c>
    </row>
    <row r="133" spans="1:27" ht="30">
      <c r="A133" s="39"/>
      <c r="B133" s="40"/>
      <c r="C133" s="16" t="s">
        <v>48</v>
      </c>
      <c r="D133" s="36">
        <v>8</v>
      </c>
      <c r="E133" s="21" t="str">
        <f>IF(D133&gt;1,(31)&amp;":"&amp;(31-D133+1),(31-D133+1)&amp;":"&amp;(31-D133+1))</f>
        <v>31:24</v>
      </c>
      <c r="F133" s="22" t="s">
        <v>43</v>
      </c>
      <c r="G133" s="27" t="s">
        <v>49</v>
      </c>
      <c r="H133" s="23" t="s">
        <v>36</v>
      </c>
      <c r="I133" s="24" t="s">
        <v>35</v>
      </c>
      <c r="J133" s="25" t="s">
        <v>6</v>
      </c>
      <c r="K133" s="26"/>
      <c r="L133" s="41"/>
      <c r="M133" s="41"/>
      <c r="N133" s="41"/>
      <c r="O133" s="37"/>
      <c r="P133" s="37"/>
      <c r="Q133" s="37"/>
      <c r="S133" s="32"/>
      <c r="T133" s="32"/>
      <c r="U133" s="32"/>
      <c r="V133" s="32"/>
      <c r="W133" s="32"/>
      <c r="X133" s="32"/>
      <c r="Y133" s="32"/>
      <c r="Z133" s="32"/>
      <c r="AA133" s="32"/>
    </row>
    <row r="134" spans="1:27" ht="30">
      <c r="A134" s="39"/>
      <c r="B134" s="40"/>
      <c r="C134" s="16" t="s">
        <v>50</v>
      </c>
      <c r="D134" s="36">
        <v>8</v>
      </c>
      <c r="E134" s="22" t="str">
        <f t="shared" ref="E134:E136" si="84">(MID(str_cnvt(E133),SEARCH(":",str_cnvt(E133))+1,2)-1) &amp; ":" &amp; (MID(str_cnvt(E133),SEARCH(":",str_cnvt(E133))+1,2)-D134)</f>
        <v>23:16</v>
      </c>
      <c r="F134" s="22" t="s">
        <v>43</v>
      </c>
      <c r="G134" s="27" t="s">
        <v>49</v>
      </c>
      <c r="H134" s="23" t="s">
        <v>36</v>
      </c>
      <c r="I134" s="24" t="s">
        <v>35</v>
      </c>
      <c r="J134" s="25" t="s">
        <v>6</v>
      </c>
      <c r="K134" s="26"/>
      <c r="L134" s="41"/>
      <c r="M134" s="41"/>
      <c r="N134" s="41"/>
      <c r="O134" s="37"/>
      <c r="P134" s="37"/>
      <c r="Q134" s="37"/>
      <c r="S134" s="32"/>
      <c r="T134" s="32"/>
      <c r="U134" s="32"/>
      <c r="V134" s="32"/>
      <c r="W134" s="32"/>
      <c r="X134" s="32"/>
      <c r="Y134" s="32"/>
      <c r="Z134" s="32"/>
      <c r="AA134" s="32"/>
    </row>
    <row r="135" spans="1:27" ht="30">
      <c r="A135" s="39"/>
      <c r="B135" s="40"/>
      <c r="C135" s="16" t="s">
        <v>51</v>
      </c>
      <c r="D135" s="36">
        <v>8</v>
      </c>
      <c r="E135" s="22" t="str">
        <f t="shared" si="84"/>
        <v>15:8</v>
      </c>
      <c r="F135" s="22" t="s">
        <v>43</v>
      </c>
      <c r="G135" s="27" t="s">
        <v>49</v>
      </c>
      <c r="H135" s="23" t="s">
        <v>36</v>
      </c>
      <c r="I135" s="24" t="s">
        <v>35</v>
      </c>
      <c r="J135" s="25" t="s">
        <v>6</v>
      </c>
      <c r="K135" s="26"/>
      <c r="L135" s="41"/>
      <c r="M135" s="41"/>
      <c r="N135" s="41"/>
      <c r="O135" s="37"/>
      <c r="P135" s="37"/>
      <c r="Q135" s="37"/>
      <c r="S135" s="32"/>
      <c r="T135" s="32"/>
      <c r="U135" s="32"/>
      <c r="V135" s="32"/>
      <c r="W135" s="32"/>
      <c r="X135" s="32"/>
      <c r="Y135" s="32"/>
      <c r="Z135" s="32"/>
      <c r="AA135" s="32"/>
    </row>
    <row r="136" spans="1:27" ht="30.75" thickBot="1">
      <c r="A136" s="39"/>
      <c r="B136" s="40"/>
      <c r="C136" s="16" t="s">
        <v>52</v>
      </c>
      <c r="D136" s="36">
        <v>8</v>
      </c>
      <c r="E136" s="22" t="str">
        <f t="shared" si="84"/>
        <v>7:0</v>
      </c>
      <c r="F136" s="22" t="s">
        <v>43</v>
      </c>
      <c r="G136" s="27" t="s">
        <v>49</v>
      </c>
      <c r="H136" s="23" t="s">
        <v>36</v>
      </c>
      <c r="I136" s="24" t="s">
        <v>35</v>
      </c>
      <c r="J136" s="25" t="s">
        <v>6</v>
      </c>
      <c r="K136" s="26"/>
      <c r="L136" s="41"/>
      <c r="M136" s="41"/>
      <c r="N136" s="41"/>
      <c r="O136" s="37"/>
      <c r="P136" s="37"/>
      <c r="Q136" s="37"/>
      <c r="S136" s="32"/>
      <c r="T136" s="32"/>
      <c r="U136" s="32"/>
      <c r="V136" s="32"/>
      <c r="W136" s="32"/>
      <c r="X136" s="32"/>
      <c r="Y136" s="32"/>
      <c r="Z136" s="32"/>
      <c r="AA136" s="32"/>
    </row>
    <row r="137" spans="1:27">
      <c r="A137" s="42" t="str">
        <f>AA137</f>
        <v>REFGEN_REG_QUAD3_SAR1_SLC0</v>
      </c>
      <c r="B137" s="43" t="str">
        <f>DEC2HEX(O137*4)</f>
        <v>0</v>
      </c>
      <c r="C137" s="44" t="str">
        <f>bitConcat(F138:F141)</f>
        <v>32'b00000000000000000000000000000000</v>
      </c>
      <c r="D137" s="44"/>
      <c r="E137" s="44"/>
      <c r="F137" s="44"/>
      <c r="G137" s="44"/>
      <c r="H137" s="44"/>
      <c r="I137" s="44"/>
      <c r="J137" s="44"/>
      <c r="K137" s="44"/>
      <c r="L137" s="45" t="str">
        <f t="shared" si="50"/>
        <v>1C</v>
      </c>
      <c r="M137" s="45"/>
      <c r="N137" s="45">
        <f t="shared" ref="N137" si="85">S137</f>
        <v>0</v>
      </c>
      <c r="O137" s="38">
        <v>0</v>
      </c>
      <c r="P137" s="38" t="str">
        <f t="shared" ref="P137" si="86">DEC2HEX(HEX2DEC(Z137)*4)</f>
        <v>1C</v>
      </c>
      <c r="Q137" s="38" t="str">
        <f>BIN2HEX(LEFT(RIGHT(C137,32),4))&amp;BIN2HEX(LEFT(RIGHT(C137,28),4))&amp;BIN2HEX(LEFT(RIGHT(C137,24),4))&amp;BIN2HEX(LEFT(RIGHT(C137,20),4))&amp;BIN2HEX(LEFT(RIGHT(C137,16),4))&amp;BIN2HEX(LEFT(RIGHT(C137,12),4))&amp;BIN2HEX(LEFT(RIGHT(C137,8),4))&amp;BIN2HEX(LEFT(RIGHT(C137,4),4))</f>
        <v>00000000</v>
      </c>
      <c r="S137" s="32">
        <v>0</v>
      </c>
      <c r="T137" s="32">
        <v>0</v>
      </c>
      <c r="U137" s="32">
        <v>0</v>
      </c>
      <c r="V137" s="32">
        <v>0</v>
      </c>
      <c r="W137" s="32">
        <v>1</v>
      </c>
      <c r="X137" s="32">
        <v>1</v>
      </c>
      <c r="Y137" s="32">
        <v>1</v>
      </c>
      <c r="Z137" s="32" t="str">
        <f t="shared" si="80"/>
        <v>7</v>
      </c>
      <c r="AA137" s="32" t="str">
        <f>CONCATENATE("REFGEN_REG_QUAD",BIN2DEC(X137&amp;Y137),"_SAR",BIN2DEC(V137&amp;W137),"_SLC",BIN2DEC(S137&amp;T137&amp;U137),)</f>
        <v>REFGEN_REG_QUAD3_SAR1_SLC0</v>
      </c>
    </row>
    <row r="138" spans="1:27" ht="30">
      <c r="A138" s="39"/>
      <c r="B138" s="40"/>
      <c r="C138" s="16" t="s">
        <v>48</v>
      </c>
      <c r="D138" s="36">
        <v>8</v>
      </c>
      <c r="E138" s="21" t="str">
        <f>IF(D138&gt;1,(31)&amp;":"&amp;(31-D138+1),(31-D138+1)&amp;":"&amp;(31-D138+1))</f>
        <v>31:24</v>
      </c>
      <c r="F138" s="22" t="s">
        <v>43</v>
      </c>
      <c r="G138" s="27" t="s">
        <v>49</v>
      </c>
      <c r="H138" s="23" t="s">
        <v>36</v>
      </c>
      <c r="I138" s="24" t="s">
        <v>35</v>
      </c>
      <c r="J138" s="25" t="s">
        <v>6</v>
      </c>
      <c r="K138" s="26"/>
      <c r="L138" s="41"/>
      <c r="M138" s="41"/>
      <c r="N138" s="41"/>
      <c r="O138" s="37"/>
      <c r="P138" s="37"/>
      <c r="Q138" s="37"/>
      <c r="S138" s="32"/>
      <c r="T138" s="32"/>
      <c r="U138" s="32"/>
      <c r="V138" s="32"/>
      <c r="W138" s="32"/>
      <c r="X138" s="32"/>
      <c r="Y138" s="32"/>
      <c r="Z138" s="32"/>
      <c r="AA138" s="32"/>
    </row>
    <row r="139" spans="1:27" ht="30">
      <c r="A139" s="39"/>
      <c r="B139" s="40"/>
      <c r="C139" s="16" t="s">
        <v>50</v>
      </c>
      <c r="D139" s="36">
        <v>8</v>
      </c>
      <c r="E139" s="22" t="str">
        <f t="shared" ref="E139:E141" si="87">(MID(str_cnvt(E138),SEARCH(":",str_cnvt(E138))+1,2)-1) &amp; ":" &amp; (MID(str_cnvt(E138),SEARCH(":",str_cnvt(E138))+1,2)-D139)</f>
        <v>23:16</v>
      </c>
      <c r="F139" s="22" t="s">
        <v>43</v>
      </c>
      <c r="G139" s="27" t="s">
        <v>49</v>
      </c>
      <c r="H139" s="23" t="s">
        <v>36</v>
      </c>
      <c r="I139" s="24" t="s">
        <v>35</v>
      </c>
      <c r="J139" s="25" t="s">
        <v>6</v>
      </c>
      <c r="K139" s="26"/>
      <c r="L139" s="41"/>
      <c r="M139" s="41"/>
      <c r="N139" s="41"/>
      <c r="O139" s="37"/>
      <c r="P139" s="37"/>
      <c r="Q139" s="37"/>
      <c r="S139" s="32"/>
      <c r="T139" s="32"/>
      <c r="U139" s="32"/>
      <c r="V139" s="32"/>
      <c r="W139" s="32"/>
      <c r="X139" s="32"/>
      <c r="Y139" s="32"/>
      <c r="Z139" s="32"/>
      <c r="AA139" s="32"/>
    </row>
    <row r="140" spans="1:27" ht="30">
      <c r="A140" s="39"/>
      <c r="B140" s="40"/>
      <c r="C140" s="16" t="s">
        <v>51</v>
      </c>
      <c r="D140" s="36">
        <v>8</v>
      </c>
      <c r="E140" s="22" t="str">
        <f t="shared" si="87"/>
        <v>15:8</v>
      </c>
      <c r="F140" s="22" t="s">
        <v>43</v>
      </c>
      <c r="G140" s="27" t="s">
        <v>49</v>
      </c>
      <c r="H140" s="23" t="s">
        <v>36</v>
      </c>
      <c r="I140" s="24" t="s">
        <v>35</v>
      </c>
      <c r="J140" s="25" t="s">
        <v>6</v>
      </c>
      <c r="K140" s="26"/>
      <c r="L140" s="41"/>
      <c r="M140" s="41"/>
      <c r="N140" s="41"/>
      <c r="O140" s="37"/>
      <c r="P140" s="37"/>
      <c r="Q140" s="37"/>
      <c r="S140" s="32"/>
      <c r="T140" s="32"/>
      <c r="U140" s="32"/>
      <c r="V140" s="32"/>
      <c r="W140" s="32"/>
      <c r="X140" s="32"/>
      <c r="Y140" s="32"/>
      <c r="Z140" s="32"/>
      <c r="AA140" s="32"/>
    </row>
    <row r="141" spans="1:27" ht="30.75" thickBot="1">
      <c r="A141" s="39"/>
      <c r="B141" s="40"/>
      <c r="C141" s="16" t="s">
        <v>52</v>
      </c>
      <c r="D141" s="36">
        <v>8</v>
      </c>
      <c r="E141" s="22" t="str">
        <f t="shared" si="87"/>
        <v>7:0</v>
      </c>
      <c r="F141" s="22" t="s">
        <v>43</v>
      </c>
      <c r="G141" s="27" t="s">
        <v>49</v>
      </c>
      <c r="H141" s="23" t="s">
        <v>36</v>
      </c>
      <c r="I141" s="24" t="s">
        <v>35</v>
      </c>
      <c r="J141" s="25" t="s">
        <v>6</v>
      </c>
      <c r="K141" s="26"/>
      <c r="L141" s="41"/>
      <c r="M141" s="41"/>
      <c r="N141" s="41"/>
      <c r="O141" s="37"/>
      <c r="P141" s="37"/>
      <c r="Q141" s="37"/>
      <c r="S141" s="32"/>
      <c r="T141" s="32"/>
      <c r="U141" s="32"/>
      <c r="V141" s="32"/>
      <c r="W141" s="32"/>
      <c r="X141" s="32"/>
      <c r="Y141" s="32"/>
      <c r="Z141" s="32"/>
      <c r="AA141" s="32"/>
    </row>
    <row r="142" spans="1:27">
      <c r="A142" s="42" t="str">
        <f>AA142</f>
        <v>REFGEN_REG_QUAD0_SAR1_SLC1</v>
      </c>
      <c r="B142" s="43" t="str">
        <f>DEC2HEX(O142*4)</f>
        <v>0</v>
      </c>
      <c r="C142" s="44" t="str">
        <f>bitConcat(F143:F146)</f>
        <v>32'b00000000000000000000000000000000</v>
      </c>
      <c r="D142" s="44"/>
      <c r="E142" s="44"/>
      <c r="F142" s="44"/>
      <c r="G142" s="44"/>
      <c r="H142" s="44"/>
      <c r="I142" s="44"/>
      <c r="J142" s="44"/>
      <c r="K142" s="44"/>
      <c r="L142" s="45" t="str">
        <f t="shared" si="50"/>
        <v>50</v>
      </c>
      <c r="M142" s="45"/>
      <c r="N142" s="45">
        <f t="shared" ref="N142" si="88">S142</f>
        <v>0</v>
      </c>
      <c r="O142" s="38">
        <v>0</v>
      </c>
      <c r="P142" s="38" t="str">
        <f t="shared" ref="P142" si="89">DEC2HEX(HEX2DEC(Z142)*4)</f>
        <v>50</v>
      </c>
      <c r="Q142" s="38" t="str">
        <f>BIN2HEX(LEFT(RIGHT(C142,32),4))&amp;BIN2HEX(LEFT(RIGHT(C142,28),4))&amp;BIN2HEX(LEFT(RIGHT(C142,24),4))&amp;BIN2HEX(LEFT(RIGHT(C142,20),4))&amp;BIN2HEX(LEFT(RIGHT(C142,16),4))&amp;BIN2HEX(LEFT(RIGHT(C142,12),4))&amp;BIN2HEX(LEFT(RIGHT(C142,8),4))&amp;BIN2HEX(LEFT(RIGHT(C142,4),4))</f>
        <v>00000000</v>
      </c>
      <c r="S142" s="32">
        <v>0</v>
      </c>
      <c r="T142" s="32">
        <v>0</v>
      </c>
      <c r="U142" s="32">
        <v>1</v>
      </c>
      <c r="V142" s="32">
        <v>0</v>
      </c>
      <c r="W142" s="32">
        <v>1</v>
      </c>
      <c r="X142" s="32">
        <v>0</v>
      </c>
      <c r="Y142" s="32">
        <v>0</v>
      </c>
      <c r="Z142" s="32" t="str">
        <f t="shared" si="80"/>
        <v>14</v>
      </c>
      <c r="AA142" s="32" t="str">
        <f>CONCATENATE("REFGEN_REG_QUAD",BIN2DEC(X142&amp;Y142),"_SAR",BIN2DEC(V142&amp;W142),"_SLC",BIN2DEC(S142&amp;T142&amp;U142),)</f>
        <v>REFGEN_REG_QUAD0_SAR1_SLC1</v>
      </c>
    </row>
    <row r="143" spans="1:27" ht="30">
      <c r="A143" s="39"/>
      <c r="B143" s="40"/>
      <c r="C143" s="16" t="s">
        <v>48</v>
      </c>
      <c r="D143" s="36">
        <v>8</v>
      </c>
      <c r="E143" s="21" t="str">
        <f>IF(D143&gt;1,(31)&amp;":"&amp;(31-D143+1),(31-D143+1)&amp;":"&amp;(31-D143+1))</f>
        <v>31:24</v>
      </c>
      <c r="F143" s="22" t="s">
        <v>43</v>
      </c>
      <c r="G143" s="27" t="s">
        <v>49</v>
      </c>
      <c r="H143" s="23" t="s">
        <v>36</v>
      </c>
      <c r="I143" s="24" t="s">
        <v>35</v>
      </c>
      <c r="J143" s="25" t="s">
        <v>6</v>
      </c>
      <c r="K143" s="26"/>
      <c r="L143" s="41"/>
      <c r="M143" s="41"/>
      <c r="N143" s="41"/>
      <c r="O143" s="37"/>
      <c r="P143" s="37"/>
      <c r="Q143" s="37"/>
      <c r="S143" s="32"/>
      <c r="T143" s="32"/>
      <c r="U143" s="32"/>
      <c r="V143" s="32"/>
      <c r="W143" s="32"/>
      <c r="X143" s="32"/>
      <c r="Y143" s="32"/>
      <c r="Z143" s="32"/>
      <c r="AA143" s="32"/>
    </row>
    <row r="144" spans="1:27" ht="30">
      <c r="A144" s="39"/>
      <c r="B144" s="40"/>
      <c r="C144" s="16" t="s">
        <v>50</v>
      </c>
      <c r="D144" s="36">
        <v>8</v>
      </c>
      <c r="E144" s="22" t="str">
        <f t="shared" ref="E144:E146" si="90">(MID(str_cnvt(E143),SEARCH(":",str_cnvt(E143))+1,2)-1) &amp; ":" &amp; (MID(str_cnvt(E143),SEARCH(":",str_cnvt(E143))+1,2)-D144)</f>
        <v>23:16</v>
      </c>
      <c r="F144" s="22" t="s">
        <v>43</v>
      </c>
      <c r="G144" s="27" t="s">
        <v>49</v>
      </c>
      <c r="H144" s="23" t="s">
        <v>36</v>
      </c>
      <c r="I144" s="24" t="s">
        <v>35</v>
      </c>
      <c r="J144" s="25" t="s">
        <v>6</v>
      </c>
      <c r="K144" s="26"/>
      <c r="L144" s="41"/>
      <c r="M144" s="41"/>
      <c r="N144" s="41"/>
      <c r="O144" s="37"/>
      <c r="P144" s="37"/>
      <c r="Q144" s="37"/>
      <c r="S144" s="32"/>
      <c r="T144" s="32"/>
      <c r="U144" s="32"/>
      <c r="V144" s="32"/>
      <c r="W144" s="32"/>
      <c r="X144" s="32"/>
      <c r="Y144" s="32"/>
      <c r="Z144" s="32"/>
      <c r="AA144" s="32"/>
    </row>
    <row r="145" spans="1:27" ht="30">
      <c r="A145" s="39"/>
      <c r="B145" s="40"/>
      <c r="C145" s="16" t="s">
        <v>51</v>
      </c>
      <c r="D145" s="36">
        <v>8</v>
      </c>
      <c r="E145" s="22" t="str">
        <f t="shared" si="90"/>
        <v>15:8</v>
      </c>
      <c r="F145" s="22" t="s">
        <v>43</v>
      </c>
      <c r="G145" s="27" t="s">
        <v>49</v>
      </c>
      <c r="H145" s="23" t="s">
        <v>36</v>
      </c>
      <c r="I145" s="24" t="s">
        <v>35</v>
      </c>
      <c r="J145" s="25" t="s">
        <v>6</v>
      </c>
      <c r="K145" s="26"/>
      <c r="L145" s="41"/>
      <c r="M145" s="41"/>
      <c r="N145" s="41"/>
      <c r="O145" s="37"/>
      <c r="P145" s="37"/>
      <c r="Q145" s="37"/>
      <c r="S145" s="32"/>
      <c r="T145" s="32"/>
      <c r="U145" s="32"/>
      <c r="V145" s="32"/>
      <c r="W145" s="32"/>
      <c r="X145" s="32"/>
      <c r="Y145" s="32"/>
      <c r="Z145" s="32"/>
      <c r="AA145" s="32"/>
    </row>
    <row r="146" spans="1:27" ht="30.75" thickBot="1">
      <c r="A146" s="39"/>
      <c r="B146" s="40"/>
      <c r="C146" s="16" t="s">
        <v>52</v>
      </c>
      <c r="D146" s="36">
        <v>8</v>
      </c>
      <c r="E146" s="22" t="str">
        <f t="shared" si="90"/>
        <v>7:0</v>
      </c>
      <c r="F146" s="22" t="s">
        <v>43</v>
      </c>
      <c r="G146" s="27" t="s">
        <v>49</v>
      </c>
      <c r="H146" s="23" t="s">
        <v>36</v>
      </c>
      <c r="I146" s="24" t="s">
        <v>35</v>
      </c>
      <c r="J146" s="25" t="s">
        <v>6</v>
      </c>
      <c r="K146" s="26"/>
      <c r="L146" s="41"/>
      <c r="M146" s="41"/>
      <c r="N146" s="41"/>
      <c r="O146" s="37"/>
      <c r="P146" s="37"/>
      <c r="Q146" s="37"/>
      <c r="S146" s="32"/>
      <c r="T146" s="32"/>
      <c r="U146" s="32"/>
      <c r="V146" s="32"/>
      <c r="W146" s="32"/>
      <c r="X146" s="32"/>
      <c r="Y146" s="32"/>
      <c r="Z146" s="32"/>
      <c r="AA146" s="32"/>
    </row>
    <row r="147" spans="1:27">
      <c r="A147" s="42" t="str">
        <f>AA147</f>
        <v>REFGEN_REG_QUAD1_SAR1_SLC1</v>
      </c>
      <c r="B147" s="43" t="str">
        <f>DEC2HEX(O147*4)</f>
        <v>0</v>
      </c>
      <c r="C147" s="44" t="str">
        <f>bitConcat(F148:F151)</f>
        <v>32'b00000000000000000000000000000000</v>
      </c>
      <c r="D147" s="44"/>
      <c r="E147" s="44"/>
      <c r="F147" s="44"/>
      <c r="G147" s="44"/>
      <c r="H147" s="44"/>
      <c r="I147" s="44"/>
      <c r="J147" s="44"/>
      <c r="K147" s="44"/>
      <c r="L147" s="45" t="str">
        <f t="shared" ref="L147:L207" si="91">DEC2HEX(_xlfn.BITLSHIFT(N147,7)+HEX2DEC(P147))</f>
        <v>54</v>
      </c>
      <c r="M147" s="45"/>
      <c r="N147" s="45">
        <f t="shared" ref="N147" si="92">S147</f>
        <v>0</v>
      </c>
      <c r="O147" s="38">
        <v>0</v>
      </c>
      <c r="P147" s="38" t="str">
        <f t="shared" ref="P147" si="93">DEC2HEX(HEX2DEC(Z147)*4)</f>
        <v>54</v>
      </c>
      <c r="Q147" s="38" t="str">
        <f>BIN2HEX(LEFT(RIGHT(C147,32),4))&amp;BIN2HEX(LEFT(RIGHT(C147,28),4))&amp;BIN2HEX(LEFT(RIGHT(C147,24),4))&amp;BIN2HEX(LEFT(RIGHT(C147,20),4))&amp;BIN2HEX(LEFT(RIGHT(C147,16),4))&amp;BIN2HEX(LEFT(RIGHT(C147,12),4))&amp;BIN2HEX(LEFT(RIGHT(C147,8),4))&amp;BIN2HEX(LEFT(RIGHT(C147,4),4))</f>
        <v>00000000</v>
      </c>
      <c r="S147" s="32">
        <v>0</v>
      </c>
      <c r="T147" s="32">
        <v>0</v>
      </c>
      <c r="U147" s="32">
        <v>1</v>
      </c>
      <c r="V147" s="32">
        <v>0</v>
      </c>
      <c r="W147" s="32">
        <v>1</v>
      </c>
      <c r="X147" s="32">
        <v>0</v>
      </c>
      <c r="Y147" s="32">
        <v>1</v>
      </c>
      <c r="Z147" s="32" t="str">
        <f t="shared" si="80"/>
        <v>15</v>
      </c>
      <c r="AA147" s="32" t="str">
        <f>CONCATENATE("REFGEN_REG_QUAD",BIN2DEC(X147&amp;Y147),"_SAR",BIN2DEC(V147&amp;W147),"_SLC",BIN2DEC(S147&amp;T147&amp;U147),)</f>
        <v>REFGEN_REG_QUAD1_SAR1_SLC1</v>
      </c>
    </row>
    <row r="148" spans="1:27" ht="30">
      <c r="A148" s="39"/>
      <c r="B148" s="40"/>
      <c r="C148" s="16" t="s">
        <v>48</v>
      </c>
      <c r="D148" s="36">
        <v>8</v>
      </c>
      <c r="E148" s="21" t="str">
        <f>IF(D148&gt;1,(31)&amp;":"&amp;(31-D148+1),(31-D148+1)&amp;":"&amp;(31-D148+1))</f>
        <v>31:24</v>
      </c>
      <c r="F148" s="22" t="s">
        <v>43</v>
      </c>
      <c r="G148" s="27" t="s">
        <v>49</v>
      </c>
      <c r="H148" s="23" t="s">
        <v>36</v>
      </c>
      <c r="I148" s="24" t="s">
        <v>35</v>
      </c>
      <c r="J148" s="25" t="s">
        <v>6</v>
      </c>
      <c r="K148" s="26"/>
      <c r="L148" s="41"/>
      <c r="M148" s="41"/>
      <c r="N148" s="41"/>
      <c r="O148" s="37"/>
      <c r="P148" s="37"/>
      <c r="Q148" s="37"/>
      <c r="S148" s="32"/>
      <c r="T148" s="32"/>
      <c r="U148" s="32"/>
      <c r="V148" s="32"/>
      <c r="W148" s="32"/>
      <c r="X148" s="32"/>
      <c r="Y148" s="32"/>
      <c r="Z148" s="32"/>
      <c r="AA148" s="32"/>
    </row>
    <row r="149" spans="1:27" ht="30">
      <c r="A149" s="39"/>
      <c r="B149" s="40"/>
      <c r="C149" s="16" t="s">
        <v>50</v>
      </c>
      <c r="D149" s="36">
        <v>8</v>
      </c>
      <c r="E149" s="22" t="str">
        <f t="shared" ref="E149:E151" si="94">(MID(str_cnvt(E148),SEARCH(":",str_cnvt(E148))+1,2)-1) &amp; ":" &amp; (MID(str_cnvt(E148),SEARCH(":",str_cnvt(E148))+1,2)-D149)</f>
        <v>23:16</v>
      </c>
      <c r="F149" s="22" t="s">
        <v>43</v>
      </c>
      <c r="G149" s="27" t="s">
        <v>49</v>
      </c>
      <c r="H149" s="23" t="s">
        <v>36</v>
      </c>
      <c r="I149" s="24" t="s">
        <v>35</v>
      </c>
      <c r="J149" s="25" t="s">
        <v>6</v>
      </c>
      <c r="K149" s="26"/>
      <c r="L149" s="41"/>
      <c r="M149" s="41"/>
      <c r="N149" s="41"/>
      <c r="O149" s="37"/>
      <c r="P149" s="37"/>
      <c r="Q149" s="37"/>
      <c r="S149" s="32"/>
      <c r="T149" s="32"/>
      <c r="U149" s="32"/>
      <c r="V149" s="32"/>
      <c r="W149" s="32"/>
      <c r="X149" s="32"/>
      <c r="Y149" s="32"/>
      <c r="Z149" s="32"/>
      <c r="AA149" s="32"/>
    </row>
    <row r="150" spans="1:27" ht="30">
      <c r="A150" s="39"/>
      <c r="B150" s="40"/>
      <c r="C150" s="16" t="s">
        <v>51</v>
      </c>
      <c r="D150" s="36">
        <v>8</v>
      </c>
      <c r="E150" s="22" t="str">
        <f t="shared" si="94"/>
        <v>15:8</v>
      </c>
      <c r="F150" s="22" t="s">
        <v>43</v>
      </c>
      <c r="G150" s="27" t="s">
        <v>49</v>
      </c>
      <c r="H150" s="23" t="s">
        <v>36</v>
      </c>
      <c r="I150" s="24" t="s">
        <v>35</v>
      </c>
      <c r="J150" s="25" t="s">
        <v>6</v>
      </c>
      <c r="K150" s="26"/>
      <c r="L150" s="41"/>
      <c r="M150" s="41"/>
      <c r="N150" s="41"/>
      <c r="O150" s="37"/>
      <c r="P150" s="37"/>
      <c r="Q150" s="37"/>
      <c r="S150" s="32"/>
      <c r="T150" s="32"/>
      <c r="U150" s="32"/>
      <c r="V150" s="32"/>
      <c r="W150" s="32"/>
      <c r="X150" s="32"/>
      <c r="Y150" s="32"/>
      <c r="Z150" s="32"/>
      <c r="AA150" s="32"/>
    </row>
    <row r="151" spans="1:27" ht="30.75" thickBot="1">
      <c r="A151" s="39"/>
      <c r="B151" s="40"/>
      <c r="C151" s="16" t="s">
        <v>52</v>
      </c>
      <c r="D151" s="36">
        <v>8</v>
      </c>
      <c r="E151" s="22" t="str">
        <f t="shared" si="94"/>
        <v>7:0</v>
      </c>
      <c r="F151" s="22" t="s">
        <v>43</v>
      </c>
      <c r="G151" s="27" t="s">
        <v>49</v>
      </c>
      <c r="H151" s="23" t="s">
        <v>36</v>
      </c>
      <c r="I151" s="24" t="s">
        <v>35</v>
      </c>
      <c r="J151" s="25" t="s">
        <v>6</v>
      </c>
      <c r="K151" s="26"/>
      <c r="L151" s="41"/>
      <c r="M151" s="41"/>
      <c r="N151" s="41"/>
      <c r="O151" s="37"/>
      <c r="P151" s="37"/>
      <c r="Q151" s="37"/>
      <c r="S151" s="32"/>
      <c r="T151" s="32"/>
      <c r="U151" s="32"/>
      <c r="V151" s="32"/>
      <c r="W151" s="32"/>
      <c r="X151" s="32"/>
      <c r="Y151" s="32"/>
      <c r="Z151" s="32"/>
      <c r="AA151" s="32"/>
    </row>
    <row r="152" spans="1:27">
      <c r="A152" s="42" t="str">
        <f>AA152</f>
        <v>REFGEN_REG_QUAD2_SAR1_SLC1</v>
      </c>
      <c r="B152" s="43" t="str">
        <f>DEC2HEX(O152*4)</f>
        <v>0</v>
      </c>
      <c r="C152" s="44" t="str">
        <f>bitConcat(F153:F156)</f>
        <v>32'b00000000000000000000000000000000</v>
      </c>
      <c r="D152" s="44"/>
      <c r="E152" s="44"/>
      <c r="F152" s="44"/>
      <c r="G152" s="44"/>
      <c r="H152" s="44"/>
      <c r="I152" s="44"/>
      <c r="J152" s="44"/>
      <c r="K152" s="44"/>
      <c r="L152" s="45" t="str">
        <f t="shared" si="91"/>
        <v>58</v>
      </c>
      <c r="M152" s="45"/>
      <c r="N152" s="45">
        <f t="shared" ref="N152" si="95">S152</f>
        <v>0</v>
      </c>
      <c r="O152" s="38">
        <v>0</v>
      </c>
      <c r="P152" s="38" t="str">
        <f t="shared" ref="P152" si="96">DEC2HEX(HEX2DEC(Z152)*4)</f>
        <v>58</v>
      </c>
      <c r="Q152" s="38" t="str">
        <f>BIN2HEX(LEFT(RIGHT(C152,32),4))&amp;BIN2HEX(LEFT(RIGHT(C152,28),4))&amp;BIN2HEX(LEFT(RIGHT(C152,24),4))&amp;BIN2HEX(LEFT(RIGHT(C152,20),4))&amp;BIN2HEX(LEFT(RIGHT(C152,16),4))&amp;BIN2HEX(LEFT(RIGHT(C152,12),4))&amp;BIN2HEX(LEFT(RIGHT(C152,8),4))&amp;BIN2HEX(LEFT(RIGHT(C152,4),4))</f>
        <v>00000000</v>
      </c>
      <c r="S152" s="32">
        <v>0</v>
      </c>
      <c r="T152" s="32">
        <v>0</v>
      </c>
      <c r="U152" s="32">
        <v>1</v>
      </c>
      <c r="V152" s="32">
        <v>0</v>
      </c>
      <c r="W152" s="32">
        <v>1</v>
      </c>
      <c r="X152" s="32">
        <v>1</v>
      </c>
      <c r="Y152" s="32">
        <v>0</v>
      </c>
      <c r="Z152" s="32" t="str">
        <f t="shared" si="80"/>
        <v>16</v>
      </c>
      <c r="AA152" s="32" t="str">
        <f>CONCATENATE("REFGEN_REG_QUAD",BIN2DEC(X152&amp;Y152),"_SAR",BIN2DEC(V152&amp;W152),"_SLC",BIN2DEC(S152&amp;T152&amp;U152),)</f>
        <v>REFGEN_REG_QUAD2_SAR1_SLC1</v>
      </c>
    </row>
    <row r="153" spans="1:27" ht="30">
      <c r="A153" s="39"/>
      <c r="B153" s="40"/>
      <c r="C153" s="16" t="s">
        <v>48</v>
      </c>
      <c r="D153" s="36">
        <v>8</v>
      </c>
      <c r="E153" s="21" t="str">
        <f>IF(D153&gt;1,(31)&amp;":"&amp;(31-D153+1),(31-D153+1)&amp;":"&amp;(31-D153+1))</f>
        <v>31:24</v>
      </c>
      <c r="F153" s="22" t="s">
        <v>43</v>
      </c>
      <c r="G153" s="27" t="s">
        <v>49</v>
      </c>
      <c r="H153" s="23" t="s">
        <v>36</v>
      </c>
      <c r="I153" s="24" t="s">
        <v>35</v>
      </c>
      <c r="J153" s="25" t="s">
        <v>6</v>
      </c>
      <c r="K153" s="26"/>
      <c r="L153" s="41"/>
      <c r="M153" s="41"/>
      <c r="N153" s="41"/>
      <c r="O153" s="37"/>
      <c r="P153" s="37"/>
      <c r="Q153" s="37"/>
      <c r="S153" s="32"/>
      <c r="T153" s="32"/>
      <c r="U153" s="32"/>
      <c r="V153" s="32"/>
      <c r="W153" s="32"/>
      <c r="X153" s="32"/>
      <c r="Y153" s="32"/>
      <c r="Z153" s="32"/>
      <c r="AA153" s="32"/>
    </row>
    <row r="154" spans="1:27" ht="30">
      <c r="A154" s="39"/>
      <c r="B154" s="40"/>
      <c r="C154" s="16" t="s">
        <v>50</v>
      </c>
      <c r="D154" s="36">
        <v>8</v>
      </c>
      <c r="E154" s="22" t="str">
        <f t="shared" ref="E154:E156" si="97">(MID(str_cnvt(E153),SEARCH(":",str_cnvt(E153))+1,2)-1) &amp; ":" &amp; (MID(str_cnvt(E153),SEARCH(":",str_cnvt(E153))+1,2)-D154)</f>
        <v>23:16</v>
      </c>
      <c r="F154" s="22" t="s">
        <v>43</v>
      </c>
      <c r="G154" s="27" t="s">
        <v>49</v>
      </c>
      <c r="H154" s="23" t="s">
        <v>36</v>
      </c>
      <c r="I154" s="24" t="s">
        <v>35</v>
      </c>
      <c r="J154" s="25" t="s">
        <v>6</v>
      </c>
      <c r="K154" s="26"/>
      <c r="L154" s="41"/>
      <c r="M154" s="41"/>
      <c r="N154" s="41"/>
      <c r="O154" s="37"/>
      <c r="P154" s="37"/>
      <c r="Q154" s="37"/>
      <c r="S154" s="32"/>
      <c r="T154" s="32"/>
      <c r="U154" s="32"/>
      <c r="V154" s="32"/>
      <c r="W154" s="32"/>
      <c r="X154" s="32"/>
      <c r="Y154" s="32"/>
      <c r="Z154" s="32"/>
      <c r="AA154" s="32"/>
    </row>
    <row r="155" spans="1:27" ht="30">
      <c r="A155" s="39"/>
      <c r="B155" s="40"/>
      <c r="C155" s="16" t="s">
        <v>51</v>
      </c>
      <c r="D155" s="36">
        <v>8</v>
      </c>
      <c r="E155" s="22" t="str">
        <f t="shared" si="97"/>
        <v>15:8</v>
      </c>
      <c r="F155" s="22" t="s">
        <v>43</v>
      </c>
      <c r="G155" s="27" t="s">
        <v>49</v>
      </c>
      <c r="H155" s="23" t="s">
        <v>36</v>
      </c>
      <c r="I155" s="24" t="s">
        <v>35</v>
      </c>
      <c r="J155" s="25" t="s">
        <v>6</v>
      </c>
      <c r="K155" s="26"/>
      <c r="L155" s="41"/>
      <c r="M155" s="41"/>
      <c r="N155" s="41"/>
      <c r="O155" s="37"/>
      <c r="P155" s="37"/>
      <c r="Q155" s="37"/>
      <c r="S155" s="32"/>
      <c r="T155" s="32"/>
      <c r="U155" s="32"/>
      <c r="V155" s="32"/>
      <c r="W155" s="32"/>
      <c r="X155" s="32"/>
      <c r="Y155" s="32"/>
      <c r="Z155" s="32"/>
      <c r="AA155" s="32"/>
    </row>
    <row r="156" spans="1:27" ht="30.75" thickBot="1">
      <c r="A156" s="39"/>
      <c r="B156" s="40"/>
      <c r="C156" s="16" t="s">
        <v>52</v>
      </c>
      <c r="D156" s="36">
        <v>8</v>
      </c>
      <c r="E156" s="22" t="str">
        <f t="shared" si="97"/>
        <v>7:0</v>
      </c>
      <c r="F156" s="22" t="s">
        <v>43</v>
      </c>
      <c r="G156" s="27" t="s">
        <v>49</v>
      </c>
      <c r="H156" s="23" t="s">
        <v>36</v>
      </c>
      <c r="I156" s="24" t="s">
        <v>35</v>
      </c>
      <c r="J156" s="25" t="s">
        <v>6</v>
      </c>
      <c r="K156" s="26"/>
      <c r="L156" s="41"/>
      <c r="M156" s="41"/>
      <c r="N156" s="41"/>
      <c r="O156" s="37"/>
      <c r="P156" s="37"/>
      <c r="Q156" s="37"/>
      <c r="S156" s="32"/>
      <c r="T156" s="32"/>
      <c r="U156" s="32"/>
      <c r="V156" s="32"/>
      <c r="W156" s="32"/>
      <c r="X156" s="32"/>
      <c r="Y156" s="32"/>
      <c r="Z156" s="32"/>
      <c r="AA156" s="32"/>
    </row>
    <row r="157" spans="1:27">
      <c r="A157" s="42" t="str">
        <f>AA157</f>
        <v>REFGEN_REG_QUAD3_SAR1_SLC1</v>
      </c>
      <c r="B157" s="43" t="str">
        <f>DEC2HEX(O157*4)</f>
        <v>0</v>
      </c>
      <c r="C157" s="44" t="str">
        <f>bitConcat(F158:F161)</f>
        <v>32'b00000000000000000000000000000000</v>
      </c>
      <c r="D157" s="44"/>
      <c r="E157" s="44"/>
      <c r="F157" s="44"/>
      <c r="G157" s="44"/>
      <c r="H157" s="44"/>
      <c r="I157" s="44"/>
      <c r="J157" s="44"/>
      <c r="K157" s="44"/>
      <c r="L157" s="45" t="str">
        <f t="shared" si="91"/>
        <v>5C</v>
      </c>
      <c r="M157" s="45"/>
      <c r="N157" s="45">
        <f t="shared" ref="N157" si="98">S157</f>
        <v>0</v>
      </c>
      <c r="O157" s="38">
        <v>0</v>
      </c>
      <c r="P157" s="38" t="str">
        <f t="shared" ref="P157" si="99">DEC2HEX(HEX2DEC(Z157)*4)</f>
        <v>5C</v>
      </c>
      <c r="Q157" s="38" t="str">
        <f>BIN2HEX(LEFT(RIGHT(C157,32),4))&amp;BIN2HEX(LEFT(RIGHT(C157,28),4))&amp;BIN2HEX(LEFT(RIGHT(C157,24),4))&amp;BIN2HEX(LEFT(RIGHT(C157,20),4))&amp;BIN2HEX(LEFT(RIGHT(C157,16),4))&amp;BIN2HEX(LEFT(RIGHT(C157,12),4))&amp;BIN2HEX(LEFT(RIGHT(C157,8),4))&amp;BIN2HEX(LEFT(RIGHT(C157,4),4))</f>
        <v>00000000</v>
      </c>
      <c r="S157" s="32">
        <v>0</v>
      </c>
      <c r="T157" s="32">
        <v>0</v>
      </c>
      <c r="U157" s="32">
        <v>1</v>
      </c>
      <c r="V157" s="32">
        <v>0</v>
      </c>
      <c r="W157" s="32">
        <v>1</v>
      </c>
      <c r="X157" s="32">
        <v>1</v>
      </c>
      <c r="Y157" s="32">
        <v>1</v>
      </c>
      <c r="Z157" s="32" t="str">
        <f t="shared" si="80"/>
        <v>17</v>
      </c>
      <c r="AA157" s="32" t="str">
        <f>CONCATENATE("REFGEN_REG_QUAD",BIN2DEC(X157&amp;Y157),"_SAR",BIN2DEC(V157&amp;W157),"_SLC",BIN2DEC(S157&amp;T157&amp;U157),)</f>
        <v>REFGEN_REG_QUAD3_SAR1_SLC1</v>
      </c>
    </row>
    <row r="158" spans="1:27" ht="30">
      <c r="A158" s="39"/>
      <c r="B158" s="40"/>
      <c r="C158" s="16" t="s">
        <v>48</v>
      </c>
      <c r="D158" s="36">
        <v>8</v>
      </c>
      <c r="E158" s="21" t="str">
        <f>IF(D158&gt;1,(31)&amp;":"&amp;(31-D158+1),(31-D158+1)&amp;":"&amp;(31-D158+1))</f>
        <v>31:24</v>
      </c>
      <c r="F158" s="22" t="s">
        <v>43</v>
      </c>
      <c r="G158" s="27" t="s">
        <v>49</v>
      </c>
      <c r="H158" s="23" t="s">
        <v>36</v>
      </c>
      <c r="I158" s="24" t="s">
        <v>35</v>
      </c>
      <c r="J158" s="25" t="s">
        <v>6</v>
      </c>
      <c r="K158" s="26"/>
      <c r="L158" s="41"/>
      <c r="M158" s="41"/>
      <c r="N158" s="41"/>
      <c r="O158" s="37"/>
      <c r="P158" s="37"/>
      <c r="Q158" s="37"/>
      <c r="S158" s="32"/>
      <c r="T158" s="32"/>
      <c r="U158" s="32"/>
      <c r="V158" s="32"/>
      <c r="W158" s="32"/>
      <c r="X158" s="32"/>
      <c r="Y158" s="32"/>
      <c r="Z158" s="32"/>
      <c r="AA158" s="32"/>
    </row>
    <row r="159" spans="1:27" ht="30">
      <c r="A159" s="39"/>
      <c r="B159" s="40"/>
      <c r="C159" s="16" t="s">
        <v>50</v>
      </c>
      <c r="D159" s="36">
        <v>8</v>
      </c>
      <c r="E159" s="22" t="str">
        <f t="shared" ref="E159:E161" si="100">(MID(str_cnvt(E158),SEARCH(":",str_cnvt(E158))+1,2)-1) &amp; ":" &amp; (MID(str_cnvt(E158),SEARCH(":",str_cnvt(E158))+1,2)-D159)</f>
        <v>23:16</v>
      </c>
      <c r="F159" s="22" t="s">
        <v>43</v>
      </c>
      <c r="G159" s="27" t="s">
        <v>49</v>
      </c>
      <c r="H159" s="23" t="s">
        <v>36</v>
      </c>
      <c r="I159" s="24" t="s">
        <v>35</v>
      </c>
      <c r="J159" s="25" t="s">
        <v>6</v>
      </c>
      <c r="K159" s="26"/>
      <c r="L159" s="41"/>
      <c r="M159" s="41"/>
      <c r="N159" s="41"/>
      <c r="O159" s="37"/>
      <c r="P159" s="37"/>
      <c r="Q159" s="37"/>
      <c r="S159" s="32"/>
      <c r="T159" s="32"/>
      <c r="U159" s="32"/>
      <c r="V159" s="32"/>
      <c r="W159" s="32"/>
      <c r="X159" s="32"/>
      <c r="Y159" s="32"/>
      <c r="Z159" s="32"/>
      <c r="AA159" s="32"/>
    </row>
    <row r="160" spans="1:27" ht="30">
      <c r="A160" s="39"/>
      <c r="B160" s="40"/>
      <c r="C160" s="16" t="s">
        <v>51</v>
      </c>
      <c r="D160" s="36">
        <v>8</v>
      </c>
      <c r="E160" s="22" t="str">
        <f t="shared" si="100"/>
        <v>15:8</v>
      </c>
      <c r="F160" s="22" t="s">
        <v>43</v>
      </c>
      <c r="G160" s="27" t="s">
        <v>49</v>
      </c>
      <c r="H160" s="23" t="s">
        <v>36</v>
      </c>
      <c r="I160" s="24" t="s">
        <v>35</v>
      </c>
      <c r="J160" s="25" t="s">
        <v>6</v>
      </c>
      <c r="K160" s="26"/>
      <c r="L160" s="41"/>
      <c r="M160" s="41"/>
      <c r="N160" s="41"/>
      <c r="O160" s="37"/>
      <c r="P160" s="37"/>
      <c r="Q160" s="37"/>
      <c r="S160" s="32"/>
      <c r="T160" s="32"/>
      <c r="U160" s="32"/>
      <c r="V160" s="32"/>
      <c r="W160" s="32"/>
      <c r="X160" s="32"/>
      <c r="Y160" s="32"/>
      <c r="Z160" s="32"/>
      <c r="AA160" s="32"/>
    </row>
    <row r="161" spans="1:27" ht="30.75" thickBot="1">
      <c r="A161" s="39"/>
      <c r="B161" s="40"/>
      <c r="C161" s="16" t="s">
        <v>52</v>
      </c>
      <c r="D161" s="36">
        <v>8</v>
      </c>
      <c r="E161" s="22" t="str">
        <f t="shared" si="100"/>
        <v>7:0</v>
      </c>
      <c r="F161" s="22" t="s">
        <v>43</v>
      </c>
      <c r="G161" s="27" t="s">
        <v>49</v>
      </c>
      <c r="H161" s="23" t="s">
        <v>36</v>
      </c>
      <c r="I161" s="24" t="s">
        <v>35</v>
      </c>
      <c r="J161" s="25" t="s">
        <v>6</v>
      </c>
      <c r="K161" s="26"/>
      <c r="L161" s="41"/>
      <c r="M161" s="41"/>
      <c r="N161" s="41"/>
      <c r="O161" s="37"/>
      <c r="P161" s="37"/>
      <c r="Q161" s="37"/>
      <c r="S161" s="32"/>
      <c r="T161" s="32"/>
      <c r="U161" s="32"/>
      <c r="V161" s="32"/>
      <c r="W161" s="32"/>
      <c r="X161" s="32"/>
      <c r="Y161" s="32"/>
      <c r="Z161" s="32"/>
      <c r="AA161" s="32"/>
    </row>
    <row r="162" spans="1:27">
      <c r="A162" s="42" t="str">
        <f>AA162</f>
        <v>REFGEN_REG_QUAD0_SAR1_SLC2</v>
      </c>
      <c r="B162" s="43" t="str">
        <f>DEC2HEX(O162*4)</f>
        <v>0</v>
      </c>
      <c r="C162" s="44" t="str">
        <f>bitConcat(F163:F166)</f>
        <v>32'b00000000000000000000000000000000</v>
      </c>
      <c r="D162" s="44"/>
      <c r="E162" s="44"/>
      <c r="F162" s="44"/>
      <c r="G162" s="44"/>
      <c r="H162" s="44"/>
      <c r="I162" s="44"/>
      <c r="J162" s="44"/>
      <c r="K162" s="44"/>
      <c r="L162" s="45" t="str">
        <f t="shared" si="91"/>
        <v>90</v>
      </c>
      <c r="M162" s="45"/>
      <c r="N162" s="45">
        <f t="shared" ref="N162" si="101">S162</f>
        <v>0</v>
      </c>
      <c r="O162" s="38">
        <v>0</v>
      </c>
      <c r="P162" s="38" t="str">
        <f t="shared" ref="P162" si="102">DEC2HEX(HEX2DEC(Z162)*4)</f>
        <v>90</v>
      </c>
      <c r="Q162" s="38" t="str">
        <f>BIN2HEX(LEFT(RIGHT(C162,32),4))&amp;BIN2HEX(LEFT(RIGHT(C162,28),4))&amp;BIN2HEX(LEFT(RIGHT(C162,24),4))&amp;BIN2HEX(LEFT(RIGHT(C162,20),4))&amp;BIN2HEX(LEFT(RIGHT(C162,16),4))&amp;BIN2HEX(LEFT(RIGHT(C162,12),4))&amp;BIN2HEX(LEFT(RIGHT(C162,8),4))&amp;BIN2HEX(LEFT(RIGHT(C162,4),4))</f>
        <v>00000000</v>
      </c>
      <c r="S162" s="32">
        <v>0</v>
      </c>
      <c r="T162" s="32">
        <v>1</v>
      </c>
      <c r="U162" s="32">
        <v>0</v>
      </c>
      <c r="V162" s="32">
        <v>0</v>
      </c>
      <c r="W162" s="32">
        <v>1</v>
      </c>
      <c r="X162" s="32">
        <v>0</v>
      </c>
      <c r="Y162" s="32">
        <v>0</v>
      </c>
      <c r="Z162" s="32" t="str">
        <f t="shared" si="80"/>
        <v>24</v>
      </c>
      <c r="AA162" s="32" t="str">
        <f>CONCATENATE("REFGEN_REG_QUAD",BIN2DEC(X162&amp;Y162),"_SAR",BIN2DEC(V162&amp;W162),"_SLC",BIN2DEC(S162&amp;T162&amp;U162),)</f>
        <v>REFGEN_REG_QUAD0_SAR1_SLC2</v>
      </c>
    </row>
    <row r="163" spans="1:27" ht="30">
      <c r="A163" s="39"/>
      <c r="B163" s="40"/>
      <c r="C163" s="16" t="s">
        <v>48</v>
      </c>
      <c r="D163" s="36">
        <v>8</v>
      </c>
      <c r="E163" s="21" t="str">
        <f>IF(D163&gt;1,(31)&amp;":"&amp;(31-D163+1),(31-D163+1)&amp;":"&amp;(31-D163+1))</f>
        <v>31:24</v>
      </c>
      <c r="F163" s="22" t="s">
        <v>43</v>
      </c>
      <c r="G163" s="27" t="s">
        <v>49</v>
      </c>
      <c r="H163" s="23" t="s">
        <v>36</v>
      </c>
      <c r="I163" s="24" t="s">
        <v>35</v>
      </c>
      <c r="J163" s="25" t="s">
        <v>6</v>
      </c>
      <c r="K163" s="26"/>
      <c r="L163" s="41"/>
      <c r="M163" s="41"/>
      <c r="N163" s="41"/>
      <c r="O163" s="37"/>
      <c r="P163" s="37"/>
      <c r="Q163" s="37"/>
      <c r="S163" s="32"/>
      <c r="T163" s="32"/>
      <c r="U163" s="32"/>
      <c r="V163" s="32"/>
      <c r="W163" s="32"/>
      <c r="X163" s="32"/>
      <c r="Y163" s="32"/>
      <c r="Z163" s="32"/>
      <c r="AA163" s="32"/>
    </row>
    <row r="164" spans="1:27" ht="30">
      <c r="A164" s="39"/>
      <c r="B164" s="40"/>
      <c r="C164" s="16" t="s">
        <v>50</v>
      </c>
      <c r="D164" s="36">
        <v>8</v>
      </c>
      <c r="E164" s="22" t="str">
        <f t="shared" ref="E164:E166" si="103">(MID(str_cnvt(E163),SEARCH(":",str_cnvt(E163))+1,2)-1) &amp; ":" &amp; (MID(str_cnvt(E163),SEARCH(":",str_cnvt(E163))+1,2)-D164)</f>
        <v>23:16</v>
      </c>
      <c r="F164" s="22" t="s">
        <v>43</v>
      </c>
      <c r="G164" s="27" t="s">
        <v>49</v>
      </c>
      <c r="H164" s="23" t="s">
        <v>36</v>
      </c>
      <c r="I164" s="24" t="s">
        <v>35</v>
      </c>
      <c r="J164" s="25" t="s">
        <v>6</v>
      </c>
      <c r="K164" s="26"/>
      <c r="L164" s="41"/>
      <c r="M164" s="41"/>
      <c r="N164" s="41"/>
      <c r="O164" s="37"/>
      <c r="P164" s="37"/>
      <c r="Q164" s="37"/>
      <c r="S164" s="32"/>
      <c r="T164" s="32"/>
      <c r="U164" s="32"/>
      <c r="V164" s="32"/>
      <c r="W164" s="32"/>
      <c r="X164" s="32"/>
      <c r="Y164" s="32"/>
      <c r="Z164" s="32"/>
      <c r="AA164" s="32"/>
    </row>
    <row r="165" spans="1:27" ht="30">
      <c r="A165" s="39"/>
      <c r="B165" s="40"/>
      <c r="C165" s="16" t="s">
        <v>51</v>
      </c>
      <c r="D165" s="36">
        <v>8</v>
      </c>
      <c r="E165" s="22" t="str">
        <f t="shared" si="103"/>
        <v>15:8</v>
      </c>
      <c r="F165" s="22" t="s">
        <v>43</v>
      </c>
      <c r="G165" s="27" t="s">
        <v>49</v>
      </c>
      <c r="H165" s="23" t="s">
        <v>36</v>
      </c>
      <c r="I165" s="24" t="s">
        <v>35</v>
      </c>
      <c r="J165" s="25" t="s">
        <v>6</v>
      </c>
      <c r="K165" s="26"/>
      <c r="L165" s="41"/>
      <c r="M165" s="41"/>
      <c r="N165" s="41"/>
      <c r="O165" s="37"/>
      <c r="P165" s="37"/>
      <c r="Q165" s="37"/>
      <c r="S165" s="32"/>
      <c r="T165" s="32"/>
      <c r="U165" s="32"/>
      <c r="V165" s="32"/>
      <c r="W165" s="32"/>
      <c r="X165" s="32"/>
      <c r="Y165" s="32"/>
      <c r="Z165" s="32"/>
      <c r="AA165" s="32"/>
    </row>
    <row r="166" spans="1:27" ht="30.75" thickBot="1">
      <c r="A166" s="39"/>
      <c r="B166" s="40"/>
      <c r="C166" s="16" t="s">
        <v>52</v>
      </c>
      <c r="D166" s="36">
        <v>8</v>
      </c>
      <c r="E166" s="22" t="str">
        <f t="shared" si="103"/>
        <v>7:0</v>
      </c>
      <c r="F166" s="22" t="s">
        <v>43</v>
      </c>
      <c r="G166" s="27" t="s">
        <v>49</v>
      </c>
      <c r="H166" s="23" t="s">
        <v>36</v>
      </c>
      <c r="I166" s="24" t="s">
        <v>35</v>
      </c>
      <c r="J166" s="25" t="s">
        <v>6</v>
      </c>
      <c r="K166" s="26"/>
      <c r="L166" s="41"/>
      <c r="M166" s="41"/>
      <c r="N166" s="41"/>
      <c r="O166" s="37"/>
      <c r="P166" s="37"/>
      <c r="Q166" s="37"/>
      <c r="S166" s="32"/>
      <c r="T166" s="32"/>
      <c r="U166" s="32"/>
      <c r="V166" s="32"/>
      <c r="W166" s="32"/>
      <c r="X166" s="32"/>
      <c r="Y166" s="32"/>
      <c r="Z166" s="32"/>
      <c r="AA166" s="32"/>
    </row>
    <row r="167" spans="1:27">
      <c r="A167" s="42" t="str">
        <f>AA167</f>
        <v>REFGEN_REG_QUAD1_SAR1_SLC2</v>
      </c>
      <c r="B167" s="43" t="str">
        <f>DEC2HEX(O167*4)</f>
        <v>0</v>
      </c>
      <c r="C167" s="44" t="str">
        <f>bitConcat(F168:F171)</f>
        <v>32'b00000000000000000000000000000000</v>
      </c>
      <c r="D167" s="44"/>
      <c r="E167" s="44"/>
      <c r="F167" s="44"/>
      <c r="G167" s="44"/>
      <c r="H167" s="44"/>
      <c r="I167" s="44"/>
      <c r="J167" s="44"/>
      <c r="K167" s="44"/>
      <c r="L167" s="45" t="str">
        <f t="shared" si="91"/>
        <v>94</v>
      </c>
      <c r="M167" s="45"/>
      <c r="N167" s="45">
        <f t="shared" ref="N167" si="104">S167</f>
        <v>0</v>
      </c>
      <c r="O167" s="38">
        <v>0</v>
      </c>
      <c r="P167" s="38" t="str">
        <f t="shared" ref="P167" si="105">DEC2HEX(HEX2DEC(Z167)*4)</f>
        <v>94</v>
      </c>
      <c r="Q167" s="38" t="str">
        <f>BIN2HEX(LEFT(RIGHT(C167,32),4))&amp;BIN2HEX(LEFT(RIGHT(C167,28),4))&amp;BIN2HEX(LEFT(RIGHT(C167,24),4))&amp;BIN2HEX(LEFT(RIGHT(C167,20),4))&amp;BIN2HEX(LEFT(RIGHT(C167,16),4))&amp;BIN2HEX(LEFT(RIGHT(C167,12),4))&amp;BIN2HEX(LEFT(RIGHT(C167,8),4))&amp;BIN2HEX(LEFT(RIGHT(C167,4),4))</f>
        <v>00000000</v>
      </c>
      <c r="S167" s="32">
        <v>0</v>
      </c>
      <c r="T167" s="32">
        <v>1</v>
      </c>
      <c r="U167" s="32">
        <v>0</v>
      </c>
      <c r="V167" s="32">
        <v>0</v>
      </c>
      <c r="W167" s="32">
        <v>1</v>
      </c>
      <c r="X167" s="32">
        <v>0</v>
      </c>
      <c r="Y167" s="32">
        <v>1</v>
      </c>
      <c r="Z167" s="32" t="str">
        <f t="shared" si="80"/>
        <v>25</v>
      </c>
      <c r="AA167" s="32" t="str">
        <f>CONCATENATE("REFGEN_REG_QUAD",BIN2DEC(X167&amp;Y167),"_SAR",BIN2DEC(V167&amp;W167),"_SLC",BIN2DEC(S167&amp;T167&amp;U167),)</f>
        <v>REFGEN_REG_QUAD1_SAR1_SLC2</v>
      </c>
    </row>
    <row r="168" spans="1:27" ht="30">
      <c r="A168" s="39"/>
      <c r="B168" s="40"/>
      <c r="C168" s="16" t="s">
        <v>48</v>
      </c>
      <c r="D168" s="36">
        <v>8</v>
      </c>
      <c r="E168" s="21" t="str">
        <f>IF(D168&gt;1,(31)&amp;":"&amp;(31-D168+1),(31-D168+1)&amp;":"&amp;(31-D168+1))</f>
        <v>31:24</v>
      </c>
      <c r="F168" s="22" t="s">
        <v>43</v>
      </c>
      <c r="G168" s="27" t="s">
        <v>49</v>
      </c>
      <c r="H168" s="23" t="s">
        <v>36</v>
      </c>
      <c r="I168" s="24" t="s">
        <v>35</v>
      </c>
      <c r="J168" s="25" t="s">
        <v>6</v>
      </c>
      <c r="K168" s="26"/>
      <c r="L168" s="41"/>
      <c r="M168" s="41"/>
      <c r="N168" s="41"/>
      <c r="O168" s="37"/>
      <c r="P168" s="37"/>
      <c r="Q168" s="37"/>
      <c r="S168" s="32"/>
      <c r="T168" s="32"/>
      <c r="U168" s="32"/>
      <c r="V168" s="32"/>
      <c r="W168" s="32"/>
      <c r="X168" s="32"/>
      <c r="Y168" s="32"/>
      <c r="Z168" s="32"/>
      <c r="AA168" s="32"/>
    </row>
    <row r="169" spans="1:27" ht="30">
      <c r="A169" s="39"/>
      <c r="B169" s="40"/>
      <c r="C169" s="16" t="s">
        <v>50</v>
      </c>
      <c r="D169" s="36">
        <v>8</v>
      </c>
      <c r="E169" s="22" t="str">
        <f t="shared" ref="E169:E171" si="106">(MID(str_cnvt(E168),SEARCH(":",str_cnvt(E168))+1,2)-1) &amp; ":" &amp; (MID(str_cnvt(E168),SEARCH(":",str_cnvt(E168))+1,2)-D169)</f>
        <v>23:16</v>
      </c>
      <c r="F169" s="22" t="s">
        <v>43</v>
      </c>
      <c r="G169" s="27" t="s">
        <v>49</v>
      </c>
      <c r="H169" s="23" t="s">
        <v>36</v>
      </c>
      <c r="I169" s="24" t="s">
        <v>35</v>
      </c>
      <c r="J169" s="25" t="s">
        <v>6</v>
      </c>
      <c r="K169" s="26"/>
      <c r="L169" s="41"/>
      <c r="M169" s="41"/>
      <c r="N169" s="41"/>
      <c r="O169" s="37"/>
      <c r="P169" s="37"/>
      <c r="Q169" s="37"/>
      <c r="S169" s="32"/>
      <c r="T169" s="32"/>
      <c r="U169" s="32"/>
      <c r="V169" s="32"/>
      <c r="W169" s="32"/>
      <c r="X169" s="32"/>
      <c r="Y169" s="32"/>
      <c r="Z169" s="32"/>
      <c r="AA169" s="32"/>
    </row>
    <row r="170" spans="1:27" ht="30">
      <c r="A170" s="39"/>
      <c r="B170" s="40"/>
      <c r="C170" s="16" t="s">
        <v>51</v>
      </c>
      <c r="D170" s="36">
        <v>8</v>
      </c>
      <c r="E170" s="22" t="str">
        <f t="shared" si="106"/>
        <v>15:8</v>
      </c>
      <c r="F170" s="22" t="s">
        <v>43</v>
      </c>
      <c r="G170" s="27" t="s">
        <v>49</v>
      </c>
      <c r="H170" s="23" t="s">
        <v>36</v>
      </c>
      <c r="I170" s="24" t="s">
        <v>35</v>
      </c>
      <c r="J170" s="25" t="s">
        <v>6</v>
      </c>
      <c r="K170" s="26"/>
      <c r="L170" s="41"/>
      <c r="M170" s="41"/>
      <c r="N170" s="41"/>
      <c r="O170" s="37"/>
      <c r="P170" s="37"/>
      <c r="Q170" s="37"/>
      <c r="S170" s="32"/>
      <c r="T170" s="32"/>
      <c r="U170" s="32"/>
      <c r="V170" s="32"/>
      <c r="W170" s="32"/>
      <c r="X170" s="32"/>
      <c r="Y170" s="32"/>
      <c r="Z170" s="32"/>
      <c r="AA170" s="32"/>
    </row>
    <row r="171" spans="1:27" ht="30.75" thickBot="1">
      <c r="A171" s="39"/>
      <c r="B171" s="40"/>
      <c r="C171" s="16" t="s">
        <v>52</v>
      </c>
      <c r="D171" s="36">
        <v>8</v>
      </c>
      <c r="E171" s="22" t="str">
        <f t="shared" si="106"/>
        <v>7:0</v>
      </c>
      <c r="F171" s="22" t="s">
        <v>43</v>
      </c>
      <c r="G171" s="27" t="s">
        <v>49</v>
      </c>
      <c r="H171" s="23" t="s">
        <v>36</v>
      </c>
      <c r="I171" s="24" t="s">
        <v>35</v>
      </c>
      <c r="J171" s="25" t="s">
        <v>6</v>
      </c>
      <c r="K171" s="26"/>
      <c r="L171" s="41"/>
      <c r="M171" s="41"/>
      <c r="N171" s="41"/>
      <c r="O171" s="37"/>
      <c r="P171" s="37"/>
      <c r="Q171" s="37"/>
      <c r="S171" s="32"/>
      <c r="T171" s="32"/>
      <c r="U171" s="32"/>
      <c r="V171" s="32"/>
      <c r="W171" s="32"/>
      <c r="X171" s="32"/>
      <c r="Y171" s="32"/>
      <c r="Z171" s="32"/>
      <c r="AA171" s="32"/>
    </row>
    <row r="172" spans="1:27">
      <c r="A172" s="42" t="str">
        <f>AA172</f>
        <v>REFGEN_REG_QUAD2_SAR1_SLC2</v>
      </c>
      <c r="B172" s="43" t="str">
        <f>DEC2HEX(O172*4)</f>
        <v>0</v>
      </c>
      <c r="C172" s="44" t="str">
        <f>bitConcat(F173:F176)</f>
        <v>32'b00000000000000000000000000000000</v>
      </c>
      <c r="D172" s="44"/>
      <c r="E172" s="44"/>
      <c r="F172" s="44"/>
      <c r="G172" s="44"/>
      <c r="H172" s="44"/>
      <c r="I172" s="44"/>
      <c r="J172" s="44"/>
      <c r="K172" s="44"/>
      <c r="L172" s="45" t="str">
        <f t="shared" si="91"/>
        <v>98</v>
      </c>
      <c r="M172" s="45"/>
      <c r="N172" s="45">
        <f t="shared" ref="N172" si="107">S172</f>
        <v>0</v>
      </c>
      <c r="O172" s="38">
        <v>0</v>
      </c>
      <c r="P172" s="38" t="str">
        <f t="shared" ref="P172" si="108">DEC2HEX(HEX2DEC(Z172)*4)</f>
        <v>98</v>
      </c>
      <c r="Q172" s="38" t="str">
        <f>BIN2HEX(LEFT(RIGHT(C172,32),4))&amp;BIN2HEX(LEFT(RIGHT(C172,28),4))&amp;BIN2HEX(LEFT(RIGHT(C172,24),4))&amp;BIN2HEX(LEFT(RIGHT(C172,20),4))&amp;BIN2HEX(LEFT(RIGHT(C172,16),4))&amp;BIN2HEX(LEFT(RIGHT(C172,12),4))&amp;BIN2HEX(LEFT(RIGHT(C172,8),4))&amp;BIN2HEX(LEFT(RIGHT(C172,4),4))</f>
        <v>00000000</v>
      </c>
      <c r="S172" s="32">
        <v>0</v>
      </c>
      <c r="T172" s="32">
        <v>1</v>
      </c>
      <c r="U172" s="32">
        <v>0</v>
      </c>
      <c r="V172" s="32">
        <v>0</v>
      </c>
      <c r="W172" s="32">
        <v>1</v>
      </c>
      <c r="X172" s="32">
        <v>1</v>
      </c>
      <c r="Y172" s="32">
        <v>0</v>
      </c>
      <c r="Z172" s="32" t="str">
        <f t="shared" si="80"/>
        <v>26</v>
      </c>
      <c r="AA172" s="32" t="str">
        <f>CONCATENATE("REFGEN_REG_QUAD",BIN2DEC(X172&amp;Y172),"_SAR",BIN2DEC(V172&amp;W172),"_SLC",BIN2DEC(S172&amp;T172&amp;U172),)</f>
        <v>REFGEN_REG_QUAD2_SAR1_SLC2</v>
      </c>
    </row>
    <row r="173" spans="1:27" ht="30">
      <c r="A173" s="39"/>
      <c r="B173" s="40"/>
      <c r="C173" s="16" t="s">
        <v>48</v>
      </c>
      <c r="D173" s="36">
        <v>8</v>
      </c>
      <c r="E173" s="21" t="str">
        <f>IF(D173&gt;1,(31)&amp;":"&amp;(31-D173+1),(31-D173+1)&amp;":"&amp;(31-D173+1))</f>
        <v>31:24</v>
      </c>
      <c r="F173" s="22" t="s">
        <v>43</v>
      </c>
      <c r="G173" s="27" t="s">
        <v>49</v>
      </c>
      <c r="H173" s="23" t="s">
        <v>36</v>
      </c>
      <c r="I173" s="24" t="s">
        <v>35</v>
      </c>
      <c r="J173" s="25" t="s">
        <v>6</v>
      </c>
      <c r="K173" s="26"/>
      <c r="L173" s="41"/>
      <c r="M173" s="41"/>
      <c r="N173" s="41"/>
      <c r="O173" s="37"/>
      <c r="P173" s="37"/>
      <c r="Q173" s="37"/>
      <c r="S173" s="32"/>
      <c r="T173" s="32"/>
      <c r="U173" s="32"/>
      <c r="V173" s="32"/>
      <c r="W173" s="32"/>
      <c r="X173" s="32"/>
      <c r="Y173" s="32"/>
      <c r="Z173" s="32"/>
      <c r="AA173" s="32"/>
    </row>
    <row r="174" spans="1:27" ht="30">
      <c r="A174" s="39"/>
      <c r="B174" s="40"/>
      <c r="C174" s="16" t="s">
        <v>50</v>
      </c>
      <c r="D174" s="36">
        <v>8</v>
      </c>
      <c r="E174" s="22" t="str">
        <f t="shared" ref="E174:E176" si="109">(MID(str_cnvt(E173),SEARCH(":",str_cnvt(E173))+1,2)-1) &amp; ":" &amp; (MID(str_cnvt(E173),SEARCH(":",str_cnvt(E173))+1,2)-D174)</f>
        <v>23:16</v>
      </c>
      <c r="F174" s="22" t="s">
        <v>43</v>
      </c>
      <c r="G174" s="27" t="s">
        <v>49</v>
      </c>
      <c r="H174" s="23" t="s">
        <v>36</v>
      </c>
      <c r="I174" s="24" t="s">
        <v>35</v>
      </c>
      <c r="J174" s="25" t="s">
        <v>6</v>
      </c>
      <c r="K174" s="26"/>
      <c r="L174" s="41"/>
      <c r="M174" s="41"/>
      <c r="N174" s="41"/>
      <c r="O174" s="37"/>
      <c r="P174" s="37"/>
      <c r="Q174" s="37"/>
      <c r="S174" s="32"/>
      <c r="T174" s="32"/>
      <c r="U174" s="32"/>
      <c r="V174" s="32"/>
      <c r="W174" s="32"/>
      <c r="X174" s="32"/>
      <c r="Y174" s="32"/>
      <c r="Z174" s="32"/>
      <c r="AA174" s="32"/>
    </row>
    <row r="175" spans="1:27" ht="30">
      <c r="A175" s="39"/>
      <c r="B175" s="40"/>
      <c r="C175" s="16" t="s">
        <v>51</v>
      </c>
      <c r="D175" s="36">
        <v>8</v>
      </c>
      <c r="E175" s="22" t="str">
        <f t="shared" si="109"/>
        <v>15:8</v>
      </c>
      <c r="F175" s="22" t="s">
        <v>43</v>
      </c>
      <c r="G175" s="27" t="s">
        <v>49</v>
      </c>
      <c r="H175" s="23" t="s">
        <v>36</v>
      </c>
      <c r="I175" s="24" t="s">
        <v>35</v>
      </c>
      <c r="J175" s="25" t="s">
        <v>6</v>
      </c>
      <c r="K175" s="26"/>
      <c r="L175" s="41"/>
      <c r="M175" s="41"/>
      <c r="N175" s="41"/>
      <c r="O175" s="37"/>
      <c r="P175" s="37"/>
      <c r="Q175" s="37"/>
      <c r="S175" s="32"/>
      <c r="T175" s="32"/>
      <c r="U175" s="32"/>
      <c r="V175" s="32"/>
      <c r="W175" s="32"/>
      <c r="X175" s="32"/>
      <c r="Y175" s="32"/>
      <c r="Z175" s="32"/>
      <c r="AA175" s="32"/>
    </row>
    <row r="176" spans="1:27" ht="30.75" thickBot="1">
      <c r="A176" s="39"/>
      <c r="B176" s="40"/>
      <c r="C176" s="16" t="s">
        <v>52</v>
      </c>
      <c r="D176" s="36">
        <v>8</v>
      </c>
      <c r="E176" s="22" t="str">
        <f t="shared" si="109"/>
        <v>7:0</v>
      </c>
      <c r="F176" s="22" t="s">
        <v>43</v>
      </c>
      <c r="G176" s="27" t="s">
        <v>49</v>
      </c>
      <c r="H176" s="23" t="s">
        <v>36</v>
      </c>
      <c r="I176" s="24" t="s">
        <v>35</v>
      </c>
      <c r="J176" s="25" t="s">
        <v>6</v>
      </c>
      <c r="K176" s="26"/>
      <c r="L176" s="41"/>
      <c r="M176" s="41"/>
      <c r="N176" s="41"/>
      <c r="O176" s="37"/>
      <c r="P176" s="37"/>
      <c r="Q176" s="37"/>
      <c r="S176" s="32"/>
      <c r="T176" s="32"/>
      <c r="U176" s="32"/>
      <c r="V176" s="32"/>
      <c r="W176" s="32"/>
      <c r="X176" s="32"/>
      <c r="Y176" s="32"/>
      <c r="Z176" s="32"/>
      <c r="AA176" s="32"/>
    </row>
    <row r="177" spans="1:27">
      <c r="A177" s="42" t="str">
        <f>AA177</f>
        <v>REFGEN_REG_QUAD3_SAR1_SLC2</v>
      </c>
      <c r="B177" s="43" t="str">
        <f>DEC2HEX(O177*4)</f>
        <v>0</v>
      </c>
      <c r="C177" s="44" t="str">
        <f>bitConcat(F178:F181)</f>
        <v>32'b00000000000000000000000000000000</v>
      </c>
      <c r="D177" s="44"/>
      <c r="E177" s="44"/>
      <c r="F177" s="44"/>
      <c r="G177" s="44"/>
      <c r="H177" s="44"/>
      <c r="I177" s="44"/>
      <c r="J177" s="44"/>
      <c r="K177" s="44"/>
      <c r="L177" s="45" t="str">
        <f t="shared" si="91"/>
        <v>9C</v>
      </c>
      <c r="M177" s="45"/>
      <c r="N177" s="45">
        <f t="shared" ref="N177" si="110">S177</f>
        <v>0</v>
      </c>
      <c r="O177" s="38">
        <v>0</v>
      </c>
      <c r="P177" s="38" t="str">
        <f t="shared" ref="P177" si="111">DEC2HEX(HEX2DEC(Z177)*4)</f>
        <v>9C</v>
      </c>
      <c r="Q177" s="38" t="str">
        <f>BIN2HEX(LEFT(RIGHT(C177,32),4))&amp;BIN2HEX(LEFT(RIGHT(C177,28),4))&amp;BIN2HEX(LEFT(RIGHT(C177,24),4))&amp;BIN2HEX(LEFT(RIGHT(C177,20),4))&amp;BIN2HEX(LEFT(RIGHT(C177,16),4))&amp;BIN2HEX(LEFT(RIGHT(C177,12),4))&amp;BIN2HEX(LEFT(RIGHT(C177,8),4))&amp;BIN2HEX(LEFT(RIGHT(C177,4),4))</f>
        <v>00000000</v>
      </c>
      <c r="S177" s="32">
        <v>0</v>
      </c>
      <c r="T177" s="32">
        <v>1</v>
      </c>
      <c r="U177" s="32">
        <v>0</v>
      </c>
      <c r="V177" s="32">
        <v>0</v>
      </c>
      <c r="W177" s="32">
        <v>1</v>
      </c>
      <c r="X177" s="32">
        <v>1</v>
      </c>
      <c r="Y177" s="32">
        <v>1</v>
      </c>
      <c r="Z177" s="32" t="str">
        <f t="shared" si="80"/>
        <v>27</v>
      </c>
      <c r="AA177" s="32" t="str">
        <f>CONCATENATE("REFGEN_REG_QUAD",BIN2DEC(X177&amp;Y177),"_SAR",BIN2DEC(V177&amp;W177),"_SLC",BIN2DEC(S177&amp;T177&amp;U177),)</f>
        <v>REFGEN_REG_QUAD3_SAR1_SLC2</v>
      </c>
    </row>
    <row r="178" spans="1:27" ht="30">
      <c r="A178" s="39"/>
      <c r="B178" s="40"/>
      <c r="C178" s="16" t="s">
        <v>48</v>
      </c>
      <c r="D178" s="36">
        <v>8</v>
      </c>
      <c r="E178" s="21" t="str">
        <f>IF(D178&gt;1,(31)&amp;":"&amp;(31-D178+1),(31-D178+1)&amp;":"&amp;(31-D178+1))</f>
        <v>31:24</v>
      </c>
      <c r="F178" s="22" t="s">
        <v>43</v>
      </c>
      <c r="G178" s="27" t="s">
        <v>49</v>
      </c>
      <c r="H178" s="23" t="s">
        <v>36</v>
      </c>
      <c r="I178" s="24" t="s">
        <v>35</v>
      </c>
      <c r="J178" s="25" t="s">
        <v>6</v>
      </c>
      <c r="K178" s="26"/>
      <c r="L178" s="41"/>
      <c r="M178" s="41"/>
      <c r="N178" s="41"/>
      <c r="O178" s="37"/>
      <c r="P178" s="37"/>
      <c r="Q178" s="37"/>
      <c r="S178" s="32"/>
      <c r="T178" s="32"/>
      <c r="U178" s="32"/>
      <c r="V178" s="32"/>
      <c r="W178" s="32"/>
      <c r="X178" s="32"/>
      <c r="Y178" s="32"/>
      <c r="Z178" s="32"/>
      <c r="AA178" s="32"/>
    </row>
    <row r="179" spans="1:27" ht="30">
      <c r="A179" s="39"/>
      <c r="B179" s="40"/>
      <c r="C179" s="16" t="s">
        <v>50</v>
      </c>
      <c r="D179" s="36">
        <v>8</v>
      </c>
      <c r="E179" s="22" t="str">
        <f t="shared" ref="E179:E181" si="112">(MID(str_cnvt(E178),SEARCH(":",str_cnvt(E178))+1,2)-1) &amp; ":" &amp; (MID(str_cnvt(E178),SEARCH(":",str_cnvt(E178))+1,2)-D179)</f>
        <v>23:16</v>
      </c>
      <c r="F179" s="22" t="s">
        <v>43</v>
      </c>
      <c r="G179" s="27" t="s">
        <v>49</v>
      </c>
      <c r="H179" s="23" t="s">
        <v>36</v>
      </c>
      <c r="I179" s="24" t="s">
        <v>35</v>
      </c>
      <c r="J179" s="25" t="s">
        <v>6</v>
      </c>
      <c r="K179" s="26"/>
      <c r="L179" s="41"/>
      <c r="M179" s="41"/>
      <c r="N179" s="41"/>
      <c r="O179" s="37"/>
      <c r="P179" s="37"/>
      <c r="Q179" s="37"/>
      <c r="S179" s="32"/>
      <c r="T179" s="32"/>
      <c r="U179" s="32"/>
      <c r="V179" s="32"/>
      <c r="W179" s="32"/>
      <c r="X179" s="32"/>
      <c r="Y179" s="32"/>
      <c r="Z179" s="32"/>
      <c r="AA179" s="32"/>
    </row>
    <row r="180" spans="1:27" ht="30">
      <c r="A180" s="39"/>
      <c r="B180" s="40"/>
      <c r="C180" s="16" t="s">
        <v>51</v>
      </c>
      <c r="D180" s="36">
        <v>8</v>
      </c>
      <c r="E180" s="22" t="str">
        <f t="shared" si="112"/>
        <v>15:8</v>
      </c>
      <c r="F180" s="22" t="s">
        <v>43</v>
      </c>
      <c r="G180" s="27" t="s">
        <v>49</v>
      </c>
      <c r="H180" s="23" t="s">
        <v>36</v>
      </c>
      <c r="I180" s="24" t="s">
        <v>35</v>
      </c>
      <c r="J180" s="25" t="s">
        <v>6</v>
      </c>
      <c r="K180" s="26"/>
      <c r="L180" s="41"/>
      <c r="M180" s="41"/>
      <c r="N180" s="41"/>
      <c r="O180" s="37"/>
      <c r="P180" s="37"/>
      <c r="Q180" s="37"/>
      <c r="S180" s="32"/>
      <c r="T180" s="32"/>
      <c r="U180" s="32"/>
      <c r="V180" s="32"/>
      <c r="W180" s="32"/>
      <c r="X180" s="32"/>
      <c r="Y180" s="32"/>
      <c r="Z180" s="32"/>
      <c r="AA180" s="32"/>
    </row>
    <row r="181" spans="1:27" ht="30.75" thickBot="1">
      <c r="A181" s="39"/>
      <c r="B181" s="40"/>
      <c r="C181" s="16" t="s">
        <v>52</v>
      </c>
      <c r="D181" s="36">
        <v>8</v>
      </c>
      <c r="E181" s="22" t="str">
        <f t="shared" si="112"/>
        <v>7:0</v>
      </c>
      <c r="F181" s="22" t="s">
        <v>43</v>
      </c>
      <c r="G181" s="27" t="s">
        <v>49</v>
      </c>
      <c r="H181" s="23" t="s">
        <v>36</v>
      </c>
      <c r="I181" s="24" t="s">
        <v>35</v>
      </c>
      <c r="J181" s="25" t="s">
        <v>6</v>
      </c>
      <c r="K181" s="26"/>
      <c r="L181" s="41"/>
      <c r="M181" s="41"/>
      <c r="N181" s="41"/>
      <c r="O181" s="37"/>
      <c r="P181" s="37"/>
      <c r="Q181" s="37"/>
      <c r="S181" s="32"/>
      <c r="T181" s="32"/>
      <c r="U181" s="32"/>
      <c r="V181" s="32"/>
      <c r="W181" s="32"/>
      <c r="X181" s="32"/>
      <c r="Y181" s="32"/>
      <c r="Z181" s="32"/>
      <c r="AA181" s="32"/>
    </row>
    <row r="182" spans="1:27">
      <c r="A182" s="42" t="str">
        <f>AA182</f>
        <v>REFGEN_REG_QUAD0_SAR1_SLC3</v>
      </c>
      <c r="B182" s="43" t="str">
        <f>DEC2HEX(O182*4)</f>
        <v>0</v>
      </c>
      <c r="C182" s="44" t="str">
        <f>bitConcat(F183:F186)</f>
        <v>32'b00000000000000000000000000000000</v>
      </c>
      <c r="D182" s="44"/>
      <c r="E182" s="44"/>
      <c r="F182" s="44"/>
      <c r="G182" s="44"/>
      <c r="H182" s="44"/>
      <c r="I182" s="44"/>
      <c r="J182" s="44"/>
      <c r="K182" s="44"/>
      <c r="L182" s="45" t="str">
        <f t="shared" si="91"/>
        <v>D0</v>
      </c>
      <c r="M182" s="45"/>
      <c r="N182" s="45">
        <f t="shared" ref="N182" si="113">S182</f>
        <v>0</v>
      </c>
      <c r="O182" s="38">
        <v>0</v>
      </c>
      <c r="P182" s="38" t="str">
        <f t="shared" ref="P182" si="114">DEC2HEX(HEX2DEC(Z182)*4)</f>
        <v>D0</v>
      </c>
      <c r="Q182" s="38" t="str">
        <f>BIN2HEX(LEFT(RIGHT(C182,32),4))&amp;BIN2HEX(LEFT(RIGHT(C182,28),4))&amp;BIN2HEX(LEFT(RIGHT(C182,24),4))&amp;BIN2HEX(LEFT(RIGHT(C182,20),4))&amp;BIN2HEX(LEFT(RIGHT(C182,16),4))&amp;BIN2HEX(LEFT(RIGHT(C182,12),4))&amp;BIN2HEX(LEFT(RIGHT(C182,8),4))&amp;BIN2HEX(LEFT(RIGHT(C182,4),4))</f>
        <v>00000000</v>
      </c>
      <c r="S182" s="32">
        <v>0</v>
      </c>
      <c r="T182" s="32">
        <v>1</v>
      </c>
      <c r="U182" s="32">
        <v>1</v>
      </c>
      <c r="V182" s="32">
        <v>0</v>
      </c>
      <c r="W182" s="32">
        <v>1</v>
      </c>
      <c r="X182" s="32">
        <v>0</v>
      </c>
      <c r="Y182" s="32">
        <v>0</v>
      </c>
      <c r="Z182" s="32" t="str">
        <f t="shared" si="80"/>
        <v>34</v>
      </c>
      <c r="AA182" s="32" t="str">
        <f>CONCATENATE("REFGEN_REG_QUAD",BIN2DEC(X182&amp;Y182),"_SAR",BIN2DEC(V182&amp;W182),"_SLC",BIN2DEC(S182&amp;T182&amp;U182),)</f>
        <v>REFGEN_REG_QUAD0_SAR1_SLC3</v>
      </c>
    </row>
    <row r="183" spans="1:27" ht="30">
      <c r="A183" s="39"/>
      <c r="B183" s="40"/>
      <c r="C183" s="16" t="s">
        <v>48</v>
      </c>
      <c r="D183" s="36">
        <v>8</v>
      </c>
      <c r="E183" s="21" t="str">
        <f>IF(D183&gt;1,(31)&amp;":"&amp;(31-D183+1),(31-D183+1)&amp;":"&amp;(31-D183+1))</f>
        <v>31:24</v>
      </c>
      <c r="F183" s="22" t="s">
        <v>43</v>
      </c>
      <c r="G183" s="27" t="s">
        <v>49</v>
      </c>
      <c r="H183" s="23" t="s">
        <v>36</v>
      </c>
      <c r="I183" s="24" t="s">
        <v>35</v>
      </c>
      <c r="J183" s="25" t="s">
        <v>6</v>
      </c>
      <c r="K183" s="26"/>
      <c r="L183" s="41"/>
      <c r="M183" s="41"/>
      <c r="N183" s="41"/>
      <c r="O183" s="37"/>
      <c r="P183" s="37"/>
      <c r="Q183" s="37"/>
      <c r="S183" s="32"/>
      <c r="T183" s="32"/>
      <c r="U183" s="32"/>
      <c r="V183" s="32"/>
      <c r="W183" s="32"/>
      <c r="X183" s="32"/>
      <c r="Y183" s="32"/>
      <c r="Z183" s="32"/>
      <c r="AA183" s="32"/>
    </row>
    <row r="184" spans="1:27" ht="30">
      <c r="A184" s="39"/>
      <c r="B184" s="40"/>
      <c r="C184" s="16" t="s">
        <v>50</v>
      </c>
      <c r="D184" s="36">
        <v>8</v>
      </c>
      <c r="E184" s="22" t="str">
        <f t="shared" ref="E184:E186" si="115">(MID(str_cnvt(E183),SEARCH(":",str_cnvt(E183))+1,2)-1) &amp; ":" &amp; (MID(str_cnvt(E183),SEARCH(":",str_cnvt(E183))+1,2)-D184)</f>
        <v>23:16</v>
      </c>
      <c r="F184" s="22" t="s">
        <v>43</v>
      </c>
      <c r="G184" s="27" t="s">
        <v>49</v>
      </c>
      <c r="H184" s="23" t="s">
        <v>36</v>
      </c>
      <c r="I184" s="24" t="s">
        <v>35</v>
      </c>
      <c r="J184" s="25" t="s">
        <v>6</v>
      </c>
      <c r="K184" s="26"/>
      <c r="L184" s="41"/>
      <c r="M184" s="41"/>
      <c r="N184" s="41"/>
      <c r="O184" s="37"/>
      <c r="P184" s="37"/>
      <c r="Q184" s="37"/>
      <c r="S184" s="32"/>
      <c r="T184" s="32"/>
      <c r="U184" s="32"/>
      <c r="V184" s="32"/>
      <c r="W184" s="32"/>
      <c r="X184" s="32"/>
      <c r="Y184" s="32"/>
      <c r="Z184" s="32"/>
      <c r="AA184" s="32"/>
    </row>
    <row r="185" spans="1:27" ht="30">
      <c r="A185" s="39"/>
      <c r="B185" s="40"/>
      <c r="C185" s="16" t="s">
        <v>51</v>
      </c>
      <c r="D185" s="36">
        <v>8</v>
      </c>
      <c r="E185" s="22" t="str">
        <f t="shared" si="115"/>
        <v>15:8</v>
      </c>
      <c r="F185" s="22" t="s">
        <v>43</v>
      </c>
      <c r="G185" s="27" t="s">
        <v>49</v>
      </c>
      <c r="H185" s="23" t="s">
        <v>36</v>
      </c>
      <c r="I185" s="24" t="s">
        <v>35</v>
      </c>
      <c r="J185" s="25" t="s">
        <v>6</v>
      </c>
      <c r="K185" s="26"/>
      <c r="L185" s="41"/>
      <c r="M185" s="41"/>
      <c r="N185" s="41"/>
      <c r="O185" s="37"/>
      <c r="P185" s="37"/>
      <c r="Q185" s="37"/>
      <c r="S185" s="32"/>
      <c r="T185" s="32"/>
      <c r="U185" s="32"/>
      <c r="V185" s="32"/>
      <c r="W185" s="32"/>
      <c r="X185" s="32"/>
      <c r="Y185" s="32"/>
      <c r="Z185" s="32"/>
      <c r="AA185" s="32"/>
    </row>
    <row r="186" spans="1:27" ht="30.75" thickBot="1">
      <c r="A186" s="39"/>
      <c r="B186" s="40"/>
      <c r="C186" s="16" t="s">
        <v>52</v>
      </c>
      <c r="D186" s="36">
        <v>8</v>
      </c>
      <c r="E186" s="22" t="str">
        <f t="shared" si="115"/>
        <v>7:0</v>
      </c>
      <c r="F186" s="22" t="s">
        <v>43</v>
      </c>
      <c r="G186" s="27" t="s">
        <v>49</v>
      </c>
      <c r="H186" s="23" t="s">
        <v>36</v>
      </c>
      <c r="I186" s="24" t="s">
        <v>35</v>
      </c>
      <c r="J186" s="25" t="s">
        <v>6</v>
      </c>
      <c r="K186" s="26"/>
      <c r="L186" s="41"/>
      <c r="M186" s="41"/>
      <c r="N186" s="41"/>
      <c r="O186" s="37"/>
      <c r="P186" s="37"/>
      <c r="Q186" s="37"/>
      <c r="S186" s="32"/>
      <c r="T186" s="32"/>
      <c r="U186" s="32"/>
      <c r="V186" s="32"/>
      <c r="W186" s="32"/>
      <c r="X186" s="32"/>
      <c r="Y186" s="32"/>
      <c r="Z186" s="32"/>
      <c r="AA186" s="32"/>
    </row>
    <row r="187" spans="1:27">
      <c r="A187" s="42" t="str">
        <f>AA187</f>
        <v>REFGEN_REG_QUAD1_SAR1_SLC3</v>
      </c>
      <c r="B187" s="43" t="str">
        <f>DEC2HEX(O187*4)</f>
        <v>0</v>
      </c>
      <c r="C187" s="44" t="str">
        <f>bitConcat(F188:F191)</f>
        <v>32'b00000000000000000000000000000000</v>
      </c>
      <c r="D187" s="44"/>
      <c r="E187" s="44"/>
      <c r="F187" s="44"/>
      <c r="G187" s="44"/>
      <c r="H187" s="44"/>
      <c r="I187" s="44"/>
      <c r="J187" s="44"/>
      <c r="K187" s="44"/>
      <c r="L187" s="45" t="str">
        <f t="shared" si="91"/>
        <v>D4</v>
      </c>
      <c r="M187" s="45"/>
      <c r="N187" s="45">
        <f t="shared" ref="N187" si="116">S187</f>
        <v>0</v>
      </c>
      <c r="O187" s="38">
        <v>0</v>
      </c>
      <c r="P187" s="38" t="str">
        <f t="shared" ref="P187" si="117">DEC2HEX(HEX2DEC(Z187)*4)</f>
        <v>D4</v>
      </c>
      <c r="Q187" s="38" t="str">
        <f>BIN2HEX(LEFT(RIGHT(C187,32),4))&amp;BIN2HEX(LEFT(RIGHT(C187,28),4))&amp;BIN2HEX(LEFT(RIGHT(C187,24),4))&amp;BIN2HEX(LEFT(RIGHT(C187,20),4))&amp;BIN2HEX(LEFT(RIGHT(C187,16),4))&amp;BIN2HEX(LEFT(RIGHT(C187,12),4))&amp;BIN2HEX(LEFT(RIGHT(C187,8),4))&amp;BIN2HEX(LEFT(RIGHT(C187,4),4))</f>
        <v>00000000</v>
      </c>
      <c r="S187" s="32">
        <v>0</v>
      </c>
      <c r="T187" s="32">
        <v>1</v>
      </c>
      <c r="U187" s="32">
        <v>1</v>
      </c>
      <c r="V187" s="32">
        <v>0</v>
      </c>
      <c r="W187" s="32">
        <v>1</v>
      </c>
      <c r="X187" s="32">
        <v>0</v>
      </c>
      <c r="Y187" s="32">
        <v>1</v>
      </c>
      <c r="Z187" s="32" t="str">
        <f t="shared" si="80"/>
        <v>35</v>
      </c>
      <c r="AA187" s="32" t="str">
        <f>CONCATENATE("REFGEN_REG_QUAD",BIN2DEC(X187&amp;Y187),"_SAR",BIN2DEC(V187&amp;W187),"_SLC",BIN2DEC(S187&amp;T187&amp;U187),)</f>
        <v>REFGEN_REG_QUAD1_SAR1_SLC3</v>
      </c>
    </row>
    <row r="188" spans="1:27" ht="30">
      <c r="A188" s="39"/>
      <c r="B188" s="40"/>
      <c r="C188" s="16" t="s">
        <v>48</v>
      </c>
      <c r="D188" s="36">
        <v>8</v>
      </c>
      <c r="E188" s="21" t="str">
        <f>IF(D188&gt;1,(31)&amp;":"&amp;(31-D188+1),(31-D188+1)&amp;":"&amp;(31-D188+1))</f>
        <v>31:24</v>
      </c>
      <c r="F188" s="22" t="s">
        <v>43</v>
      </c>
      <c r="G188" s="27" t="s">
        <v>49</v>
      </c>
      <c r="H188" s="23" t="s">
        <v>36</v>
      </c>
      <c r="I188" s="24" t="s">
        <v>35</v>
      </c>
      <c r="J188" s="25" t="s">
        <v>6</v>
      </c>
      <c r="K188" s="26"/>
      <c r="L188" s="41"/>
      <c r="M188" s="41"/>
      <c r="N188" s="41"/>
      <c r="O188" s="37"/>
      <c r="P188" s="37"/>
      <c r="Q188" s="37"/>
      <c r="S188" s="32"/>
      <c r="T188" s="32"/>
      <c r="U188" s="32"/>
      <c r="V188" s="32"/>
      <c r="W188" s="32"/>
      <c r="X188" s="32"/>
      <c r="Y188" s="32"/>
      <c r="Z188" s="32"/>
      <c r="AA188" s="32"/>
    </row>
    <row r="189" spans="1:27" ht="30">
      <c r="A189" s="39"/>
      <c r="B189" s="40"/>
      <c r="C189" s="16" t="s">
        <v>50</v>
      </c>
      <c r="D189" s="36">
        <v>8</v>
      </c>
      <c r="E189" s="22" t="str">
        <f t="shared" ref="E189:E191" si="118">(MID(str_cnvt(E188),SEARCH(":",str_cnvt(E188))+1,2)-1) &amp; ":" &amp; (MID(str_cnvt(E188),SEARCH(":",str_cnvt(E188))+1,2)-D189)</f>
        <v>23:16</v>
      </c>
      <c r="F189" s="22" t="s">
        <v>43</v>
      </c>
      <c r="G189" s="27" t="s">
        <v>49</v>
      </c>
      <c r="H189" s="23" t="s">
        <v>36</v>
      </c>
      <c r="I189" s="24" t="s">
        <v>35</v>
      </c>
      <c r="J189" s="25" t="s">
        <v>6</v>
      </c>
      <c r="K189" s="26"/>
      <c r="L189" s="41"/>
      <c r="M189" s="41"/>
      <c r="N189" s="41"/>
      <c r="O189" s="37"/>
      <c r="P189" s="37"/>
      <c r="Q189" s="37"/>
      <c r="S189" s="32"/>
      <c r="T189" s="32"/>
      <c r="U189" s="32"/>
      <c r="V189" s="32"/>
      <c r="W189" s="32"/>
      <c r="X189" s="32"/>
      <c r="Y189" s="32"/>
      <c r="Z189" s="32"/>
      <c r="AA189" s="32"/>
    </row>
    <row r="190" spans="1:27" ht="30">
      <c r="A190" s="39"/>
      <c r="B190" s="40"/>
      <c r="C190" s="16" t="s">
        <v>51</v>
      </c>
      <c r="D190" s="36">
        <v>8</v>
      </c>
      <c r="E190" s="22" t="str">
        <f t="shared" si="118"/>
        <v>15:8</v>
      </c>
      <c r="F190" s="22" t="s">
        <v>43</v>
      </c>
      <c r="G190" s="27" t="s">
        <v>49</v>
      </c>
      <c r="H190" s="23" t="s">
        <v>36</v>
      </c>
      <c r="I190" s="24" t="s">
        <v>35</v>
      </c>
      <c r="J190" s="25" t="s">
        <v>6</v>
      </c>
      <c r="K190" s="26"/>
      <c r="L190" s="41"/>
      <c r="M190" s="41"/>
      <c r="N190" s="41"/>
      <c r="O190" s="37"/>
      <c r="P190" s="37"/>
      <c r="Q190" s="37"/>
      <c r="S190" s="32"/>
      <c r="T190" s="32"/>
      <c r="U190" s="32"/>
      <c r="V190" s="32"/>
      <c r="W190" s="32"/>
      <c r="X190" s="32"/>
      <c r="Y190" s="32"/>
      <c r="Z190" s="32"/>
      <c r="AA190" s="32"/>
    </row>
    <row r="191" spans="1:27" ht="30.75" thickBot="1">
      <c r="A191" s="39"/>
      <c r="B191" s="40"/>
      <c r="C191" s="16" t="s">
        <v>52</v>
      </c>
      <c r="D191" s="36">
        <v>8</v>
      </c>
      <c r="E191" s="22" t="str">
        <f t="shared" si="118"/>
        <v>7:0</v>
      </c>
      <c r="F191" s="22" t="s">
        <v>43</v>
      </c>
      <c r="G191" s="27" t="s">
        <v>49</v>
      </c>
      <c r="H191" s="23" t="s">
        <v>36</v>
      </c>
      <c r="I191" s="24" t="s">
        <v>35</v>
      </c>
      <c r="J191" s="25" t="s">
        <v>6</v>
      </c>
      <c r="K191" s="26"/>
      <c r="L191" s="41"/>
      <c r="M191" s="41"/>
      <c r="N191" s="41"/>
      <c r="O191" s="37"/>
      <c r="P191" s="37"/>
      <c r="Q191" s="37"/>
      <c r="S191" s="32"/>
      <c r="T191" s="32"/>
      <c r="U191" s="32"/>
      <c r="V191" s="32"/>
      <c r="W191" s="32"/>
      <c r="X191" s="32"/>
      <c r="Y191" s="32"/>
      <c r="Z191" s="32"/>
      <c r="AA191" s="32"/>
    </row>
    <row r="192" spans="1:27">
      <c r="A192" s="42" t="str">
        <f>AA192</f>
        <v>REFGEN_REG_QUAD2_SAR1_SLC3</v>
      </c>
      <c r="B192" s="43" t="str">
        <f>DEC2HEX(O192*4)</f>
        <v>0</v>
      </c>
      <c r="C192" s="44" t="str">
        <f>bitConcat(F193:F196)</f>
        <v>32'b00000000000000000000000000000000</v>
      </c>
      <c r="D192" s="44"/>
      <c r="E192" s="44"/>
      <c r="F192" s="44"/>
      <c r="G192" s="44"/>
      <c r="H192" s="44"/>
      <c r="I192" s="44"/>
      <c r="J192" s="44"/>
      <c r="K192" s="44"/>
      <c r="L192" s="45" t="str">
        <f t="shared" si="91"/>
        <v>D8</v>
      </c>
      <c r="M192" s="45"/>
      <c r="N192" s="45">
        <f t="shared" ref="N192" si="119">S192</f>
        <v>0</v>
      </c>
      <c r="O192" s="38">
        <v>0</v>
      </c>
      <c r="P192" s="38" t="str">
        <f t="shared" ref="P192" si="120">DEC2HEX(HEX2DEC(Z192)*4)</f>
        <v>D8</v>
      </c>
      <c r="Q192" s="38" t="str">
        <f>BIN2HEX(LEFT(RIGHT(C192,32),4))&amp;BIN2HEX(LEFT(RIGHT(C192,28),4))&amp;BIN2HEX(LEFT(RIGHT(C192,24),4))&amp;BIN2HEX(LEFT(RIGHT(C192,20),4))&amp;BIN2HEX(LEFT(RIGHT(C192,16),4))&amp;BIN2HEX(LEFT(RIGHT(C192,12),4))&amp;BIN2HEX(LEFT(RIGHT(C192,8),4))&amp;BIN2HEX(LEFT(RIGHT(C192,4),4))</f>
        <v>00000000</v>
      </c>
      <c r="S192" s="32">
        <v>0</v>
      </c>
      <c r="T192" s="32">
        <v>1</v>
      </c>
      <c r="U192" s="32">
        <v>1</v>
      </c>
      <c r="V192" s="32">
        <v>0</v>
      </c>
      <c r="W192" s="32">
        <v>1</v>
      </c>
      <c r="X192" s="32">
        <v>1</v>
      </c>
      <c r="Y192" s="32">
        <v>0</v>
      </c>
      <c r="Z192" s="32" t="str">
        <f t="shared" si="80"/>
        <v>36</v>
      </c>
      <c r="AA192" s="32" t="str">
        <f>CONCATENATE("REFGEN_REG_QUAD",BIN2DEC(X192&amp;Y192),"_SAR",BIN2DEC(V192&amp;W192),"_SLC",BIN2DEC(S192&amp;T192&amp;U192),)</f>
        <v>REFGEN_REG_QUAD2_SAR1_SLC3</v>
      </c>
    </row>
    <row r="193" spans="1:27" ht="30">
      <c r="A193" s="39"/>
      <c r="B193" s="40"/>
      <c r="C193" s="16" t="s">
        <v>48</v>
      </c>
      <c r="D193" s="36">
        <v>8</v>
      </c>
      <c r="E193" s="21" t="str">
        <f>IF(D193&gt;1,(31)&amp;":"&amp;(31-D193+1),(31-D193+1)&amp;":"&amp;(31-D193+1))</f>
        <v>31:24</v>
      </c>
      <c r="F193" s="22" t="s">
        <v>43</v>
      </c>
      <c r="G193" s="27" t="s">
        <v>49</v>
      </c>
      <c r="H193" s="23" t="s">
        <v>36</v>
      </c>
      <c r="I193" s="24" t="s">
        <v>35</v>
      </c>
      <c r="J193" s="25" t="s">
        <v>6</v>
      </c>
      <c r="K193" s="26"/>
      <c r="L193" s="41"/>
      <c r="M193" s="41"/>
      <c r="N193" s="41"/>
      <c r="O193" s="37"/>
      <c r="P193" s="37"/>
      <c r="Q193" s="37"/>
      <c r="S193" s="32"/>
      <c r="T193" s="32"/>
      <c r="U193" s="32"/>
      <c r="V193" s="32"/>
      <c r="W193" s="32"/>
      <c r="X193" s="32"/>
      <c r="Y193" s="32"/>
      <c r="Z193" s="32"/>
      <c r="AA193" s="32"/>
    </row>
    <row r="194" spans="1:27" ht="30">
      <c r="A194" s="39"/>
      <c r="B194" s="40"/>
      <c r="C194" s="16" t="s">
        <v>50</v>
      </c>
      <c r="D194" s="36">
        <v>8</v>
      </c>
      <c r="E194" s="22" t="str">
        <f t="shared" ref="E194:E196" si="121">(MID(str_cnvt(E193),SEARCH(":",str_cnvt(E193))+1,2)-1) &amp; ":" &amp; (MID(str_cnvt(E193),SEARCH(":",str_cnvt(E193))+1,2)-D194)</f>
        <v>23:16</v>
      </c>
      <c r="F194" s="22" t="s">
        <v>43</v>
      </c>
      <c r="G194" s="27" t="s">
        <v>49</v>
      </c>
      <c r="H194" s="23" t="s">
        <v>36</v>
      </c>
      <c r="I194" s="24" t="s">
        <v>35</v>
      </c>
      <c r="J194" s="25" t="s">
        <v>6</v>
      </c>
      <c r="K194" s="26"/>
      <c r="L194" s="41"/>
      <c r="M194" s="41"/>
      <c r="N194" s="41"/>
      <c r="O194" s="37"/>
      <c r="P194" s="37"/>
      <c r="Q194" s="37"/>
      <c r="S194" s="32"/>
      <c r="T194" s="32"/>
      <c r="U194" s="32"/>
      <c r="V194" s="32"/>
      <c r="W194" s="32"/>
      <c r="X194" s="32"/>
      <c r="Y194" s="32"/>
      <c r="Z194" s="32"/>
      <c r="AA194" s="32"/>
    </row>
    <row r="195" spans="1:27" ht="30">
      <c r="A195" s="39"/>
      <c r="B195" s="40"/>
      <c r="C195" s="16" t="s">
        <v>51</v>
      </c>
      <c r="D195" s="36">
        <v>8</v>
      </c>
      <c r="E195" s="22" t="str">
        <f t="shared" si="121"/>
        <v>15:8</v>
      </c>
      <c r="F195" s="22" t="s">
        <v>43</v>
      </c>
      <c r="G195" s="27" t="s">
        <v>49</v>
      </c>
      <c r="H195" s="23" t="s">
        <v>36</v>
      </c>
      <c r="I195" s="24" t="s">
        <v>35</v>
      </c>
      <c r="J195" s="25" t="s">
        <v>6</v>
      </c>
      <c r="K195" s="26"/>
      <c r="L195" s="41"/>
      <c r="M195" s="41"/>
      <c r="N195" s="41"/>
      <c r="O195" s="37"/>
      <c r="P195" s="37"/>
      <c r="Q195" s="37"/>
      <c r="S195" s="32"/>
      <c r="T195" s="32"/>
      <c r="U195" s="32"/>
      <c r="V195" s="32"/>
      <c r="W195" s="32"/>
      <c r="X195" s="32"/>
      <c r="Y195" s="32"/>
      <c r="Z195" s="32"/>
      <c r="AA195" s="32"/>
    </row>
    <row r="196" spans="1:27" ht="30.75" thickBot="1">
      <c r="A196" s="39"/>
      <c r="B196" s="40"/>
      <c r="C196" s="16" t="s">
        <v>52</v>
      </c>
      <c r="D196" s="36">
        <v>8</v>
      </c>
      <c r="E196" s="22" t="str">
        <f t="shared" si="121"/>
        <v>7:0</v>
      </c>
      <c r="F196" s="22" t="s">
        <v>43</v>
      </c>
      <c r="G196" s="27" t="s">
        <v>49</v>
      </c>
      <c r="H196" s="23" t="s">
        <v>36</v>
      </c>
      <c r="I196" s="24" t="s">
        <v>35</v>
      </c>
      <c r="J196" s="25" t="s">
        <v>6</v>
      </c>
      <c r="K196" s="26"/>
      <c r="L196" s="41"/>
      <c r="M196" s="41"/>
      <c r="N196" s="41"/>
      <c r="O196" s="37"/>
      <c r="P196" s="37"/>
      <c r="Q196" s="37"/>
      <c r="S196" s="32"/>
      <c r="T196" s="32"/>
      <c r="U196" s="32"/>
      <c r="V196" s="32"/>
      <c r="W196" s="32"/>
      <c r="X196" s="32"/>
      <c r="Y196" s="32"/>
      <c r="Z196" s="32"/>
      <c r="AA196" s="32"/>
    </row>
    <row r="197" spans="1:27">
      <c r="A197" s="42" t="str">
        <f>AA197</f>
        <v>REFGEN_REG_QUAD3_SAR1_SLC3</v>
      </c>
      <c r="B197" s="43" t="str">
        <f>DEC2HEX(O197*4)</f>
        <v>0</v>
      </c>
      <c r="C197" s="44" t="str">
        <f>bitConcat(F198:F201)</f>
        <v>32'b00000000000000000000000000000000</v>
      </c>
      <c r="D197" s="44"/>
      <c r="E197" s="44"/>
      <c r="F197" s="44"/>
      <c r="G197" s="44"/>
      <c r="H197" s="44"/>
      <c r="I197" s="44"/>
      <c r="J197" s="44"/>
      <c r="K197" s="44"/>
      <c r="L197" s="45" t="str">
        <f t="shared" si="91"/>
        <v>DC</v>
      </c>
      <c r="M197" s="45"/>
      <c r="N197" s="45">
        <f t="shared" ref="N197" si="122">S197</f>
        <v>0</v>
      </c>
      <c r="O197" s="38">
        <v>0</v>
      </c>
      <c r="P197" s="38" t="str">
        <f t="shared" ref="P197" si="123">DEC2HEX(HEX2DEC(Z197)*4)</f>
        <v>DC</v>
      </c>
      <c r="Q197" s="38" t="str">
        <f>BIN2HEX(LEFT(RIGHT(C197,32),4))&amp;BIN2HEX(LEFT(RIGHT(C197,28),4))&amp;BIN2HEX(LEFT(RIGHT(C197,24),4))&amp;BIN2HEX(LEFT(RIGHT(C197,20),4))&amp;BIN2HEX(LEFT(RIGHT(C197,16),4))&amp;BIN2HEX(LEFT(RIGHT(C197,12),4))&amp;BIN2HEX(LEFT(RIGHT(C197,8),4))&amp;BIN2HEX(LEFT(RIGHT(C197,4),4))</f>
        <v>00000000</v>
      </c>
      <c r="S197" s="32">
        <v>0</v>
      </c>
      <c r="T197" s="32">
        <v>1</v>
      </c>
      <c r="U197" s="32">
        <v>1</v>
      </c>
      <c r="V197" s="32">
        <v>0</v>
      </c>
      <c r="W197" s="32">
        <v>1</v>
      </c>
      <c r="X197" s="32">
        <v>1</v>
      </c>
      <c r="Y197" s="32">
        <v>1</v>
      </c>
      <c r="Z197" s="32" t="str">
        <f t="shared" si="80"/>
        <v>37</v>
      </c>
      <c r="AA197" s="32" t="str">
        <f>CONCATENATE("REFGEN_REG_QUAD",BIN2DEC(X197&amp;Y197),"_SAR",BIN2DEC(V197&amp;W197),"_SLC",BIN2DEC(S197&amp;T197&amp;U197),)</f>
        <v>REFGEN_REG_QUAD3_SAR1_SLC3</v>
      </c>
    </row>
    <row r="198" spans="1:27" ht="30">
      <c r="A198" s="39"/>
      <c r="B198" s="40"/>
      <c r="C198" s="16" t="s">
        <v>48</v>
      </c>
      <c r="D198" s="36">
        <v>8</v>
      </c>
      <c r="E198" s="21" t="str">
        <f>IF(D198&gt;1,(31)&amp;":"&amp;(31-D198+1),(31-D198+1)&amp;":"&amp;(31-D198+1))</f>
        <v>31:24</v>
      </c>
      <c r="F198" s="22" t="s">
        <v>43</v>
      </c>
      <c r="G198" s="27" t="s">
        <v>49</v>
      </c>
      <c r="H198" s="23" t="s">
        <v>36</v>
      </c>
      <c r="I198" s="24" t="s">
        <v>35</v>
      </c>
      <c r="J198" s="25" t="s">
        <v>6</v>
      </c>
      <c r="K198" s="26"/>
      <c r="L198" s="41"/>
      <c r="M198" s="41"/>
      <c r="N198" s="41"/>
      <c r="O198" s="37"/>
      <c r="P198" s="37"/>
      <c r="Q198" s="37"/>
      <c r="S198" s="32"/>
      <c r="T198" s="32"/>
      <c r="U198" s="32"/>
      <c r="V198" s="32"/>
      <c r="W198" s="32"/>
      <c r="X198" s="32"/>
      <c r="Y198" s="32"/>
      <c r="Z198" s="32"/>
      <c r="AA198" s="32"/>
    </row>
    <row r="199" spans="1:27" ht="30">
      <c r="A199" s="39"/>
      <c r="B199" s="40"/>
      <c r="C199" s="16" t="s">
        <v>50</v>
      </c>
      <c r="D199" s="36">
        <v>8</v>
      </c>
      <c r="E199" s="22" t="str">
        <f t="shared" ref="E199:E201" si="124">(MID(str_cnvt(E198),SEARCH(":",str_cnvt(E198))+1,2)-1) &amp; ":" &amp; (MID(str_cnvt(E198),SEARCH(":",str_cnvt(E198))+1,2)-D199)</f>
        <v>23:16</v>
      </c>
      <c r="F199" s="22" t="s">
        <v>43</v>
      </c>
      <c r="G199" s="27" t="s">
        <v>49</v>
      </c>
      <c r="H199" s="23" t="s">
        <v>36</v>
      </c>
      <c r="I199" s="24" t="s">
        <v>35</v>
      </c>
      <c r="J199" s="25" t="s">
        <v>6</v>
      </c>
      <c r="K199" s="26"/>
      <c r="L199" s="41"/>
      <c r="M199" s="41"/>
      <c r="N199" s="41"/>
      <c r="O199" s="37"/>
      <c r="P199" s="37"/>
      <c r="Q199" s="37"/>
      <c r="S199" s="32"/>
      <c r="T199" s="32"/>
      <c r="U199" s="32"/>
      <c r="V199" s="32"/>
      <c r="W199" s="32"/>
      <c r="X199" s="32"/>
      <c r="Y199" s="32"/>
      <c r="Z199" s="32"/>
      <c r="AA199" s="32"/>
    </row>
    <row r="200" spans="1:27" ht="30">
      <c r="A200" s="39"/>
      <c r="B200" s="40"/>
      <c r="C200" s="16" t="s">
        <v>51</v>
      </c>
      <c r="D200" s="36">
        <v>8</v>
      </c>
      <c r="E200" s="22" t="str">
        <f t="shared" si="124"/>
        <v>15:8</v>
      </c>
      <c r="F200" s="22" t="s">
        <v>43</v>
      </c>
      <c r="G200" s="27" t="s">
        <v>49</v>
      </c>
      <c r="H200" s="23" t="s">
        <v>36</v>
      </c>
      <c r="I200" s="24" t="s">
        <v>35</v>
      </c>
      <c r="J200" s="25" t="s">
        <v>6</v>
      </c>
      <c r="K200" s="26"/>
      <c r="L200" s="41"/>
      <c r="M200" s="41"/>
      <c r="N200" s="41"/>
      <c r="O200" s="37"/>
      <c r="P200" s="37"/>
      <c r="Q200" s="37"/>
      <c r="S200" s="32"/>
      <c r="T200" s="32"/>
      <c r="U200" s="32"/>
      <c r="V200" s="32"/>
      <c r="W200" s="32"/>
      <c r="X200" s="32"/>
      <c r="Y200" s="32"/>
      <c r="Z200" s="32"/>
      <c r="AA200" s="32"/>
    </row>
    <row r="201" spans="1:27" ht="30.75" thickBot="1">
      <c r="A201" s="39"/>
      <c r="B201" s="40"/>
      <c r="C201" s="16" t="s">
        <v>52</v>
      </c>
      <c r="D201" s="36">
        <v>8</v>
      </c>
      <c r="E201" s="22" t="str">
        <f t="shared" si="124"/>
        <v>7:0</v>
      </c>
      <c r="F201" s="22" t="s">
        <v>43</v>
      </c>
      <c r="G201" s="27" t="s">
        <v>49</v>
      </c>
      <c r="H201" s="23" t="s">
        <v>36</v>
      </c>
      <c r="I201" s="24" t="s">
        <v>35</v>
      </c>
      <c r="J201" s="25" t="s">
        <v>6</v>
      </c>
      <c r="K201" s="26"/>
      <c r="L201" s="41"/>
      <c r="M201" s="41"/>
      <c r="N201" s="41"/>
      <c r="O201" s="37"/>
      <c r="P201" s="37"/>
      <c r="Q201" s="37"/>
      <c r="S201" s="32"/>
      <c r="T201" s="32"/>
      <c r="U201" s="32"/>
      <c r="V201" s="32"/>
      <c r="W201" s="32"/>
      <c r="X201" s="32"/>
      <c r="Y201" s="32"/>
      <c r="Z201" s="32"/>
      <c r="AA201" s="32"/>
    </row>
    <row r="202" spans="1:27">
      <c r="A202" s="42" t="str">
        <f>AA202</f>
        <v>REFGEN_REG_QUAD0_SAR1_SLC4</v>
      </c>
      <c r="B202" s="43" t="str">
        <f>DEC2HEX(O202*4)</f>
        <v>0</v>
      </c>
      <c r="C202" s="44" t="str">
        <f>bitConcat(F203:F206)</f>
        <v>32'b00000000000000000000000000000000</v>
      </c>
      <c r="D202" s="44"/>
      <c r="E202" s="44"/>
      <c r="F202" s="44"/>
      <c r="G202" s="44"/>
      <c r="H202" s="44"/>
      <c r="I202" s="44"/>
      <c r="J202" s="44"/>
      <c r="K202" s="44"/>
      <c r="L202" s="45" t="str">
        <f t="shared" si="91"/>
        <v>190</v>
      </c>
      <c r="M202" s="45"/>
      <c r="N202" s="45">
        <f t="shared" ref="N202" si="125">S202</f>
        <v>1</v>
      </c>
      <c r="O202" s="38">
        <v>0</v>
      </c>
      <c r="P202" s="38" t="str">
        <f t="shared" ref="P202" si="126">DEC2HEX(HEX2DEC(Z202)*4)</f>
        <v>110</v>
      </c>
      <c r="Q202" s="38" t="str">
        <f>BIN2HEX(LEFT(RIGHT(C202,32),4))&amp;BIN2HEX(LEFT(RIGHT(C202,28),4))&amp;BIN2HEX(LEFT(RIGHT(C202,24),4))&amp;BIN2HEX(LEFT(RIGHT(C202,20),4))&amp;BIN2HEX(LEFT(RIGHT(C202,16),4))&amp;BIN2HEX(LEFT(RIGHT(C202,12),4))&amp;BIN2HEX(LEFT(RIGHT(C202,8),4))&amp;BIN2HEX(LEFT(RIGHT(C202,4),4))</f>
        <v>00000000</v>
      </c>
      <c r="S202" s="32">
        <v>1</v>
      </c>
      <c r="T202" s="32">
        <v>0</v>
      </c>
      <c r="U202" s="32">
        <v>0</v>
      </c>
      <c r="V202" s="32">
        <v>0</v>
      </c>
      <c r="W202" s="32">
        <v>1</v>
      </c>
      <c r="X202" s="32">
        <v>0</v>
      </c>
      <c r="Y202" s="32">
        <v>0</v>
      </c>
      <c r="Z202" s="32" t="str">
        <f t="shared" si="80"/>
        <v>44</v>
      </c>
      <c r="AA202" s="32" t="str">
        <f>CONCATENATE("REFGEN_REG_QUAD",BIN2DEC(X202&amp;Y202),"_SAR",BIN2DEC(V202&amp;W202),"_SLC",BIN2DEC(S202&amp;T202&amp;U202),)</f>
        <v>REFGEN_REG_QUAD0_SAR1_SLC4</v>
      </c>
    </row>
    <row r="203" spans="1:27" ht="30">
      <c r="A203" s="39"/>
      <c r="B203" s="40"/>
      <c r="C203" s="16" t="s">
        <v>48</v>
      </c>
      <c r="D203" s="36">
        <v>8</v>
      </c>
      <c r="E203" s="21" t="str">
        <f>IF(D203&gt;1,(31)&amp;":"&amp;(31-D203+1),(31-D203+1)&amp;":"&amp;(31-D203+1))</f>
        <v>31:24</v>
      </c>
      <c r="F203" s="22" t="s">
        <v>43</v>
      </c>
      <c r="G203" s="27" t="s">
        <v>49</v>
      </c>
      <c r="H203" s="23" t="s">
        <v>36</v>
      </c>
      <c r="I203" s="24" t="s">
        <v>35</v>
      </c>
      <c r="J203" s="25" t="s">
        <v>6</v>
      </c>
      <c r="K203" s="26"/>
      <c r="L203" s="41"/>
      <c r="M203" s="41"/>
      <c r="N203" s="41"/>
      <c r="O203" s="37"/>
      <c r="P203" s="37"/>
      <c r="Q203" s="37"/>
      <c r="S203" s="32"/>
      <c r="T203" s="32"/>
      <c r="U203" s="32"/>
      <c r="V203" s="32"/>
      <c r="W203" s="32"/>
      <c r="X203" s="32"/>
      <c r="Y203" s="32"/>
      <c r="Z203" s="32"/>
      <c r="AA203" s="32"/>
    </row>
    <row r="204" spans="1:27" ht="30">
      <c r="A204" s="39"/>
      <c r="B204" s="40"/>
      <c r="C204" s="16" t="s">
        <v>50</v>
      </c>
      <c r="D204" s="36">
        <v>8</v>
      </c>
      <c r="E204" s="22" t="str">
        <f t="shared" ref="E204:E206" si="127">(MID(str_cnvt(E203),SEARCH(":",str_cnvt(E203))+1,2)-1) &amp; ":" &amp; (MID(str_cnvt(E203),SEARCH(":",str_cnvt(E203))+1,2)-D204)</f>
        <v>23:16</v>
      </c>
      <c r="F204" s="22" t="s">
        <v>43</v>
      </c>
      <c r="G204" s="27" t="s">
        <v>49</v>
      </c>
      <c r="H204" s="23" t="s">
        <v>36</v>
      </c>
      <c r="I204" s="24" t="s">
        <v>35</v>
      </c>
      <c r="J204" s="25" t="s">
        <v>6</v>
      </c>
      <c r="K204" s="26"/>
      <c r="L204" s="41"/>
      <c r="M204" s="41"/>
      <c r="N204" s="41"/>
      <c r="O204" s="37"/>
      <c r="P204" s="37"/>
      <c r="Q204" s="37"/>
      <c r="S204" s="32"/>
      <c r="T204" s="32"/>
      <c r="U204" s="32"/>
      <c r="V204" s="32"/>
      <c r="W204" s="32"/>
      <c r="X204" s="32"/>
      <c r="Y204" s="32"/>
      <c r="Z204" s="32"/>
      <c r="AA204" s="32"/>
    </row>
    <row r="205" spans="1:27" ht="30">
      <c r="A205" s="39"/>
      <c r="B205" s="40"/>
      <c r="C205" s="16" t="s">
        <v>51</v>
      </c>
      <c r="D205" s="36">
        <v>8</v>
      </c>
      <c r="E205" s="22" t="str">
        <f t="shared" si="127"/>
        <v>15:8</v>
      </c>
      <c r="F205" s="22" t="s">
        <v>43</v>
      </c>
      <c r="G205" s="27" t="s">
        <v>49</v>
      </c>
      <c r="H205" s="23" t="s">
        <v>36</v>
      </c>
      <c r="I205" s="24" t="s">
        <v>35</v>
      </c>
      <c r="J205" s="25" t="s">
        <v>6</v>
      </c>
      <c r="K205" s="26"/>
      <c r="L205" s="41"/>
      <c r="M205" s="41"/>
      <c r="N205" s="41"/>
      <c r="O205" s="37"/>
      <c r="P205" s="37"/>
      <c r="Q205" s="37"/>
      <c r="S205" s="32"/>
      <c r="T205" s="32"/>
      <c r="U205" s="32"/>
      <c r="V205" s="32"/>
      <c r="W205" s="32"/>
      <c r="X205" s="32"/>
      <c r="Y205" s="32"/>
      <c r="Z205" s="32"/>
      <c r="AA205" s="32"/>
    </row>
    <row r="206" spans="1:27" ht="30.75" thickBot="1">
      <c r="A206" s="39"/>
      <c r="B206" s="40"/>
      <c r="C206" s="16" t="s">
        <v>52</v>
      </c>
      <c r="D206" s="36">
        <v>8</v>
      </c>
      <c r="E206" s="22" t="str">
        <f t="shared" si="127"/>
        <v>7:0</v>
      </c>
      <c r="F206" s="22" t="s">
        <v>43</v>
      </c>
      <c r="G206" s="27" t="s">
        <v>49</v>
      </c>
      <c r="H206" s="23" t="s">
        <v>36</v>
      </c>
      <c r="I206" s="24" t="s">
        <v>35</v>
      </c>
      <c r="J206" s="25" t="s">
        <v>6</v>
      </c>
      <c r="K206" s="26"/>
      <c r="L206" s="41"/>
      <c r="M206" s="41"/>
      <c r="N206" s="41"/>
      <c r="O206" s="37"/>
      <c r="P206" s="37"/>
      <c r="Q206" s="37"/>
      <c r="S206" s="32"/>
      <c r="T206" s="32"/>
      <c r="U206" s="32"/>
      <c r="V206" s="32"/>
      <c r="W206" s="32"/>
      <c r="X206" s="32"/>
      <c r="Y206" s="32"/>
      <c r="Z206" s="32"/>
      <c r="AA206" s="32"/>
    </row>
    <row r="207" spans="1:27">
      <c r="A207" s="42" t="str">
        <f>AA207</f>
        <v>REFGEN_REG_QUAD1_SAR1_SLC4</v>
      </c>
      <c r="B207" s="43" t="str">
        <f>DEC2HEX(O207*4)</f>
        <v>0</v>
      </c>
      <c r="C207" s="44" t="str">
        <f>bitConcat(F208:F211)</f>
        <v>32'b00000000000000000000000000000000</v>
      </c>
      <c r="D207" s="44"/>
      <c r="E207" s="44"/>
      <c r="F207" s="44"/>
      <c r="G207" s="44"/>
      <c r="H207" s="44"/>
      <c r="I207" s="44"/>
      <c r="J207" s="44"/>
      <c r="K207" s="44"/>
      <c r="L207" s="45" t="str">
        <f t="shared" si="91"/>
        <v>194</v>
      </c>
      <c r="M207" s="45"/>
      <c r="N207" s="45">
        <f t="shared" ref="N207" si="128">S207</f>
        <v>1</v>
      </c>
      <c r="O207" s="38">
        <v>0</v>
      </c>
      <c r="P207" s="38" t="str">
        <f t="shared" ref="P207" si="129">DEC2HEX(HEX2DEC(Z207)*4)</f>
        <v>114</v>
      </c>
      <c r="Q207" s="38" t="str">
        <f>BIN2HEX(LEFT(RIGHT(C207,32),4))&amp;BIN2HEX(LEFT(RIGHT(C207,28),4))&amp;BIN2HEX(LEFT(RIGHT(C207,24),4))&amp;BIN2HEX(LEFT(RIGHT(C207,20),4))&amp;BIN2HEX(LEFT(RIGHT(C207,16),4))&amp;BIN2HEX(LEFT(RIGHT(C207,12),4))&amp;BIN2HEX(LEFT(RIGHT(C207,8),4))&amp;BIN2HEX(LEFT(RIGHT(C207,4),4))</f>
        <v>00000000</v>
      </c>
      <c r="S207" s="32">
        <v>1</v>
      </c>
      <c r="T207" s="32">
        <v>0</v>
      </c>
      <c r="U207" s="32">
        <v>0</v>
      </c>
      <c r="V207" s="32">
        <v>0</v>
      </c>
      <c r="W207" s="32">
        <v>1</v>
      </c>
      <c r="X207" s="32">
        <v>0</v>
      </c>
      <c r="Y207" s="32">
        <v>1</v>
      </c>
      <c r="Z207" s="32" t="str">
        <f t="shared" si="80"/>
        <v>45</v>
      </c>
      <c r="AA207" s="32" t="str">
        <f>CONCATENATE("REFGEN_REG_QUAD",BIN2DEC(X207&amp;Y207),"_SAR",BIN2DEC(V207&amp;W207),"_SLC",BIN2DEC(S207&amp;T207&amp;U207),)</f>
        <v>REFGEN_REG_QUAD1_SAR1_SLC4</v>
      </c>
    </row>
    <row r="208" spans="1:27" ht="30">
      <c r="A208" s="39"/>
      <c r="B208" s="40"/>
      <c r="C208" s="16" t="s">
        <v>48</v>
      </c>
      <c r="D208" s="36">
        <v>8</v>
      </c>
      <c r="E208" s="21" t="str">
        <f>IF(D208&gt;1,(31)&amp;":"&amp;(31-D208+1),(31-D208+1)&amp;":"&amp;(31-D208+1))</f>
        <v>31:24</v>
      </c>
      <c r="F208" s="22" t="s">
        <v>43</v>
      </c>
      <c r="G208" s="27" t="s">
        <v>49</v>
      </c>
      <c r="H208" s="23" t="s">
        <v>36</v>
      </c>
      <c r="I208" s="24" t="s">
        <v>35</v>
      </c>
      <c r="J208" s="25" t="s">
        <v>6</v>
      </c>
      <c r="K208" s="26"/>
      <c r="L208" s="41"/>
      <c r="M208" s="41"/>
      <c r="N208" s="41"/>
      <c r="O208" s="37"/>
      <c r="P208" s="37"/>
      <c r="Q208" s="37"/>
      <c r="S208" s="32"/>
      <c r="T208" s="32"/>
      <c r="U208" s="32"/>
      <c r="V208" s="32"/>
      <c r="W208" s="32"/>
      <c r="X208" s="32"/>
      <c r="Y208" s="32"/>
      <c r="Z208" s="32"/>
      <c r="AA208" s="32"/>
    </row>
    <row r="209" spans="1:27" ht="30">
      <c r="A209" s="39"/>
      <c r="B209" s="40"/>
      <c r="C209" s="16" t="s">
        <v>50</v>
      </c>
      <c r="D209" s="36">
        <v>8</v>
      </c>
      <c r="E209" s="22" t="str">
        <f t="shared" ref="E209:E211" si="130">(MID(str_cnvt(E208),SEARCH(":",str_cnvt(E208))+1,2)-1) &amp; ":" &amp; (MID(str_cnvt(E208),SEARCH(":",str_cnvt(E208))+1,2)-D209)</f>
        <v>23:16</v>
      </c>
      <c r="F209" s="22" t="s">
        <v>43</v>
      </c>
      <c r="G209" s="27" t="s">
        <v>49</v>
      </c>
      <c r="H209" s="23" t="s">
        <v>36</v>
      </c>
      <c r="I209" s="24" t="s">
        <v>35</v>
      </c>
      <c r="J209" s="25" t="s">
        <v>6</v>
      </c>
      <c r="K209" s="26"/>
      <c r="L209" s="41"/>
      <c r="M209" s="41"/>
      <c r="N209" s="41"/>
      <c r="O209" s="37"/>
      <c r="P209" s="37"/>
      <c r="Q209" s="37"/>
      <c r="S209" s="32"/>
      <c r="T209" s="32"/>
      <c r="U209" s="32"/>
      <c r="V209" s="32"/>
      <c r="W209" s="32"/>
      <c r="X209" s="32"/>
      <c r="Y209" s="32"/>
      <c r="Z209" s="32"/>
      <c r="AA209" s="32"/>
    </row>
    <row r="210" spans="1:27" ht="30">
      <c r="A210" s="39"/>
      <c r="B210" s="40"/>
      <c r="C210" s="16" t="s">
        <v>51</v>
      </c>
      <c r="D210" s="36">
        <v>8</v>
      </c>
      <c r="E210" s="22" t="str">
        <f t="shared" si="130"/>
        <v>15:8</v>
      </c>
      <c r="F210" s="22" t="s">
        <v>43</v>
      </c>
      <c r="G210" s="27" t="s">
        <v>49</v>
      </c>
      <c r="H210" s="23" t="s">
        <v>36</v>
      </c>
      <c r="I210" s="24" t="s">
        <v>35</v>
      </c>
      <c r="J210" s="25" t="s">
        <v>6</v>
      </c>
      <c r="K210" s="26"/>
      <c r="L210" s="41"/>
      <c r="M210" s="41"/>
      <c r="N210" s="41"/>
      <c r="O210" s="37"/>
      <c r="P210" s="37"/>
      <c r="Q210" s="37"/>
      <c r="S210" s="32"/>
      <c r="T210" s="32"/>
      <c r="U210" s="32"/>
      <c r="V210" s="32"/>
      <c r="W210" s="32"/>
      <c r="X210" s="32"/>
      <c r="Y210" s="32"/>
      <c r="Z210" s="32"/>
      <c r="AA210" s="32"/>
    </row>
    <row r="211" spans="1:27" ht="30.75" thickBot="1">
      <c r="A211" s="39"/>
      <c r="B211" s="40"/>
      <c r="C211" s="16" t="s">
        <v>52</v>
      </c>
      <c r="D211" s="36">
        <v>8</v>
      </c>
      <c r="E211" s="22" t="str">
        <f t="shared" si="130"/>
        <v>7:0</v>
      </c>
      <c r="F211" s="22" t="s">
        <v>43</v>
      </c>
      <c r="G211" s="27" t="s">
        <v>49</v>
      </c>
      <c r="H211" s="23" t="s">
        <v>36</v>
      </c>
      <c r="I211" s="24" t="s">
        <v>35</v>
      </c>
      <c r="J211" s="25" t="s">
        <v>6</v>
      </c>
      <c r="K211" s="26"/>
      <c r="L211" s="41"/>
      <c r="M211" s="41"/>
      <c r="N211" s="41"/>
      <c r="O211" s="37"/>
      <c r="P211" s="37"/>
      <c r="Q211" s="37"/>
      <c r="S211" s="32"/>
      <c r="T211" s="32"/>
      <c r="U211" s="32"/>
      <c r="V211" s="32"/>
      <c r="W211" s="32"/>
      <c r="X211" s="32"/>
      <c r="Y211" s="32"/>
      <c r="Z211" s="32"/>
      <c r="AA211" s="32"/>
    </row>
    <row r="212" spans="1:27">
      <c r="A212" s="42" t="str">
        <f>AA212</f>
        <v>REFGEN_REG_QUAD2_SAR1_SLC4</v>
      </c>
      <c r="B212" s="43" t="str">
        <f>DEC2HEX(O212*4)</f>
        <v>0</v>
      </c>
      <c r="C212" s="44" t="str">
        <f>bitConcat(F213:F216)</f>
        <v>32'b00000000000000000000000000000000</v>
      </c>
      <c r="D212" s="44"/>
      <c r="E212" s="44"/>
      <c r="F212" s="44"/>
      <c r="G212" s="44"/>
      <c r="H212" s="44"/>
      <c r="I212" s="44"/>
      <c r="J212" s="44"/>
      <c r="K212" s="44"/>
      <c r="L212" s="45" t="str">
        <f t="shared" ref="L212:L272" si="131">DEC2HEX(_xlfn.BITLSHIFT(N212,7)+HEX2DEC(P212))</f>
        <v>198</v>
      </c>
      <c r="M212" s="45"/>
      <c r="N212" s="45">
        <f t="shared" ref="N212" si="132">S212</f>
        <v>1</v>
      </c>
      <c r="O212" s="38">
        <v>0</v>
      </c>
      <c r="P212" s="38" t="str">
        <f t="shared" ref="P212" si="133">DEC2HEX(HEX2DEC(Z212)*4)</f>
        <v>118</v>
      </c>
      <c r="Q212" s="38" t="str">
        <f>BIN2HEX(LEFT(RIGHT(C212,32),4))&amp;BIN2HEX(LEFT(RIGHT(C212,28),4))&amp;BIN2HEX(LEFT(RIGHT(C212,24),4))&amp;BIN2HEX(LEFT(RIGHT(C212,20),4))&amp;BIN2HEX(LEFT(RIGHT(C212,16),4))&amp;BIN2HEX(LEFT(RIGHT(C212,12),4))&amp;BIN2HEX(LEFT(RIGHT(C212,8),4))&amp;BIN2HEX(LEFT(RIGHT(C212,4),4))</f>
        <v>00000000</v>
      </c>
      <c r="S212" s="32">
        <v>1</v>
      </c>
      <c r="T212" s="32">
        <v>0</v>
      </c>
      <c r="U212" s="32">
        <v>0</v>
      </c>
      <c r="V212" s="32">
        <v>0</v>
      </c>
      <c r="W212" s="32">
        <v>1</v>
      </c>
      <c r="X212" s="32">
        <v>1</v>
      </c>
      <c r="Y212" s="32">
        <v>0</v>
      </c>
      <c r="Z212" s="32" t="str">
        <f t="shared" si="80"/>
        <v>46</v>
      </c>
      <c r="AA212" s="32" t="str">
        <f>CONCATENATE("REFGEN_REG_QUAD",BIN2DEC(X212&amp;Y212),"_SAR",BIN2DEC(V212&amp;W212),"_SLC",BIN2DEC(S212&amp;T212&amp;U212),)</f>
        <v>REFGEN_REG_QUAD2_SAR1_SLC4</v>
      </c>
    </row>
    <row r="213" spans="1:27" ht="30">
      <c r="A213" s="39"/>
      <c r="B213" s="40"/>
      <c r="C213" s="16" t="s">
        <v>48</v>
      </c>
      <c r="D213" s="36">
        <v>8</v>
      </c>
      <c r="E213" s="21" t="str">
        <f>IF(D213&gt;1,(31)&amp;":"&amp;(31-D213+1),(31-D213+1)&amp;":"&amp;(31-D213+1))</f>
        <v>31:24</v>
      </c>
      <c r="F213" s="22" t="s">
        <v>43</v>
      </c>
      <c r="G213" s="27" t="s">
        <v>49</v>
      </c>
      <c r="H213" s="23" t="s">
        <v>36</v>
      </c>
      <c r="I213" s="24" t="s">
        <v>35</v>
      </c>
      <c r="J213" s="25" t="s">
        <v>6</v>
      </c>
      <c r="K213" s="26"/>
      <c r="L213" s="41"/>
      <c r="M213" s="41"/>
      <c r="N213" s="41"/>
      <c r="O213" s="37"/>
      <c r="P213" s="37"/>
      <c r="Q213" s="37"/>
      <c r="S213" s="32"/>
      <c r="T213" s="32"/>
      <c r="U213" s="32"/>
      <c r="V213" s="32"/>
      <c r="W213" s="32"/>
      <c r="X213" s="32"/>
      <c r="Y213" s="32"/>
      <c r="Z213" s="32"/>
      <c r="AA213" s="32"/>
    </row>
    <row r="214" spans="1:27" ht="30">
      <c r="A214" s="39"/>
      <c r="B214" s="40"/>
      <c r="C214" s="16" t="s">
        <v>50</v>
      </c>
      <c r="D214" s="36">
        <v>8</v>
      </c>
      <c r="E214" s="22" t="str">
        <f t="shared" ref="E214:E216" si="134">(MID(str_cnvt(E213),SEARCH(":",str_cnvt(E213))+1,2)-1) &amp; ":" &amp; (MID(str_cnvt(E213),SEARCH(":",str_cnvt(E213))+1,2)-D214)</f>
        <v>23:16</v>
      </c>
      <c r="F214" s="22" t="s">
        <v>43</v>
      </c>
      <c r="G214" s="27" t="s">
        <v>49</v>
      </c>
      <c r="H214" s="23" t="s">
        <v>36</v>
      </c>
      <c r="I214" s="24" t="s">
        <v>35</v>
      </c>
      <c r="J214" s="25" t="s">
        <v>6</v>
      </c>
      <c r="K214" s="26"/>
      <c r="L214" s="41"/>
      <c r="M214" s="41"/>
      <c r="N214" s="41"/>
      <c r="O214" s="37"/>
      <c r="P214" s="37"/>
      <c r="Q214" s="37"/>
      <c r="S214" s="32"/>
      <c r="T214" s="32"/>
      <c r="U214" s="32"/>
      <c r="V214" s="32"/>
      <c r="W214" s="32"/>
      <c r="X214" s="32"/>
      <c r="Y214" s="32"/>
      <c r="Z214" s="32"/>
      <c r="AA214" s="32"/>
    </row>
    <row r="215" spans="1:27" ht="30">
      <c r="A215" s="39"/>
      <c r="B215" s="40"/>
      <c r="C215" s="16" t="s">
        <v>51</v>
      </c>
      <c r="D215" s="36">
        <v>8</v>
      </c>
      <c r="E215" s="22" t="str">
        <f t="shared" si="134"/>
        <v>15:8</v>
      </c>
      <c r="F215" s="22" t="s">
        <v>43</v>
      </c>
      <c r="G215" s="27" t="s">
        <v>49</v>
      </c>
      <c r="H215" s="23" t="s">
        <v>36</v>
      </c>
      <c r="I215" s="24" t="s">
        <v>35</v>
      </c>
      <c r="J215" s="25" t="s">
        <v>6</v>
      </c>
      <c r="K215" s="26"/>
      <c r="L215" s="41"/>
      <c r="M215" s="41"/>
      <c r="N215" s="41"/>
      <c r="O215" s="37"/>
      <c r="P215" s="37"/>
      <c r="Q215" s="37"/>
      <c r="S215" s="32"/>
      <c r="T215" s="32"/>
      <c r="U215" s="32"/>
      <c r="V215" s="32"/>
      <c r="W215" s="32"/>
      <c r="X215" s="32"/>
      <c r="Y215" s="32"/>
      <c r="Z215" s="32"/>
      <c r="AA215" s="32"/>
    </row>
    <row r="216" spans="1:27" ht="30.75" thickBot="1">
      <c r="A216" s="39"/>
      <c r="B216" s="40"/>
      <c r="C216" s="16" t="s">
        <v>52</v>
      </c>
      <c r="D216" s="36">
        <v>8</v>
      </c>
      <c r="E216" s="22" t="str">
        <f t="shared" si="134"/>
        <v>7:0</v>
      </c>
      <c r="F216" s="22" t="s">
        <v>43</v>
      </c>
      <c r="G216" s="27" t="s">
        <v>49</v>
      </c>
      <c r="H216" s="23" t="s">
        <v>36</v>
      </c>
      <c r="I216" s="24" t="s">
        <v>35</v>
      </c>
      <c r="J216" s="25" t="s">
        <v>6</v>
      </c>
      <c r="K216" s="26"/>
      <c r="L216" s="41"/>
      <c r="M216" s="41"/>
      <c r="N216" s="41"/>
      <c r="O216" s="37"/>
      <c r="P216" s="37"/>
      <c r="Q216" s="37"/>
      <c r="S216" s="32"/>
      <c r="T216" s="32"/>
      <c r="U216" s="32"/>
      <c r="V216" s="32"/>
      <c r="W216" s="32"/>
      <c r="X216" s="32"/>
      <c r="Y216" s="32"/>
      <c r="Z216" s="32"/>
      <c r="AA216" s="32"/>
    </row>
    <row r="217" spans="1:27">
      <c r="A217" s="42" t="str">
        <f>AA217</f>
        <v>REFGEN_REG_QUAD3_SAR1_SLC4</v>
      </c>
      <c r="B217" s="43" t="str">
        <f>DEC2HEX(O217*4)</f>
        <v>0</v>
      </c>
      <c r="C217" s="44" t="str">
        <f>bitConcat(F218:F221)</f>
        <v>32'b00000000000000000000000000000000</v>
      </c>
      <c r="D217" s="44"/>
      <c r="E217" s="44"/>
      <c r="F217" s="44"/>
      <c r="G217" s="44"/>
      <c r="H217" s="44"/>
      <c r="I217" s="44"/>
      <c r="J217" s="44"/>
      <c r="K217" s="44"/>
      <c r="L217" s="45" t="str">
        <f t="shared" si="131"/>
        <v>19C</v>
      </c>
      <c r="M217" s="45"/>
      <c r="N217" s="45">
        <f t="shared" ref="N217" si="135">S217</f>
        <v>1</v>
      </c>
      <c r="O217" s="38">
        <v>0</v>
      </c>
      <c r="P217" s="38" t="str">
        <f t="shared" ref="P217" si="136">DEC2HEX(HEX2DEC(Z217)*4)</f>
        <v>11C</v>
      </c>
      <c r="Q217" s="38" t="str">
        <f>BIN2HEX(LEFT(RIGHT(C217,32),4))&amp;BIN2HEX(LEFT(RIGHT(C217,28),4))&amp;BIN2HEX(LEFT(RIGHT(C217,24),4))&amp;BIN2HEX(LEFT(RIGHT(C217,20),4))&amp;BIN2HEX(LEFT(RIGHT(C217,16),4))&amp;BIN2HEX(LEFT(RIGHT(C217,12),4))&amp;BIN2HEX(LEFT(RIGHT(C217,8),4))&amp;BIN2HEX(LEFT(RIGHT(C217,4),4))</f>
        <v>00000000</v>
      </c>
      <c r="S217" s="32">
        <v>1</v>
      </c>
      <c r="T217" s="32">
        <v>0</v>
      </c>
      <c r="U217" s="32">
        <v>0</v>
      </c>
      <c r="V217" s="32">
        <v>0</v>
      </c>
      <c r="W217" s="32">
        <v>1</v>
      </c>
      <c r="X217" s="32">
        <v>1</v>
      </c>
      <c r="Y217" s="32">
        <v>1</v>
      </c>
      <c r="Z217" s="32" t="str">
        <f t="shared" si="80"/>
        <v>47</v>
      </c>
      <c r="AA217" s="32" t="str">
        <f>CONCATENATE("REFGEN_REG_QUAD",BIN2DEC(X217&amp;Y217),"_SAR",BIN2DEC(V217&amp;W217),"_SLC",BIN2DEC(S217&amp;T217&amp;U217),)</f>
        <v>REFGEN_REG_QUAD3_SAR1_SLC4</v>
      </c>
    </row>
    <row r="218" spans="1:27" ht="30">
      <c r="A218" s="39"/>
      <c r="B218" s="40"/>
      <c r="C218" s="16" t="s">
        <v>48</v>
      </c>
      <c r="D218" s="36">
        <v>8</v>
      </c>
      <c r="E218" s="21" t="str">
        <f>IF(D218&gt;1,(31)&amp;":"&amp;(31-D218+1),(31-D218+1)&amp;":"&amp;(31-D218+1))</f>
        <v>31:24</v>
      </c>
      <c r="F218" s="22" t="s">
        <v>43</v>
      </c>
      <c r="G218" s="27" t="s">
        <v>49</v>
      </c>
      <c r="H218" s="23" t="s">
        <v>36</v>
      </c>
      <c r="I218" s="24" t="s">
        <v>35</v>
      </c>
      <c r="J218" s="25" t="s">
        <v>6</v>
      </c>
      <c r="K218" s="26"/>
      <c r="L218" s="41"/>
      <c r="M218" s="41"/>
      <c r="N218" s="41"/>
      <c r="O218" s="37"/>
      <c r="P218" s="37"/>
      <c r="Q218" s="37"/>
      <c r="S218" s="32"/>
      <c r="T218" s="32"/>
      <c r="U218" s="32"/>
      <c r="V218" s="32"/>
      <c r="W218" s="32"/>
      <c r="X218" s="32"/>
      <c r="Y218" s="32"/>
      <c r="Z218" s="32"/>
      <c r="AA218" s="32"/>
    </row>
    <row r="219" spans="1:27" ht="30">
      <c r="A219" s="39"/>
      <c r="B219" s="40"/>
      <c r="C219" s="16" t="s">
        <v>50</v>
      </c>
      <c r="D219" s="36">
        <v>8</v>
      </c>
      <c r="E219" s="22" t="str">
        <f t="shared" ref="E219:E221" si="137">(MID(str_cnvt(E218),SEARCH(":",str_cnvt(E218))+1,2)-1) &amp; ":" &amp; (MID(str_cnvt(E218),SEARCH(":",str_cnvt(E218))+1,2)-D219)</f>
        <v>23:16</v>
      </c>
      <c r="F219" s="22" t="s">
        <v>43</v>
      </c>
      <c r="G219" s="27" t="s">
        <v>49</v>
      </c>
      <c r="H219" s="23" t="s">
        <v>36</v>
      </c>
      <c r="I219" s="24" t="s">
        <v>35</v>
      </c>
      <c r="J219" s="25" t="s">
        <v>6</v>
      </c>
      <c r="K219" s="26"/>
      <c r="L219" s="41"/>
      <c r="M219" s="41"/>
      <c r="N219" s="41"/>
      <c r="O219" s="37"/>
      <c r="P219" s="37"/>
      <c r="Q219" s="37"/>
      <c r="S219" s="32"/>
      <c r="T219" s="32"/>
      <c r="U219" s="32"/>
      <c r="V219" s="32"/>
      <c r="W219" s="32"/>
      <c r="X219" s="32"/>
      <c r="Y219" s="32"/>
      <c r="Z219" s="32"/>
      <c r="AA219" s="32"/>
    </row>
    <row r="220" spans="1:27" ht="30">
      <c r="A220" s="39"/>
      <c r="B220" s="40"/>
      <c r="C220" s="16" t="s">
        <v>51</v>
      </c>
      <c r="D220" s="36">
        <v>8</v>
      </c>
      <c r="E220" s="22" t="str">
        <f t="shared" si="137"/>
        <v>15:8</v>
      </c>
      <c r="F220" s="22" t="s">
        <v>43</v>
      </c>
      <c r="G220" s="27" t="s">
        <v>49</v>
      </c>
      <c r="H220" s="23" t="s">
        <v>36</v>
      </c>
      <c r="I220" s="24" t="s">
        <v>35</v>
      </c>
      <c r="J220" s="25" t="s">
        <v>6</v>
      </c>
      <c r="K220" s="26"/>
      <c r="L220" s="41"/>
      <c r="M220" s="41"/>
      <c r="N220" s="41"/>
      <c r="O220" s="37"/>
      <c r="P220" s="37"/>
      <c r="Q220" s="37"/>
      <c r="S220" s="32"/>
      <c r="T220" s="32"/>
      <c r="U220" s="32"/>
      <c r="V220" s="32"/>
      <c r="W220" s="32"/>
      <c r="X220" s="32"/>
      <c r="Y220" s="32"/>
      <c r="Z220" s="32"/>
      <c r="AA220" s="32"/>
    </row>
    <row r="221" spans="1:27" ht="30.75" thickBot="1">
      <c r="A221" s="39"/>
      <c r="B221" s="40"/>
      <c r="C221" s="16" t="s">
        <v>52</v>
      </c>
      <c r="D221" s="36">
        <v>8</v>
      </c>
      <c r="E221" s="22" t="str">
        <f t="shared" si="137"/>
        <v>7:0</v>
      </c>
      <c r="F221" s="22" t="s">
        <v>43</v>
      </c>
      <c r="G221" s="27" t="s">
        <v>49</v>
      </c>
      <c r="H221" s="23" t="s">
        <v>36</v>
      </c>
      <c r="I221" s="24" t="s">
        <v>35</v>
      </c>
      <c r="J221" s="25" t="s">
        <v>6</v>
      </c>
      <c r="K221" s="26"/>
      <c r="L221" s="41"/>
      <c r="M221" s="41"/>
      <c r="N221" s="41"/>
      <c r="O221" s="37"/>
      <c r="P221" s="37"/>
      <c r="Q221" s="37"/>
      <c r="S221" s="32"/>
      <c r="T221" s="32"/>
      <c r="U221" s="32"/>
      <c r="V221" s="32"/>
      <c r="W221" s="32"/>
      <c r="X221" s="32"/>
      <c r="Y221" s="32"/>
      <c r="Z221" s="32"/>
      <c r="AA221" s="32"/>
    </row>
    <row r="222" spans="1:27">
      <c r="A222" s="42" t="str">
        <f>AA222</f>
        <v>REFGEN_REG_QUAD0_SAR1_SLC5</v>
      </c>
      <c r="B222" s="43" t="str">
        <f>DEC2HEX(O222*4)</f>
        <v>0</v>
      </c>
      <c r="C222" s="44" t="str">
        <f>bitConcat(F223:F226)</f>
        <v>32'b00000000000000000000000000000000</v>
      </c>
      <c r="D222" s="44"/>
      <c r="E222" s="44"/>
      <c r="F222" s="44"/>
      <c r="G222" s="44"/>
      <c r="H222" s="44"/>
      <c r="I222" s="44"/>
      <c r="J222" s="44"/>
      <c r="K222" s="44"/>
      <c r="L222" s="45" t="str">
        <f t="shared" si="131"/>
        <v>1D0</v>
      </c>
      <c r="M222" s="45"/>
      <c r="N222" s="45">
        <f t="shared" ref="N222" si="138">S222</f>
        <v>1</v>
      </c>
      <c r="O222" s="38">
        <v>0</v>
      </c>
      <c r="P222" s="38" t="str">
        <f t="shared" ref="P222" si="139">DEC2HEX(HEX2DEC(Z222)*4)</f>
        <v>150</v>
      </c>
      <c r="Q222" s="38" t="str">
        <f>BIN2HEX(LEFT(RIGHT(C222,32),4))&amp;BIN2HEX(LEFT(RIGHT(C222,28),4))&amp;BIN2HEX(LEFT(RIGHT(C222,24),4))&amp;BIN2HEX(LEFT(RIGHT(C222,20),4))&amp;BIN2HEX(LEFT(RIGHT(C222,16),4))&amp;BIN2HEX(LEFT(RIGHT(C222,12),4))&amp;BIN2HEX(LEFT(RIGHT(C222,8),4))&amp;BIN2HEX(LEFT(RIGHT(C222,4),4))</f>
        <v>00000000</v>
      </c>
      <c r="S222" s="32">
        <v>1</v>
      </c>
      <c r="T222" s="32">
        <v>0</v>
      </c>
      <c r="U222" s="32">
        <v>1</v>
      </c>
      <c r="V222" s="32">
        <v>0</v>
      </c>
      <c r="W222" s="32">
        <v>1</v>
      </c>
      <c r="X222" s="32">
        <v>0</v>
      </c>
      <c r="Y222" s="32">
        <v>0</v>
      </c>
      <c r="Z222" s="32" t="str">
        <f t="shared" si="80"/>
        <v>54</v>
      </c>
      <c r="AA222" s="32" t="str">
        <f>CONCATENATE("REFGEN_REG_QUAD",BIN2DEC(X222&amp;Y222),"_SAR",BIN2DEC(V222&amp;W222),"_SLC",BIN2DEC(S222&amp;T222&amp;U222),)</f>
        <v>REFGEN_REG_QUAD0_SAR1_SLC5</v>
      </c>
    </row>
    <row r="223" spans="1:27" ht="30">
      <c r="A223" s="39"/>
      <c r="B223" s="40"/>
      <c r="C223" s="16" t="s">
        <v>48</v>
      </c>
      <c r="D223" s="36">
        <v>8</v>
      </c>
      <c r="E223" s="21" t="str">
        <f>IF(D223&gt;1,(31)&amp;":"&amp;(31-D223+1),(31-D223+1)&amp;":"&amp;(31-D223+1))</f>
        <v>31:24</v>
      </c>
      <c r="F223" s="22" t="s">
        <v>43</v>
      </c>
      <c r="G223" s="27" t="s">
        <v>49</v>
      </c>
      <c r="H223" s="23" t="s">
        <v>36</v>
      </c>
      <c r="I223" s="24" t="s">
        <v>35</v>
      </c>
      <c r="J223" s="25" t="s">
        <v>6</v>
      </c>
      <c r="K223" s="26"/>
      <c r="L223" s="41"/>
      <c r="M223" s="41"/>
      <c r="N223" s="41"/>
      <c r="O223" s="37"/>
      <c r="P223" s="37"/>
      <c r="Q223" s="37"/>
      <c r="S223" s="32"/>
      <c r="T223" s="32"/>
      <c r="U223" s="32"/>
      <c r="V223" s="32"/>
      <c r="W223" s="32"/>
      <c r="X223" s="32"/>
      <c r="Y223" s="32"/>
      <c r="Z223" s="32"/>
      <c r="AA223" s="32"/>
    </row>
    <row r="224" spans="1:27" ht="30">
      <c r="A224" s="39"/>
      <c r="B224" s="40"/>
      <c r="C224" s="16" t="s">
        <v>50</v>
      </c>
      <c r="D224" s="36">
        <v>8</v>
      </c>
      <c r="E224" s="22" t="str">
        <f t="shared" ref="E224:E226" si="140">(MID(str_cnvt(E223),SEARCH(":",str_cnvt(E223))+1,2)-1) &amp; ":" &amp; (MID(str_cnvt(E223),SEARCH(":",str_cnvt(E223))+1,2)-D224)</f>
        <v>23:16</v>
      </c>
      <c r="F224" s="22" t="s">
        <v>43</v>
      </c>
      <c r="G224" s="27" t="s">
        <v>49</v>
      </c>
      <c r="H224" s="23" t="s">
        <v>36</v>
      </c>
      <c r="I224" s="24" t="s">
        <v>35</v>
      </c>
      <c r="J224" s="25" t="s">
        <v>6</v>
      </c>
      <c r="K224" s="26"/>
      <c r="L224" s="41"/>
      <c r="M224" s="41"/>
      <c r="N224" s="41"/>
      <c r="O224" s="37"/>
      <c r="P224" s="37"/>
      <c r="Q224" s="37"/>
      <c r="S224" s="32"/>
      <c r="T224" s="32"/>
      <c r="U224" s="32"/>
      <c r="V224" s="32"/>
      <c r="W224" s="32"/>
      <c r="X224" s="32"/>
      <c r="Y224" s="32"/>
      <c r="Z224" s="32"/>
      <c r="AA224" s="32"/>
    </row>
    <row r="225" spans="1:27" ht="30">
      <c r="A225" s="39"/>
      <c r="B225" s="40"/>
      <c r="C225" s="16" t="s">
        <v>51</v>
      </c>
      <c r="D225" s="36">
        <v>8</v>
      </c>
      <c r="E225" s="22" t="str">
        <f t="shared" si="140"/>
        <v>15:8</v>
      </c>
      <c r="F225" s="22" t="s">
        <v>43</v>
      </c>
      <c r="G225" s="27" t="s">
        <v>49</v>
      </c>
      <c r="H225" s="23" t="s">
        <v>36</v>
      </c>
      <c r="I225" s="24" t="s">
        <v>35</v>
      </c>
      <c r="J225" s="25" t="s">
        <v>6</v>
      </c>
      <c r="K225" s="26"/>
      <c r="L225" s="41"/>
      <c r="M225" s="41"/>
      <c r="N225" s="41"/>
      <c r="O225" s="37"/>
      <c r="P225" s="37"/>
      <c r="Q225" s="37"/>
      <c r="S225" s="32"/>
      <c r="T225" s="32"/>
      <c r="U225" s="32"/>
      <c r="V225" s="32"/>
      <c r="W225" s="32"/>
      <c r="X225" s="32"/>
      <c r="Y225" s="32"/>
      <c r="Z225" s="32"/>
      <c r="AA225" s="32"/>
    </row>
    <row r="226" spans="1:27" ht="30.75" thickBot="1">
      <c r="A226" s="39"/>
      <c r="B226" s="40"/>
      <c r="C226" s="16" t="s">
        <v>52</v>
      </c>
      <c r="D226" s="36">
        <v>8</v>
      </c>
      <c r="E226" s="22" t="str">
        <f t="shared" si="140"/>
        <v>7:0</v>
      </c>
      <c r="F226" s="22" t="s">
        <v>43</v>
      </c>
      <c r="G226" s="27" t="s">
        <v>49</v>
      </c>
      <c r="H226" s="23" t="s">
        <v>36</v>
      </c>
      <c r="I226" s="24" t="s">
        <v>35</v>
      </c>
      <c r="J226" s="25" t="s">
        <v>6</v>
      </c>
      <c r="K226" s="26"/>
      <c r="L226" s="41"/>
      <c r="M226" s="41"/>
      <c r="N226" s="41"/>
      <c r="O226" s="37"/>
      <c r="P226" s="37"/>
      <c r="Q226" s="37"/>
      <c r="S226" s="32"/>
      <c r="T226" s="32"/>
      <c r="U226" s="32"/>
      <c r="V226" s="32"/>
      <c r="W226" s="32"/>
      <c r="X226" s="32"/>
      <c r="Y226" s="32"/>
      <c r="Z226" s="32"/>
      <c r="AA226" s="32"/>
    </row>
    <row r="227" spans="1:27">
      <c r="A227" s="42" t="str">
        <f>AA227</f>
        <v>REFGEN_REG_QUAD1_SAR1_SLC5</v>
      </c>
      <c r="B227" s="43" t="str">
        <f>DEC2HEX(O227*4)</f>
        <v>0</v>
      </c>
      <c r="C227" s="44" t="str">
        <f>bitConcat(F228:F231)</f>
        <v>32'b00000000000000000000000000000000</v>
      </c>
      <c r="D227" s="44"/>
      <c r="E227" s="44"/>
      <c r="F227" s="44"/>
      <c r="G227" s="44"/>
      <c r="H227" s="44"/>
      <c r="I227" s="44"/>
      <c r="J227" s="44"/>
      <c r="K227" s="44"/>
      <c r="L227" s="45" t="str">
        <f t="shared" si="131"/>
        <v>1D4</v>
      </c>
      <c r="M227" s="45"/>
      <c r="N227" s="45">
        <f t="shared" ref="N227" si="141">S227</f>
        <v>1</v>
      </c>
      <c r="O227" s="38">
        <v>0</v>
      </c>
      <c r="P227" s="38" t="str">
        <f t="shared" ref="P227" si="142">DEC2HEX(HEX2DEC(Z227)*4)</f>
        <v>154</v>
      </c>
      <c r="Q227" s="38" t="str">
        <f>BIN2HEX(LEFT(RIGHT(C227,32),4))&amp;BIN2HEX(LEFT(RIGHT(C227,28),4))&amp;BIN2HEX(LEFT(RIGHT(C227,24),4))&amp;BIN2HEX(LEFT(RIGHT(C227,20),4))&amp;BIN2HEX(LEFT(RIGHT(C227,16),4))&amp;BIN2HEX(LEFT(RIGHT(C227,12),4))&amp;BIN2HEX(LEFT(RIGHT(C227,8),4))&amp;BIN2HEX(LEFT(RIGHT(C227,4),4))</f>
        <v>00000000</v>
      </c>
      <c r="S227" s="32">
        <v>1</v>
      </c>
      <c r="T227" s="32">
        <v>0</v>
      </c>
      <c r="U227" s="32">
        <v>1</v>
      </c>
      <c r="V227" s="32">
        <v>0</v>
      </c>
      <c r="W227" s="32">
        <v>1</v>
      </c>
      <c r="X227" s="32">
        <v>0</v>
      </c>
      <c r="Y227" s="32">
        <v>1</v>
      </c>
      <c r="Z227" s="32" t="str">
        <f t="shared" si="80"/>
        <v>55</v>
      </c>
      <c r="AA227" s="32" t="str">
        <f>CONCATENATE("REFGEN_REG_QUAD",BIN2DEC(X227&amp;Y227),"_SAR",BIN2DEC(V227&amp;W227),"_SLC",BIN2DEC(S227&amp;T227&amp;U227),)</f>
        <v>REFGEN_REG_QUAD1_SAR1_SLC5</v>
      </c>
    </row>
    <row r="228" spans="1:27" ht="30">
      <c r="A228" s="39"/>
      <c r="B228" s="40"/>
      <c r="C228" s="16" t="s">
        <v>48</v>
      </c>
      <c r="D228" s="36">
        <v>8</v>
      </c>
      <c r="E228" s="21" t="str">
        <f>IF(D228&gt;1,(31)&amp;":"&amp;(31-D228+1),(31-D228+1)&amp;":"&amp;(31-D228+1))</f>
        <v>31:24</v>
      </c>
      <c r="F228" s="22" t="s">
        <v>43</v>
      </c>
      <c r="G228" s="27" t="s">
        <v>49</v>
      </c>
      <c r="H228" s="23" t="s">
        <v>36</v>
      </c>
      <c r="I228" s="24" t="s">
        <v>35</v>
      </c>
      <c r="J228" s="25" t="s">
        <v>6</v>
      </c>
      <c r="K228" s="26"/>
      <c r="L228" s="41"/>
      <c r="M228" s="41"/>
      <c r="N228" s="41"/>
      <c r="O228" s="37"/>
      <c r="P228" s="37"/>
      <c r="Q228" s="37"/>
      <c r="S228" s="32"/>
      <c r="T228" s="32"/>
      <c r="U228" s="32"/>
      <c r="V228" s="32"/>
      <c r="W228" s="32"/>
      <c r="X228" s="32"/>
      <c r="Y228" s="32"/>
      <c r="Z228" s="32"/>
      <c r="AA228" s="32"/>
    </row>
    <row r="229" spans="1:27" ht="30">
      <c r="A229" s="39"/>
      <c r="B229" s="40"/>
      <c r="C229" s="16" t="s">
        <v>50</v>
      </c>
      <c r="D229" s="36">
        <v>8</v>
      </c>
      <c r="E229" s="22" t="str">
        <f t="shared" ref="E229:E231" si="143">(MID(str_cnvt(E228),SEARCH(":",str_cnvt(E228))+1,2)-1) &amp; ":" &amp; (MID(str_cnvt(E228),SEARCH(":",str_cnvt(E228))+1,2)-D229)</f>
        <v>23:16</v>
      </c>
      <c r="F229" s="22" t="s">
        <v>43</v>
      </c>
      <c r="G229" s="27" t="s">
        <v>49</v>
      </c>
      <c r="H229" s="23" t="s">
        <v>36</v>
      </c>
      <c r="I229" s="24" t="s">
        <v>35</v>
      </c>
      <c r="J229" s="25" t="s">
        <v>6</v>
      </c>
      <c r="K229" s="26"/>
      <c r="L229" s="41"/>
      <c r="M229" s="41"/>
      <c r="N229" s="41"/>
      <c r="O229" s="37"/>
      <c r="P229" s="37"/>
      <c r="Q229" s="37"/>
      <c r="S229" s="32"/>
      <c r="T229" s="32"/>
      <c r="U229" s="32"/>
      <c r="V229" s="32"/>
      <c r="W229" s="32"/>
      <c r="X229" s="32"/>
      <c r="Y229" s="32"/>
      <c r="Z229" s="32"/>
      <c r="AA229" s="32"/>
    </row>
    <row r="230" spans="1:27" ht="30">
      <c r="A230" s="39"/>
      <c r="B230" s="40"/>
      <c r="C230" s="16" t="s">
        <v>51</v>
      </c>
      <c r="D230" s="36">
        <v>8</v>
      </c>
      <c r="E230" s="22" t="str">
        <f t="shared" si="143"/>
        <v>15:8</v>
      </c>
      <c r="F230" s="22" t="s">
        <v>43</v>
      </c>
      <c r="G230" s="27" t="s">
        <v>49</v>
      </c>
      <c r="H230" s="23" t="s">
        <v>36</v>
      </c>
      <c r="I230" s="24" t="s">
        <v>35</v>
      </c>
      <c r="J230" s="25" t="s">
        <v>6</v>
      </c>
      <c r="K230" s="26"/>
      <c r="L230" s="41"/>
      <c r="M230" s="41"/>
      <c r="N230" s="41"/>
      <c r="O230" s="37"/>
      <c r="P230" s="37"/>
      <c r="Q230" s="37"/>
      <c r="S230" s="32"/>
      <c r="T230" s="32"/>
      <c r="U230" s="32"/>
      <c r="V230" s="32"/>
      <c r="W230" s="32"/>
      <c r="X230" s="32"/>
      <c r="Y230" s="32"/>
      <c r="Z230" s="32"/>
      <c r="AA230" s="32"/>
    </row>
    <row r="231" spans="1:27" ht="30.75" thickBot="1">
      <c r="A231" s="39"/>
      <c r="B231" s="40"/>
      <c r="C231" s="16" t="s">
        <v>52</v>
      </c>
      <c r="D231" s="36">
        <v>8</v>
      </c>
      <c r="E231" s="22" t="str">
        <f t="shared" si="143"/>
        <v>7:0</v>
      </c>
      <c r="F231" s="22" t="s">
        <v>43</v>
      </c>
      <c r="G231" s="27" t="s">
        <v>49</v>
      </c>
      <c r="H231" s="23" t="s">
        <v>36</v>
      </c>
      <c r="I231" s="24" t="s">
        <v>35</v>
      </c>
      <c r="J231" s="25" t="s">
        <v>6</v>
      </c>
      <c r="K231" s="26"/>
      <c r="L231" s="41"/>
      <c r="M231" s="41"/>
      <c r="N231" s="41"/>
      <c r="O231" s="37"/>
      <c r="P231" s="37"/>
      <c r="Q231" s="37"/>
      <c r="S231" s="32"/>
      <c r="T231" s="32"/>
      <c r="U231" s="32"/>
      <c r="V231" s="32"/>
      <c r="W231" s="32"/>
      <c r="X231" s="32"/>
      <c r="Y231" s="32"/>
      <c r="Z231" s="32"/>
      <c r="AA231" s="32"/>
    </row>
    <row r="232" spans="1:27">
      <c r="A232" s="42" t="str">
        <f>AA232</f>
        <v>REFGEN_REG_QUAD2_SAR1_SLC5</v>
      </c>
      <c r="B232" s="43" t="str">
        <f>DEC2HEX(O232*4)</f>
        <v>0</v>
      </c>
      <c r="C232" s="44" t="str">
        <f>bitConcat(F233:F236)</f>
        <v>32'b00000000000000000000000000000000</v>
      </c>
      <c r="D232" s="44"/>
      <c r="E232" s="44"/>
      <c r="F232" s="44"/>
      <c r="G232" s="44"/>
      <c r="H232" s="44"/>
      <c r="I232" s="44"/>
      <c r="J232" s="44"/>
      <c r="K232" s="44"/>
      <c r="L232" s="45" t="str">
        <f t="shared" si="131"/>
        <v>1D8</v>
      </c>
      <c r="M232" s="45"/>
      <c r="N232" s="45">
        <f t="shared" ref="N232" si="144">S232</f>
        <v>1</v>
      </c>
      <c r="O232" s="38">
        <v>0</v>
      </c>
      <c r="P232" s="38" t="str">
        <f t="shared" ref="P232" si="145">DEC2HEX(HEX2DEC(Z232)*4)</f>
        <v>158</v>
      </c>
      <c r="Q232" s="38" t="str">
        <f>BIN2HEX(LEFT(RIGHT(C232,32),4))&amp;BIN2HEX(LEFT(RIGHT(C232,28),4))&amp;BIN2HEX(LEFT(RIGHT(C232,24),4))&amp;BIN2HEX(LEFT(RIGHT(C232,20),4))&amp;BIN2HEX(LEFT(RIGHT(C232,16),4))&amp;BIN2HEX(LEFT(RIGHT(C232,12),4))&amp;BIN2HEX(LEFT(RIGHT(C232,8),4))&amp;BIN2HEX(LEFT(RIGHT(C232,4),4))</f>
        <v>00000000</v>
      </c>
      <c r="S232" s="32">
        <v>1</v>
      </c>
      <c r="T232" s="32">
        <v>0</v>
      </c>
      <c r="U232" s="32">
        <v>1</v>
      </c>
      <c r="V232" s="32">
        <v>0</v>
      </c>
      <c r="W232" s="32">
        <v>1</v>
      </c>
      <c r="X232" s="32">
        <v>1</v>
      </c>
      <c r="Y232" s="32">
        <v>0</v>
      </c>
      <c r="Z232" s="32" t="str">
        <f t="shared" si="80"/>
        <v>56</v>
      </c>
      <c r="AA232" s="32" t="str">
        <f>CONCATENATE("REFGEN_REG_QUAD",BIN2DEC(X232&amp;Y232),"_SAR",BIN2DEC(V232&amp;W232),"_SLC",BIN2DEC(S232&amp;T232&amp;U232),)</f>
        <v>REFGEN_REG_QUAD2_SAR1_SLC5</v>
      </c>
    </row>
    <row r="233" spans="1:27" ht="30">
      <c r="A233" s="39"/>
      <c r="B233" s="40"/>
      <c r="C233" s="16" t="s">
        <v>48</v>
      </c>
      <c r="D233" s="36">
        <v>8</v>
      </c>
      <c r="E233" s="21" t="str">
        <f>IF(D233&gt;1,(31)&amp;":"&amp;(31-D233+1),(31-D233+1)&amp;":"&amp;(31-D233+1))</f>
        <v>31:24</v>
      </c>
      <c r="F233" s="22" t="s">
        <v>43</v>
      </c>
      <c r="G233" s="27" t="s">
        <v>49</v>
      </c>
      <c r="H233" s="23" t="s">
        <v>36</v>
      </c>
      <c r="I233" s="24" t="s">
        <v>35</v>
      </c>
      <c r="J233" s="25" t="s">
        <v>6</v>
      </c>
      <c r="K233" s="26"/>
      <c r="L233" s="41"/>
      <c r="M233" s="41"/>
      <c r="N233" s="41"/>
      <c r="O233" s="37"/>
      <c r="P233" s="37"/>
      <c r="Q233" s="37"/>
      <c r="S233" s="32"/>
      <c r="T233" s="32"/>
      <c r="U233" s="32"/>
      <c r="V233" s="32"/>
      <c r="W233" s="32"/>
      <c r="X233" s="32"/>
      <c r="Y233" s="32"/>
      <c r="Z233" s="32"/>
      <c r="AA233" s="32"/>
    </row>
    <row r="234" spans="1:27" ht="30">
      <c r="A234" s="39"/>
      <c r="B234" s="40"/>
      <c r="C234" s="16" t="s">
        <v>50</v>
      </c>
      <c r="D234" s="36">
        <v>8</v>
      </c>
      <c r="E234" s="22" t="str">
        <f t="shared" ref="E234:E236" si="146">(MID(str_cnvt(E233),SEARCH(":",str_cnvt(E233))+1,2)-1) &amp; ":" &amp; (MID(str_cnvt(E233),SEARCH(":",str_cnvt(E233))+1,2)-D234)</f>
        <v>23:16</v>
      </c>
      <c r="F234" s="22" t="s">
        <v>43</v>
      </c>
      <c r="G234" s="27" t="s">
        <v>49</v>
      </c>
      <c r="H234" s="23" t="s">
        <v>36</v>
      </c>
      <c r="I234" s="24" t="s">
        <v>35</v>
      </c>
      <c r="J234" s="25" t="s">
        <v>6</v>
      </c>
      <c r="K234" s="26"/>
      <c r="L234" s="41"/>
      <c r="M234" s="41"/>
      <c r="N234" s="41"/>
      <c r="O234" s="37"/>
      <c r="P234" s="37"/>
      <c r="Q234" s="37"/>
      <c r="S234" s="32"/>
      <c r="T234" s="32"/>
      <c r="U234" s="32"/>
      <c r="V234" s="32"/>
      <c r="W234" s="32"/>
      <c r="X234" s="32"/>
      <c r="Y234" s="32"/>
      <c r="Z234" s="32"/>
      <c r="AA234" s="32"/>
    </row>
    <row r="235" spans="1:27" ht="30">
      <c r="A235" s="39"/>
      <c r="B235" s="40"/>
      <c r="C235" s="16" t="s">
        <v>51</v>
      </c>
      <c r="D235" s="36">
        <v>8</v>
      </c>
      <c r="E235" s="22" t="str">
        <f t="shared" si="146"/>
        <v>15:8</v>
      </c>
      <c r="F235" s="22" t="s">
        <v>43</v>
      </c>
      <c r="G235" s="27" t="s">
        <v>49</v>
      </c>
      <c r="H235" s="23" t="s">
        <v>36</v>
      </c>
      <c r="I235" s="24" t="s">
        <v>35</v>
      </c>
      <c r="J235" s="25" t="s">
        <v>6</v>
      </c>
      <c r="K235" s="26"/>
      <c r="L235" s="41"/>
      <c r="M235" s="41"/>
      <c r="N235" s="41"/>
      <c r="O235" s="37"/>
      <c r="P235" s="37"/>
      <c r="Q235" s="37"/>
      <c r="S235" s="32"/>
      <c r="T235" s="32"/>
      <c r="U235" s="32"/>
      <c r="V235" s="32"/>
      <c r="W235" s="32"/>
      <c r="X235" s="32"/>
      <c r="Y235" s="32"/>
      <c r="Z235" s="32"/>
      <c r="AA235" s="32"/>
    </row>
    <row r="236" spans="1:27" ht="30.75" thickBot="1">
      <c r="A236" s="39"/>
      <c r="B236" s="40"/>
      <c r="C236" s="16" t="s">
        <v>52</v>
      </c>
      <c r="D236" s="36">
        <v>8</v>
      </c>
      <c r="E236" s="22" t="str">
        <f t="shared" si="146"/>
        <v>7:0</v>
      </c>
      <c r="F236" s="22" t="s">
        <v>43</v>
      </c>
      <c r="G236" s="27" t="s">
        <v>49</v>
      </c>
      <c r="H236" s="23" t="s">
        <v>36</v>
      </c>
      <c r="I236" s="24" t="s">
        <v>35</v>
      </c>
      <c r="J236" s="25" t="s">
        <v>6</v>
      </c>
      <c r="K236" s="26"/>
      <c r="L236" s="41"/>
      <c r="M236" s="41"/>
      <c r="N236" s="41"/>
      <c r="O236" s="37"/>
      <c r="P236" s="37"/>
      <c r="Q236" s="37"/>
      <c r="S236" s="32"/>
      <c r="T236" s="32"/>
      <c r="U236" s="32"/>
      <c r="V236" s="32"/>
      <c r="W236" s="32"/>
      <c r="X236" s="32"/>
      <c r="Y236" s="32"/>
      <c r="Z236" s="32"/>
      <c r="AA236" s="32"/>
    </row>
    <row r="237" spans="1:27">
      <c r="A237" s="42" t="str">
        <f>AA237</f>
        <v>REFGEN_REG_QUAD3_SAR1_SLC5</v>
      </c>
      <c r="B237" s="43" t="str">
        <f>DEC2HEX(O237*4)</f>
        <v>0</v>
      </c>
      <c r="C237" s="44" t="str">
        <f>bitConcat(F238:F241)</f>
        <v>32'b00000000000000000000000000000000</v>
      </c>
      <c r="D237" s="44"/>
      <c r="E237" s="44"/>
      <c r="F237" s="44"/>
      <c r="G237" s="44"/>
      <c r="H237" s="44"/>
      <c r="I237" s="44"/>
      <c r="J237" s="44"/>
      <c r="K237" s="44"/>
      <c r="L237" s="45" t="str">
        <f t="shared" si="131"/>
        <v>1DC</v>
      </c>
      <c r="M237" s="45"/>
      <c r="N237" s="45">
        <f t="shared" ref="N237" si="147">S237</f>
        <v>1</v>
      </c>
      <c r="O237" s="38">
        <v>0</v>
      </c>
      <c r="P237" s="38" t="str">
        <f t="shared" ref="P237" si="148">DEC2HEX(HEX2DEC(Z237)*4)</f>
        <v>15C</v>
      </c>
      <c r="Q237" s="38" t="str">
        <f>BIN2HEX(LEFT(RIGHT(C237,32),4))&amp;BIN2HEX(LEFT(RIGHT(C237,28),4))&amp;BIN2HEX(LEFT(RIGHT(C237,24),4))&amp;BIN2HEX(LEFT(RIGHT(C237,20),4))&amp;BIN2HEX(LEFT(RIGHT(C237,16),4))&amp;BIN2HEX(LEFT(RIGHT(C237,12),4))&amp;BIN2HEX(LEFT(RIGHT(C237,8),4))&amp;BIN2HEX(LEFT(RIGHT(C237,4),4))</f>
        <v>00000000</v>
      </c>
      <c r="S237" s="32">
        <v>1</v>
      </c>
      <c r="T237" s="32">
        <v>0</v>
      </c>
      <c r="U237" s="32">
        <v>1</v>
      </c>
      <c r="V237" s="32">
        <v>0</v>
      </c>
      <c r="W237" s="32">
        <v>1</v>
      </c>
      <c r="X237" s="32">
        <v>1</v>
      </c>
      <c r="Y237" s="32">
        <v>1</v>
      </c>
      <c r="Z237" s="32" t="str">
        <f t="shared" si="80"/>
        <v>57</v>
      </c>
      <c r="AA237" s="32" t="str">
        <f>CONCATENATE("REFGEN_REG_QUAD",BIN2DEC(X237&amp;Y237),"_SAR",BIN2DEC(V237&amp;W237),"_SLC",BIN2DEC(S237&amp;T237&amp;U237),)</f>
        <v>REFGEN_REG_QUAD3_SAR1_SLC5</v>
      </c>
    </row>
    <row r="238" spans="1:27" ht="30">
      <c r="A238" s="39"/>
      <c r="B238" s="40"/>
      <c r="C238" s="16" t="s">
        <v>48</v>
      </c>
      <c r="D238" s="36">
        <v>8</v>
      </c>
      <c r="E238" s="21" t="str">
        <f>IF(D238&gt;1,(31)&amp;":"&amp;(31-D238+1),(31-D238+1)&amp;":"&amp;(31-D238+1))</f>
        <v>31:24</v>
      </c>
      <c r="F238" s="22" t="s">
        <v>43</v>
      </c>
      <c r="G238" s="27" t="s">
        <v>49</v>
      </c>
      <c r="H238" s="23" t="s">
        <v>36</v>
      </c>
      <c r="I238" s="24" t="s">
        <v>35</v>
      </c>
      <c r="J238" s="25" t="s">
        <v>6</v>
      </c>
      <c r="K238" s="26"/>
      <c r="L238" s="41"/>
      <c r="M238" s="41"/>
      <c r="N238" s="41"/>
      <c r="O238" s="37"/>
      <c r="P238" s="37"/>
      <c r="Q238" s="37"/>
    </row>
    <row r="239" spans="1:27" ht="30">
      <c r="A239" s="39"/>
      <c r="B239" s="40"/>
      <c r="C239" s="16" t="s">
        <v>50</v>
      </c>
      <c r="D239" s="36">
        <v>8</v>
      </c>
      <c r="E239" s="22" t="str">
        <f t="shared" ref="E239:E241" si="149">(MID(str_cnvt(E238),SEARCH(":",str_cnvt(E238))+1,2)-1) &amp; ":" &amp; (MID(str_cnvt(E238),SEARCH(":",str_cnvt(E238))+1,2)-D239)</f>
        <v>23:16</v>
      </c>
      <c r="F239" s="22" t="s">
        <v>43</v>
      </c>
      <c r="G239" s="27" t="s">
        <v>49</v>
      </c>
      <c r="H239" s="23" t="s">
        <v>36</v>
      </c>
      <c r="I239" s="24" t="s">
        <v>35</v>
      </c>
      <c r="J239" s="25" t="s">
        <v>6</v>
      </c>
      <c r="K239" s="26"/>
      <c r="L239" s="41"/>
      <c r="M239" s="41"/>
      <c r="N239" s="41"/>
      <c r="O239" s="37"/>
      <c r="P239" s="37"/>
      <c r="Q239" s="37"/>
    </row>
    <row r="240" spans="1:27" ht="30">
      <c r="A240" s="39"/>
      <c r="B240" s="40"/>
      <c r="C240" s="16" t="s">
        <v>51</v>
      </c>
      <c r="D240" s="36">
        <v>8</v>
      </c>
      <c r="E240" s="22" t="str">
        <f t="shared" si="149"/>
        <v>15:8</v>
      </c>
      <c r="F240" s="22" t="s">
        <v>43</v>
      </c>
      <c r="G240" s="27" t="s">
        <v>49</v>
      </c>
      <c r="H240" s="23" t="s">
        <v>36</v>
      </c>
      <c r="I240" s="24" t="s">
        <v>35</v>
      </c>
      <c r="J240" s="25" t="s">
        <v>6</v>
      </c>
      <c r="K240" s="26"/>
      <c r="L240" s="41"/>
      <c r="M240" s="41"/>
      <c r="N240" s="41"/>
      <c r="O240" s="37"/>
      <c r="P240" s="37"/>
      <c r="Q240" s="37"/>
    </row>
    <row r="241" spans="1:27" ht="30.75" thickBot="1">
      <c r="A241" s="39"/>
      <c r="B241" s="40"/>
      <c r="C241" s="16" t="s">
        <v>52</v>
      </c>
      <c r="D241" s="36">
        <v>8</v>
      </c>
      <c r="E241" s="22" t="str">
        <f t="shared" si="149"/>
        <v>7:0</v>
      </c>
      <c r="F241" s="22" t="s">
        <v>43</v>
      </c>
      <c r="G241" s="27" t="s">
        <v>49</v>
      </c>
      <c r="H241" s="23" t="s">
        <v>36</v>
      </c>
      <c r="I241" s="24" t="s">
        <v>35</v>
      </c>
      <c r="J241" s="25" t="s">
        <v>6</v>
      </c>
      <c r="K241" s="26"/>
      <c r="L241" s="41"/>
      <c r="M241" s="41"/>
      <c r="N241" s="41"/>
      <c r="O241" s="37"/>
      <c r="P241" s="37"/>
      <c r="Q241" s="37"/>
    </row>
    <row r="242" spans="1:27">
      <c r="A242" s="42" t="str">
        <f>AA242</f>
        <v>REFGEN_REG_QUAD0_SAR2_SLC0</v>
      </c>
      <c r="B242" s="43" t="str">
        <f>DEC2HEX(O242*4)</f>
        <v>0</v>
      </c>
      <c r="C242" s="44" t="str">
        <f>bitConcat(F243:F246)</f>
        <v>32'b00000000000000000000000000000000</v>
      </c>
      <c r="D242" s="44"/>
      <c r="E242" s="44"/>
      <c r="F242" s="44"/>
      <c r="G242" s="44"/>
      <c r="H242" s="44"/>
      <c r="I242" s="44"/>
      <c r="J242" s="44"/>
      <c r="K242" s="44"/>
      <c r="L242" s="45" t="str">
        <f t="shared" si="131"/>
        <v>20</v>
      </c>
      <c r="M242" s="45"/>
      <c r="N242" s="45">
        <f t="shared" ref="N242" si="150">S242</f>
        <v>0</v>
      </c>
      <c r="O242" s="38">
        <v>0</v>
      </c>
      <c r="P242" s="38" t="str">
        <f t="shared" ref="P242" si="151">DEC2HEX(HEX2DEC(Z242)*4)</f>
        <v>20</v>
      </c>
      <c r="Q242" s="38" t="str">
        <f>BIN2HEX(LEFT(RIGHT(C242,32),4))&amp;BIN2HEX(LEFT(RIGHT(C242,28),4))&amp;BIN2HEX(LEFT(RIGHT(C242,24),4))&amp;BIN2HEX(LEFT(RIGHT(C242,20),4))&amp;BIN2HEX(LEFT(RIGHT(C242,16),4))&amp;BIN2HEX(LEFT(RIGHT(C242,12),4))&amp;BIN2HEX(LEFT(RIGHT(C242,8),4))&amp;BIN2HEX(LEFT(RIGHT(C242,4),4))</f>
        <v>00000000</v>
      </c>
      <c r="S242" s="32">
        <v>0</v>
      </c>
      <c r="T242" s="32">
        <v>0</v>
      </c>
      <c r="U242" s="32">
        <v>0</v>
      </c>
      <c r="V242" s="32">
        <v>1</v>
      </c>
      <c r="W242" s="32">
        <v>0</v>
      </c>
      <c r="X242" s="32">
        <v>0</v>
      </c>
      <c r="Y242" s="32">
        <v>0</v>
      </c>
      <c r="Z242" s="32" t="str">
        <f>BIN2HEX(S242&amp;T242&amp;U242&amp;V242&amp;W242&amp;X242&amp;Y242)</f>
        <v>8</v>
      </c>
      <c r="AA242" s="32" t="str">
        <f>CONCATENATE("REFGEN_REG_QUAD",BIN2DEC(X242&amp;Y242),"_SAR",BIN2DEC(V242&amp;W242),"_SLC",BIN2DEC(S242&amp;T242&amp;U242),)</f>
        <v>REFGEN_REG_QUAD0_SAR2_SLC0</v>
      </c>
    </row>
    <row r="243" spans="1:27" ht="30">
      <c r="A243" s="39"/>
      <c r="B243" s="40"/>
      <c r="C243" s="16" t="s">
        <v>48</v>
      </c>
      <c r="D243" s="36">
        <v>8</v>
      </c>
      <c r="E243" s="21" t="str">
        <f>IF(D243&gt;1,(31)&amp;":"&amp;(31-D243+1),(31-D243+1)&amp;":"&amp;(31-D243+1))</f>
        <v>31:24</v>
      </c>
      <c r="F243" s="22" t="s">
        <v>43</v>
      </c>
      <c r="G243" s="27" t="s">
        <v>49</v>
      </c>
      <c r="H243" s="23" t="s">
        <v>36</v>
      </c>
      <c r="I243" s="24" t="s">
        <v>35</v>
      </c>
      <c r="J243" s="25" t="s">
        <v>6</v>
      </c>
      <c r="K243" s="26"/>
      <c r="L243" s="41"/>
      <c r="M243" s="41"/>
      <c r="N243" s="41"/>
      <c r="O243" s="37"/>
      <c r="P243" s="37"/>
      <c r="Q243" s="37"/>
      <c r="S243" s="32"/>
      <c r="T243" s="32"/>
      <c r="U243" s="32"/>
      <c r="V243" s="32"/>
      <c r="W243" s="32"/>
      <c r="X243" s="32"/>
      <c r="Y243" s="32"/>
      <c r="Z243" s="32"/>
      <c r="AA243" s="32"/>
    </row>
    <row r="244" spans="1:27" ht="30">
      <c r="A244" s="39"/>
      <c r="B244" s="40"/>
      <c r="C244" s="16" t="s">
        <v>50</v>
      </c>
      <c r="D244" s="36">
        <v>8</v>
      </c>
      <c r="E244" s="22" t="str">
        <f t="shared" ref="E244:E246" si="152">(MID(str_cnvt(E243),SEARCH(":",str_cnvt(E243))+1,2)-1) &amp; ":" &amp; (MID(str_cnvt(E243),SEARCH(":",str_cnvt(E243))+1,2)-D244)</f>
        <v>23:16</v>
      </c>
      <c r="F244" s="22" t="s">
        <v>43</v>
      </c>
      <c r="G244" s="27" t="s">
        <v>49</v>
      </c>
      <c r="H244" s="23" t="s">
        <v>36</v>
      </c>
      <c r="I244" s="24" t="s">
        <v>35</v>
      </c>
      <c r="J244" s="25" t="s">
        <v>6</v>
      </c>
      <c r="K244" s="26"/>
      <c r="L244" s="41"/>
      <c r="M244" s="41"/>
      <c r="N244" s="41"/>
      <c r="O244" s="37"/>
      <c r="P244" s="37"/>
      <c r="Q244" s="37"/>
      <c r="S244" s="32"/>
      <c r="T244" s="32"/>
      <c r="U244" s="32"/>
      <c r="V244" s="32"/>
      <c r="W244" s="32"/>
      <c r="X244" s="32"/>
      <c r="Y244" s="32"/>
      <c r="Z244" s="32"/>
      <c r="AA244" s="32"/>
    </row>
    <row r="245" spans="1:27" ht="30">
      <c r="A245" s="39"/>
      <c r="B245" s="40"/>
      <c r="C245" s="16" t="s">
        <v>51</v>
      </c>
      <c r="D245" s="36">
        <v>8</v>
      </c>
      <c r="E245" s="22" t="str">
        <f t="shared" si="152"/>
        <v>15:8</v>
      </c>
      <c r="F245" s="22" t="s">
        <v>43</v>
      </c>
      <c r="G245" s="27" t="s">
        <v>49</v>
      </c>
      <c r="H245" s="23" t="s">
        <v>36</v>
      </c>
      <c r="I245" s="24" t="s">
        <v>35</v>
      </c>
      <c r="J245" s="25" t="s">
        <v>6</v>
      </c>
      <c r="K245" s="26"/>
      <c r="L245" s="41"/>
      <c r="M245" s="41"/>
      <c r="N245" s="41"/>
      <c r="O245" s="37"/>
      <c r="P245" s="37"/>
      <c r="Q245" s="37"/>
      <c r="S245" s="32"/>
      <c r="T245" s="32"/>
      <c r="U245" s="32"/>
      <c r="V245" s="32"/>
      <c r="W245" s="32"/>
      <c r="X245" s="32"/>
      <c r="Y245" s="32"/>
      <c r="Z245" s="32"/>
      <c r="AA245" s="32"/>
    </row>
    <row r="246" spans="1:27" ht="30.75" thickBot="1">
      <c r="A246" s="39"/>
      <c r="B246" s="40"/>
      <c r="C246" s="16" t="s">
        <v>52</v>
      </c>
      <c r="D246" s="36">
        <v>8</v>
      </c>
      <c r="E246" s="22" t="str">
        <f t="shared" si="152"/>
        <v>7:0</v>
      </c>
      <c r="F246" s="22" t="s">
        <v>43</v>
      </c>
      <c r="G246" s="27" t="s">
        <v>49</v>
      </c>
      <c r="H246" s="23" t="s">
        <v>36</v>
      </c>
      <c r="I246" s="24" t="s">
        <v>35</v>
      </c>
      <c r="J246" s="25" t="s">
        <v>6</v>
      </c>
      <c r="K246" s="26"/>
      <c r="L246" s="41"/>
      <c r="M246" s="41"/>
      <c r="N246" s="41"/>
      <c r="O246" s="37"/>
      <c r="P246" s="37"/>
      <c r="Q246" s="37"/>
      <c r="S246" s="32"/>
      <c r="T246" s="32"/>
      <c r="U246" s="32"/>
      <c r="V246" s="32"/>
      <c r="W246" s="32"/>
      <c r="X246" s="32"/>
      <c r="Y246" s="32"/>
      <c r="Z246" s="32"/>
      <c r="AA246" s="32"/>
    </row>
    <row r="247" spans="1:27">
      <c r="A247" s="42" t="str">
        <f>AA247</f>
        <v>REFGEN_REG_QUAD1_SAR2_SLC0</v>
      </c>
      <c r="B247" s="43" t="str">
        <f>DEC2HEX(O247*4)</f>
        <v>0</v>
      </c>
      <c r="C247" s="44" t="str">
        <f>bitConcat(F248:F251)</f>
        <v>32'b00000000000000000000000000000000</v>
      </c>
      <c r="D247" s="44"/>
      <c r="E247" s="44"/>
      <c r="F247" s="44"/>
      <c r="G247" s="44"/>
      <c r="H247" s="44"/>
      <c r="I247" s="44"/>
      <c r="J247" s="44"/>
      <c r="K247" s="44"/>
      <c r="L247" s="45" t="str">
        <f t="shared" si="131"/>
        <v>24</v>
      </c>
      <c r="M247" s="45"/>
      <c r="N247" s="45">
        <f t="shared" ref="N247" si="153">S247</f>
        <v>0</v>
      </c>
      <c r="O247" s="38">
        <v>0</v>
      </c>
      <c r="P247" s="38" t="str">
        <f t="shared" ref="P247" si="154">DEC2HEX(HEX2DEC(Z247)*4)</f>
        <v>24</v>
      </c>
      <c r="Q247" s="38" t="str">
        <f>BIN2HEX(LEFT(RIGHT(C247,32),4))&amp;BIN2HEX(LEFT(RIGHT(C247,28),4))&amp;BIN2HEX(LEFT(RIGHT(C247,24),4))&amp;BIN2HEX(LEFT(RIGHT(C247,20),4))&amp;BIN2HEX(LEFT(RIGHT(C247,16),4))&amp;BIN2HEX(LEFT(RIGHT(C247,12),4))&amp;BIN2HEX(LEFT(RIGHT(C247,8),4))&amp;BIN2HEX(LEFT(RIGHT(C247,4),4))</f>
        <v>00000000</v>
      </c>
      <c r="S247" s="32">
        <v>0</v>
      </c>
      <c r="T247" s="32">
        <v>0</v>
      </c>
      <c r="U247" s="32">
        <v>0</v>
      </c>
      <c r="V247" s="32">
        <v>1</v>
      </c>
      <c r="W247" s="32">
        <v>0</v>
      </c>
      <c r="X247" s="32">
        <v>0</v>
      </c>
      <c r="Y247" s="32">
        <v>1</v>
      </c>
      <c r="Z247" s="32" t="str">
        <f t="shared" ref="Z247:Z357" si="155">BIN2HEX(S247&amp;T247&amp;U247&amp;V247&amp;W247&amp;X247&amp;Y247)</f>
        <v>9</v>
      </c>
      <c r="AA247" s="32" t="str">
        <f>CONCATENATE("REFGEN_REG_QUAD",BIN2DEC(X247&amp;Y247),"_SAR",BIN2DEC(V247&amp;W247),"_SLC",BIN2DEC(S247&amp;T247&amp;U247),)</f>
        <v>REFGEN_REG_QUAD1_SAR2_SLC0</v>
      </c>
    </row>
    <row r="248" spans="1:27" ht="30">
      <c r="A248" s="39"/>
      <c r="B248" s="40"/>
      <c r="C248" s="16" t="s">
        <v>48</v>
      </c>
      <c r="D248" s="36">
        <v>8</v>
      </c>
      <c r="E248" s="21" t="str">
        <f>IF(D248&gt;1,(31)&amp;":"&amp;(31-D248+1),(31-D248+1)&amp;":"&amp;(31-D248+1))</f>
        <v>31:24</v>
      </c>
      <c r="F248" s="22" t="s">
        <v>43</v>
      </c>
      <c r="G248" s="27" t="s">
        <v>49</v>
      </c>
      <c r="H248" s="23" t="s">
        <v>36</v>
      </c>
      <c r="I248" s="24" t="s">
        <v>35</v>
      </c>
      <c r="J248" s="25" t="s">
        <v>6</v>
      </c>
      <c r="K248" s="26"/>
      <c r="L248" s="41"/>
      <c r="M248" s="41"/>
      <c r="N248" s="41"/>
      <c r="O248" s="37"/>
      <c r="P248" s="37"/>
      <c r="Q248" s="37"/>
      <c r="S248" s="32"/>
      <c r="T248" s="32"/>
      <c r="U248" s="32"/>
      <c r="V248" s="32"/>
      <c r="W248" s="32"/>
      <c r="X248" s="32"/>
      <c r="Y248" s="32"/>
      <c r="Z248" s="32"/>
      <c r="AA248" s="32"/>
    </row>
    <row r="249" spans="1:27" ht="30">
      <c r="A249" s="39"/>
      <c r="B249" s="40"/>
      <c r="C249" s="16" t="s">
        <v>50</v>
      </c>
      <c r="D249" s="36">
        <v>8</v>
      </c>
      <c r="E249" s="22" t="str">
        <f t="shared" ref="E249:E251" si="156">(MID(str_cnvt(E248),SEARCH(":",str_cnvt(E248))+1,2)-1) &amp; ":" &amp; (MID(str_cnvt(E248),SEARCH(":",str_cnvt(E248))+1,2)-D249)</f>
        <v>23:16</v>
      </c>
      <c r="F249" s="22" t="s">
        <v>43</v>
      </c>
      <c r="G249" s="27" t="s">
        <v>49</v>
      </c>
      <c r="H249" s="23" t="s">
        <v>36</v>
      </c>
      <c r="I249" s="24" t="s">
        <v>35</v>
      </c>
      <c r="J249" s="25" t="s">
        <v>6</v>
      </c>
      <c r="K249" s="26"/>
      <c r="L249" s="41"/>
      <c r="M249" s="41"/>
      <c r="N249" s="41"/>
      <c r="O249" s="37"/>
      <c r="P249" s="37"/>
      <c r="Q249" s="37"/>
      <c r="S249" s="32"/>
      <c r="T249" s="32"/>
      <c r="U249" s="32"/>
      <c r="V249" s="32"/>
      <c r="W249" s="32"/>
      <c r="X249" s="32"/>
      <c r="Y249" s="32"/>
      <c r="Z249" s="32"/>
      <c r="AA249" s="32"/>
    </row>
    <row r="250" spans="1:27" ht="30">
      <c r="A250" s="39"/>
      <c r="B250" s="40"/>
      <c r="C250" s="16" t="s">
        <v>51</v>
      </c>
      <c r="D250" s="36">
        <v>8</v>
      </c>
      <c r="E250" s="22" t="str">
        <f t="shared" si="156"/>
        <v>15:8</v>
      </c>
      <c r="F250" s="22" t="s">
        <v>43</v>
      </c>
      <c r="G250" s="27" t="s">
        <v>49</v>
      </c>
      <c r="H250" s="23" t="s">
        <v>36</v>
      </c>
      <c r="I250" s="24" t="s">
        <v>35</v>
      </c>
      <c r="J250" s="25" t="s">
        <v>6</v>
      </c>
      <c r="K250" s="26"/>
      <c r="L250" s="41"/>
      <c r="M250" s="41"/>
      <c r="N250" s="41"/>
      <c r="O250" s="37"/>
      <c r="P250" s="37"/>
      <c r="Q250" s="37"/>
      <c r="S250" s="32"/>
      <c r="T250" s="32"/>
      <c r="U250" s="32"/>
      <c r="V250" s="32"/>
      <c r="W250" s="32"/>
      <c r="X250" s="32"/>
      <c r="Y250" s="32"/>
      <c r="Z250" s="32"/>
      <c r="AA250" s="32"/>
    </row>
    <row r="251" spans="1:27" ht="30.75" thickBot="1">
      <c r="A251" s="39"/>
      <c r="B251" s="40"/>
      <c r="C251" s="16" t="s">
        <v>52</v>
      </c>
      <c r="D251" s="36">
        <v>8</v>
      </c>
      <c r="E251" s="22" t="str">
        <f t="shared" si="156"/>
        <v>7:0</v>
      </c>
      <c r="F251" s="22" t="s">
        <v>43</v>
      </c>
      <c r="G251" s="27" t="s">
        <v>49</v>
      </c>
      <c r="H251" s="23" t="s">
        <v>36</v>
      </c>
      <c r="I251" s="24" t="s">
        <v>35</v>
      </c>
      <c r="J251" s="25" t="s">
        <v>6</v>
      </c>
      <c r="K251" s="26"/>
      <c r="L251" s="41"/>
      <c r="M251" s="41"/>
      <c r="N251" s="41"/>
      <c r="O251" s="37"/>
      <c r="P251" s="37"/>
      <c r="Q251" s="37"/>
      <c r="S251" s="32"/>
      <c r="T251" s="32"/>
      <c r="U251" s="32"/>
      <c r="V251" s="32"/>
      <c r="W251" s="32"/>
      <c r="X251" s="32"/>
      <c r="Y251" s="32"/>
      <c r="Z251" s="32"/>
      <c r="AA251" s="32"/>
    </row>
    <row r="252" spans="1:27">
      <c r="A252" s="42" t="str">
        <f>AA252</f>
        <v>REFGEN_REG_QUAD2_SAR2_SLC0</v>
      </c>
      <c r="B252" s="43" t="str">
        <f>DEC2HEX(O252*4)</f>
        <v>0</v>
      </c>
      <c r="C252" s="44" t="str">
        <f>bitConcat(F253:F256)</f>
        <v>32'b00000000000000000000000000000000</v>
      </c>
      <c r="D252" s="44"/>
      <c r="E252" s="44"/>
      <c r="F252" s="44"/>
      <c r="G252" s="44"/>
      <c r="H252" s="44"/>
      <c r="I252" s="44"/>
      <c r="J252" s="44"/>
      <c r="K252" s="44"/>
      <c r="L252" s="45" t="str">
        <f t="shared" si="131"/>
        <v>28</v>
      </c>
      <c r="M252" s="45"/>
      <c r="N252" s="45">
        <f t="shared" ref="N252" si="157">S252</f>
        <v>0</v>
      </c>
      <c r="O252" s="38">
        <v>0</v>
      </c>
      <c r="P252" s="38" t="str">
        <f t="shared" ref="P252" si="158">DEC2HEX(HEX2DEC(Z252)*4)</f>
        <v>28</v>
      </c>
      <c r="Q252" s="38" t="str">
        <f>BIN2HEX(LEFT(RIGHT(C252,32),4))&amp;BIN2HEX(LEFT(RIGHT(C252,28),4))&amp;BIN2HEX(LEFT(RIGHT(C252,24),4))&amp;BIN2HEX(LEFT(RIGHT(C252,20),4))&amp;BIN2HEX(LEFT(RIGHT(C252,16),4))&amp;BIN2HEX(LEFT(RIGHT(C252,12),4))&amp;BIN2HEX(LEFT(RIGHT(C252,8),4))&amp;BIN2HEX(LEFT(RIGHT(C252,4),4))</f>
        <v>00000000</v>
      </c>
      <c r="S252" s="32">
        <v>0</v>
      </c>
      <c r="T252" s="32">
        <v>0</v>
      </c>
      <c r="U252" s="32">
        <v>0</v>
      </c>
      <c r="V252" s="32">
        <v>1</v>
      </c>
      <c r="W252" s="32">
        <v>0</v>
      </c>
      <c r="X252" s="32">
        <v>1</v>
      </c>
      <c r="Y252" s="32">
        <v>0</v>
      </c>
      <c r="Z252" s="32" t="str">
        <f t="shared" si="155"/>
        <v>A</v>
      </c>
      <c r="AA252" s="32" t="str">
        <f>CONCATENATE("REFGEN_REG_QUAD",BIN2DEC(X252&amp;Y252),"_SAR",BIN2DEC(V252&amp;W252),"_SLC",BIN2DEC(S252&amp;T252&amp;U252),)</f>
        <v>REFGEN_REG_QUAD2_SAR2_SLC0</v>
      </c>
    </row>
    <row r="253" spans="1:27" ht="30">
      <c r="A253" s="39"/>
      <c r="B253" s="40"/>
      <c r="C253" s="16" t="s">
        <v>48</v>
      </c>
      <c r="D253" s="36">
        <v>8</v>
      </c>
      <c r="E253" s="21" t="str">
        <f>IF(D253&gt;1,(31)&amp;":"&amp;(31-D253+1),(31-D253+1)&amp;":"&amp;(31-D253+1))</f>
        <v>31:24</v>
      </c>
      <c r="F253" s="22" t="s">
        <v>43</v>
      </c>
      <c r="G253" s="27" t="s">
        <v>49</v>
      </c>
      <c r="H253" s="23" t="s">
        <v>36</v>
      </c>
      <c r="I253" s="24" t="s">
        <v>35</v>
      </c>
      <c r="J253" s="25" t="s">
        <v>6</v>
      </c>
      <c r="K253" s="26"/>
      <c r="L253" s="41"/>
      <c r="M253" s="41"/>
      <c r="N253" s="41"/>
      <c r="O253" s="37"/>
      <c r="P253" s="37"/>
      <c r="Q253" s="37"/>
      <c r="S253" s="32"/>
      <c r="T253" s="32"/>
      <c r="U253" s="32"/>
      <c r="V253" s="32"/>
      <c r="W253" s="32"/>
      <c r="X253" s="32"/>
      <c r="Y253" s="32"/>
      <c r="Z253" s="32"/>
      <c r="AA253" s="32"/>
    </row>
    <row r="254" spans="1:27" ht="30">
      <c r="A254" s="39"/>
      <c r="B254" s="40"/>
      <c r="C254" s="16" t="s">
        <v>50</v>
      </c>
      <c r="D254" s="36">
        <v>8</v>
      </c>
      <c r="E254" s="22" t="str">
        <f t="shared" ref="E254:E256" si="159">(MID(str_cnvt(E253),SEARCH(":",str_cnvt(E253))+1,2)-1) &amp; ":" &amp; (MID(str_cnvt(E253),SEARCH(":",str_cnvt(E253))+1,2)-D254)</f>
        <v>23:16</v>
      </c>
      <c r="F254" s="22" t="s">
        <v>43</v>
      </c>
      <c r="G254" s="27" t="s">
        <v>49</v>
      </c>
      <c r="H254" s="23" t="s">
        <v>36</v>
      </c>
      <c r="I254" s="24" t="s">
        <v>35</v>
      </c>
      <c r="J254" s="25" t="s">
        <v>6</v>
      </c>
      <c r="K254" s="26"/>
      <c r="L254" s="41"/>
      <c r="M254" s="41"/>
      <c r="N254" s="41"/>
      <c r="O254" s="37"/>
      <c r="P254" s="37"/>
      <c r="Q254" s="37"/>
      <c r="S254" s="32"/>
      <c r="T254" s="32"/>
      <c r="U254" s="32"/>
      <c r="V254" s="32"/>
      <c r="W254" s="32"/>
      <c r="X254" s="32"/>
      <c r="Y254" s="32"/>
      <c r="Z254" s="32"/>
      <c r="AA254" s="32"/>
    </row>
    <row r="255" spans="1:27" ht="30">
      <c r="A255" s="39"/>
      <c r="B255" s="40"/>
      <c r="C255" s="16" t="s">
        <v>51</v>
      </c>
      <c r="D255" s="36">
        <v>8</v>
      </c>
      <c r="E255" s="22" t="str">
        <f t="shared" si="159"/>
        <v>15:8</v>
      </c>
      <c r="F255" s="22" t="s">
        <v>43</v>
      </c>
      <c r="G255" s="27" t="s">
        <v>49</v>
      </c>
      <c r="H255" s="23" t="s">
        <v>36</v>
      </c>
      <c r="I255" s="24" t="s">
        <v>35</v>
      </c>
      <c r="J255" s="25" t="s">
        <v>6</v>
      </c>
      <c r="K255" s="26"/>
      <c r="L255" s="41"/>
      <c r="M255" s="41"/>
      <c r="N255" s="41"/>
      <c r="O255" s="37"/>
      <c r="P255" s="37"/>
      <c r="Q255" s="37"/>
      <c r="S255" s="32"/>
      <c r="T255" s="32"/>
      <c r="U255" s="32"/>
      <c r="V255" s="32"/>
      <c r="W255" s="32"/>
      <c r="X255" s="32"/>
      <c r="Y255" s="32"/>
      <c r="Z255" s="32"/>
      <c r="AA255" s="32"/>
    </row>
    <row r="256" spans="1:27" ht="30.75" thickBot="1">
      <c r="A256" s="39"/>
      <c r="B256" s="40"/>
      <c r="C256" s="16" t="s">
        <v>52</v>
      </c>
      <c r="D256" s="36">
        <v>8</v>
      </c>
      <c r="E256" s="22" t="str">
        <f t="shared" si="159"/>
        <v>7:0</v>
      </c>
      <c r="F256" s="22" t="s">
        <v>43</v>
      </c>
      <c r="G256" s="27" t="s">
        <v>49</v>
      </c>
      <c r="H256" s="23" t="s">
        <v>36</v>
      </c>
      <c r="I256" s="24" t="s">
        <v>35</v>
      </c>
      <c r="J256" s="25" t="s">
        <v>6</v>
      </c>
      <c r="K256" s="26"/>
      <c r="L256" s="41"/>
      <c r="M256" s="41"/>
      <c r="N256" s="41"/>
      <c r="O256" s="37"/>
      <c r="P256" s="37"/>
      <c r="Q256" s="37"/>
      <c r="S256" s="32"/>
      <c r="T256" s="32"/>
      <c r="U256" s="32"/>
      <c r="V256" s="32"/>
      <c r="W256" s="32"/>
      <c r="X256" s="32"/>
      <c r="Y256" s="32"/>
      <c r="Z256" s="32"/>
      <c r="AA256" s="32"/>
    </row>
    <row r="257" spans="1:27">
      <c r="A257" s="42" t="str">
        <f>AA257</f>
        <v>REFGEN_REG_QUAD3_SAR2_SLC0</v>
      </c>
      <c r="B257" s="43" t="str">
        <f>DEC2HEX(O257*4)</f>
        <v>0</v>
      </c>
      <c r="C257" s="44" t="str">
        <f>bitConcat(F258:F261)</f>
        <v>32'b00000000000000000000000000000000</v>
      </c>
      <c r="D257" s="44"/>
      <c r="E257" s="44"/>
      <c r="F257" s="44"/>
      <c r="G257" s="44"/>
      <c r="H257" s="44"/>
      <c r="I257" s="44"/>
      <c r="J257" s="44"/>
      <c r="K257" s="44"/>
      <c r="L257" s="45" t="str">
        <f t="shared" si="131"/>
        <v>2C</v>
      </c>
      <c r="M257" s="45"/>
      <c r="N257" s="45">
        <f t="shared" ref="N257" si="160">S257</f>
        <v>0</v>
      </c>
      <c r="O257" s="38">
        <v>0</v>
      </c>
      <c r="P257" s="38" t="str">
        <f t="shared" ref="P257" si="161">DEC2HEX(HEX2DEC(Z257)*4)</f>
        <v>2C</v>
      </c>
      <c r="Q257" s="38" t="str">
        <f>BIN2HEX(LEFT(RIGHT(C257,32),4))&amp;BIN2HEX(LEFT(RIGHT(C257,28),4))&amp;BIN2HEX(LEFT(RIGHT(C257,24),4))&amp;BIN2HEX(LEFT(RIGHT(C257,20),4))&amp;BIN2HEX(LEFT(RIGHT(C257,16),4))&amp;BIN2HEX(LEFT(RIGHT(C257,12),4))&amp;BIN2HEX(LEFT(RIGHT(C257,8),4))&amp;BIN2HEX(LEFT(RIGHT(C257,4),4))</f>
        <v>00000000</v>
      </c>
      <c r="S257" s="32">
        <v>0</v>
      </c>
      <c r="T257" s="32">
        <v>0</v>
      </c>
      <c r="U257" s="32">
        <v>0</v>
      </c>
      <c r="V257" s="32">
        <v>1</v>
      </c>
      <c r="W257" s="32">
        <v>0</v>
      </c>
      <c r="X257" s="32">
        <v>1</v>
      </c>
      <c r="Y257" s="32">
        <v>1</v>
      </c>
      <c r="Z257" s="32" t="str">
        <f t="shared" si="155"/>
        <v>B</v>
      </c>
      <c r="AA257" s="32" t="str">
        <f>CONCATENATE("REFGEN_REG_QUAD",BIN2DEC(X257&amp;Y257),"_SAR",BIN2DEC(V257&amp;W257),"_SLC",BIN2DEC(S257&amp;T257&amp;U257),)</f>
        <v>REFGEN_REG_QUAD3_SAR2_SLC0</v>
      </c>
    </row>
    <row r="258" spans="1:27" ht="30">
      <c r="A258" s="39"/>
      <c r="B258" s="40"/>
      <c r="C258" s="16" t="s">
        <v>48</v>
      </c>
      <c r="D258" s="36">
        <v>8</v>
      </c>
      <c r="E258" s="21" t="str">
        <f>IF(D258&gt;1,(31)&amp;":"&amp;(31-D258+1),(31-D258+1)&amp;":"&amp;(31-D258+1))</f>
        <v>31:24</v>
      </c>
      <c r="F258" s="22" t="s">
        <v>43</v>
      </c>
      <c r="G258" s="27" t="s">
        <v>49</v>
      </c>
      <c r="H258" s="23" t="s">
        <v>36</v>
      </c>
      <c r="I258" s="24" t="s">
        <v>35</v>
      </c>
      <c r="J258" s="25" t="s">
        <v>6</v>
      </c>
      <c r="K258" s="26"/>
      <c r="L258" s="41"/>
      <c r="M258" s="41"/>
      <c r="N258" s="41"/>
      <c r="O258" s="37"/>
      <c r="P258" s="37"/>
      <c r="Q258" s="37"/>
      <c r="S258" s="32"/>
      <c r="T258" s="32"/>
      <c r="U258" s="32"/>
      <c r="V258" s="32"/>
      <c r="W258" s="32"/>
      <c r="X258" s="32"/>
      <c r="Y258" s="32"/>
      <c r="Z258" s="32"/>
      <c r="AA258" s="32"/>
    </row>
    <row r="259" spans="1:27" ht="30">
      <c r="A259" s="39"/>
      <c r="B259" s="40"/>
      <c r="C259" s="16" t="s">
        <v>50</v>
      </c>
      <c r="D259" s="36">
        <v>8</v>
      </c>
      <c r="E259" s="22" t="str">
        <f t="shared" ref="E259:E261" si="162">(MID(str_cnvt(E258),SEARCH(":",str_cnvt(E258))+1,2)-1) &amp; ":" &amp; (MID(str_cnvt(E258),SEARCH(":",str_cnvt(E258))+1,2)-D259)</f>
        <v>23:16</v>
      </c>
      <c r="F259" s="22" t="s">
        <v>43</v>
      </c>
      <c r="G259" s="27" t="s">
        <v>49</v>
      </c>
      <c r="H259" s="23" t="s">
        <v>36</v>
      </c>
      <c r="I259" s="24" t="s">
        <v>35</v>
      </c>
      <c r="J259" s="25" t="s">
        <v>6</v>
      </c>
      <c r="K259" s="26"/>
      <c r="L259" s="41"/>
      <c r="M259" s="41"/>
      <c r="N259" s="41"/>
      <c r="O259" s="37"/>
      <c r="P259" s="37"/>
      <c r="Q259" s="37"/>
      <c r="S259" s="32"/>
      <c r="T259" s="32"/>
      <c r="U259" s="32"/>
      <c r="V259" s="32"/>
      <c r="W259" s="32"/>
      <c r="X259" s="32"/>
      <c r="Y259" s="32"/>
      <c r="Z259" s="32"/>
      <c r="AA259" s="32"/>
    </row>
    <row r="260" spans="1:27" ht="30">
      <c r="A260" s="39"/>
      <c r="B260" s="40"/>
      <c r="C260" s="16" t="s">
        <v>51</v>
      </c>
      <c r="D260" s="36">
        <v>8</v>
      </c>
      <c r="E260" s="22" t="str">
        <f t="shared" si="162"/>
        <v>15:8</v>
      </c>
      <c r="F260" s="22" t="s">
        <v>43</v>
      </c>
      <c r="G260" s="27" t="s">
        <v>49</v>
      </c>
      <c r="H260" s="23" t="s">
        <v>36</v>
      </c>
      <c r="I260" s="24" t="s">
        <v>35</v>
      </c>
      <c r="J260" s="25" t="s">
        <v>6</v>
      </c>
      <c r="K260" s="26"/>
      <c r="L260" s="41"/>
      <c r="M260" s="41"/>
      <c r="N260" s="41"/>
      <c r="O260" s="37"/>
      <c r="P260" s="37"/>
      <c r="Q260" s="37"/>
      <c r="S260" s="32"/>
      <c r="T260" s="32"/>
      <c r="U260" s="32"/>
      <c r="V260" s="32"/>
      <c r="W260" s="32"/>
      <c r="X260" s="32"/>
      <c r="Y260" s="32"/>
      <c r="Z260" s="32"/>
      <c r="AA260" s="32"/>
    </row>
    <row r="261" spans="1:27" ht="30.75" thickBot="1">
      <c r="A261" s="39"/>
      <c r="B261" s="40"/>
      <c r="C261" s="16" t="s">
        <v>52</v>
      </c>
      <c r="D261" s="36">
        <v>8</v>
      </c>
      <c r="E261" s="22" t="str">
        <f t="shared" si="162"/>
        <v>7:0</v>
      </c>
      <c r="F261" s="22" t="s">
        <v>43</v>
      </c>
      <c r="G261" s="27" t="s">
        <v>49</v>
      </c>
      <c r="H261" s="23" t="s">
        <v>36</v>
      </c>
      <c r="I261" s="24" t="s">
        <v>35</v>
      </c>
      <c r="J261" s="25" t="s">
        <v>6</v>
      </c>
      <c r="K261" s="26"/>
      <c r="L261" s="41"/>
      <c r="M261" s="41"/>
      <c r="N261" s="41"/>
      <c r="O261" s="37"/>
      <c r="P261" s="37"/>
      <c r="Q261" s="37"/>
      <c r="S261" s="32"/>
      <c r="T261" s="32"/>
      <c r="U261" s="32"/>
      <c r="V261" s="32"/>
      <c r="W261" s="32"/>
      <c r="X261" s="32"/>
      <c r="Y261" s="32"/>
      <c r="Z261" s="32"/>
      <c r="AA261" s="32"/>
    </row>
    <row r="262" spans="1:27">
      <c r="A262" s="42" t="str">
        <f>AA262</f>
        <v>REFGEN_REG_QUAD0_SAR2_SLC1</v>
      </c>
      <c r="B262" s="43" t="str">
        <f>DEC2HEX(O262*4)</f>
        <v>0</v>
      </c>
      <c r="C262" s="44" t="str">
        <f>bitConcat(F263:F266)</f>
        <v>32'b00000000000000000000000000000000</v>
      </c>
      <c r="D262" s="44"/>
      <c r="E262" s="44"/>
      <c r="F262" s="44"/>
      <c r="G262" s="44"/>
      <c r="H262" s="44"/>
      <c r="I262" s="44"/>
      <c r="J262" s="44"/>
      <c r="K262" s="44"/>
      <c r="L262" s="45" t="str">
        <f t="shared" si="131"/>
        <v>60</v>
      </c>
      <c r="M262" s="45"/>
      <c r="N262" s="45">
        <f t="shared" ref="N262" si="163">S262</f>
        <v>0</v>
      </c>
      <c r="O262" s="38">
        <v>0</v>
      </c>
      <c r="P262" s="38" t="str">
        <f t="shared" ref="P262" si="164">DEC2HEX(HEX2DEC(Z262)*4)</f>
        <v>60</v>
      </c>
      <c r="Q262" s="38" t="str">
        <f>BIN2HEX(LEFT(RIGHT(C262,32),4))&amp;BIN2HEX(LEFT(RIGHT(C262,28),4))&amp;BIN2HEX(LEFT(RIGHT(C262,24),4))&amp;BIN2HEX(LEFT(RIGHT(C262,20),4))&amp;BIN2HEX(LEFT(RIGHT(C262,16),4))&amp;BIN2HEX(LEFT(RIGHT(C262,12),4))&amp;BIN2HEX(LEFT(RIGHT(C262,8),4))&amp;BIN2HEX(LEFT(RIGHT(C262,4),4))</f>
        <v>00000000</v>
      </c>
      <c r="S262" s="32">
        <v>0</v>
      </c>
      <c r="T262" s="32">
        <v>0</v>
      </c>
      <c r="U262" s="32">
        <v>1</v>
      </c>
      <c r="V262" s="32">
        <v>1</v>
      </c>
      <c r="W262" s="32">
        <v>0</v>
      </c>
      <c r="X262" s="32">
        <v>0</v>
      </c>
      <c r="Y262" s="32">
        <v>0</v>
      </c>
      <c r="Z262" s="32" t="str">
        <f t="shared" si="155"/>
        <v>18</v>
      </c>
      <c r="AA262" s="32" t="str">
        <f>CONCATENATE("REFGEN_REG_QUAD",BIN2DEC(X262&amp;Y262),"_SAR",BIN2DEC(V262&amp;W262),"_SLC",BIN2DEC(S262&amp;T262&amp;U262),)</f>
        <v>REFGEN_REG_QUAD0_SAR2_SLC1</v>
      </c>
    </row>
    <row r="263" spans="1:27" ht="30">
      <c r="A263" s="39"/>
      <c r="B263" s="40"/>
      <c r="C263" s="16" t="s">
        <v>48</v>
      </c>
      <c r="D263" s="36">
        <v>8</v>
      </c>
      <c r="E263" s="21" t="str">
        <f>IF(D263&gt;1,(31)&amp;":"&amp;(31-D263+1),(31-D263+1)&amp;":"&amp;(31-D263+1))</f>
        <v>31:24</v>
      </c>
      <c r="F263" s="22" t="s">
        <v>43</v>
      </c>
      <c r="G263" s="27" t="s">
        <v>49</v>
      </c>
      <c r="H263" s="23" t="s">
        <v>36</v>
      </c>
      <c r="I263" s="24" t="s">
        <v>35</v>
      </c>
      <c r="J263" s="25" t="s">
        <v>6</v>
      </c>
      <c r="K263" s="26"/>
      <c r="L263" s="41"/>
      <c r="M263" s="41"/>
      <c r="N263" s="41"/>
      <c r="O263" s="37"/>
      <c r="P263" s="37"/>
      <c r="Q263" s="37"/>
      <c r="S263" s="32"/>
      <c r="T263" s="32"/>
      <c r="U263" s="32"/>
      <c r="V263" s="32"/>
      <c r="W263" s="32"/>
      <c r="X263" s="32"/>
      <c r="Y263" s="32"/>
      <c r="Z263" s="32"/>
      <c r="AA263" s="32"/>
    </row>
    <row r="264" spans="1:27" ht="30">
      <c r="A264" s="39"/>
      <c r="B264" s="40"/>
      <c r="C264" s="16" t="s">
        <v>50</v>
      </c>
      <c r="D264" s="36">
        <v>8</v>
      </c>
      <c r="E264" s="22" t="str">
        <f t="shared" ref="E264:E266" si="165">(MID(str_cnvt(E263),SEARCH(":",str_cnvt(E263))+1,2)-1) &amp; ":" &amp; (MID(str_cnvt(E263),SEARCH(":",str_cnvt(E263))+1,2)-D264)</f>
        <v>23:16</v>
      </c>
      <c r="F264" s="22" t="s">
        <v>43</v>
      </c>
      <c r="G264" s="27" t="s">
        <v>49</v>
      </c>
      <c r="H264" s="23" t="s">
        <v>36</v>
      </c>
      <c r="I264" s="24" t="s">
        <v>35</v>
      </c>
      <c r="J264" s="25" t="s">
        <v>6</v>
      </c>
      <c r="K264" s="26"/>
      <c r="L264" s="41"/>
      <c r="M264" s="41"/>
      <c r="N264" s="41"/>
      <c r="O264" s="37"/>
      <c r="P264" s="37"/>
      <c r="Q264" s="37"/>
      <c r="S264" s="32"/>
      <c r="T264" s="32"/>
      <c r="U264" s="32"/>
      <c r="V264" s="32"/>
      <c r="W264" s="32"/>
      <c r="X264" s="32"/>
      <c r="Y264" s="32"/>
      <c r="Z264" s="32"/>
      <c r="AA264" s="32"/>
    </row>
    <row r="265" spans="1:27" ht="30">
      <c r="A265" s="39"/>
      <c r="B265" s="40"/>
      <c r="C265" s="16" t="s">
        <v>51</v>
      </c>
      <c r="D265" s="36">
        <v>8</v>
      </c>
      <c r="E265" s="22" t="str">
        <f t="shared" si="165"/>
        <v>15:8</v>
      </c>
      <c r="F265" s="22" t="s">
        <v>43</v>
      </c>
      <c r="G265" s="27" t="s">
        <v>49</v>
      </c>
      <c r="H265" s="23" t="s">
        <v>36</v>
      </c>
      <c r="I265" s="24" t="s">
        <v>35</v>
      </c>
      <c r="J265" s="25" t="s">
        <v>6</v>
      </c>
      <c r="K265" s="26"/>
      <c r="L265" s="41"/>
      <c r="M265" s="41"/>
      <c r="N265" s="41"/>
      <c r="O265" s="37"/>
      <c r="P265" s="37"/>
      <c r="Q265" s="37"/>
      <c r="S265" s="32"/>
      <c r="T265" s="32"/>
      <c r="U265" s="32"/>
      <c r="V265" s="32"/>
      <c r="W265" s="32"/>
      <c r="X265" s="32"/>
      <c r="Y265" s="32"/>
      <c r="Z265" s="32"/>
      <c r="AA265" s="32"/>
    </row>
    <row r="266" spans="1:27" ht="30.75" thickBot="1">
      <c r="A266" s="39"/>
      <c r="B266" s="40"/>
      <c r="C266" s="16" t="s">
        <v>52</v>
      </c>
      <c r="D266" s="36">
        <v>8</v>
      </c>
      <c r="E266" s="22" t="str">
        <f t="shared" si="165"/>
        <v>7:0</v>
      </c>
      <c r="F266" s="22" t="s">
        <v>43</v>
      </c>
      <c r="G266" s="27" t="s">
        <v>49</v>
      </c>
      <c r="H266" s="23" t="s">
        <v>36</v>
      </c>
      <c r="I266" s="24" t="s">
        <v>35</v>
      </c>
      <c r="J266" s="25" t="s">
        <v>6</v>
      </c>
      <c r="K266" s="26"/>
      <c r="L266" s="41"/>
      <c r="M266" s="41"/>
      <c r="N266" s="41"/>
      <c r="O266" s="37"/>
      <c r="P266" s="37"/>
      <c r="Q266" s="37"/>
      <c r="S266" s="32"/>
      <c r="T266" s="32"/>
      <c r="U266" s="32"/>
      <c r="V266" s="32"/>
      <c r="W266" s="32"/>
      <c r="X266" s="32"/>
      <c r="Y266" s="32"/>
      <c r="Z266" s="32"/>
      <c r="AA266" s="32"/>
    </row>
    <row r="267" spans="1:27">
      <c r="A267" s="42" t="str">
        <f>AA267</f>
        <v>REFGEN_REG_QUAD1_SAR2_SLC1</v>
      </c>
      <c r="B267" s="43" t="str">
        <f>DEC2HEX(O267*4)</f>
        <v>0</v>
      </c>
      <c r="C267" s="44" t="str">
        <f>bitConcat(F268:F271)</f>
        <v>32'b00000000000000000000000000000000</v>
      </c>
      <c r="D267" s="44"/>
      <c r="E267" s="44"/>
      <c r="F267" s="44"/>
      <c r="G267" s="44"/>
      <c r="H267" s="44"/>
      <c r="I267" s="44"/>
      <c r="J267" s="44"/>
      <c r="K267" s="44"/>
      <c r="L267" s="45" t="str">
        <f t="shared" si="131"/>
        <v>64</v>
      </c>
      <c r="M267" s="45"/>
      <c r="N267" s="45">
        <f t="shared" ref="N267" si="166">S267</f>
        <v>0</v>
      </c>
      <c r="O267" s="38">
        <v>0</v>
      </c>
      <c r="P267" s="38" t="str">
        <f t="shared" ref="P267" si="167">DEC2HEX(HEX2DEC(Z267)*4)</f>
        <v>64</v>
      </c>
      <c r="Q267" s="38" t="str">
        <f>BIN2HEX(LEFT(RIGHT(C267,32),4))&amp;BIN2HEX(LEFT(RIGHT(C267,28),4))&amp;BIN2HEX(LEFT(RIGHT(C267,24),4))&amp;BIN2HEX(LEFT(RIGHT(C267,20),4))&amp;BIN2HEX(LEFT(RIGHT(C267,16),4))&amp;BIN2HEX(LEFT(RIGHT(C267,12),4))&amp;BIN2HEX(LEFT(RIGHT(C267,8),4))&amp;BIN2HEX(LEFT(RIGHT(C267,4),4))</f>
        <v>00000000</v>
      </c>
      <c r="S267" s="32">
        <v>0</v>
      </c>
      <c r="T267" s="32">
        <v>0</v>
      </c>
      <c r="U267" s="32">
        <v>1</v>
      </c>
      <c r="V267" s="32">
        <v>1</v>
      </c>
      <c r="W267" s="32">
        <v>0</v>
      </c>
      <c r="X267" s="32">
        <v>0</v>
      </c>
      <c r="Y267" s="32">
        <v>1</v>
      </c>
      <c r="Z267" s="32" t="str">
        <f t="shared" si="155"/>
        <v>19</v>
      </c>
      <c r="AA267" s="32" t="str">
        <f>CONCATENATE("REFGEN_REG_QUAD",BIN2DEC(X267&amp;Y267),"_SAR",BIN2DEC(V267&amp;W267),"_SLC",BIN2DEC(S267&amp;T267&amp;U267),)</f>
        <v>REFGEN_REG_QUAD1_SAR2_SLC1</v>
      </c>
    </row>
    <row r="268" spans="1:27" ht="30">
      <c r="A268" s="39"/>
      <c r="B268" s="40"/>
      <c r="C268" s="16" t="s">
        <v>48</v>
      </c>
      <c r="D268" s="36">
        <v>8</v>
      </c>
      <c r="E268" s="21" t="str">
        <f>IF(D268&gt;1,(31)&amp;":"&amp;(31-D268+1),(31-D268+1)&amp;":"&amp;(31-D268+1))</f>
        <v>31:24</v>
      </c>
      <c r="F268" s="22" t="s">
        <v>43</v>
      </c>
      <c r="G268" s="27" t="s">
        <v>49</v>
      </c>
      <c r="H268" s="23" t="s">
        <v>36</v>
      </c>
      <c r="I268" s="24" t="s">
        <v>35</v>
      </c>
      <c r="J268" s="25" t="s">
        <v>6</v>
      </c>
      <c r="K268" s="26"/>
      <c r="L268" s="41"/>
      <c r="M268" s="41"/>
      <c r="N268" s="41"/>
      <c r="O268" s="37"/>
      <c r="P268" s="37"/>
      <c r="Q268" s="37"/>
      <c r="S268" s="32"/>
      <c r="T268" s="32"/>
      <c r="U268" s="32"/>
      <c r="V268" s="32"/>
      <c r="W268" s="32"/>
      <c r="X268" s="32"/>
      <c r="Y268" s="32"/>
      <c r="Z268" s="32"/>
      <c r="AA268" s="32"/>
    </row>
    <row r="269" spans="1:27" ht="30">
      <c r="A269" s="39"/>
      <c r="B269" s="40"/>
      <c r="C269" s="16" t="s">
        <v>50</v>
      </c>
      <c r="D269" s="36">
        <v>8</v>
      </c>
      <c r="E269" s="22" t="str">
        <f t="shared" ref="E269:E271" si="168">(MID(str_cnvt(E268),SEARCH(":",str_cnvt(E268))+1,2)-1) &amp; ":" &amp; (MID(str_cnvt(E268),SEARCH(":",str_cnvt(E268))+1,2)-D269)</f>
        <v>23:16</v>
      </c>
      <c r="F269" s="22" t="s">
        <v>43</v>
      </c>
      <c r="G269" s="27" t="s">
        <v>49</v>
      </c>
      <c r="H269" s="23" t="s">
        <v>36</v>
      </c>
      <c r="I269" s="24" t="s">
        <v>35</v>
      </c>
      <c r="J269" s="25" t="s">
        <v>6</v>
      </c>
      <c r="K269" s="26"/>
      <c r="L269" s="41"/>
      <c r="M269" s="41"/>
      <c r="N269" s="41"/>
      <c r="O269" s="37"/>
      <c r="P269" s="37"/>
      <c r="Q269" s="37"/>
      <c r="S269" s="32"/>
      <c r="T269" s="32"/>
      <c r="U269" s="32"/>
      <c r="V269" s="32"/>
      <c r="W269" s="32"/>
      <c r="X269" s="32"/>
      <c r="Y269" s="32"/>
      <c r="Z269" s="32"/>
      <c r="AA269" s="32"/>
    </row>
    <row r="270" spans="1:27" ht="30">
      <c r="A270" s="39"/>
      <c r="B270" s="40"/>
      <c r="C270" s="16" t="s">
        <v>51</v>
      </c>
      <c r="D270" s="36">
        <v>8</v>
      </c>
      <c r="E270" s="22" t="str">
        <f t="shared" si="168"/>
        <v>15:8</v>
      </c>
      <c r="F270" s="22" t="s">
        <v>43</v>
      </c>
      <c r="G270" s="27" t="s">
        <v>49</v>
      </c>
      <c r="H270" s="23" t="s">
        <v>36</v>
      </c>
      <c r="I270" s="24" t="s">
        <v>35</v>
      </c>
      <c r="J270" s="25" t="s">
        <v>6</v>
      </c>
      <c r="K270" s="26"/>
      <c r="L270" s="41"/>
      <c r="M270" s="41"/>
      <c r="N270" s="41"/>
      <c r="O270" s="37"/>
      <c r="P270" s="37"/>
      <c r="Q270" s="37"/>
      <c r="S270" s="32"/>
      <c r="T270" s="32"/>
      <c r="U270" s="32"/>
      <c r="V270" s="32"/>
      <c r="W270" s="32"/>
      <c r="X270" s="32"/>
      <c r="Y270" s="32"/>
      <c r="Z270" s="32"/>
      <c r="AA270" s="32"/>
    </row>
    <row r="271" spans="1:27" ht="30.75" thickBot="1">
      <c r="A271" s="39"/>
      <c r="B271" s="40"/>
      <c r="C271" s="16" t="s">
        <v>52</v>
      </c>
      <c r="D271" s="36">
        <v>8</v>
      </c>
      <c r="E271" s="22" t="str">
        <f t="shared" si="168"/>
        <v>7:0</v>
      </c>
      <c r="F271" s="22" t="s">
        <v>43</v>
      </c>
      <c r="G271" s="27" t="s">
        <v>49</v>
      </c>
      <c r="H271" s="23" t="s">
        <v>36</v>
      </c>
      <c r="I271" s="24" t="s">
        <v>35</v>
      </c>
      <c r="J271" s="25" t="s">
        <v>6</v>
      </c>
      <c r="K271" s="26"/>
      <c r="L271" s="41"/>
      <c r="M271" s="41"/>
      <c r="N271" s="41"/>
      <c r="O271" s="37"/>
      <c r="P271" s="37"/>
      <c r="Q271" s="37"/>
      <c r="S271" s="32"/>
      <c r="T271" s="32"/>
      <c r="U271" s="32"/>
      <c r="V271" s="32"/>
      <c r="W271" s="32"/>
      <c r="X271" s="32"/>
      <c r="Y271" s="32"/>
      <c r="Z271" s="32"/>
      <c r="AA271" s="32"/>
    </row>
    <row r="272" spans="1:27">
      <c r="A272" s="42" t="str">
        <f>AA272</f>
        <v>REFGEN_REG_QUAD2_SAR2_SLC1</v>
      </c>
      <c r="B272" s="43" t="str">
        <f>DEC2HEX(O272*4)</f>
        <v>0</v>
      </c>
      <c r="C272" s="44" t="str">
        <f>bitConcat(F273:F276)</f>
        <v>32'b00000000000000000000000000000000</v>
      </c>
      <c r="D272" s="44"/>
      <c r="E272" s="44"/>
      <c r="F272" s="44"/>
      <c r="G272" s="44"/>
      <c r="H272" s="44"/>
      <c r="I272" s="44"/>
      <c r="J272" s="44"/>
      <c r="K272" s="44"/>
      <c r="L272" s="45" t="str">
        <f t="shared" si="131"/>
        <v>68</v>
      </c>
      <c r="M272" s="45"/>
      <c r="N272" s="45">
        <f t="shared" ref="N272" si="169">S272</f>
        <v>0</v>
      </c>
      <c r="O272" s="38">
        <v>0</v>
      </c>
      <c r="P272" s="38" t="str">
        <f t="shared" ref="P272" si="170">DEC2HEX(HEX2DEC(Z272)*4)</f>
        <v>68</v>
      </c>
      <c r="Q272" s="38" t="str">
        <f>BIN2HEX(LEFT(RIGHT(C272,32),4))&amp;BIN2HEX(LEFT(RIGHT(C272,28),4))&amp;BIN2HEX(LEFT(RIGHT(C272,24),4))&amp;BIN2HEX(LEFT(RIGHT(C272,20),4))&amp;BIN2HEX(LEFT(RIGHT(C272,16),4))&amp;BIN2HEX(LEFT(RIGHT(C272,12),4))&amp;BIN2HEX(LEFT(RIGHT(C272,8),4))&amp;BIN2HEX(LEFT(RIGHT(C272,4),4))</f>
        <v>00000000</v>
      </c>
      <c r="S272" s="32">
        <v>0</v>
      </c>
      <c r="T272" s="32">
        <v>0</v>
      </c>
      <c r="U272" s="32">
        <v>1</v>
      </c>
      <c r="V272" s="32">
        <v>1</v>
      </c>
      <c r="W272" s="32">
        <v>0</v>
      </c>
      <c r="X272" s="32">
        <v>1</v>
      </c>
      <c r="Y272" s="32">
        <v>0</v>
      </c>
      <c r="Z272" s="32" t="str">
        <f t="shared" si="155"/>
        <v>1A</v>
      </c>
      <c r="AA272" s="32" t="str">
        <f>CONCATENATE("REFGEN_REG_QUAD",BIN2DEC(X272&amp;Y272),"_SAR",BIN2DEC(V272&amp;W272),"_SLC",BIN2DEC(S272&amp;T272&amp;U272),)</f>
        <v>REFGEN_REG_QUAD2_SAR2_SLC1</v>
      </c>
    </row>
    <row r="273" spans="1:27" ht="30">
      <c r="A273" s="39"/>
      <c r="B273" s="40"/>
      <c r="C273" s="16" t="s">
        <v>48</v>
      </c>
      <c r="D273" s="36">
        <v>8</v>
      </c>
      <c r="E273" s="21" t="str">
        <f>IF(D273&gt;1,(31)&amp;":"&amp;(31-D273+1),(31-D273+1)&amp;":"&amp;(31-D273+1))</f>
        <v>31:24</v>
      </c>
      <c r="F273" s="22" t="s">
        <v>43</v>
      </c>
      <c r="G273" s="27" t="s">
        <v>49</v>
      </c>
      <c r="H273" s="23" t="s">
        <v>36</v>
      </c>
      <c r="I273" s="24" t="s">
        <v>35</v>
      </c>
      <c r="J273" s="25" t="s">
        <v>6</v>
      </c>
      <c r="K273" s="26"/>
      <c r="L273" s="41"/>
      <c r="M273" s="41"/>
      <c r="N273" s="41"/>
      <c r="O273" s="37"/>
      <c r="P273" s="37"/>
      <c r="Q273" s="37"/>
      <c r="S273" s="32"/>
      <c r="T273" s="32"/>
      <c r="U273" s="32"/>
      <c r="V273" s="32"/>
      <c r="W273" s="32"/>
      <c r="X273" s="32"/>
      <c r="Y273" s="32"/>
      <c r="Z273" s="32"/>
      <c r="AA273" s="32"/>
    </row>
    <row r="274" spans="1:27" ht="30">
      <c r="A274" s="39"/>
      <c r="B274" s="40"/>
      <c r="C274" s="16" t="s">
        <v>50</v>
      </c>
      <c r="D274" s="36">
        <v>8</v>
      </c>
      <c r="E274" s="22" t="str">
        <f t="shared" ref="E274:E276" si="171">(MID(str_cnvt(E273),SEARCH(":",str_cnvt(E273))+1,2)-1) &amp; ":" &amp; (MID(str_cnvt(E273),SEARCH(":",str_cnvt(E273))+1,2)-D274)</f>
        <v>23:16</v>
      </c>
      <c r="F274" s="22" t="s">
        <v>43</v>
      </c>
      <c r="G274" s="27" t="s">
        <v>49</v>
      </c>
      <c r="H274" s="23" t="s">
        <v>36</v>
      </c>
      <c r="I274" s="24" t="s">
        <v>35</v>
      </c>
      <c r="J274" s="25" t="s">
        <v>6</v>
      </c>
      <c r="K274" s="26"/>
      <c r="L274" s="41"/>
      <c r="M274" s="41"/>
      <c r="N274" s="41"/>
      <c r="O274" s="37"/>
      <c r="P274" s="37"/>
      <c r="Q274" s="37"/>
      <c r="S274" s="32"/>
      <c r="T274" s="32"/>
      <c r="U274" s="32"/>
      <c r="V274" s="32"/>
      <c r="W274" s="32"/>
      <c r="X274" s="32"/>
      <c r="Y274" s="32"/>
      <c r="Z274" s="32"/>
      <c r="AA274" s="32"/>
    </row>
    <row r="275" spans="1:27" ht="30">
      <c r="A275" s="39"/>
      <c r="B275" s="40"/>
      <c r="C275" s="16" t="s">
        <v>51</v>
      </c>
      <c r="D275" s="36">
        <v>8</v>
      </c>
      <c r="E275" s="22" t="str">
        <f t="shared" si="171"/>
        <v>15:8</v>
      </c>
      <c r="F275" s="22" t="s">
        <v>43</v>
      </c>
      <c r="G275" s="27" t="s">
        <v>49</v>
      </c>
      <c r="H275" s="23" t="s">
        <v>36</v>
      </c>
      <c r="I275" s="24" t="s">
        <v>35</v>
      </c>
      <c r="J275" s="25" t="s">
        <v>6</v>
      </c>
      <c r="K275" s="26"/>
      <c r="L275" s="41"/>
      <c r="M275" s="41"/>
      <c r="N275" s="41"/>
      <c r="O275" s="37"/>
      <c r="P275" s="37"/>
      <c r="Q275" s="37"/>
      <c r="S275" s="32"/>
      <c r="T275" s="32"/>
      <c r="U275" s="32"/>
      <c r="V275" s="32"/>
      <c r="W275" s="32"/>
      <c r="X275" s="32"/>
      <c r="Y275" s="32"/>
      <c r="Z275" s="32"/>
      <c r="AA275" s="32"/>
    </row>
    <row r="276" spans="1:27" ht="30.75" thickBot="1">
      <c r="A276" s="39"/>
      <c r="B276" s="40"/>
      <c r="C276" s="16" t="s">
        <v>52</v>
      </c>
      <c r="D276" s="36">
        <v>8</v>
      </c>
      <c r="E276" s="22" t="str">
        <f t="shared" si="171"/>
        <v>7:0</v>
      </c>
      <c r="F276" s="22" t="s">
        <v>43</v>
      </c>
      <c r="G276" s="27" t="s">
        <v>49</v>
      </c>
      <c r="H276" s="23" t="s">
        <v>36</v>
      </c>
      <c r="I276" s="24" t="s">
        <v>35</v>
      </c>
      <c r="J276" s="25" t="s">
        <v>6</v>
      </c>
      <c r="K276" s="26"/>
      <c r="L276" s="41"/>
      <c r="M276" s="41"/>
      <c r="N276" s="41"/>
      <c r="O276" s="37"/>
      <c r="P276" s="37"/>
      <c r="Q276" s="37"/>
      <c r="S276" s="32"/>
      <c r="T276" s="32"/>
      <c r="U276" s="32"/>
      <c r="V276" s="32"/>
      <c r="W276" s="32"/>
      <c r="X276" s="32"/>
      <c r="Y276" s="32"/>
      <c r="Z276" s="32"/>
      <c r="AA276" s="32"/>
    </row>
    <row r="277" spans="1:27">
      <c r="A277" s="42" t="str">
        <f>AA277</f>
        <v>REFGEN_REG_QUAD3_SAR2_SLC1</v>
      </c>
      <c r="B277" s="43" t="str">
        <f>DEC2HEX(O277*4)</f>
        <v>0</v>
      </c>
      <c r="C277" s="44" t="str">
        <f>bitConcat(F278:F281)</f>
        <v>32'b00000000000000000000000000000000</v>
      </c>
      <c r="D277" s="44"/>
      <c r="E277" s="44"/>
      <c r="F277" s="44"/>
      <c r="G277" s="44"/>
      <c r="H277" s="44"/>
      <c r="I277" s="44"/>
      <c r="J277" s="44"/>
      <c r="K277" s="44"/>
      <c r="L277" s="45" t="str">
        <f t="shared" ref="L277:L337" si="172">DEC2HEX(_xlfn.BITLSHIFT(N277,7)+HEX2DEC(P277))</f>
        <v>6C</v>
      </c>
      <c r="M277" s="45"/>
      <c r="N277" s="45">
        <f t="shared" ref="N277" si="173">S277</f>
        <v>0</v>
      </c>
      <c r="O277" s="38">
        <v>0</v>
      </c>
      <c r="P277" s="38" t="str">
        <f t="shared" ref="P277" si="174">DEC2HEX(HEX2DEC(Z277)*4)</f>
        <v>6C</v>
      </c>
      <c r="Q277" s="38" t="str">
        <f>BIN2HEX(LEFT(RIGHT(C277,32),4))&amp;BIN2HEX(LEFT(RIGHT(C277,28),4))&amp;BIN2HEX(LEFT(RIGHT(C277,24),4))&amp;BIN2HEX(LEFT(RIGHT(C277,20),4))&amp;BIN2HEX(LEFT(RIGHT(C277,16),4))&amp;BIN2HEX(LEFT(RIGHT(C277,12),4))&amp;BIN2HEX(LEFT(RIGHT(C277,8),4))&amp;BIN2HEX(LEFT(RIGHT(C277,4),4))</f>
        <v>00000000</v>
      </c>
      <c r="S277" s="32">
        <v>0</v>
      </c>
      <c r="T277" s="32">
        <v>0</v>
      </c>
      <c r="U277" s="32">
        <v>1</v>
      </c>
      <c r="V277" s="32">
        <v>1</v>
      </c>
      <c r="W277" s="32">
        <v>0</v>
      </c>
      <c r="X277" s="32">
        <v>1</v>
      </c>
      <c r="Y277" s="32">
        <v>1</v>
      </c>
      <c r="Z277" s="32" t="str">
        <f t="shared" si="155"/>
        <v>1B</v>
      </c>
      <c r="AA277" s="32" t="str">
        <f>CONCATENATE("REFGEN_REG_QUAD",BIN2DEC(X277&amp;Y277),"_SAR",BIN2DEC(V277&amp;W277),"_SLC",BIN2DEC(S277&amp;T277&amp;U277),)</f>
        <v>REFGEN_REG_QUAD3_SAR2_SLC1</v>
      </c>
    </row>
    <row r="278" spans="1:27" ht="30">
      <c r="A278" s="39"/>
      <c r="B278" s="40"/>
      <c r="C278" s="16" t="s">
        <v>48</v>
      </c>
      <c r="D278" s="36">
        <v>8</v>
      </c>
      <c r="E278" s="21" t="str">
        <f>IF(D278&gt;1,(31)&amp;":"&amp;(31-D278+1),(31-D278+1)&amp;":"&amp;(31-D278+1))</f>
        <v>31:24</v>
      </c>
      <c r="F278" s="22" t="s">
        <v>43</v>
      </c>
      <c r="G278" s="27" t="s">
        <v>49</v>
      </c>
      <c r="H278" s="23" t="s">
        <v>36</v>
      </c>
      <c r="I278" s="24" t="s">
        <v>35</v>
      </c>
      <c r="J278" s="25" t="s">
        <v>6</v>
      </c>
      <c r="K278" s="26"/>
      <c r="L278" s="41"/>
      <c r="M278" s="41"/>
      <c r="N278" s="41"/>
      <c r="O278" s="37"/>
      <c r="P278" s="37"/>
      <c r="Q278" s="37"/>
      <c r="S278" s="32"/>
      <c r="T278" s="32"/>
      <c r="U278" s="32"/>
      <c r="V278" s="32"/>
      <c r="W278" s="32"/>
      <c r="X278" s="32"/>
      <c r="Y278" s="32"/>
      <c r="Z278" s="32"/>
      <c r="AA278" s="32"/>
    </row>
    <row r="279" spans="1:27" ht="30">
      <c r="A279" s="39"/>
      <c r="B279" s="40"/>
      <c r="C279" s="16" t="s">
        <v>50</v>
      </c>
      <c r="D279" s="36">
        <v>8</v>
      </c>
      <c r="E279" s="22" t="str">
        <f t="shared" ref="E279:E281" si="175">(MID(str_cnvt(E278),SEARCH(":",str_cnvt(E278))+1,2)-1) &amp; ":" &amp; (MID(str_cnvt(E278),SEARCH(":",str_cnvt(E278))+1,2)-D279)</f>
        <v>23:16</v>
      </c>
      <c r="F279" s="22" t="s">
        <v>43</v>
      </c>
      <c r="G279" s="27" t="s">
        <v>49</v>
      </c>
      <c r="H279" s="23" t="s">
        <v>36</v>
      </c>
      <c r="I279" s="24" t="s">
        <v>35</v>
      </c>
      <c r="J279" s="25" t="s">
        <v>6</v>
      </c>
      <c r="K279" s="26"/>
      <c r="L279" s="41"/>
      <c r="M279" s="41"/>
      <c r="N279" s="41"/>
      <c r="O279" s="37"/>
      <c r="P279" s="37"/>
      <c r="Q279" s="37"/>
      <c r="S279" s="32"/>
      <c r="T279" s="32"/>
      <c r="U279" s="32"/>
      <c r="V279" s="32"/>
      <c r="W279" s="32"/>
      <c r="X279" s="32"/>
      <c r="Y279" s="32"/>
      <c r="Z279" s="32"/>
      <c r="AA279" s="32"/>
    </row>
    <row r="280" spans="1:27" ht="30">
      <c r="A280" s="39"/>
      <c r="B280" s="40"/>
      <c r="C280" s="16" t="s">
        <v>51</v>
      </c>
      <c r="D280" s="36">
        <v>8</v>
      </c>
      <c r="E280" s="22" t="str">
        <f t="shared" si="175"/>
        <v>15:8</v>
      </c>
      <c r="F280" s="22" t="s">
        <v>43</v>
      </c>
      <c r="G280" s="27" t="s">
        <v>49</v>
      </c>
      <c r="H280" s="23" t="s">
        <v>36</v>
      </c>
      <c r="I280" s="24" t="s">
        <v>35</v>
      </c>
      <c r="J280" s="25" t="s">
        <v>6</v>
      </c>
      <c r="K280" s="26"/>
      <c r="L280" s="41"/>
      <c r="M280" s="41"/>
      <c r="N280" s="41"/>
      <c r="O280" s="37"/>
      <c r="P280" s="37"/>
      <c r="Q280" s="37"/>
      <c r="S280" s="32"/>
      <c r="T280" s="32"/>
      <c r="U280" s="32"/>
      <c r="V280" s="32"/>
      <c r="W280" s="32"/>
      <c r="X280" s="32"/>
      <c r="Y280" s="32"/>
      <c r="Z280" s="32"/>
      <c r="AA280" s="32"/>
    </row>
    <row r="281" spans="1:27" ht="30.75" thickBot="1">
      <c r="A281" s="39"/>
      <c r="B281" s="40"/>
      <c r="C281" s="16" t="s">
        <v>52</v>
      </c>
      <c r="D281" s="36">
        <v>8</v>
      </c>
      <c r="E281" s="22" t="str">
        <f t="shared" si="175"/>
        <v>7:0</v>
      </c>
      <c r="F281" s="22" t="s">
        <v>43</v>
      </c>
      <c r="G281" s="27" t="s">
        <v>49</v>
      </c>
      <c r="H281" s="23" t="s">
        <v>36</v>
      </c>
      <c r="I281" s="24" t="s">
        <v>35</v>
      </c>
      <c r="J281" s="25" t="s">
        <v>6</v>
      </c>
      <c r="K281" s="26"/>
      <c r="L281" s="41"/>
      <c r="M281" s="41"/>
      <c r="N281" s="41"/>
      <c r="O281" s="37"/>
      <c r="P281" s="37"/>
      <c r="Q281" s="37"/>
      <c r="S281" s="32"/>
      <c r="T281" s="32"/>
      <c r="U281" s="32"/>
      <c r="V281" s="32"/>
      <c r="W281" s="32"/>
      <c r="X281" s="32"/>
      <c r="Y281" s="32"/>
      <c r="Z281" s="32"/>
      <c r="AA281" s="32"/>
    </row>
    <row r="282" spans="1:27">
      <c r="A282" s="42" t="str">
        <f>AA282</f>
        <v>REFGEN_REG_QUAD0_SAR2_SLC2</v>
      </c>
      <c r="B282" s="43" t="str">
        <f>DEC2HEX(O282*4)</f>
        <v>0</v>
      </c>
      <c r="C282" s="44" t="str">
        <f>bitConcat(F283:F286)</f>
        <v>32'b00000000000000000000000000000000</v>
      </c>
      <c r="D282" s="44"/>
      <c r="E282" s="44"/>
      <c r="F282" s="44"/>
      <c r="G282" s="44"/>
      <c r="H282" s="44"/>
      <c r="I282" s="44"/>
      <c r="J282" s="44"/>
      <c r="K282" s="44"/>
      <c r="L282" s="45" t="str">
        <f t="shared" si="172"/>
        <v>A0</v>
      </c>
      <c r="M282" s="45"/>
      <c r="N282" s="45">
        <f t="shared" ref="N282" si="176">S282</f>
        <v>0</v>
      </c>
      <c r="O282" s="38">
        <v>0</v>
      </c>
      <c r="P282" s="38" t="str">
        <f t="shared" ref="P282" si="177">DEC2HEX(HEX2DEC(Z282)*4)</f>
        <v>A0</v>
      </c>
      <c r="Q282" s="38" t="str">
        <f>BIN2HEX(LEFT(RIGHT(C282,32),4))&amp;BIN2HEX(LEFT(RIGHT(C282,28),4))&amp;BIN2HEX(LEFT(RIGHT(C282,24),4))&amp;BIN2HEX(LEFT(RIGHT(C282,20),4))&amp;BIN2HEX(LEFT(RIGHT(C282,16),4))&amp;BIN2HEX(LEFT(RIGHT(C282,12),4))&amp;BIN2HEX(LEFT(RIGHT(C282,8),4))&amp;BIN2HEX(LEFT(RIGHT(C282,4),4))</f>
        <v>00000000</v>
      </c>
      <c r="S282" s="32">
        <v>0</v>
      </c>
      <c r="T282" s="32">
        <v>1</v>
      </c>
      <c r="U282" s="32">
        <v>0</v>
      </c>
      <c r="V282" s="32">
        <v>1</v>
      </c>
      <c r="W282" s="32">
        <v>0</v>
      </c>
      <c r="X282" s="32">
        <v>0</v>
      </c>
      <c r="Y282" s="32">
        <v>0</v>
      </c>
      <c r="Z282" s="32" t="str">
        <f t="shared" si="155"/>
        <v>28</v>
      </c>
      <c r="AA282" s="32" t="str">
        <f>CONCATENATE("REFGEN_REG_QUAD",BIN2DEC(X282&amp;Y282),"_SAR",BIN2DEC(V282&amp;W282),"_SLC",BIN2DEC(S282&amp;T282&amp;U282),)</f>
        <v>REFGEN_REG_QUAD0_SAR2_SLC2</v>
      </c>
    </row>
    <row r="283" spans="1:27" ht="30">
      <c r="A283" s="39"/>
      <c r="B283" s="40"/>
      <c r="C283" s="16" t="s">
        <v>48</v>
      </c>
      <c r="D283" s="36">
        <v>8</v>
      </c>
      <c r="E283" s="21" t="str">
        <f>IF(D283&gt;1,(31)&amp;":"&amp;(31-D283+1),(31-D283+1)&amp;":"&amp;(31-D283+1))</f>
        <v>31:24</v>
      </c>
      <c r="F283" s="22" t="s">
        <v>43</v>
      </c>
      <c r="G283" s="27" t="s">
        <v>49</v>
      </c>
      <c r="H283" s="23" t="s">
        <v>36</v>
      </c>
      <c r="I283" s="24" t="s">
        <v>35</v>
      </c>
      <c r="J283" s="25" t="s">
        <v>6</v>
      </c>
      <c r="K283" s="26"/>
      <c r="L283" s="41"/>
      <c r="M283" s="41"/>
      <c r="N283" s="41"/>
      <c r="O283" s="37"/>
      <c r="P283" s="37"/>
      <c r="Q283" s="37"/>
      <c r="S283" s="32"/>
      <c r="T283" s="32"/>
      <c r="U283" s="32"/>
      <c r="V283" s="32"/>
      <c r="W283" s="32"/>
      <c r="X283" s="32"/>
      <c r="Y283" s="32"/>
      <c r="Z283" s="32"/>
      <c r="AA283" s="32"/>
    </row>
    <row r="284" spans="1:27" ht="30">
      <c r="A284" s="39"/>
      <c r="B284" s="40"/>
      <c r="C284" s="16" t="s">
        <v>50</v>
      </c>
      <c r="D284" s="36">
        <v>8</v>
      </c>
      <c r="E284" s="22" t="str">
        <f t="shared" ref="E284:E286" si="178">(MID(str_cnvt(E283),SEARCH(":",str_cnvt(E283))+1,2)-1) &amp; ":" &amp; (MID(str_cnvt(E283),SEARCH(":",str_cnvt(E283))+1,2)-D284)</f>
        <v>23:16</v>
      </c>
      <c r="F284" s="22" t="s">
        <v>43</v>
      </c>
      <c r="G284" s="27" t="s">
        <v>49</v>
      </c>
      <c r="H284" s="23" t="s">
        <v>36</v>
      </c>
      <c r="I284" s="24" t="s">
        <v>35</v>
      </c>
      <c r="J284" s="25" t="s">
        <v>6</v>
      </c>
      <c r="K284" s="26"/>
      <c r="L284" s="41"/>
      <c r="M284" s="41"/>
      <c r="N284" s="41"/>
      <c r="O284" s="37"/>
      <c r="P284" s="37"/>
      <c r="Q284" s="37"/>
      <c r="S284" s="32"/>
      <c r="T284" s="32"/>
      <c r="U284" s="32"/>
      <c r="V284" s="32"/>
      <c r="W284" s="32"/>
      <c r="X284" s="32"/>
      <c r="Y284" s="32"/>
      <c r="Z284" s="32"/>
      <c r="AA284" s="32"/>
    </row>
    <row r="285" spans="1:27" ht="30">
      <c r="A285" s="39"/>
      <c r="B285" s="40"/>
      <c r="C285" s="16" t="s">
        <v>51</v>
      </c>
      <c r="D285" s="36">
        <v>8</v>
      </c>
      <c r="E285" s="22" t="str">
        <f t="shared" si="178"/>
        <v>15:8</v>
      </c>
      <c r="F285" s="22" t="s">
        <v>43</v>
      </c>
      <c r="G285" s="27" t="s">
        <v>49</v>
      </c>
      <c r="H285" s="23" t="s">
        <v>36</v>
      </c>
      <c r="I285" s="24" t="s">
        <v>35</v>
      </c>
      <c r="J285" s="25" t="s">
        <v>6</v>
      </c>
      <c r="K285" s="26"/>
      <c r="L285" s="41"/>
      <c r="M285" s="41"/>
      <c r="N285" s="41"/>
      <c r="O285" s="37"/>
      <c r="P285" s="37"/>
      <c r="Q285" s="37"/>
      <c r="S285" s="32"/>
      <c r="T285" s="32"/>
      <c r="U285" s="32"/>
      <c r="V285" s="32"/>
      <c r="W285" s="32"/>
      <c r="X285" s="32"/>
      <c r="Y285" s="32"/>
      <c r="Z285" s="32"/>
      <c r="AA285" s="32"/>
    </row>
    <row r="286" spans="1:27" ht="30.75" thickBot="1">
      <c r="A286" s="39"/>
      <c r="B286" s="40"/>
      <c r="C286" s="16" t="s">
        <v>52</v>
      </c>
      <c r="D286" s="36">
        <v>8</v>
      </c>
      <c r="E286" s="22" t="str">
        <f t="shared" si="178"/>
        <v>7:0</v>
      </c>
      <c r="F286" s="22" t="s">
        <v>43</v>
      </c>
      <c r="G286" s="27" t="s">
        <v>49</v>
      </c>
      <c r="H286" s="23" t="s">
        <v>36</v>
      </c>
      <c r="I286" s="24" t="s">
        <v>35</v>
      </c>
      <c r="J286" s="25" t="s">
        <v>6</v>
      </c>
      <c r="K286" s="26"/>
      <c r="L286" s="41"/>
      <c r="M286" s="41"/>
      <c r="N286" s="41"/>
      <c r="O286" s="37"/>
      <c r="P286" s="37"/>
      <c r="Q286" s="37"/>
      <c r="S286" s="32"/>
      <c r="T286" s="32"/>
      <c r="U286" s="32"/>
      <c r="V286" s="32"/>
      <c r="W286" s="32"/>
      <c r="X286" s="32"/>
      <c r="Y286" s="32"/>
      <c r="Z286" s="32"/>
      <c r="AA286" s="32"/>
    </row>
    <row r="287" spans="1:27">
      <c r="A287" s="42" t="str">
        <f>AA287</f>
        <v>REFGEN_REG_QUAD1_SAR2_SLC2</v>
      </c>
      <c r="B287" s="43" t="str">
        <f>DEC2HEX(O287*4)</f>
        <v>0</v>
      </c>
      <c r="C287" s="44" t="str">
        <f>bitConcat(F288:F291)</f>
        <v>32'b00000000000000000000000000000000</v>
      </c>
      <c r="D287" s="44"/>
      <c r="E287" s="44"/>
      <c r="F287" s="44"/>
      <c r="G287" s="44"/>
      <c r="H287" s="44"/>
      <c r="I287" s="44"/>
      <c r="J287" s="44"/>
      <c r="K287" s="44"/>
      <c r="L287" s="45" t="str">
        <f t="shared" si="172"/>
        <v>A4</v>
      </c>
      <c r="M287" s="45"/>
      <c r="N287" s="45">
        <f t="shared" ref="N287" si="179">S287</f>
        <v>0</v>
      </c>
      <c r="O287" s="38">
        <v>0</v>
      </c>
      <c r="P287" s="38" t="str">
        <f t="shared" ref="P287" si="180">DEC2HEX(HEX2DEC(Z287)*4)</f>
        <v>A4</v>
      </c>
      <c r="Q287" s="38" t="str">
        <f>BIN2HEX(LEFT(RIGHT(C287,32),4))&amp;BIN2HEX(LEFT(RIGHT(C287,28),4))&amp;BIN2HEX(LEFT(RIGHT(C287,24),4))&amp;BIN2HEX(LEFT(RIGHT(C287,20),4))&amp;BIN2HEX(LEFT(RIGHT(C287,16),4))&amp;BIN2HEX(LEFT(RIGHT(C287,12),4))&amp;BIN2HEX(LEFT(RIGHT(C287,8),4))&amp;BIN2HEX(LEFT(RIGHT(C287,4),4))</f>
        <v>00000000</v>
      </c>
      <c r="S287" s="32">
        <v>0</v>
      </c>
      <c r="T287" s="32">
        <v>1</v>
      </c>
      <c r="U287" s="32">
        <v>0</v>
      </c>
      <c r="V287" s="32">
        <v>1</v>
      </c>
      <c r="W287" s="32">
        <v>0</v>
      </c>
      <c r="X287" s="32">
        <v>0</v>
      </c>
      <c r="Y287" s="32">
        <v>1</v>
      </c>
      <c r="Z287" s="32" t="str">
        <f t="shared" si="155"/>
        <v>29</v>
      </c>
      <c r="AA287" s="32" t="str">
        <f>CONCATENATE("REFGEN_REG_QUAD",BIN2DEC(X287&amp;Y287),"_SAR",BIN2DEC(V287&amp;W287),"_SLC",BIN2DEC(S287&amp;T287&amp;U287),)</f>
        <v>REFGEN_REG_QUAD1_SAR2_SLC2</v>
      </c>
    </row>
    <row r="288" spans="1:27" ht="30">
      <c r="A288" s="39"/>
      <c r="B288" s="40"/>
      <c r="C288" s="16" t="s">
        <v>48</v>
      </c>
      <c r="D288" s="36">
        <v>8</v>
      </c>
      <c r="E288" s="21" t="str">
        <f>IF(D288&gt;1,(31)&amp;":"&amp;(31-D288+1),(31-D288+1)&amp;":"&amp;(31-D288+1))</f>
        <v>31:24</v>
      </c>
      <c r="F288" s="22" t="s">
        <v>43</v>
      </c>
      <c r="G288" s="27" t="s">
        <v>49</v>
      </c>
      <c r="H288" s="23" t="s">
        <v>36</v>
      </c>
      <c r="I288" s="24" t="s">
        <v>35</v>
      </c>
      <c r="J288" s="25" t="s">
        <v>6</v>
      </c>
      <c r="K288" s="26"/>
      <c r="L288" s="41"/>
      <c r="M288" s="41"/>
      <c r="N288" s="41"/>
      <c r="O288" s="37"/>
      <c r="P288" s="37"/>
      <c r="Q288" s="37"/>
      <c r="S288" s="32"/>
      <c r="T288" s="32"/>
      <c r="U288" s="32"/>
      <c r="V288" s="32"/>
      <c r="W288" s="32"/>
      <c r="X288" s="32"/>
      <c r="Y288" s="32"/>
      <c r="Z288" s="32"/>
      <c r="AA288" s="32"/>
    </row>
    <row r="289" spans="1:27" ht="30">
      <c r="A289" s="39"/>
      <c r="B289" s="40"/>
      <c r="C289" s="16" t="s">
        <v>50</v>
      </c>
      <c r="D289" s="36">
        <v>8</v>
      </c>
      <c r="E289" s="22" t="str">
        <f t="shared" ref="E289:E291" si="181">(MID(str_cnvt(E288),SEARCH(":",str_cnvt(E288))+1,2)-1) &amp; ":" &amp; (MID(str_cnvt(E288),SEARCH(":",str_cnvt(E288))+1,2)-D289)</f>
        <v>23:16</v>
      </c>
      <c r="F289" s="22" t="s">
        <v>43</v>
      </c>
      <c r="G289" s="27" t="s">
        <v>49</v>
      </c>
      <c r="H289" s="23" t="s">
        <v>36</v>
      </c>
      <c r="I289" s="24" t="s">
        <v>35</v>
      </c>
      <c r="J289" s="25" t="s">
        <v>6</v>
      </c>
      <c r="K289" s="26"/>
      <c r="L289" s="41"/>
      <c r="M289" s="41"/>
      <c r="N289" s="41"/>
      <c r="O289" s="37"/>
      <c r="P289" s="37"/>
      <c r="Q289" s="37"/>
      <c r="S289" s="32"/>
      <c r="T289" s="32"/>
      <c r="U289" s="32"/>
      <c r="V289" s="32"/>
      <c r="W289" s="32"/>
      <c r="X289" s="32"/>
      <c r="Y289" s="32"/>
      <c r="Z289" s="32"/>
      <c r="AA289" s="32"/>
    </row>
    <row r="290" spans="1:27" ht="30">
      <c r="A290" s="39"/>
      <c r="B290" s="40"/>
      <c r="C290" s="16" t="s">
        <v>51</v>
      </c>
      <c r="D290" s="36">
        <v>8</v>
      </c>
      <c r="E290" s="22" t="str">
        <f t="shared" si="181"/>
        <v>15:8</v>
      </c>
      <c r="F290" s="22" t="s">
        <v>43</v>
      </c>
      <c r="G290" s="27" t="s">
        <v>49</v>
      </c>
      <c r="H290" s="23" t="s">
        <v>36</v>
      </c>
      <c r="I290" s="24" t="s">
        <v>35</v>
      </c>
      <c r="J290" s="25" t="s">
        <v>6</v>
      </c>
      <c r="K290" s="26"/>
      <c r="L290" s="41"/>
      <c r="M290" s="41"/>
      <c r="N290" s="41"/>
      <c r="O290" s="37"/>
      <c r="P290" s="37"/>
      <c r="Q290" s="37"/>
      <c r="S290" s="32"/>
      <c r="T290" s="32"/>
      <c r="U290" s="32"/>
      <c r="V290" s="32"/>
      <c r="W290" s="32"/>
      <c r="X290" s="32"/>
      <c r="Y290" s="32"/>
      <c r="Z290" s="32"/>
      <c r="AA290" s="32"/>
    </row>
    <row r="291" spans="1:27" ht="30.75" thickBot="1">
      <c r="A291" s="39"/>
      <c r="B291" s="40"/>
      <c r="C291" s="16" t="s">
        <v>52</v>
      </c>
      <c r="D291" s="36">
        <v>8</v>
      </c>
      <c r="E291" s="22" t="str">
        <f t="shared" si="181"/>
        <v>7:0</v>
      </c>
      <c r="F291" s="22" t="s">
        <v>43</v>
      </c>
      <c r="G291" s="27" t="s">
        <v>49</v>
      </c>
      <c r="H291" s="23" t="s">
        <v>36</v>
      </c>
      <c r="I291" s="24" t="s">
        <v>35</v>
      </c>
      <c r="J291" s="25" t="s">
        <v>6</v>
      </c>
      <c r="K291" s="26"/>
      <c r="L291" s="41"/>
      <c r="M291" s="41"/>
      <c r="N291" s="41"/>
      <c r="O291" s="37"/>
      <c r="P291" s="37"/>
      <c r="Q291" s="37"/>
      <c r="S291" s="32"/>
      <c r="T291" s="32"/>
      <c r="U291" s="32"/>
      <c r="V291" s="32"/>
      <c r="W291" s="32"/>
      <c r="X291" s="32"/>
      <c r="Y291" s="32"/>
      <c r="Z291" s="32"/>
      <c r="AA291" s="32"/>
    </row>
    <row r="292" spans="1:27">
      <c r="A292" s="42" t="str">
        <f>AA292</f>
        <v>REFGEN_REG_QUAD2_SAR2_SLC2</v>
      </c>
      <c r="B292" s="43" t="str">
        <f>DEC2HEX(O292*4)</f>
        <v>0</v>
      </c>
      <c r="C292" s="44" t="str">
        <f>bitConcat(F293:F296)</f>
        <v>32'b00000000000000000000000000000000</v>
      </c>
      <c r="D292" s="44"/>
      <c r="E292" s="44"/>
      <c r="F292" s="44"/>
      <c r="G292" s="44"/>
      <c r="H292" s="44"/>
      <c r="I292" s="44"/>
      <c r="J292" s="44"/>
      <c r="K292" s="44"/>
      <c r="L292" s="45" t="str">
        <f t="shared" si="172"/>
        <v>A8</v>
      </c>
      <c r="M292" s="45"/>
      <c r="N292" s="45">
        <f t="shared" ref="N292" si="182">S292</f>
        <v>0</v>
      </c>
      <c r="O292" s="38">
        <v>0</v>
      </c>
      <c r="P292" s="38" t="str">
        <f t="shared" ref="P292" si="183">DEC2HEX(HEX2DEC(Z292)*4)</f>
        <v>A8</v>
      </c>
      <c r="Q292" s="38" t="str">
        <f>BIN2HEX(LEFT(RIGHT(C292,32),4))&amp;BIN2HEX(LEFT(RIGHT(C292,28),4))&amp;BIN2HEX(LEFT(RIGHT(C292,24),4))&amp;BIN2HEX(LEFT(RIGHT(C292,20),4))&amp;BIN2HEX(LEFT(RIGHT(C292,16),4))&amp;BIN2HEX(LEFT(RIGHT(C292,12),4))&amp;BIN2HEX(LEFT(RIGHT(C292,8),4))&amp;BIN2HEX(LEFT(RIGHT(C292,4),4))</f>
        <v>00000000</v>
      </c>
      <c r="S292" s="32">
        <v>0</v>
      </c>
      <c r="T292" s="32">
        <v>1</v>
      </c>
      <c r="U292" s="32">
        <v>0</v>
      </c>
      <c r="V292" s="32">
        <v>1</v>
      </c>
      <c r="W292" s="32">
        <v>0</v>
      </c>
      <c r="X292" s="32">
        <v>1</v>
      </c>
      <c r="Y292" s="32">
        <v>0</v>
      </c>
      <c r="Z292" s="32" t="str">
        <f t="shared" si="155"/>
        <v>2A</v>
      </c>
      <c r="AA292" s="32" t="str">
        <f>CONCATENATE("REFGEN_REG_QUAD",BIN2DEC(X292&amp;Y292),"_SAR",BIN2DEC(V292&amp;W292),"_SLC",BIN2DEC(S292&amp;T292&amp;U292),)</f>
        <v>REFGEN_REG_QUAD2_SAR2_SLC2</v>
      </c>
    </row>
    <row r="293" spans="1:27" ht="30">
      <c r="A293" s="39"/>
      <c r="B293" s="40"/>
      <c r="C293" s="16" t="s">
        <v>48</v>
      </c>
      <c r="D293" s="36">
        <v>8</v>
      </c>
      <c r="E293" s="21" t="str">
        <f>IF(D293&gt;1,(31)&amp;":"&amp;(31-D293+1),(31-D293+1)&amp;":"&amp;(31-D293+1))</f>
        <v>31:24</v>
      </c>
      <c r="F293" s="22" t="s">
        <v>43</v>
      </c>
      <c r="G293" s="27" t="s">
        <v>49</v>
      </c>
      <c r="H293" s="23" t="s">
        <v>36</v>
      </c>
      <c r="I293" s="24" t="s">
        <v>35</v>
      </c>
      <c r="J293" s="25" t="s">
        <v>6</v>
      </c>
      <c r="K293" s="26"/>
      <c r="L293" s="41"/>
      <c r="M293" s="41"/>
      <c r="N293" s="41"/>
      <c r="O293" s="37"/>
      <c r="P293" s="37"/>
      <c r="Q293" s="37"/>
      <c r="S293" s="32"/>
      <c r="T293" s="32"/>
      <c r="U293" s="32"/>
      <c r="V293" s="32"/>
      <c r="W293" s="32"/>
      <c r="X293" s="32"/>
      <c r="Y293" s="32"/>
      <c r="Z293" s="32"/>
      <c r="AA293" s="32"/>
    </row>
    <row r="294" spans="1:27" ht="30">
      <c r="A294" s="39"/>
      <c r="B294" s="40"/>
      <c r="C294" s="16" t="s">
        <v>50</v>
      </c>
      <c r="D294" s="36">
        <v>8</v>
      </c>
      <c r="E294" s="22" t="str">
        <f t="shared" ref="E294:E296" si="184">(MID(str_cnvt(E293),SEARCH(":",str_cnvt(E293))+1,2)-1) &amp; ":" &amp; (MID(str_cnvt(E293),SEARCH(":",str_cnvt(E293))+1,2)-D294)</f>
        <v>23:16</v>
      </c>
      <c r="F294" s="22" t="s">
        <v>43</v>
      </c>
      <c r="G294" s="27" t="s">
        <v>49</v>
      </c>
      <c r="H294" s="23" t="s">
        <v>36</v>
      </c>
      <c r="I294" s="24" t="s">
        <v>35</v>
      </c>
      <c r="J294" s="25" t="s">
        <v>6</v>
      </c>
      <c r="K294" s="26"/>
      <c r="L294" s="41"/>
      <c r="M294" s="41"/>
      <c r="N294" s="41"/>
      <c r="O294" s="37"/>
      <c r="P294" s="37"/>
      <c r="Q294" s="37"/>
      <c r="S294" s="32"/>
      <c r="T294" s="32"/>
      <c r="U294" s="32"/>
      <c r="V294" s="32"/>
      <c r="W294" s="32"/>
      <c r="X294" s="32"/>
      <c r="Y294" s="32"/>
      <c r="Z294" s="32"/>
      <c r="AA294" s="32"/>
    </row>
    <row r="295" spans="1:27" ht="30">
      <c r="A295" s="39"/>
      <c r="B295" s="40"/>
      <c r="C295" s="16" t="s">
        <v>51</v>
      </c>
      <c r="D295" s="36">
        <v>8</v>
      </c>
      <c r="E295" s="22" t="str">
        <f t="shared" si="184"/>
        <v>15:8</v>
      </c>
      <c r="F295" s="22" t="s">
        <v>43</v>
      </c>
      <c r="G295" s="27" t="s">
        <v>49</v>
      </c>
      <c r="H295" s="23" t="s">
        <v>36</v>
      </c>
      <c r="I295" s="24" t="s">
        <v>35</v>
      </c>
      <c r="J295" s="25" t="s">
        <v>6</v>
      </c>
      <c r="K295" s="26"/>
      <c r="L295" s="41"/>
      <c r="M295" s="41"/>
      <c r="N295" s="41"/>
      <c r="O295" s="37"/>
      <c r="P295" s="37"/>
      <c r="Q295" s="37"/>
      <c r="S295" s="32"/>
      <c r="T295" s="32"/>
      <c r="U295" s="32"/>
      <c r="V295" s="32"/>
      <c r="W295" s="32"/>
      <c r="X295" s="32"/>
      <c r="Y295" s="32"/>
      <c r="Z295" s="32"/>
      <c r="AA295" s="32"/>
    </row>
    <row r="296" spans="1:27" ht="30.75" thickBot="1">
      <c r="A296" s="39"/>
      <c r="B296" s="40"/>
      <c r="C296" s="16" t="s">
        <v>52</v>
      </c>
      <c r="D296" s="36">
        <v>8</v>
      </c>
      <c r="E296" s="22" t="str">
        <f t="shared" si="184"/>
        <v>7:0</v>
      </c>
      <c r="F296" s="22" t="s">
        <v>43</v>
      </c>
      <c r="G296" s="27" t="s">
        <v>49</v>
      </c>
      <c r="H296" s="23" t="s">
        <v>36</v>
      </c>
      <c r="I296" s="24" t="s">
        <v>35</v>
      </c>
      <c r="J296" s="25" t="s">
        <v>6</v>
      </c>
      <c r="K296" s="26"/>
      <c r="L296" s="41"/>
      <c r="M296" s="41"/>
      <c r="N296" s="41"/>
      <c r="O296" s="37"/>
      <c r="P296" s="37"/>
      <c r="Q296" s="37"/>
      <c r="S296" s="32"/>
      <c r="T296" s="32"/>
      <c r="U296" s="32"/>
      <c r="V296" s="32"/>
      <c r="W296" s="32"/>
      <c r="X296" s="32"/>
      <c r="Y296" s="32"/>
      <c r="Z296" s="32"/>
      <c r="AA296" s="32"/>
    </row>
    <row r="297" spans="1:27">
      <c r="A297" s="42" t="str">
        <f>AA297</f>
        <v>REFGEN_REG_QUAD3_SAR2_SLC2</v>
      </c>
      <c r="B297" s="43" t="str">
        <f>DEC2HEX(O297*4)</f>
        <v>0</v>
      </c>
      <c r="C297" s="44" t="str">
        <f>bitConcat(F298:F301)</f>
        <v>32'b00000000000000000000000000000000</v>
      </c>
      <c r="D297" s="44"/>
      <c r="E297" s="44"/>
      <c r="F297" s="44"/>
      <c r="G297" s="44"/>
      <c r="H297" s="44"/>
      <c r="I297" s="44"/>
      <c r="J297" s="44"/>
      <c r="K297" s="44"/>
      <c r="L297" s="45" t="str">
        <f t="shared" si="172"/>
        <v>AC</v>
      </c>
      <c r="M297" s="45"/>
      <c r="N297" s="45">
        <f t="shared" ref="N297" si="185">S297</f>
        <v>0</v>
      </c>
      <c r="O297" s="38">
        <v>0</v>
      </c>
      <c r="P297" s="38" t="str">
        <f t="shared" ref="P297" si="186">DEC2HEX(HEX2DEC(Z297)*4)</f>
        <v>AC</v>
      </c>
      <c r="Q297" s="38" t="str">
        <f>BIN2HEX(LEFT(RIGHT(C297,32),4))&amp;BIN2HEX(LEFT(RIGHT(C297,28),4))&amp;BIN2HEX(LEFT(RIGHT(C297,24),4))&amp;BIN2HEX(LEFT(RIGHT(C297,20),4))&amp;BIN2HEX(LEFT(RIGHT(C297,16),4))&amp;BIN2HEX(LEFT(RIGHT(C297,12),4))&amp;BIN2HEX(LEFT(RIGHT(C297,8),4))&amp;BIN2HEX(LEFT(RIGHT(C297,4),4))</f>
        <v>00000000</v>
      </c>
      <c r="S297" s="32">
        <v>0</v>
      </c>
      <c r="T297" s="32">
        <v>1</v>
      </c>
      <c r="U297" s="32">
        <v>0</v>
      </c>
      <c r="V297" s="32">
        <v>1</v>
      </c>
      <c r="W297" s="32">
        <v>0</v>
      </c>
      <c r="X297" s="32">
        <v>1</v>
      </c>
      <c r="Y297" s="32">
        <v>1</v>
      </c>
      <c r="Z297" s="32" t="str">
        <f t="shared" si="155"/>
        <v>2B</v>
      </c>
      <c r="AA297" s="32" t="str">
        <f>CONCATENATE("REFGEN_REG_QUAD",BIN2DEC(X297&amp;Y297),"_SAR",BIN2DEC(V297&amp;W297),"_SLC",BIN2DEC(S297&amp;T297&amp;U297),)</f>
        <v>REFGEN_REG_QUAD3_SAR2_SLC2</v>
      </c>
    </row>
    <row r="298" spans="1:27" ht="30">
      <c r="A298" s="39"/>
      <c r="B298" s="40"/>
      <c r="C298" s="16" t="s">
        <v>48</v>
      </c>
      <c r="D298" s="36">
        <v>8</v>
      </c>
      <c r="E298" s="21" t="str">
        <f>IF(D298&gt;1,(31)&amp;":"&amp;(31-D298+1),(31-D298+1)&amp;":"&amp;(31-D298+1))</f>
        <v>31:24</v>
      </c>
      <c r="F298" s="22" t="s">
        <v>43</v>
      </c>
      <c r="G298" s="27" t="s">
        <v>49</v>
      </c>
      <c r="H298" s="23" t="s">
        <v>36</v>
      </c>
      <c r="I298" s="24" t="s">
        <v>35</v>
      </c>
      <c r="J298" s="25" t="s">
        <v>6</v>
      </c>
      <c r="K298" s="26"/>
      <c r="L298" s="41"/>
      <c r="M298" s="41"/>
      <c r="N298" s="41"/>
      <c r="O298" s="37"/>
      <c r="P298" s="37"/>
      <c r="Q298" s="37"/>
      <c r="S298" s="32"/>
      <c r="T298" s="32"/>
      <c r="U298" s="32"/>
      <c r="V298" s="32"/>
      <c r="W298" s="32"/>
      <c r="X298" s="32"/>
      <c r="Y298" s="32"/>
      <c r="Z298" s="32"/>
      <c r="AA298" s="32"/>
    </row>
    <row r="299" spans="1:27" ht="30">
      <c r="A299" s="39"/>
      <c r="B299" s="40"/>
      <c r="C299" s="16" t="s">
        <v>50</v>
      </c>
      <c r="D299" s="36">
        <v>8</v>
      </c>
      <c r="E299" s="22" t="str">
        <f t="shared" ref="E299:E301" si="187">(MID(str_cnvt(E298),SEARCH(":",str_cnvt(E298))+1,2)-1) &amp; ":" &amp; (MID(str_cnvt(E298),SEARCH(":",str_cnvt(E298))+1,2)-D299)</f>
        <v>23:16</v>
      </c>
      <c r="F299" s="22" t="s">
        <v>43</v>
      </c>
      <c r="G299" s="27" t="s">
        <v>49</v>
      </c>
      <c r="H299" s="23" t="s">
        <v>36</v>
      </c>
      <c r="I299" s="24" t="s">
        <v>35</v>
      </c>
      <c r="J299" s="25" t="s">
        <v>6</v>
      </c>
      <c r="K299" s="26"/>
      <c r="L299" s="41"/>
      <c r="M299" s="41"/>
      <c r="N299" s="41"/>
      <c r="O299" s="37"/>
      <c r="P299" s="37"/>
      <c r="Q299" s="37"/>
      <c r="S299" s="32"/>
      <c r="T299" s="32"/>
      <c r="U299" s="32"/>
      <c r="V299" s="32"/>
      <c r="W299" s="32"/>
      <c r="X299" s="32"/>
      <c r="Y299" s="32"/>
      <c r="Z299" s="32"/>
      <c r="AA299" s="32"/>
    </row>
    <row r="300" spans="1:27" ht="30">
      <c r="A300" s="39"/>
      <c r="B300" s="40"/>
      <c r="C300" s="16" t="s">
        <v>51</v>
      </c>
      <c r="D300" s="36">
        <v>8</v>
      </c>
      <c r="E300" s="22" t="str">
        <f t="shared" si="187"/>
        <v>15:8</v>
      </c>
      <c r="F300" s="22" t="s">
        <v>43</v>
      </c>
      <c r="G300" s="27" t="s">
        <v>49</v>
      </c>
      <c r="H300" s="23" t="s">
        <v>36</v>
      </c>
      <c r="I300" s="24" t="s">
        <v>35</v>
      </c>
      <c r="J300" s="25" t="s">
        <v>6</v>
      </c>
      <c r="K300" s="26"/>
      <c r="L300" s="41"/>
      <c r="M300" s="41"/>
      <c r="N300" s="41"/>
      <c r="O300" s="37"/>
      <c r="P300" s="37"/>
      <c r="Q300" s="37"/>
      <c r="S300" s="32"/>
      <c r="T300" s="32"/>
      <c r="U300" s="32"/>
      <c r="V300" s="32"/>
      <c r="W300" s="32"/>
      <c r="X300" s="32"/>
      <c r="Y300" s="32"/>
      <c r="Z300" s="32"/>
      <c r="AA300" s="32"/>
    </row>
    <row r="301" spans="1:27" ht="30.75" thickBot="1">
      <c r="A301" s="39"/>
      <c r="B301" s="40"/>
      <c r="C301" s="16" t="s">
        <v>52</v>
      </c>
      <c r="D301" s="36">
        <v>8</v>
      </c>
      <c r="E301" s="22" t="str">
        <f t="shared" si="187"/>
        <v>7:0</v>
      </c>
      <c r="F301" s="22" t="s">
        <v>43</v>
      </c>
      <c r="G301" s="27" t="s">
        <v>49</v>
      </c>
      <c r="H301" s="23" t="s">
        <v>36</v>
      </c>
      <c r="I301" s="24" t="s">
        <v>35</v>
      </c>
      <c r="J301" s="25" t="s">
        <v>6</v>
      </c>
      <c r="K301" s="26"/>
      <c r="L301" s="41"/>
      <c r="M301" s="41"/>
      <c r="N301" s="41"/>
      <c r="O301" s="37"/>
      <c r="P301" s="37"/>
      <c r="Q301" s="37"/>
      <c r="S301" s="32"/>
      <c r="T301" s="32"/>
      <c r="U301" s="32"/>
      <c r="V301" s="32"/>
      <c r="W301" s="32"/>
      <c r="X301" s="32"/>
      <c r="Y301" s="32"/>
      <c r="Z301" s="32"/>
      <c r="AA301" s="32"/>
    </row>
    <row r="302" spans="1:27">
      <c r="A302" s="42" t="str">
        <f>AA302</f>
        <v>REFGEN_REG_QUAD0_SAR2_SLC3</v>
      </c>
      <c r="B302" s="43" t="str">
        <f>DEC2HEX(O302*4)</f>
        <v>0</v>
      </c>
      <c r="C302" s="44" t="str">
        <f>bitConcat(F303:F306)</f>
        <v>32'b00000000000000000000000000000000</v>
      </c>
      <c r="D302" s="44"/>
      <c r="E302" s="44"/>
      <c r="F302" s="44"/>
      <c r="G302" s="44"/>
      <c r="H302" s="44"/>
      <c r="I302" s="44"/>
      <c r="J302" s="44"/>
      <c r="K302" s="44"/>
      <c r="L302" s="45" t="str">
        <f t="shared" si="172"/>
        <v>E0</v>
      </c>
      <c r="M302" s="45"/>
      <c r="N302" s="45">
        <f t="shared" ref="N302" si="188">S302</f>
        <v>0</v>
      </c>
      <c r="O302" s="38">
        <v>0</v>
      </c>
      <c r="P302" s="38" t="str">
        <f t="shared" ref="P302" si="189">DEC2HEX(HEX2DEC(Z302)*4)</f>
        <v>E0</v>
      </c>
      <c r="Q302" s="38" t="str">
        <f>BIN2HEX(LEFT(RIGHT(C302,32),4))&amp;BIN2HEX(LEFT(RIGHT(C302,28),4))&amp;BIN2HEX(LEFT(RIGHT(C302,24),4))&amp;BIN2HEX(LEFT(RIGHT(C302,20),4))&amp;BIN2HEX(LEFT(RIGHT(C302,16),4))&amp;BIN2HEX(LEFT(RIGHT(C302,12),4))&amp;BIN2HEX(LEFT(RIGHT(C302,8),4))&amp;BIN2HEX(LEFT(RIGHT(C302,4),4))</f>
        <v>00000000</v>
      </c>
      <c r="S302" s="32">
        <v>0</v>
      </c>
      <c r="T302" s="32">
        <v>1</v>
      </c>
      <c r="U302" s="32">
        <v>1</v>
      </c>
      <c r="V302" s="32">
        <v>1</v>
      </c>
      <c r="W302" s="32">
        <v>0</v>
      </c>
      <c r="X302" s="32">
        <v>0</v>
      </c>
      <c r="Y302" s="32">
        <v>0</v>
      </c>
      <c r="Z302" s="32" t="str">
        <f t="shared" si="155"/>
        <v>38</v>
      </c>
      <c r="AA302" s="32" t="str">
        <f>CONCATENATE("REFGEN_REG_QUAD",BIN2DEC(X302&amp;Y302),"_SAR",BIN2DEC(V302&amp;W302),"_SLC",BIN2DEC(S302&amp;T302&amp;U302),)</f>
        <v>REFGEN_REG_QUAD0_SAR2_SLC3</v>
      </c>
    </row>
    <row r="303" spans="1:27" ht="30">
      <c r="A303" s="39"/>
      <c r="B303" s="40"/>
      <c r="C303" s="16" t="s">
        <v>48</v>
      </c>
      <c r="D303" s="36">
        <v>8</v>
      </c>
      <c r="E303" s="21" t="str">
        <f>IF(D303&gt;1,(31)&amp;":"&amp;(31-D303+1),(31-D303+1)&amp;":"&amp;(31-D303+1))</f>
        <v>31:24</v>
      </c>
      <c r="F303" s="22" t="s">
        <v>43</v>
      </c>
      <c r="G303" s="27" t="s">
        <v>49</v>
      </c>
      <c r="H303" s="23" t="s">
        <v>36</v>
      </c>
      <c r="I303" s="24" t="s">
        <v>35</v>
      </c>
      <c r="J303" s="25" t="s">
        <v>6</v>
      </c>
      <c r="K303" s="26"/>
      <c r="L303" s="41"/>
      <c r="M303" s="41"/>
      <c r="N303" s="41"/>
      <c r="O303" s="37"/>
      <c r="P303" s="37"/>
      <c r="Q303" s="37"/>
      <c r="S303" s="32"/>
      <c r="T303" s="32"/>
      <c r="U303" s="32"/>
      <c r="V303" s="32"/>
      <c r="W303" s="32"/>
      <c r="X303" s="32"/>
      <c r="Y303" s="32"/>
      <c r="Z303" s="32"/>
      <c r="AA303" s="32"/>
    </row>
    <row r="304" spans="1:27" ht="30">
      <c r="A304" s="39"/>
      <c r="B304" s="40"/>
      <c r="C304" s="16" t="s">
        <v>50</v>
      </c>
      <c r="D304" s="36">
        <v>8</v>
      </c>
      <c r="E304" s="22" t="str">
        <f t="shared" ref="E304:E306" si="190">(MID(str_cnvt(E303),SEARCH(":",str_cnvt(E303))+1,2)-1) &amp; ":" &amp; (MID(str_cnvt(E303),SEARCH(":",str_cnvt(E303))+1,2)-D304)</f>
        <v>23:16</v>
      </c>
      <c r="F304" s="22" t="s">
        <v>43</v>
      </c>
      <c r="G304" s="27" t="s">
        <v>49</v>
      </c>
      <c r="H304" s="23" t="s">
        <v>36</v>
      </c>
      <c r="I304" s="24" t="s">
        <v>35</v>
      </c>
      <c r="J304" s="25" t="s">
        <v>6</v>
      </c>
      <c r="K304" s="26"/>
      <c r="L304" s="41"/>
      <c r="M304" s="41"/>
      <c r="N304" s="41"/>
      <c r="O304" s="37"/>
      <c r="P304" s="37"/>
      <c r="Q304" s="37"/>
      <c r="S304" s="32"/>
      <c r="T304" s="32"/>
      <c r="U304" s="32"/>
      <c r="V304" s="32"/>
      <c r="W304" s="32"/>
      <c r="X304" s="32"/>
      <c r="Y304" s="32"/>
      <c r="Z304" s="32"/>
      <c r="AA304" s="32"/>
    </row>
    <row r="305" spans="1:27" ht="30">
      <c r="A305" s="39"/>
      <c r="B305" s="40"/>
      <c r="C305" s="16" t="s">
        <v>51</v>
      </c>
      <c r="D305" s="36">
        <v>8</v>
      </c>
      <c r="E305" s="22" t="str">
        <f t="shared" si="190"/>
        <v>15:8</v>
      </c>
      <c r="F305" s="22" t="s">
        <v>43</v>
      </c>
      <c r="G305" s="27" t="s">
        <v>49</v>
      </c>
      <c r="H305" s="23" t="s">
        <v>36</v>
      </c>
      <c r="I305" s="24" t="s">
        <v>35</v>
      </c>
      <c r="J305" s="25" t="s">
        <v>6</v>
      </c>
      <c r="K305" s="26"/>
      <c r="L305" s="41"/>
      <c r="M305" s="41"/>
      <c r="N305" s="41"/>
      <c r="O305" s="37"/>
      <c r="P305" s="37"/>
      <c r="Q305" s="37"/>
      <c r="S305" s="32"/>
      <c r="T305" s="32"/>
      <c r="U305" s="32"/>
      <c r="V305" s="32"/>
      <c r="W305" s="32"/>
      <c r="X305" s="32"/>
      <c r="Y305" s="32"/>
      <c r="Z305" s="32"/>
      <c r="AA305" s="32"/>
    </row>
    <row r="306" spans="1:27" ht="30.75" thickBot="1">
      <c r="A306" s="39"/>
      <c r="B306" s="40"/>
      <c r="C306" s="16" t="s">
        <v>52</v>
      </c>
      <c r="D306" s="36">
        <v>8</v>
      </c>
      <c r="E306" s="22" t="str">
        <f t="shared" si="190"/>
        <v>7:0</v>
      </c>
      <c r="F306" s="22" t="s">
        <v>43</v>
      </c>
      <c r="G306" s="27" t="s">
        <v>49</v>
      </c>
      <c r="H306" s="23" t="s">
        <v>36</v>
      </c>
      <c r="I306" s="24" t="s">
        <v>35</v>
      </c>
      <c r="J306" s="25" t="s">
        <v>6</v>
      </c>
      <c r="K306" s="26"/>
      <c r="L306" s="41"/>
      <c r="M306" s="41"/>
      <c r="N306" s="41"/>
      <c r="O306" s="37"/>
      <c r="P306" s="37"/>
      <c r="Q306" s="37"/>
      <c r="S306" s="32"/>
      <c r="T306" s="32"/>
      <c r="U306" s="32"/>
      <c r="V306" s="32"/>
      <c r="W306" s="32"/>
      <c r="X306" s="32"/>
      <c r="Y306" s="32"/>
      <c r="Z306" s="32"/>
      <c r="AA306" s="32"/>
    </row>
    <row r="307" spans="1:27">
      <c r="A307" s="42" t="str">
        <f>AA307</f>
        <v>REFGEN_REG_QUAD1_SAR2_SLC3</v>
      </c>
      <c r="B307" s="43" t="str">
        <f>DEC2HEX(O307*4)</f>
        <v>0</v>
      </c>
      <c r="C307" s="44" t="str">
        <f>bitConcat(F308:F311)</f>
        <v>32'b00000000000000000000000000000000</v>
      </c>
      <c r="D307" s="44"/>
      <c r="E307" s="44"/>
      <c r="F307" s="44"/>
      <c r="G307" s="44"/>
      <c r="H307" s="44"/>
      <c r="I307" s="44"/>
      <c r="J307" s="44"/>
      <c r="K307" s="44"/>
      <c r="L307" s="45" t="str">
        <f t="shared" si="172"/>
        <v>E4</v>
      </c>
      <c r="M307" s="45"/>
      <c r="N307" s="45">
        <f t="shared" ref="N307" si="191">S307</f>
        <v>0</v>
      </c>
      <c r="O307" s="38">
        <v>0</v>
      </c>
      <c r="P307" s="38" t="str">
        <f t="shared" ref="P307" si="192">DEC2HEX(HEX2DEC(Z307)*4)</f>
        <v>E4</v>
      </c>
      <c r="Q307" s="38" t="str">
        <f>BIN2HEX(LEFT(RIGHT(C307,32),4))&amp;BIN2HEX(LEFT(RIGHT(C307,28),4))&amp;BIN2HEX(LEFT(RIGHT(C307,24),4))&amp;BIN2HEX(LEFT(RIGHT(C307,20),4))&amp;BIN2HEX(LEFT(RIGHT(C307,16),4))&amp;BIN2HEX(LEFT(RIGHT(C307,12),4))&amp;BIN2HEX(LEFT(RIGHT(C307,8),4))&amp;BIN2HEX(LEFT(RIGHT(C307,4),4))</f>
        <v>00000000</v>
      </c>
      <c r="S307" s="32">
        <v>0</v>
      </c>
      <c r="T307" s="32">
        <v>1</v>
      </c>
      <c r="U307" s="32">
        <v>1</v>
      </c>
      <c r="V307" s="32">
        <v>1</v>
      </c>
      <c r="W307" s="32">
        <v>0</v>
      </c>
      <c r="X307" s="32">
        <v>0</v>
      </c>
      <c r="Y307" s="32">
        <v>1</v>
      </c>
      <c r="Z307" s="32" t="str">
        <f t="shared" si="155"/>
        <v>39</v>
      </c>
      <c r="AA307" s="32" t="str">
        <f>CONCATENATE("REFGEN_REG_QUAD",BIN2DEC(X307&amp;Y307),"_SAR",BIN2DEC(V307&amp;W307),"_SLC",BIN2DEC(S307&amp;T307&amp;U307),)</f>
        <v>REFGEN_REG_QUAD1_SAR2_SLC3</v>
      </c>
    </row>
    <row r="308" spans="1:27" ht="30">
      <c r="A308" s="39"/>
      <c r="B308" s="40"/>
      <c r="C308" s="16" t="s">
        <v>48</v>
      </c>
      <c r="D308" s="36">
        <v>8</v>
      </c>
      <c r="E308" s="21" t="str">
        <f>IF(D308&gt;1,(31)&amp;":"&amp;(31-D308+1),(31-D308+1)&amp;":"&amp;(31-D308+1))</f>
        <v>31:24</v>
      </c>
      <c r="F308" s="22" t="s">
        <v>43</v>
      </c>
      <c r="G308" s="27" t="s">
        <v>49</v>
      </c>
      <c r="H308" s="23" t="s">
        <v>36</v>
      </c>
      <c r="I308" s="24" t="s">
        <v>35</v>
      </c>
      <c r="J308" s="25" t="s">
        <v>6</v>
      </c>
      <c r="K308" s="26"/>
      <c r="L308" s="41"/>
      <c r="M308" s="41"/>
      <c r="N308" s="41"/>
      <c r="O308" s="37"/>
      <c r="P308" s="37"/>
      <c r="Q308" s="37"/>
      <c r="S308" s="32"/>
      <c r="T308" s="32"/>
      <c r="U308" s="32"/>
      <c r="V308" s="32"/>
      <c r="W308" s="32"/>
      <c r="X308" s="32"/>
      <c r="Y308" s="32"/>
      <c r="Z308" s="32"/>
      <c r="AA308" s="32"/>
    </row>
    <row r="309" spans="1:27" ht="30">
      <c r="A309" s="39"/>
      <c r="B309" s="40"/>
      <c r="C309" s="16" t="s">
        <v>50</v>
      </c>
      <c r="D309" s="36">
        <v>8</v>
      </c>
      <c r="E309" s="22" t="str">
        <f t="shared" ref="E309:E311" si="193">(MID(str_cnvt(E308),SEARCH(":",str_cnvt(E308))+1,2)-1) &amp; ":" &amp; (MID(str_cnvt(E308),SEARCH(":",str_cnvt(E308))+1,2)-D309)</f>
        <v>23:16</v>
      </c>
      <c r="F309" s="22" t="s">
        <v>43</v>
      </c>
      <c r="G309" s="27" t="s">
        <v>49</v>
      </c>
      <c r="H309" s="23" t="s">
        <v>36</v>
      </c>
      <c r="I309" s="24" t="s">
        <v>35</v>
      </c>
      <c r="J309" s="25" t="s">
        <v>6</v>
      </c>
      <c r="K309" s="26"/>
      <c r="L309" s="41"/>
      <c r="M309" s="41"/>
      <c r="N309" s="41"/>
      <c r="O309" s="37"/>
      <c r="P309" s="37"/>
      <c r="Q309" s="37"/>
      <c r="S309" s="32"/>
      <c r="T309" s="32"/>
      <c r="U309" s="32"/>
      <c r="V309" s="32"/>
      <c r="W309" s="32"/>
      <c r="X309" s="32"/>
      <c r="Y309" s="32"/>
      <c r="Z309" s="32"/>
      <c r="AA309" s="32"/>
    </row>
    <row r="310" spans="1:27" ht="30">
      <c r="A310" s="39"/>
      <c r="B310" s="40"/>
      <c r="C310" s="16" t="s">
        <v>51</v>
      </c>
      <c r="D310" s="36">
        <v>8</v>
      </c>
      <c r="E310" s="22" t="str">
        <f t="shared" si="193"/>
        <v>15:8</v>
      </c>
      <c r="F310" s="22" t="s">
        <v>43</v>
      </c>
      <c r="G310" s="27" t="s">
        <v>49</v>
      </c>
      <c r="H310" s="23" t="s">
        <v>36</v>
      </c>
      <c r="I310" s="24" t="s">
        <v>35</v>
      </c>
      <c r="J310" s="25" t="s">
        <v>6</v>
      </c>
      <c r="K310" s="26"/>
      <c r="L310" s="41"/>
      <c r="M310" s="41"/>
      <c r="N310" s="41"/>
      <c r="O310" s="37"/>
      <c r="P310" s="37"/>
      <c r="Q310" s="37"/>
      <c r="S310" s="32"/>
      <c r="T310" s="32"/>
      <c r="U310" s="32"/>
      <c r="V310" s="32"/>
      <c r="W310" s="32"/>
      <c r="X310" s="32"/>
      <c r="Y310" s="32"/>
      <c r="Z310" s="32"/>
      <c r="AA310" s="32"/>
    </row>
    <row r="311" spans="1:27" ht="30.75" thickBot="1">
      <c r="A311" s="39"/>
      <c r="B311" s="40"/>
      <c r="C311" s="16" t="s">
        <v>52</v>
      </c>
      <c r="D311" s="36">
        <v>8</v>
      </c>
      <c r="E311" s="22" t="str">
        <f t="shared" si="193"/>
        <v>7:0</v>
      </c>
      <c r="F311" s="22" t="s">
        <v>43</v>
      </c>
      <c r="G311" s="27" t="s">
        <v>49</v>
      </c>
      <c r="H311" s="23" t="s">
        <v>36</v>
      </c>
      <c r="I311" s="24" t="s">
        <v>35</v>
      </c>
      <c r="J311" s="25" t="s">
        <v>6</v>
      </c>
      <c r="K311" s="26"/>
      <c r="L311" s="41"/>
      <c r="M311" s="41"/>
      <c r="N311" s="41"/>
      <c r="O311" s="37"/>
      <c r="P311" s="37"/>
      <c r="Q311" s="37"/>
      <c r="S311" s="32"/>
      <c r="T311" s="32"/>
      <c r="U311" s="32"/>
      <c r="V311" s="32"/>
      <c r="W311" s="32"/>
      <c r="X311" s="32"/>
      <c r="Y311" s="32"/>
      <c r="Z311" s="32"/>
      <c r="AA311" s="32"/>
    </row>
    <row r="312" spans="1:27">
      <c r="A312" s="42" t="str">
        <f>AA312</f>
        <v>REFGEN_REG_QUAD2_SAR2_SLC3</v>
      </c>
      <c r="B312" s="43" t="str">
        <f>DEC2HEX(O312*4)</f>
        <v>0</v>
      </c>
      <c r="C312" s="44" t="str">
        <f>bitConcat(F313:F316)</f>
        <v>32'b00000000000000000000000000000000</v>
      </c>
      <c r="D312" s="44"/>
      <c r="E312" s="44"/>
      <c r="F312" s="44"/>
      <c r="G312" s="44"/>
      <c r="H312" s="44"/>
      <c r="I312" s="44"/>
      <c r="J312" s="44"/>
      <c r="K312" s="44"/>
      <c r="L312" s="45" t="str">
        <f t="shared" si="172"/>
        <v>E8</v>
      </c>
      <c r="M312" s="45"/>
      <c r="N312" s="45">
        <f t="shared" ref="N312" si="194">S312</f>
        <v>0</v>
      </c>
      <c r="O312" s="38">
        <v>0</v>
      </c>
      <c r="P312" s="38" t="str">
        <f t="shared" ref="P312" si="195">DEC2HEX(HEX2DEC(Z312)*4)</f>
        <v>E8</v>
      </c>
      <c r="Q312" s="38" t="str">
        <f>BIN2HEX(LEFT(RIGHT(C312,32),4))&amp;BIN2HEX(LEFT(RIGHT(C312,28),4))&amp;BIN2HEX(LEFT(RIGHT(C312,24),4))&amp;BIN2HEX(LEFT(RIGHT(C312,20),4))&amp;BIN2HEX(LEFT(RIGHT(C312,16),4))&amp;BIN2HEX(LEFT(RIGHT(C312,12),4))&amp;BIN2HEX(LEFT(RIGHT(C312,8),4))&amp;BIN2HEX(LEFT(RIGHT(C312,4),4))</f>
        <v>00000000</v>
      </c>
      <c r="S312" s="32">
        <v>0</v>
      </c>
      <c r="T312" s="32">
        <v>1</v>
      </c>
      <c r="U312" s="32">
        <v>1</v>
      </c>
      <c r="V312" s="32">
        <v>1</v>
      </c>
      <c r="W312" s="32">
        <v>0</v>
      </c>
      <c r="X312" s="32">
        <v>1</v>
      </c>
      <c r="Y312" s="32">
        <v>0</v>
      </c>
      <c r="Z312" s="32" t="str">
        <f t="shared" si="155"/>
        <v>3A</v>
      </c>
      <c r="AA312" s="32" t="str">
        <f>CONCATENATE("REFGEN_REG_QUAD",BIN2DEC(X312&amp;Y312),"_SAR",BIN2DEC(V312&amp;W312),"_SLC",BIN2DEC(S312&amp;T312&amp;U312),)</f>
        <v>REFGEN_REG_QUAD2_SAR2_SLC3</v>
      </c>
    </row>
    <row r="313" spans="1:27" ht="30">
      <c r="A313" s="39"/>
      <c r="B313" s="40"/>
      <c r="C313" s="16" t="s">
        <v>48</v>
      </c>
      <c r="D313" s="36">
        <v>8</v>
      </c>
      <c r="E313" s="21" t="str">
        <f>IF(D313&gt;1,(31)&amp;":"&amp;(31-D313+1),(31-D313+1)&amp;":"&amp;(31-D313+1))</f>
        <v>31:24</v>
      </c>
      <c r="F313" s="22" t="s">
        <v>43</v>
      </c>
      <c r="G313" s="27" t="s">
        <v>49</v>
      </c>
      <c r="H313" s="23" t="s">
        <v>36</v>
      </c>
      <c r="I313" s="24" t="s">
        <v>35</v>
      </c>
      <c r="J313" s="25" t="s">
        <v>6</v>
      </c>
      <c r="K313" s="26"/>
      <c r="L313" s="41"/>
      <c r="M313" s="41"/>
      <c r="N313" s="41"/>
      <c r="O313" s="37"/>
      <c r="P313" s="37"/>
      <c r="Q313" s="37"/>
      <c r="S313" s="32"/>
      <c r="T313" s="32"/>
      <c r="U313" s="32"/>
      <c r="V313" s="32"/>
      <c r="W313" s="32"/>
      <c r="X313" s="32"/>
      <c r="Y313" s="32"/>
      <c r="Z313" s="32"/>
      <c r="AA313" s="32"/>
    </row>
    <row r="314" spans="1:27" ht="30">
      <c r="A314" s="39"/>
      <c r="B314" s="40"/>
      <c r="C314" s="16" t="s">
        <v>50</v>
      </c>
      <c r="D314" s="36">
        <v>8</v>
      </c>
      <c r="E314" s="22" t="str">
        <f t="shared" ref="E314:E316" si="196">(MID(str_cnvt(E313),SEARCH(":",str_cnvt(E313))+1,2)-1) &amp; ":" &amp; (MID(str_cnvt(E313),SEARCH(":",str_cnvt(E313))+1,2)-D314)</f>
        <v>23:16</v>
      </c>
      <c r="F314" s="22" t="s">
        <v>43</v>
      </c>
      <c r="G314" s="27" t="s">
        <v>49</v>
      </c>
      <c r="H314" s="23" t="s">
        <v>36</v>
      </c>
      <c r="I314" s="24" t="s">
        <v>35</v>
      </c>
      <c r="J314" s="25" t="s">
        <v>6</v>
      </c>
      <c r="K314" s="26"/>
      <c r="L314" s="41"/>
      <c r="M314" s="41"/>
      <c r="N314" s="41"/>
      <c r="O314" s="37"/>
      <c r="P314" s="37"/>
      <c r="Q314" s="37"/>
      <c r="S314" s="32"/>
      <c r="T314" s="32"/>
      <c r="U314" s="32"/>
      <c r="V314" s="32"/>
      <c r="W314" s="32"/>
      <c r="X314" s="32"/>
      <c r="Y314" s="32"/>
      <c r="Z314" s="32"/>
      <c r="AA314" s="32"/>
    </row>
    <row r="315" spans="1:27" ht="30">
      <c r="A315" s="39"/>
      <c r="B315" s="40"/>
      <c r="C315" s="16" t="s">
        <v>51</v>
      </c>
      <c r="D315" s="36">
        <v>8</v>
      </c>
      <c r="E315" s="22" t="str">
        <f t="shared" si="196"/>
        <v>15:8</v>
      </c>
      <c r="F315" s="22" t="s">
        <v>43</v>
      </c>
      <c r="G315" s="27" t="s">
        <v>49</v>
      </c>
      <c r="H315" s="23" t="s">
        <v>36</v>
      </c>
      <c r="I315" s="24" t="s">
        <v>35</v>
      </c>
      <c r="J315" s="25" t="s">
        <v>6</v>
      </c>
      <c r="K315" s="26"/>
      <c r="L315" s="41"/>
      <c r="M315" s="41"/>
      <c r="N315" s="41"/>
      <c r="O315" s="37"/>
      <c r="P315" s="37"/>
      <c r="Q315" s="37"/>
      <c r="S315" s="32"/>
      <c r="T315" s="32"/>
      <c r="U315" s="32"/>
      <c r="V315" s="32"/>
      <c r="W315" s="32"/>
      <c r="X315" s="32"/>
      <c r="Y315" s="32"/>
      <c r="Z315" s="32"/>
      <c r="AA315" s="32"/>
    </row>
    <row r="316" spans="1:27" ht="30.75" thickBot="1">
      <c r="A316" s="39"/>
      <c r="B316" s="40"/>
      <c r="C316" s="16" t="s">
        <v>52</v>
      </c>
      <c r="D316" s="36">
        <v>8</v>
      </c>
      <c r="E316" s="22" t="str">
        <f t="shared" si="196"/>
        <v>7:0</v>
      </c>
      <c r="F316" s="22" t="s">
        <v>43</v>
      </c>
      <c r="G316" s="27" t="s">
        <v>49</v>
      </c>
      <c r="H316" s="23" t="s">
        <v>36</v>
      </c>
      <c r="I316" s="24" t="s">
        <v>35</v>
      </c>
      <c r="J316" s="25" t="s">
        <v>6</v>
      </c>
      <c r="K316" s="26"/>
      <c r="L316" s="41"/>
      <c r="M316" s="41"/>
      <c r="N316" s="41"/>
      <c r="O316" s="37"/>
      <c r="P316" s="37"/>
      <c r="Q316" s="37"/>
      <c r="S316" s="32"/>
      <c r="T316" s="32"/>
      <c r="U316" s="32"/>
      <c r="V316" s="32"/>
      <c r="W316" s="32"/>
      <c r="X316" s="32"/>
      <c r="Y316" s="32"/>
      <c r="Z316" s="32"/>
      <c r="AA316" s="32"/>
    </row>
    <row r="317" spans="1:27">
      <c r="A317" s="42" t="str">
        <f>AA317</f>
        <v>REFGEN_REG_QUAD3_SAR2_SLC3</v>
      </c>
      <c r="B317" s="43" t="str">
        <f>DEC2HEX(O317*4)</f>
        <v>0</v>
      </c>
      <c r="C317" s="44" t="str">
        <f>bitConcat(F318:F321)</f>
        <v>32'b00000000000000000000000000000000</v>
      </c>
      <c r="D317" s="44"/>
      <c r="E317" s="44"/>
      <c r="F317" s="44"/>
      <c r="G317" s="44"/>
      <c r="H317" s="44"/>
      <c r="I317" s="44"/>
      <c r="J317" s="44"/>
      <c r="K317" s="44"/>
      <c r="L317" s="45" t="str">
        <f t="shared" si="172"/>
        <v>EC</v>
      </c>
      <c r="M317" s="45"/>
      <c r="N317" s="45">
        <f t="shared" ref="N317" si="197">S317</f>
        <v>0</v>
      </c>
      <c r="O317" s="38">
        <v>0</v>
      </c>
      <c r="P317" s="38" t="str">
        <f t="shared" ref="P317" si="198">DEC2HEX(HEX2DEC(Z317)*4)</f>
        <v>EC</v>
      </c>
      <c r="Q317" s="38" t="str">
        <f>BIN2HEX(LEFT(RIGHT(C317,32),4))&amp;BIN2HEX(LEFT(RIGHT(C317,28),4))&amp;BIN2HEX(LEFT(RIGHT(C317,24),4))&amp;BIN2HEX(LEFT(RIGHT(C317,20),4))&amp;BIN2HEX(LEFT(RIGHT(C317,16),4))&amp;BIN2HEX(LEFT(RIGHT(C317,12),4))&amp;BIN2HEX(LEFT(RIGHT(C317,8),4))&amp;BIN2HEX(LEFT(RIGHT(C317,4),4))</f>
        <v>00000000</v>
      </c>
      <c r="S317" s="32">
        <v>0</v>
      </c>
      <c r="T317" s="32">
        <v>1</v>
      </c>
      <c r="U317" s="32">
        <v>1</v>
      </c>
      <c r="V317" s="32">
        <v>1</v>
      </c>
      <c r="W317" s="32">
        <v>0</v>
      </c>
      <c r="X317" s="32">
        <v>1</v>
      </c>
      <c r="Y317" s="32">
        <v>1</v>
      </c>
      <c r="Z317" s="32" t="str">
        <f t="shared" si="155"/>
        <v>3B</v>
      </c>
      <c r="AA317" s="32" t="str">
        <f>CONCATENATE("REFGEN_REG_QUAD",BIN2DEC(X317&amp;Y317),"_SAR",BIN2DEC(V317&amp;W317),"_SLC",BIN2DEC(S317&amp;T317&amp;U317),)</f>
        <v>REFGEN_REG_QUAD3_SAR2_SLC3</v>
      </c>
    </row>
    <row r="318" spans="1:27" ht="30">
      <c r="A318" s="39"/>
      <c r="B318" s="40"/>
      <c r="C318" s="16" t="s">
        <v>48</v>
      </c>
      <c r="D318" s="36">
        <v>8</v>
      </c>
      <c r="E318" s="21" t="str">
        <f>IF(D318&gt;1,(31)&amp;":"&amp;(31-D318+1),(31-D318+1)&amp;":"&amp;(31-D318+1))</f>
        <v>31:24</v>
      </c>
      <c r="F318" s="22" t="s">
        <v>43</v>
      </c>
      <c r="G318" s="27" t="s">
        <v>49</v>
      </c>
      <c r="H318" s="23" t="s">
        <v>36</v>
      </c>
      <c r="I318" s="24" t="s">
        <v>35</v>
      </c>
      <c r="J318" s="25" t="s">
        <v>6</v>
      </c>
      <c r="K318" s="26"/>
      <c r="L318" s="41"/>
      <c r="M318" s="41"/>
      <c r="N318" s="41"/>
      <c r="O318" s="37"/>
      <c r="P318" s="37"/>
      <c r="Q318" s="37"/>
      <c r="S318" s="32"/>
      <c r="T318" s="32"/>
      <c r="U318" s="32"/>
      <c r="V318" s="32"/>
      <c r="W318" s="32"/>
      <c r="X318" s="32"/>
      <c r="Y318" s="32"/>
      <c r="Z318" s="32"/>
      <c r="AA318" s="32"/>
    </row>
    <row r="319" spans="1:27" ht="30">
      <c r="A319" s="39"/>
      <c r="B319" s="40"/>
      <c r="C319" s="16" t="s">
        <v>50</v>
      </c>
      <c r="D319" s="36">
        <v>8</v>
      </c>
      <c r="E319" s="22" t="str">
        <f t="shared" ref="E319:E321" si="199">(MID(str_cnvt(E318),SEARCH(":",str_cnvt(E318))+1,2)-1) &amp; ":" &amp; (MID(str_cnvt(E318),SEARCH(":",str_cnvt(E318))+1,2)-D319)</f>
        <v>23:16</v>
      </c>
      <c r="F319" s="22" t="s">
        <v>43</v>
      </c>
      <c r="G319" s="27" t="s">
        <v>49</v>
      </c>
      <c r="H319" s="23" t="s">
        <v>36</v>
      </c>
      <c r="I319" s="24" t="s">
        <v>35</v>
      </c>
      <c r="J319" s="25" t="s">
        <v>6</v>
      </c>
      <c r="K319" s="26"/>
      <c r="L319" s="41"/>
      <c r="M319" s="41"/>
      <c r="N319" s="41"/>
      <c r="O319" s="37"/>
      <c r="P319" s="37"/>
      <c r="Q319" s="37"/>
      <c r="S319" s="32"/>
      <c r="T319" s="32"/>
      <c r="U319" s="32"/>
      <c r="V319" s="32"/>
      <c r="W319" s="32"/>
      <c r="X319" s="32"/>
      <c r="Y319" s="32"/>
      <c r="Z319" s="32"/>
      <c r="AA319" s="32"/>
    </row>
    <row r="320" spans="1:27" ht="30">
      <c r="A320" s="39"/>
      <c r="B320" s="40"/>
      <c r="C320" s="16" t="s">
        <v>51</v>
      </c>
      <c r="D320" s="36">
        <v>8</v>
      </c>
      <c r="E320" s="22" t="str">
        <f t="shared" si="199"/>
        <v>15:8</v>
      </c>
      <c r="F320" s="22" t="s">
        <v>43</v>
      </c>
      <c r="G320" s="27" t="s">
        <v>49</v>
      </c>
      <c r="H320" s="23" t="s">
        <v>36</v>
      </c>
      <c r="I320" s="24" t="s">
        <v>35</v>
      </c>
      <c r="J320" s="25" t="s">
        <v>6</v>
      </c>
      <c r="K320" s="26"/>
      <c r="L320" s="41"/>
      <c r="M320" s="41"/>
      <c r="N320" s="41"/>
      <c r="O320" s="37"/>
      <c r="P320" s="37"/>
      <c r="Q320" s="37"/>
      <c r="S320" s="32"/>
      <c r="T320" s="32"/>
      <c r="U320" s="32"/>
      <c r="V320" s="32"/>
      <c r="W320" s="32"/>
      <c r="X320" s="32"/>
      <c r="Y320" s="32"/>
      <c r="Z320" s="32"/>
      <c r="AA320" s="32"/>
    </row>
    <row r="321" spans="1:27" ht="30.75" thickBot="1">
      <c r="A321" s="39"/>
      <c r="B321" s="40"/>
      <c r="C321" s="16" t="s">
        <v>52</v>
      </c>
      <c r="D321" s="36">
        <v>8</v>
      </c>
      <c r="E321" s="22" t="str">
        <f t="shared" si="199"/>
        <v>7:0</v>
      </c>
      <c r="F321" s="22" t="s">
        <v>43</v>
      </c>
      <c r="G321" s="27" t="s">
        <v>49</v>
      </c>
      <c r="H321" s="23" t="s">
        <v>36</v>
      </c>
      <c r="I321" s="24" t="s">
        <v>35</v>
      </c>
      <c r="J321" s="25" t="s">
        <v>6</v>
      </c>
      <c r="K321" s="26"/>
      <c r="L321" s="41"/>
      <c r="M321" s="41"/>
      <c r="N321" s="41"/>
      <c r="O321" s="37"/>
      <c r="P321" s="37"/>
      <c r="Q321" s="37"/>
      <c r="S321" s="32"/>
      <c r="T321" s="32"/>
      <c r="U321" s="32"/>
      <c r="V321" s="32"/>
      <c r="W321" s="32"/>
      <c r="X321" s="32"/>
      <c r="Y321" s="32"/>
      <c r="Z321" s="32"/>
      <c r="AA321" s="32"/>
    </row>
    <row r="322" spans="1:27">
      <c r="A322" s="42" t="str">
        <f>AA322</f>
        <v>REFGEN_REG_QUAD0_SAR2_SLC4</v>
      </c>
      <c r="B322" s="43" t="str">
        <f>DEC2HEX(O322*4)</f>
        <v>0</v>
      </c>
      <c r="C322" s="44" t="str">
        <f>bitConcat(F323:F326)</f>
        <v>32'b00000000000000000000000000000000</v>
      </c>
      <c r="D322" s="44"/>
      <c r="E322" s="44"/>
      <c r="F322" s="44"/>
      <c r="G322" s="44"/>
      <c r="H322" s="44"/>
      <c r="I322" s="44"/>
      <c r="J322" s="44"/>
      <c r="K322" s="44"/>
      <c r="L322" s="45" t="str">
        <f t="shared" si="172"/>
        <v>1A0</v>
      </c>
      <c r="M322" s="45"/>
      <c r="N322" s="45">
        <f t="shared" ref="N322" si="200">S322</f>
        <v>1</v>
      </c>
      <c r="O322" s="38">
        <v>0</v>
      </c>
      <c r="P322" s="38" t="str">
        <f t="shared" ref="P322" si="201">DEC2HEX(HEX2DEC(Z322)*4)</f>
        <v>120</v>
      </c>
      <c r="Q322" s="38" t="str">
        <f>BIN2HEX(LEFT(RIGHT(C322,32),4))&amp;BIN2HEX(LEFT(RIGHT(C322,28),4))&amp;BIN2HEX(LEFT(RIGHT(C322,24),4))&amp;BIN2HEX(LEFT(RIGHT(C322,20),4))&amp;BIN2HEX(LEFT(RIGHT(C322,16),4))&amp;BIN2HEX(LEFT(RIGHT(C322,12),4))&amp;BIN2HEX(LEFT(RIGHT(C322,8),4))&amp;BIN2HEX(LEFT(RIGHT(C322,4),4))</f>
        <v>00000000</v>
      </c>
      <c r="S322" s="32">
        <v>1</v>
      </c>
      <c r="T322" s="32">
        <v>0</v>
      </c>
      <c r="U322" s="32">
        <v>0</v>
      </c>
      <c r="V322" s="32">
        <v>1</v>
      </c>
      <c r="W322" s="32">
        <v>0</v>
      </c>
      <c r="X322" s="32">
        <v>0</v>
      </c>
      <c r="Y322" s="32">
        <v>0</v>
      </c>
      <c r="Z322" s="32" t="str">
        <f t="shared" si="155"/>
        <v>48</v>
      </c>
      <c r="AA322" s="32" t="str">
        <f>CONCATENATE("REFGEN_REG_QUAD",BIN2DEC(X322&amp;Y322),"_SAR",BIN2DEC(V322&amp;W322),"_SLC",BIN2DEC(S322&amp;T322&amp;U322),)</f>
        <v>REFGEN_REG_QUAD0_SAR2_SLC4</v>
      </c>
    </row>
    <row r="323" spans="1:27" ht="30">
      <c r="A323" s="39"/>
      <c r="B323" s="40"/>
      <c r="C323" s="16" t="s">
        <v>48</v>
      </c>
      <c r="D323" s="36">
        <v>8</v>
      </c>
      <c r="E323" s="21" t="str">
        <f>IF(D323&gt;1,(31)&amp;":"&amp;(31-D323+1),(31-D323+1)&amp;":"&amp;(31-D323+1))</f>
        <v>31:24</v>
      </c>
      <c r="F323" s="22" t="s">
        <v>43</v>
      </c>
      <c r="G323" s="27" t="s">
        <v>49</v>
      </c>
      <c r="H323" s="23" t="s">
        <v>36</v>
      </c>
      <c r="I323" s="24" t="s">
        <v>35</v>
      </c>
      <c r="J323" s="25" t="s">
        <v>6</v>
      </c>
      <c r="K323" s="26"/>
      <c r="L323" s="41"/>
      <c r="M323" s="41"/>
      <c r="N323" s="41"/>
      <c r="O323" s="37"/>
      <c r="P323" s="37"/>
      <c r="Q323" s="37"/>
      <c r="S323" s="32"/>
      <c r="T323" s="32"/>
      <c r="U323" s="32"/>
      <c r="V323" s="32"/>
      <c r="W323" s="32"/>
      <c r="X323" s="32"/>
      <c r="Y323" s="32"/>
      <c r="Z323" s="32"/>
      <c r="AA323" s="32"/>
    </row>
    <row r="324" spans="1:27" ht="30">
      <c r="A324" s="39"/>
      <c r="B324" s="40"/>
      <c r="C324" s="16" t="s">
        <v>50</v>
      </c>
      <c r="D324" s="36">
        <v>8</v>
      </c>
      <c r="E324" s="22" t="str">
        <f t="shared" ref="E324:E326" si="202">(MID(str_cnvt(E323),SEARCH(":",str_cnvt(E323))+1,2)-1) &amp; ":" &amp; (MID(str_cnvt(E323),SEARCH(":",str_cnvt(E323))+1,2)-D324)</f>
        <v>23:16</v>
      </c>
      <c r="F324" s="22" t="s">
        <v>43</v>
      </c>
      <c r="G324" s="27" t="s">
        <v>49</v>
      </c>
      <c r="H324" s="23" t="s">
        <v>36</v>
      </c>
      <c r="I324" s="24" t="s">
        <v>35</v>
      </c>
      <c r="J324" s="25" t="s">
        <v>6</v>
      </c>
      <c r="K324" s="26"/>
      <c r="L324" s="41"/>
      <c r="M324" s="41"/>
      <c r="N324" s="41"/>
      <c r="O324" s="37"/>
      <c r="P324" s="37"/>
      <c r="Q324" s="37"/>
      <c r="S324" s="32"/>
      <c r="T324" s="32"/>
      <c r="U324" s="32"/>
      <c r="V324" s="32"/>
      <c r="W324" s="32"/>
      <c r="X324" s="32"/>
      <c r="Y324" s="32"/>
      <c r="Z324" s="32"/>
      <c r="AA324" s="32"/>
    </row>
    <row r="325" spans="1:27" ht="30">
      <c r="A325" s="39"/>
      <c r="B325" s="40"/>
      <c r="C325" s="16" t="s">
        <v>51</v>
      </c>
      <c r="D325" s="36">
        <v>8</v>
      </c>
      <c r="E325" s="22" t="str">
        <f t="shared" si="202"/>
        <v>15:8</v>
      </c>
      <c r="F325" s="22" t="s">
        <v>43</v>
      </c>
      <c r="G325" s="27" t="s">
        <v>49</v>
      </c>
      <c r="H325" s="23" t="s">
        <v>36</v>
      </c>
      <c r="I325" s="24" t="s">
        <v>35</v>
      </c>
      <c r="J325" s="25" t="s">
        <v>6</v>
      </c>
      <c r="K325" s="26"/>
      <c r="L325" s="41"/>
      <c r="M325" s="41"/>
      <c r="N325" s="41"/>
      <c r="O325" s="37"/>
      <c r="P325" s="37"/>
      <c r="Q325" s="37"/>
      <c r="S325" s="32"/>
      <c r="T325" s="32"/>
      <c r="U325" s="32"/>
      <c r="V325" s="32"/>
      <c r="W325" s="32"/>
      <c r="X325" s="32"/>
      <c r="Y325" s="32"/>
      <c r="Z325" s="32"/>
      <c r="AA325" s="32"/>
    </row>
    <row r="326" spans="1:27" ht="30.75" thickBot="1">
      <c r="A326" s="39"/>
      <c r="B326" s="40"/>
      <c r="C326" s="16" t="s">
        <v>52</v>
      </c>
      <c r="D326" s="36">
        <v>8</v>
      </c>
      <c r="E326" s="22" t="str">
        <f t="shared" si="202"/>
        <v>7:0</v>
      </c>
      <c r="F326" s="22" t="s">
        <v>43</v>
      </c>
      <c r="G326" s="27" t="s">
        <v>49</v>
      </c>
      <c r="H326" s="23" t="s">
        <v>36</v>
      </c>
      <c r="I326" s="24" t="s">
        <v>35</v>
      </c>
      <c r="J326" s="25" t="s">
        <v>6</v>
      </c>
      <c r="K326" s="26"/>
      <c r="L326" s="41"/>
      <c r="M326" s="41"/>
      <c r="N326" s="41"/>
      <c r="O326" s="37"/>
      <c r="P326" s="37"/>
      <c r="Q326" s="37"/>
      <c r="S326" s="32"/>
      <c r="T326" s="32"/>
      <c r="U326" s="32"/>
      <c r="V326" s="32"/>
      <c r="W326" s="32"/>
      <c r="X326" s="32"/>
      <c r="Y326" s="32"/>
      <c r="Z326" s="32"/>
      <c r="AA326" s="32"/>
    </row>
    <row r="327" spans="1:27">
      <c r="A327" s="42" t="str">
        <f>AA327</f>
        <v>REFGEN_REG_QUAD1_SAR2_SLC4</v>
      </c>
      <c r="B327" s="43" t="str">
        <f>DEC2HEX(O327*4)</f>
        <v>0</v>
      </c>
      <c r="C327" s="44" t="str">
        <f>bitConcat(F328:F331)</f>
        <v>32'b00000000000000000000000000000000</v>
      </c>
      <c r="D327" s="44"/>
      <c r="E327" s="44"/>
      <c r="F327" s="44"/>
      <c r="G327" s="44"/>
      <c r="H327" s="44"/>
      <c r="I327" s="44"/>
      <c r="J327" s="44"/>
      <c r="K327" s="44"/>
      <c r="L327" s="45" t="str">
        <f t="shared" si="172"/>
        <v>1A4</v>
      </c>
      <c r="M327" s="45"/>
      <c r="N327" s="45">
        <f t="shared" ref="N327" si="203">S327</f>
        <v>1</v>
      </c>
      <c r="O327" s="38">
        <v>0</v>
      </c>
      <c r="P327" s="38" t="str">
        <f t="shared" ref="P327" si="204">DEC2HEX(HEX2DEC(Z327)*4)</f>
        <v>124</v>
      </c>
      <c r="Q327" s="38" t="str">
        <f>BIN2HEX(LEFT(RIGHT(C327,32),4))&amp;BIN2HEX(LEFT(RIGHT(C327,28),4))&amp;BIN2HEX(LEFT(RIGHT(C327,24),4))&amp;BIN2HEX(LEFT(RIGHT(C327,20),4))&amp;BIN2HEX(LEFT(RIGHT(C327,16),4))&amp;BIN2HEX(LEFT(RIGHT(C327,12),4))&amp;BIN2HEX(LEFT(RIGHT(C327,8),4))&amp;BIN2HEX(LEFT(RIGHT(C327,4),4))</f>
        <v>00000000</v>
      </c>
      <c r="S327" s="32">
        <v>1</v>
      </c>
      <c r="T327" s="32">
        <v>0</v>
      </c>
      <c r="U327" s="32">
        <v>0</v>
      </c>
      <c r="V327" s="32">
        <v>1</v>
      </c>
      <c r="W327" s="32">
        <v>0</v>
      </c>
      <c r="X327" s="32">
        <v>0</v>
      </c>
      <c r="Y327" s="32">
        <v>1</v>
      </c>
      <c r="Z327" s="32" t="str">
        <f t="shared" si="155"/>
        <v>49</v>
      </c>
      <c r="AA327" s="32" t="str">
        <f>CONCATENATE("REFGEN_REG_QUAD",BIN2DEC(X327&amp;Y327),"_SAR",BIN2DEC(V327&amp;W327),"_SLC",BIN2DEC(S327&amp;T327&amp;U327),)</f>
        <v>REFGEN_REG_QUAD1_SAR2_SLC4</v>
      </c>
    </row>
    <row r="328" spans="1:27" ht="30">
      <c r="A328" s="39"/>
      <c r="B328" s="40"/>
      <c r="C328" s="16" t="s">
        <v>48</v>
      </c>
      <c r="D328" s="36">
        <v>8</v>
      </c>
      <c r="E328" s="21" t="str">
        <f>IF(D328&gt;1,(31)&amp;":"&amp;(31-D328+1),(31-D328+1)&amp;":"&amp;(31-D328+1))</f>
        <v>31:24</v>
      </c>
      <c r="F328" s="22" t="s">
        <v>43</v>
      </c>
      <c r="G328" s="27" t="s">
        <v>49</v>
      </c>
      <c r="H328" s="23" t="s">
        <v>36</v>
      </c>
      <c r="I328" s="24" t="s">
        <v>35</v>
      </c>
      <c r="J328" s="25" t="s">
        <v>6</v>
      </c>
      <c r="K328" s="26"/>
      <c r="L328" s="41"/>
      <c r="M328" s="41"/>
      <c r="N328" s="41"/>
      <c r="O328" s="37"/>
      <c r="P328" s="37"/>
      <c r="Q328" s="37"/>
      <c r="S328" s="32"/>
      <c r="T328" s="32"/>
      <c r="U328" s="32"/>
      <c r="V328" s="32"/>
      <c r="W328" s="32"/>
      <c r="X328" s="32"/>
      <c r="Y328" s="32"/>
      <c r="Z328" s="32"/>
      <c r="AA328" s="32"/>
    </row>
    <row r="329" spans="1:27" ht="30">
      <c r="A329" s="39"/>
      <c r="B329" s="40"/>
      <c r="C329" s="16" t="s">
        <v>50</v>
      </c>
      <c r="D329" s="36">
        <v>8</v>
      </c>
      <c r="E329" s="22" t="str">
        <f t="shared" ref="E329:E331" si="205">(MID(str_cnvt(E328),SEARCH(":",str_cnvt(E328))+1,2)-1) &amp; ":" &amp; (MID(str_cnvt(E328),SEARCH(":",str_cnvt(E328))+1,2)-D329)</f>
        <v>23:16</v>
      </c>
      <c r="F329" s="22" t="s">
        <v>43</v>
      </c>
      <c r="G329" s="27" t="s">
        <v>49</v>
      </c>
      <c r="H329" s="23" t="s">
        <v>36</v>
      </c>
      <c r="I329" s="24" t="s">
        <v>35</v>
      </c>
      <c r="J329" s="25" t="s">
        <v>6</v>
      </c>
      <c r="K329" s="26"/>
      <c r="L329" s="41"/>
      <c r="M329" s="41"/>
      <c r="N329" s="41"/>
      <c r="O329" s="37"/>
      <c r="P329" s="37"/>
      <c r="Q329" s="37"/>
      <c r="S329" s="32"/>
      <c r="T329" s="32"/>
      <c r="U329" s="32"/>
      <c r="V329" s="32"/>
      <c r="W329" s="32"/>
      <c r="X329" s="32"/>
      <c r="Y329" s="32"/>
      <c r="Z329" s="32"/>
      <c r="AA329" s="32"/>
    </row>
    <row r="330" spans="1:27" ht="30">
      <c r="A330" s="39"/>
      <c r="B330" s="40"/>
      <c r="C330" s="16" t="s">
        <v>51</v>
      </c>
      <c r="D330" s="36">
        <v>8</v>
      </c>
      <c r="E330" s="22" t="str">
        <f t="shared" si="205"/>
        <v>15:8</v>
      </c>
      <c r="F330" s="22" t="s">
        <v>43</v>
      </c>
      <c r="G330" s="27" t="s">
        <v>49</v>
      </c>
      <c r="H330" s="23" t="s">
        <v>36</v>
      </c>
      <c r="I330" s="24" t="s">
        <v>35</v>
      </c>
      <c r="J330" s="25" t="s">
        <v>6</v>
      </c>
      <c r="K330" s="26"/>
      <c r="L330" s="41"/>
      <c r="M330" s="41"/>
      <c r="N330" s="41"/>
      <c r="O330" s="37"/>
      <c r="P330" s="37"/>
      <c r="Q330" s="37"/>
      <c r="S330" s="32"/>
      <c r="T330" s="32"/>
      <c r="U330" s="32"/>
      <c r="V330" s="32"/>
      <c r="W330" s="32"/>
      <c r="X330" s="32"/>
      <c r="Y330" s="32"/>
      <c r="Z330" s="32"/>
      <c r="AA330" s="32"/>
    </row>
    <row r="331" spans="1:27" ht="30.75" thickBot="1">
      <c r="A331" s="39"/>
      <c r="B331" s="40"/>
      <c r="C331" s="16" t="s">
        <v>52</v>
      </c>
      <c r="D331" s="36">
        <v>8</v>
      </c>
      <c r="E331" s="22" t="str">
        <f t="shared" si="205"/>
        <v>7:0</v>
      </c>
      <c r="F331" s="22" t="s">
        <v>43</v>
      </c>
      <c r="G331" s="27" t="s">
        <v>49</v>
      </c>
      <c r="H331" s="23" t="s">
        <v>36</v>
      </c>
      <c r="I331" s="24" t="s">
        <v>35</v>
      </c>
      <c r="J331" s="25" t="s">
        <v>6</v>
      </c>
      <c r="K331" s="26"/>
      <c r="L331" s="41"/>
      <c r="M331" s="41"/>
      <c r="N331" s="41"/>
      <c r="O331" s="37"/>
      <c r="P331" s="37"/>
      <c r="Q331" s="37"/>
      <c r="S331" s="32"/>
      <c r="T331" s="32"/>
      <c r="U331" s="32"/>
      <c r="V331" s="32"/>
      <c r="W331" s="32"/>
      <c r="X331" s="32"/>
      <c r="Y331" s="32"/>
      <c r="Z331" s="32"/>
      <c r="AA331" s="32"/>
    </row>
    <row r="332" spans="1:27">
      <c r="A332" s="42" t="str">
        <f>AA332</f>
        <v>REFGEN_REG_QUAD2_SAR2_SLC4</v>
      </c>
      <c r="B332" s="43" t="str">
        <f>DEC2HEX(O332*4)</f>
        <v>0</v>
      </c>
      <c r="C332" s="44" t="str">
        <f>bitConcat(F333:F336)</f>
        <v>32'b00000000000000000000000000000000</v>
      </c>
      <c r="D332" s="44"/>
      <c r="E332" s="44"/>
      <c r="F332" s="44"/>
      <c r="G332" s="44"/>
      <c r="H332" s="44"/>
      <c r="I332" s="44"/>
      <c r="J332" s="44"/>
      <c r="K332" s="44"/>
      <c r="L332" s="45" t="str">
        <f t="shared" si="172"/>
        <v>1A8</v>
      </c>
      <c r="M332" s="45"/>
      <c r="N332" s="45">
        <f t="shared" ref="N332" si="206">S332</f>
        <v>1</v>
      </c>
      <c r="O332" s="38">
        <v>0</v>
      </c>
      <c r="P332" s="38" t="str">
        <f t="shared" ref="P332" si="207">DEC2HEX(HEX2DEC(Z332)*4)</f>
        <v>128</v>
      </c>
      <c r="Q332" s="38" t="str">
        <f>BIN2HEX(LEFT(RIGHT(C332,32),4))&amp;BIN2HEX(LEFT(RIGHT(C332,28),4))&amp;BIN2HEX(LEFT(RIGHT(C332,24),4))&amp;BIN2HEX(LEFT(RIGHT(C332,20),4))&amp;BIN2HEX(LEFT(RIGHT(C332,16),4))&amp;BIN2HEX(LEFT(RIGHT(C332,12),4))&amp;BIN2HEX(LEFT(RIGHT(C332,8),4))&amp;BIN2HEX(LEFT(RIGHT(C332,4),4))</f>
        <v>00000000</v>
      </c>
      <c r="S332" s="32">
        <v>1</v>
      </c>
      <c r="T332" s="32">
        <v>0</v>
      </c>
      <c r="U332" s="32">
        <v>0</v>
      </c>
      <c r="V332" s="32">
        <v>1</v>
      </c>
      <c r="W332" s="32">
        <v>0</v>
      </c>
      <c r="X332" s="32">
        <v>1</v>
      </c>
      <c r="Y332" s="32">
        <v>0</v>
      </c>
      <c r="Z332" s="32" t="str">
        <f t="shared" si="155"/>
        <v>4A</v>
      </c>
      <c r="AA332" s="32" t="str">
        <f>CONCATENATE("REFGEN_REG_QUAD",BIN2DEC(X332&amp;Y332),"_SAR",BIN2DEC(V332&amp;W332),"_SLC",BIN2DEC(S332&amp;T332&amp;U332),)</f>
        <v>REFGEN_REG_QUAD2_SAR2_SLC4</v>
      </c>
    </row>
    <row r="333" spans="1:27" ht="30">
      <c r="A333" s="39"/>
      <c r="B333" s="40"/>
      <c r="C333" s="16" t="s">
        <v>48</v>
      </c>
      <c r="D333" s="36">
        <v>8</v>
      </c>
      <c r="E333" s="21" t="str">
        <f>IF(D333&gt;1,(31)&amp;":"&amp;(31-D333+1),(31-D333+1)&amp;":"&amp;(31-D333+1))</f>
        <v>31:24</v>
      </c>
      <c r="F333" s="22" t="s">
        <v>43</v>
      </c>
      <c r="G333" s="27" t="s">
        <v>49</v>
      </c>
      <c r="H333" s="23" t="s">
        <v>36</v>
      </c>
      <c r="I333" s="24" t="s">
        <v>35</v>
      </c>
      <c r="J333" s="25" t="s">
        <v>6</v>
      </c>
      <c r="K333" s="26"/>
      <c r="L333" s="41"/>
      <c r="M333" s="41"/>
      <c r="N333" s="41"/>
      <c r="O333" s="37"/>
      <c r="P333" s="37"/>
      <c r="Q333" s="37"/>
      <c r="S333" s="32"/>
      <c r="T333" s="32"/>
      <c r="U333" s="32"/>
      <c r="V333" s="32"/>
      <c r="W333" s="32"/>
      <c r="X333" s="32"/>
      <c r="Y333" s="32"/>
      <c r="Z333" s="32"/>
      <c r="AA333" s="32"/>
    </row>
    <row r="334" spans="1:27" ht="30">
      <c r="A334" s="39"/>
      <c r="B334" s="40"/>
      <c r="C334" s="16" t="s">
        <v>50</v>
      </c>
      <c r="D334" s="36">
        <v>8</v>
      </c>
      <c r="E334" s="22" t="str">
        <f t="shared" ref="E334:E336" si="208">(MID(str_cnvt(E333),SEARCH(":",str_cnvt(E333))+1,2)-1) &amp; ":" &amp; (MID(str_cnvt(E333),SEARCH(":",str_cnvt(E333))+1,2)-D334)</f>
        <v>23:16</v>
      </c>
      <c r="F334" s="22" t="s">
        <v>43</v>
      </c>
      <c r="G334" s="27" t="s">
        <v>49</v>
      </c>
      <c r="H334" s="23" t="s">
        <v>36</v>
      </c>
      <c r="I334" s="24" t="s">
        <v>35</v>
      </c>
      <c r="J334" s="25" t="s">
        <v>6</v>
      </c>
      <c r="K334" s="26"/>
      <c r="L334" s="41"/>
      <c r="M334" s="41"/>
      <c r="N334" s="41"/>
      <c r="O334" s="37"/>
      <c r="P334" s="37"/>
      <c r="Q334" s="37"/>
      <c r="S334" s="32"/>
      <c r="T334" s="32"/>
      <c r="U334" s="32"/>
      <c r="V334" s="32"/>
      <c r="W334" s="32"/>
      <c r="X334" s="32"/>
      <c r="Y334" s="32"/>
      <c r="Z334" s="32"/>
      <c r="AA334" s="32"/>
    </row>
    <row r="335" spans="1:27" ht="30">
      <c r="A335" s="39"/>
      <c r="B335" s="40"/>
      <c r="C335" s="16" t="s">
        <v>51</v>
      </c>
      <c r="D335" s="36">
        <v>8</v>
      </c>
      <c r="E335" s="22" t="str">
        <f t="shared" si="208"/>
        <v>15:8</v>
      </c>
      <c r="F335" s="22" t="s">
        <v>43</v>
      </c>
      <c r="G335" s="27" t="s">
        <v>49</v>
      </c>
      <c r="H335" s="23" t="s">
        <v>36</v>
      </c>
      <c r="I335" s="24" t="s">
        <v>35</v>
      </c>
      <c r="J335" s="25" t="s">
        <v>6</v>
      </c>
      <c r="K335" s="26"/>
      <c r="L335" s="41"/>
      <c r="M335" s="41"/>
      <c r="N335" s="41"/>
      <c r="O335" s="37"/>
      <c r="P335" s="37"/>
      <c r="Q335" s="37"/>
      <c r="S335" s="32"/>
      <c r="T335" s="32"/>
      <c r="U335" s="32"/>
      <c r="V335" s="32"/>
      <c r="W335" s="32"/>
      <c r="X335" s="32"/>
      <c r="Y335" s="32"/>
      <c r="Z335" s="32"/>
      <c r="AA335" s="32"/>
    </row>
    <row r="336" spans="1:27" ht="30.75" thickBot="1">
      <c r="A336" s="39"/>
      <c r="B336" s="40"/>
      <c r="C336" s="16" t="s">
        <v>52</v>
      </c>
      <c r="D336" s="36">
        <v>8</v>
      </c>
      <c r="E336" s="22" t="str">
        <f t="shared" si="208"/>
        <v>7:0</v>
      </c>
      <c r="F336" s="22" t="s">
        <v>43</v>
      </c>
      <c r="G336" s="27" t="s">
        <v>49</v>
      </c>
      <c r="H336" s="23" t="s">
        <v>36</v>
      </c>
      <c r="I336" s="24" t="s">
        <v>35</v>
      </c>
      <c r="J336" s="25" t="s">
        <v>6</v>
      </c>
      <c r="K336" s="26"/>
      <c r="L336" s="41"/>
      <c r="M336" s="41"/>
      <c r="N336" s="41"/>
      <c r="O336" s="37"/>
      <c r="P336" s="37"/>
      <c r="Q336" s="37"/>
      <c r="S336" s="32"/>
      <c r="T336" s="32"/>
      <c r="U336" s="32"/>
      <c r="V336" s="32"/>
      <c r="W336" s="32"/>
      <c r="X336" s="32"/>
      <c r="Y336" s="32"/>
      <c r="Z336" s="32"/>
      <c r="AA336" s="32"/>
    </row>
    <row r="337" spans="1:27">
      <c r="A337" s="42" t="str">
        <f>AA337</f>
        <v>REFGEN_REG_QUAD3_SAR2_SLC4</v>
      </c>
      <c r="B337" s="43" t="str">
        <f>DEC2HEX(O337*4)</f>
        <v>0</v>
      </c>
      <c r="C337" s="44" t="str">
        <f>bitConcat(F338:F341)</f>
        <v>32'b00000000000000000000000000000000</v>
      </c>
      <c r="D337" s="44"/>
      <c r="E337" s="44"/>
      <c r="F337" s="44"/>
      <c r="G337" s="44"/>
      <c r="H337" s="44"/>
      <c r="I337" s="44"/>
      <c r="J337" s="44"/>
      <c r="K337" s="44"/>
      <c r="L337" s="45" t="str">
        <f t="shared" si="172"/>
        <v>1AC</v>
      </c>
      <c r="M337" s="45"/>
      <c r="N337" s="45">
        <f t="shared" ref="N337" si="209">S337</f>
        <v>1</v>
      </c>
      <c r="O337" s="38">
        <v>0</v>
      </c>
      <c r="P337" s="38" t="str">
        <f t="shared" ref="P337" si="210">DEC2HEX(HEX2DEC(Z337)*4)</f>
        <v>12C</v>
      </c>
      <c r="Q337" s="38" t="str">
        <f>BIN2HEX(LEFT(RIGHT(C337,32),4))&amp;BIN2HEX(LEFT(RIGHT(C337,28),4))&amp;BIN2HEX(LEFT(RIGHT(C337,24),4))&amp;BIN2HEX(LEFT(RIGHT(C337,20),4))&amp;BIN2HEX(LEFT(RIGHT(C337,16),4))&amp;BIN2HEX(LEFT(RIGHT(C337,12),4))&amp;BIN2HEX(LEFT(RIGHT(C337,8),4))&amp;BIN2HEX(LEFT(RIGHT(C337,4),4))</f>
        <v>00000000</v>
      </c>
      <c r="S337" s="32">
        <v>1</v>
      </c>
      <c r="T337" s="32">
        <v>0</v>
      </c>
      <c r="U337" s="32">
        <v>0</v>
      </c>
      <c r="V337" s="32">
        <v>1</v>
      </c>
      <c r="W337" s="32">
        <v>0</v>
      </c>
      <c r="X337" s="32">
        <v>1</v>
      </c>
      <c r="Y337" s="32">
        <v>1</v>
      </c>
      <c r="Z337" s="32" t="str">
        <f t="shared" si="155"/>
        <v>4B</v>
      </c>
      <c r="AA337" s="32" t="str">
        <f>CONCATENATE("REFGEN_REG_QUAD",BIN2DEC(X337&amp;Y337),"_SAR",BIN2DEC(V337&amp;W337),"_SLC",BIN2DEC(S337&amp;T337&amp;U337),)</f>
        <v>REFGEN_REG_QUAD3_SAR2_SLC4</v>
      </c>
    </row>
    <row r="338" spans="1:27" ht="30">
      <c r="A338" s="39"/>
      <c r="B338" s="40"/>
      <c r="C338" s="16" t="s">
        <v>48</v>
      </c>
      <c r="D338" s="36">
        <v>8</v>
      </c>
      <c r="E338" s="21" t="str">
        <f>IF(D338&gt;1,(31)&amp;":"&amp;(31-D338+1),(31-D338+1)&amp;":"&amp;(31-D338+1))</f>
        <v>31:24</v>
      </c>
      <c r="F338" s="22" t="s">
        <v>43</v>
      </c>
      <c r="G338" s="27" t="s">
        <v>49</v>
      </c>
      <c r="H338" s="23" t="s">
        <v>36</v>
      </c>
      <c r="I338" s="24" t="s">
        <v>35</v>
      </c>
      <c r="J338" s="25" t="s">
        <v>6</v>
      </c>
      <c r="K338" s="26"/>
      <c r="L338" s="41"/>
      <c r="M338" s="41"/>
      <c r="N338" s="41"/>
      <c r="O338" s="37"/>
      <c r="P338" s="37"/>
      <c r="Q338" s="37"/>
      <c r="S338" s="32"/>
      <c r="T338" s="32"/>
      <c r="U338" s="32"/>
      <c r="V338" s="32"/>
      <c r="W338" s="32"/>
      <c r="X338" s="32"/>
      <c r="Y338" s="32"/>
      <c r="Z338" s="32"/>
      <c r="AA338" s="32"/>
    </row>
    <row r="339" spans="1:27" ht="30">
      <c r="A339" s="39"/>
      <c r="B339" s="40"/>
      <c r="C339" s="16" t="s">
        <v>50</v>
      </c>
      <c r="D339" s="36">
        <v>8</v>
      </c>
      <c r="E339" s="22" t="str">
        <f t="shared" ref="E339:E341" si="211">(MID(str_cnvt(E338),SEARCH(":",str_cnvt(E338))+1,2)-1) &amp; ":" &amp; (MID(str_cnvt(E338),SEARCH(":",str_cnvt(E338))+1,2)-D339)</f>
        <v>23:16</v>
      </c>
      <c r="F339" s="22" t="s">
        <v>43</v>
      </c>
      <c r="G339" s="27" t="s">
        <v>49</v>
      </c>
      <c r="H339" s="23" t="s">
        <v>36</v>
      </c>
      <c r="I339" s="24" t="s">
        <v>35</v>
      </c>
      <c r="J339" s="25" t="s">
        <v>6</v>
      </c>
      <c r="K339" s="26"/>
      <c r="L339" s="41"/>
      <c r="M339" s="41"/>
      <c r="N339" s="41"/>
      <c r="O339" s="37"/>
      <c r="P339" s="37"/>
      <c r="Q339" s="37"/>
      <c r="S339" s="32"/>
      <c r="T339" s="32"/>
      <c r="U339" s="32"/>
      <c r="V339" s="32"/>
      <c r="W339" s="32"/>
      <c r="X339" s="32"/>
      <c r="Y339" s="32"/>
      <c r="Z339" s="32"/>
      <c r="AA339" s="32"/>
    </row>
    <row r="340" spans="1:27" ht="30">
      <c r="A340" s="39"/>
      <c r="B340" s="40"/>
      <c r="C340" s="16" t="s">
        <v>51</v>
      </c>
      <c r="D340" s="36">
        <v>8</v>
      </c>
      <c r="E340" s="22" t="str">
        <f t="shared" si="211"/>
        <v>15:8</v>
      </c>
      <c r="F340" s="22" t="s">
        <v>43</v>
      </c>
      <c r="G340" s="27" t="s">
        <v>49</v>
      </c>
      <c r="H340" s="23" t="s">
        <v>36</v>
      </c>
      <c r="I340" s="24" t="s">
        <v>35</v>
      </c>
      <c r="J340" s="25" t="s">
        <v>6</v>
      </c>
      <c r="K340" s="26"/>
      <c r="L340" s="41"/>
      <c r="M340" s="41"/>
      <c r="N340" s="41"/>
      <c r="O340" s="37"/>
      <c r="P340" s="37"/>
      <c r="Q340" s="37"/>
      <c r="S340" s="32"/>
      <c r="T340" s="32"/>
      <c r="U340" s="32"/>
      <c r="V340" s="32"/>
      <c r="W340" s="32"/>
      <c r="X340" s="32"/>
      <c r="Y340" s="32"/>
      <c r="Z340" s="32"/>
      <c r="AA340" s="32"/>
    </row>
    <row r="341" spans="1:27" ht="30.75" thickBot="1">
      <c r="A341" s="39"/>
      <c r="B341" s="40"/>
      <c r="C341" s="16" t="s">
        <v>52</v>
      </c>
      <c r="D341" s="36">
        <v>8</v>
      </c>
      <c r="E341" s="22" t="str">
        <f t="shared" si="211"/>
        <v>7:0</v>
      </c>
      <c r="F341" s="22" t="s">
        <v>43</v>
      </c>
      <c r="G341" s="27" t="s">
        <v>49</v>
      </c>
      <c r="H341" s="23" t="s">
        <v>36</v>
      </c>
      <c r="I341" s="24" t="s">
        <v>35</v>
      </c>
      <c r="J341" s="25" t="s">
        <v>6</v>
      </c>
      <c r="K341" s="26"/>
      <c r="L341" s="41"/>
      <c r="M341" s="41"/>
      <c r="N341" s="41"/>
      <c r="O341" s="37"/>
      <c r="P341" s="37"/>
      <c r="Q341" s="37"/>
      <c r="S341" s="32"/>
      <c r="T341" s="32"/>
      <c r="U341" s="32"/>
      <c r="V341" s="32"/>
      <c r="W341" s="32"/>
      <c r="X341" s="32"/>
      <c r="Y341" s="32"/>
      <c r="Z341" s="32"/>
      <c r="AA341" s="32"/>
    </row>
    <row r="342" spans="1:27">
      <c r="A342" s="42" t="str">
        <f>AA342</f>
        <v>REFGEN_REG_QUAD0_SAR2_SLC5</v>
      </c>
      <c r="B342" s="43" t="str">
        <f>DEC2HEX(O342*4)</f>
        <v>0</v>
      </c>
      <c r="C342" s="44" t="str">
        <f>bitConcat(F343:F346)</f>
        <v>32'b00000000000000000000000000000000</v>
      </c>
      <c r="D342" s="44"/>
      <c r="E342" s="44"/>
      <c r="F342" s="44"/>
      <c r="G342" s="44"/>
      <c r="H342" s="44"/>
      <c r="I342" s="44"/>
      <c r="J342" s="44"/>
      <c r="K342" s="44"/>
      <c r="L342" s="45" t="str">
        <f t="shared" ref="L342:L402" si="212">DEC2HEX(_xlfn.BITLSHIFT(N342,7)+HEX2DEC(P342))</f>
        <v>1E0</v>
      </c>
      <c r="M342" s="45"/>
      <c r="N342" s="45">
        <f t="shared" ref="N342" si="213">S342</f>
        <v>1</v>
      </c>
      <c r="O342" s="38">
        <v>0</v>
      </c>
      <c r="P342" s="38" t="str">
        <f t="shared" ref="P342" si="214">DEC2HEX(HEX2DEC(Z342)*4)</f>
        <v>160</v>
      </c>
      <c r="Q342" s="38" t="str">
        <f>BIN2HEX(LEFT(RIGHT(C342,32),4))&amp;BIN2HEX(LEFT(RIGHT(C342,28),4))&amp;BIN2HEX(LEFT(RIGHT(C342,24),4))&amp;BIN2HEX(LEFT(RIGHT(C342,20),4))&amp;BIN2HEX(LEFT(RIGHT(C342,16),4))&amp;BIN2HEX(LEFT(RIGHT(C342,12),4))&amp;BIN2HEX(LEFT(RIGHT(C342,8),4))&amp;BIN2HEX(LEFT(RIGHT(C342,4),4))</f>
        <v>00000000</v>
      </c>
      <c r="S342" s="32">
        <v>1</v>
      </c>
      <c r="T342" s="32">
        <v>0</v>
      </c>
      <c r="U342" s="32">
        <v>1</v>
      </c>
      <c r="V342" s="32">
        <v>1</v>
      </c>
      <c r="W342" s="32">
        <v>0</v>
      </c>
      <c r="X342" s="32">
        <v>0</v>
      </c>
      <c r="Y342" s="32">
        <v>0</v>
      </c>
      <c r="Z342" s="32" t="str">
        <f t="shared" si="155"/>
        <v>58</v>
      </c>
      <c r="AA342" s="32" t="str">
        <f>CONCATENATE("REFGEN_REG_QUAD",BIN2DEC(X342&amp;Y342),"_SAR",BIN2DEC(V342&amp;W342),"_SLC",BIN2DEC(S342&amp;T342&amp;U342),)</f>
        <v>REFGEN_REG_QUAD0_SAR2_SLC5</v>
      </c>
    </row>
    <row r="343" spans="1:27" ht="30">
      <c r="A343" s="39"/>
      <c r="B343" s="40"/>
      <c r="C343" s="16" t="s">
        <v>48</v>
      </c>
      <c r="D343" s="36">
        <v>8</v>
      </c>
      <c r="E343" s="21" t="str">
        <f>IF(D343&gt;1,(31)&amp;":"&amp;(31-D343+1),(31-D343+1)&amp;":"&amp;(31-D343+1))</f>
        <v>31:24</v>
      </c>
      <c r="F343" s="22" t="s">
        <v>43</v>
      </c>
      <c r="G343" s="27" t="s">
        <v>49</v>
      </c>
      <c r="H343" s="23" t="s">
        <v>36</v>
      </c>
      <c r="I343" s="24" t="s">
        <v>35</v>
      </c>
      <c r="J343" s="25" t="s">
        <v>6</v>
      </c>
      <c r="K343" s="26"/>
      <c r="L343" s="41"/>
      <c r="M343" s="41"/>
      <c r="N343" s="41"/>
      <c r="O343" s="37"/>
      <c r="P343" s="37"/>
      <c r="Q343" s="37"/>
      <c r="S343" s="32"/>
      <c r="T343" s="32"/>
      <c r="U343" s="32"/>
      <c r="V343" s="32"/>
      <c r="W343" s="32"/>
      <c r="X343" s="32"/>
      <c r="Y343" s="32"/>
      <c r="Z343" s="32"/>
      <c r="AA343" s="32"/>
    </row>
    <row r="344" spans="1:27" ht="30">
      <c r="A344" s="39"/>
      <c r="B344" s="40"/>
      <c r="C344" s="16" t="s">
        <v>50</v>
      </c>
      <c r="D344" s="36">
        <v>8</v>
      </c>
      <c r="E344" s="22" t="str">
        <f t="shared" ref="E344:E346" si="215">(MID(str_cnvt(E343),SEARCH(":",str_cnvt(E343))+1,2)-1) &amp; ":" &amp; (MID(str_cnvt(E343),SEARCH(":",str_cnvt(E343))+1,2)-D344)</f>
        <v>23:16</v>
      </c>
      <c r="F344" s="22" t="s">
        <v>43</v>
      </c>
      <c r="G344" s="27" t="s">
        <v>49</v>
      </c>
      <c r="H344" s="23" t="s">
        <v>36</v>
      </c>
      <c r="I344" s="24" t="s">
        <v>35</v>
      </c>
      <c r="J344" s="25" t="s">
        <v>6</v>
      </c>
      <c r="K344" s="26"/>
      <c r="L344" s="41"/>
      <c r="M344" s="41"/>
      <c r="N344" s="41"/>
      <c r="O344" s="37"/>
      <c r="P344" s="37"/>
      <c r="Q344" s="37"/>
      <c r="S344" s="32"/>
      <c r="T344" s="32"/>
      <c r="U344" s="32"/>
      <c r="V344" s="32"/>
      <c r="W344" s="32"/>
      <c r="X344" s="32"/>
      <c r="Y344" s="32"/>
      <c r="Z344" s="32"/>
      <c r="AA344" s="32"/>
    </row>
    <row r="345" spans="1:27" ht="30">
      <c r="A345" s="39"/>
      <c r="B345" s="40"/>
      <c r="C345" s="16" t="s">
        <v>51</v>
      </c>
      <c r="D345" s="36">
        <v>8</v>
      </c>
      <c r="E345" s="22" t="str">
        <f t="shared" si="215"/>
        <v>15:8</v>
      </c>
      <c r="F345" s="22" t="s">
        <v>43</v>
      </c>
      <c r="G345" s="27" t="s">
        <v>49</v>
      </c>
      <c r="H345" s="23" t="s">
        <v>36</v>
      </c>
      <c r="I345" s="24" t="s">
        <v>35</v>
      </c>
      <c r="J345" s="25" t="s">
        <v>6</v>
      </c>
      <c r="K345" s="26"/>
      <c r="L345" s="41"/>
      <c r="M345" s="41"/>
      <c r="N345" s="41"/>
      <c r="O345" s="37"/>
      <c r="P345" s="37"/>
      <c r="Q345" s="37"/>
      <c r="S345" s="32"/>
      <c r="T345" s="32"/>
      <c r="U345" s="32"/>
      <c r="V345" s="32"/>
      <c r="W345" s="32"/>
      <c r="X345" s="32"/>
      <c r="Y345" s="32"/>
      <c r="Z345" s="32"/>
      <c r="AA345" s="32"/>
    </row>
    <row r="346" spans="1:27" ht="30.75" thickBot="1">
      <c r="A346" s="39"/>
      <c r="B346" s="40"/>
      <c r="C346" s="16" t="s">
        <v>52</v>
      </c>
      <c r="D346" s="36">
        <v>8</v>
      </c>
      <c r="E346" s="22" t="str">
        <f t="shared" si="215"/>
        <v>7:0</v>
      </c>
      <c r="F346" s="22" t="s">
        <v>43</v>
      </c>
      <c r="G346" s="27" t="s">
        <v>49</v>
      </c>
      <c r="H346" s="23" t="s">
        <v>36</v>
      </c>
      <c r="I346" s="24" t="s">
        <v>35</v>
      </c>
      <c r="J346" s="25" t="s">
        <v>6</v>
      </c>
      <c r="K346" s="26"/>
      <c r="L346" s="41"/>
      <c r="M346" s="41"/>
      <c r="N346" s="41"/>
      <c r="O346" s="37"/>
      <c r="P346" s="37"/>
      <c r="Q346" s="37"/>
      <c r="S346" s="32"/>
      <c r="T346" s="32"/>
      <c r="U346" s="32"/>
      <c r="V346" s="32"/>
      <c r="W346" s="32"/>
      <c r="X346" s="32"/>
      <c r="Y346" s="32"/>
      <c r="Z346" s="32"/>
      <c r="AA346" s="32"/>
    </row>
    <row r="347" spans="1:27">
      <c r="A347" s="42" t="str">
        <f>AA347</f>
        <v>REFGEN_REG_QUAD1_SAR2_SLC5</v>
      </c>
      <c r="B347" s="43" t="str">
        <f>DEC2HEX(O347*4)</f>
        <v>0</v>
      </c>
      <c r="C347" s="44" t="str">
        <f>bitConcat(F348:F351)</f>
        <v>32'b00000000000000000000000000000000</v>
      </c>
      <c r="D347" s="44"/>
      <c r="E347" s="44"/>
      <c r="F347" s="44"/>
      <c r="G347" s="44"/>
      <c r="H347" s="44"/>
      <c r="I347" s="44"/>
      <c r="J347" s="44"/>
      <c r="K347" s="44"/>
      <c r="L347" s="45" t="str">
        <f t="shared" si="212"/>
        <v>1E4</v>
      </c>
      <c r="M347" s="45"/>
      <c r="N347" s="45">
        <f t="shared" ref="N347" si="216">S347</f>
        <v>1</v>
      </c>
      <c r="O347" s="38">
        <v>0</v>
      </c>
      <c r="P347" s="38" t="str">
        <f t="shared" ref="P347" si="217">DEC2HEX(HEX2DEC(Z347)*4)</f>
        <v>164</v>
      </c>
      <c r="Q347" s="38" t="str">
        <f>BIN2HEX(LEFT(RIGHT(C347,32),4))&amp;BIN2HEX(LEFT(RIGHT(C347,28),4))&amp;BIN2HEX(LEFT(RIGHT(C347,24),4))&amp;BIN2HEX(LEFT(RIGHT(C347,20),4))&amp;BIN2HEX(LEFT(RIGHT(C347,16),4))&amp;BIN2HEX(LEFT(RIGHT(C347,12),4))&amp;BIN2HEX(LEFT(RIGHT(C347,8),4))&amp;BIN2HEX(LEFT(RIGHT(C347,4),4))</f>
        <v>00000000</v>
      </c>
      <c r="S347" s="32">
        <v>1</v>
      </c>
      <c r="T347" s="32">
        <v>0</v>
      </c>
      <c r="U347" s="32">
        <v>1</v>
      </c>
      <c r="V347" s="32">
        <v>1</v>
      </c>
      <c r="W347" s="32">
        <v>0</v>
      </c>
      <c r="X347" s="32">
        <v>0</v>
      </c>
      <c r="Y347" s="32">
        <v>1</v>
      </c>
      <c r="Z347" s="32" t="str">
        <f t="shared" si="155"/>
        <v>59</v>
      </c>
      <c r="AA347" s="32" t="str">
        <f>CONCATENATE("REFGEN_REG_QUAD",BIN2DEC(X347&amp;Y347),"_SAR",BIN2DEC(V347&amp;W347),"_SLC",BIN2DEC(S347&amp;T347&amp;U347),)</f>
        <v>REFGEN_REG_QUAD1_SAR2_SLC5</v>
      </c>
    </row>
    <row r="348" spans="1:27" ht="30">
      <c r="A348" s="39"/>
      <c r="B348" s="40"/>
      <c r="C348" s="16" t="s">
        <v>48</v>
      </c>
      <c r="D348" s="36">
        <v>8</v>
      </c>
      <c r="E348" s="21" t="str">
        <f>IF(D348&gt;1,(31)&amp;":"&amp;(31-D348+1),(31-D348+1)&amp;":"&amp;(31-D348+1))</f>
        <v>31:24</v>
      </c>
      <c r="F348" s="22" t="s">
        <v>43</v>
      </c>
      <c r="G348" s="27" t="s">
        <v>49</v>
      </c>
      <c r="H348" s="23" t="s">
        <v>36</v>
      </c>
      <c r="I348" s="24" t="s">
        <v>35</v>
      </c>
      <c r="J348" s="25" t="s">
        <v>6</v>
      </c>
      <c r="K348" s="26"/>
      <c r="L348" s="41"/>
      <c r="M348" s="41"/>
      <c r="N348" s="41"/>
      <c r="O348" s="37"/>
      <c r="P348" s="37"/>
      <c r="Q348" s="37"/>
      <c r="S348" s="32"/>
      <c r="T348" s="32"/>
      <c r="U348" s="32"/>
      <c r="V348" s="32"/>
      <c r="W348" s="32"/>
      <c r="X348" s="32"/>
      <c r="Y348" s="32"/>
      <c r="Z348" s="32"/>
      <c r="AA348" s="32"/>
    </row>
    <row r="349" spans="1:27" ht="30">
      <c r="A349" s="39"/>
      <c r="B349" s="40"/>
      <c r="C349" s="16" t="s">
        <v>50</v>
      </c>
      <c r="D349" s="36">
        <v>8</v>
      </c>
      <c r="E349" s="22" t="str">
        <f t="shared" ref="E349:E351" si="218">(MID(str_cnvt(E348),SEARCH(":",str_cnvt(E348))+1,2)-1) &amp; ":" &amp; (MID(str_cnvt(E348),SEARCH(":",str_cnvt(E348))+1,2)-D349)</f>
        <v>23:16</v>
      </c>
      <c r="F349" s="22" t="s">
        <v>43</v>
      </c>
      <c r="G349" s="27" t="s">
        <v>49</v>
      </c>
      <c r="H349" s="23" t="s">
        <v>36</v>
      </c>
      <c r="I349" s="24" t="s">
        <v>35</v>
      </c>
      <c r="J349" s="25" t="s">
        <v>6</v>
      </c>
      <c r="K349" s="26"/>
      <c r="L349" s="41"/>
      <c r="M349" s="41"/>
      <c r="N349" s="41"/>
      <c r="O349" s="37"/>
      <c r="P349" s="37"/>
      <c r="Q349" s="37"/>
      <c r="S349" s="32"/>
      <c r="T349" s="32"/>
      <c r="U349" s="32"/>
      <c r="V349" s="32"/>
      <c r="W349" s="32"/>
      <c r="X349" s="32"/>
      <c r="Y349" s="32"/>
      <c r="Z349" s="32"/>
      <c r="AA349" s="32"/>
    </row>
    <row r="350" spans="1:27" ht="30">
      <c r="A350" s="39"/>
      <c r="B350" s="40"/>
      <c r="C350" s="16" t="s">
        <v>51</v>
      </c>
      <c r="D350" s="36">
        <v>8</v>
      </c>
      <c r="E350" s="22" t="str">
        <f t="shared" si="218"/>
        <v>15:8</v>
      </c>
      <c r="F350" s="22" t="s">
        <v>43</v>
      </c>
      <c r="G350" s="27" t="s">
        <v>49</v>
      </c>
      <c r="H350" s="23" t="s">
        <v>36</v>
      </c>
      <c r="I350" s="24" t="s">
        <v>35</v>
      </c>
      <c r="J350" s="25" t="s">
        <v>6</v>
      </c>
      <c r="K350" s="26"/>
      <c r="L350" s="41"/>
      <c r="M350" s="41"/>
      <c r="N350" s="41"/>
      <c r="O350" s="37"/>
      <c r="P350" s="37"/>
      <c r="Q350" s="37"/>
      <c r="S350" s="32"/>
      <c r="T350" s="32"/>
      <c r="U350" s="32"/>
      <c r="V350" s="32"/>
      <c r="W350" s="32"/>
      <c r="X350" s="32"/>
      <c r="Y350" s="32"/>
      <c r="Z350" s="32"/>
      <c r="AA350" s="32"/>
    </row>
    <row r="351" spans="1:27" ht="30.75" thickBot="1">
      <c r="A351" s="39"/>
      <c r="B351" s="40"/>
      <c r="C351" s="16" t="s">
        <v>52</v>
      </c>
      <c r="D351" s="36">
        <v>8</v>
      </c>
      <c r="E351" s="22" t="str">
        <f t="shared" si="218"/>
        <v>7:0</v>
      </c>
      <c r="F351" s="22" t="s">
        <v>43</v>
      </c>
      <c r="G351" s="27" t="s">
        <v>49</v>
      </c>
      <c r="H351" s="23" t="s">
        <v>36</v>
      </c>
      <c r="I351" s="24" t="s">
        <v>35</v>
      </c>
      <c r="J351" s="25" t="s">
        <v>6</v>
      </c>
      <c r="K351" s="26"/>
      <c r="L351" s="41"/>
      <c r="M351" s="41"/>
      <c r="N351" s="41"/>
      <c r="O351" s="37"/>
      <c r="P351" s="37"/>
      <c r="Q351" s="37"/>
      <c r="S351" s="32"/>
      <c r="T351" s="32"/>
      <c r="U351" s="32"/>
      <c r="V351" s="32"/>
      <c r="W351" s="32"/>
      <c r="X351" s="32"/>
      <c r="Y351" s="32"/>
      <c r="Z351" s="32"/>
      <c r="AA351" s="32"/>
    </row>
    <row r="352" spans="1:27">
      <c r="A352" s="42" t="str">
        <f>AA352</f>
        <v>REFGEN_REG_QUAD2_SAR2_SLC5</v>
      </c>
      <c r="B352" s="43" t="str">
        <f>DEC2HEX(O352*4)</f>
        <v>0</v>
      </c>
      <c r="C352" s="44" t="str">
        <f>bitConcat(F353:F356)</f>
        <v>32'b00000000000000000000000000000000</v>
      </c>
      <c r="D352" s="44"/>
      <c r="E352" s="44"/>
      <c r="F352" s="44"/>
      <c r="G352" s="44"/>
      <c r="H352" s="44"/>
      <c r="I352" s="44"/>
      <c r="J352" s="44"/>
      <c r="K352" s="44"/>
      <c r="L352" s="45" t="str">
        <f t="shared" si="212"/>
        <v>1E8</v>
      </c>
      <c r="M352" s="45"/>
      <c r="N352" s="45">
        <f t="shared" ref="N352" si="219">S352</f>
        <v>1</v>
      </c>
      <c r="O352" s="38">
        <v>0</v>
      </c>
      <c r="P352" s="38" t="str">
        <f t="shared" ref="P352" si="220">DEC2HEX(HEX2DEC(Z352)*4)</f>
        <v>168</v>
      </c>
      <c r="Q352" s="38" t="str">
        <f>BIN2HEX(LEFT(RIGHT(C352,32),4))&amp;BIN2HEX(LEFT(RIGHT(C352,28),4))&amp;BIN2HEX(LEFT(RIGHT(C352,24),4))&amp;BIN2HEX(LEFT(RIGHT(C352,20),4))&amp;BIN2HEX(LEFT(RIGHT(C352,16),4))&amp;BIN2HEX(LEFT(RIGHT(C352,12),4))&amp;BIN2HEX(LEFT(RIGHT(C352,8),4))&amp;BIN2HEX(LEFT(RIGHT(C352,4),4))</f>
        <v>00000000</v>
      </c>
      <c r="S352" s="32">
        <v>1</v>
      </c>
      <c r="T352" s="32">
        <v>0</v>
      </c>
      <c r="U352" s="32">
        <v>1</v>
      </c>
      <c r="V352" s="32">
        <v>1</v>
      </c>
      <c r="W352" s="32">
        <v>0</v>
      </c>
      <c r="X352" s="32">
        <v>1</v>
      </c>
      <c r="Y352" s="32">
        <v>0</v>
      </c>
      <c r="Z352" s="32" t="str">
        <f t="shared" si="155"/>
        <v>5A</v>
      </c>
      <c r="AA352" s="32" t="str">
        <f>CONCATENATE("REFGEN_REG_QUAD",BIN2DEC(X352&amp;Y352),"_SAR",BIN2DEC(V352&amp;W352),"_SLC",BIN2DEC(S352&amp;T352&amp;U352),)</f>
        <v>REFGEN_REG_QUAD2_SAR2_SLC5</v>
      </c>
    </row>
    <row r="353" spans="1:27" ht="30">
      <c r="A353" s="39"/>
      <c r="B353" s="40"/>
      <c r="C353" s="16" t="s">
        <v>48</v>
      </c>
      <c r="D353" s="36">
        <v>8</v>
      </c>
      <c r="E353" s="21" t="str">
        <f>IF(D353&gt;1,(31)&amp;":"&amp;(31-D353+1),(31-D353+1)&amp;":"&amp;(31-D353+1))</f>
        <v>31:24</v>
      </c>
      <c r="F353" s="22" t="s">
        <v>43</v>
      </c>
      <c r="G353" s="27" t="s">
        <v>49</v>
      </c>
      <c r="H353" s="23" t="s">
        <v>36</v>
      </c>
      <c r="I353" s="24" t="s">
        <v>35</v>
      </c>
      <c r="J353" s="25" t="s">
        <v>6</v>
      </c>
      <c r="K353" s="26"/>
      <c r="L353" s="41"/>
      <c r="M353" s="41"/>
      <c r="N353" s="41"/>
      <c r="O353" s="37"/>
      <c r="P353" s="37"/>
      <c r="Q353" s="37"/>
      <c r="S353" s="32"/>
      <c r="T353" s="32"/>
      <c r="U353" s="32"/>
      <c r="V353" s="32"/>
      <c r="W353" s="32"/>
      <c r="X353" s="32"/>
      <c r="Y353" s="32"/>
      <c r="Z353" s="32"/>
      <c r="AA353" s="32"/>
    </row>
    <row r="354" spans="1:27" ht="30">
      <c r="A354" s="39"/>
      <c r="B354" s="40"/>
      <c r="C354" s="16" t="s">
        <v>50</v>
      </c>
      <c r="D354" s="36">
        <v>8</v>
      </c>
      <c r="E354" s="22" t="str">
        <f t="shared" ref="E354:E356" si="221">(MID(str_cnvt(E353),SEARCH(":",str_cnvt(E353))+1,2)-1) &amp; ":" &amp; (MID(str_cnvt(E353),SEARCH(":",str_cnvt(E353))+1,2)-D354)</f>
        <v>23:16</v>
      </c>
      <c r="F354" s="22" t="s">
        <v>43</v>
      </c>
      <c r="G354" s="27" t="s">
        <v>49</v>
      </c>
      <c r="H354" s="23" t="s">
        <v>36</v>
      </c>
      <c r="I354" s="24" t="s">
        <v>35</v>
      </c>
      <c r="J354" s="25" t="s">
        <v>6</v>
      </c>
      <c r="K354" s="26"/>
      <c r="L354" s="41"/>
      <c r="M354" s="41"/>
      <c r="N354" s="41"/>
      <c r="O354" s="37"/>
      <c r="P354" s="37"/>
      <c r="Q354" s="37"/>
      <c r="S354" s="32"/>
      <c r="T354" s="32"/>
      <c r="U354" s="32"/>
      <c r="V354" s="32"/>
      <c r="W354" s="32"/>
      <c r="X354" s="32"/>
      <c r="Y354" s="32"/>
      <c r="Z354" s="32"/>
      <c r="AA354" s="32"/>
    </row>
    <row r="355" spans="1:27" ht="30">
      <c r="A355" s="39"/>
      <c r="B355" s="40"/>
      <c r="C355" s="16" t="s">
        <v>51</v>
      </c>
      <c r="D355" s="36">
        <v>8</v>
      </c>
      <c r="E355" s="22" t="str">
        <f t="shared" si="221"/>
        <v>15:8</v>
      </c>
      <c r="F355" s="22" t="s">
        <v>43</v>
      </c>
      <c r="G355" s="27" t="s">
        <v>49</v>
      </c>
      <c r="H355" s="23" t="s">
        <v>36</v>
      </c>
      <c r="I355" s="24" t="s">
        <v>35</v>
      </c>
      <c r="J355" s="25" t="s">
        <v>6</v>
      </c>
      <c r="K355" s="26"/>
      <c r="L355" s="41"/>
      <c r="M355" s="41"/>
      <c r="N355" s="41"/>
      <c r="O355" s="37"/>
      <c r="P355" s="37"/>
      <c r="Q355" s="37"/>
      <c r="S355" s="32"/>
      <c r="T355" s="32"/>
      <c r="U355" s="32"/>
      <c r="V355" s="32"/>
      <c r="W355" s="32"/>
      <c r="X355" s="32"/>
      <c r="Y355" s="32"/>
      <c r="Z355" s="32"/>
      <c r="AA355" s="32"/>
    </row>
    <row r="356" spans="1:27" ht="30.75" thickBot="1">
      <c r="A356" s="39"/>
      <c r="B356" s="40"/>
      <c r="C356" s="16" t="s">
        <v>52</v>
      </c>
      <c r="D356" s="36">
        <v>8</v>
      </c>
      <c r="E356" s="22" t="str">
        <f t="shared" si="221"/>
        <v>7:0</v>
      </c>
      <c r="F356" s="22" t="s">
        <v>43</v>
      </c>
      <c r="G356" s="27" t="s">
        <v>49</v>
      </c>
      <c r="H356" s="23" t="s">
        <v>36</v>
      </c>
      <c r="I356" s="24" t="s">
        <v>35</v>
      </c>
      <c r="J356" s="25" t="s">
        <v>6</v>
      </c>
      <c r="K356" s="26"/>
      <c r="L356" s="41"/>
      <c r="M356" s="41"/>
      <c r="N356" s="41"/>
      <c r="O356" s="37"/>
      <c r="P356" s="37"/>
      <c r="Q356" s="37"/>
      <c r="S356" s="32"/>
      <c r="T356" s="32"/>
      <c r="U356" s="32"/>
      <c r="V356" s="32"/>
      <c r="W356" s="32"/>
      <c r="X356" s="32"/>
      <c r="Y356" s="32"/>
      <c r="Z356" s="32"/>
      <c r="AA356" s="32"/>
    </row>
    <row r="357" spans="1:27">
      <c r="A357" s="42" t="str">
        <f>AA357</f>
        <v>REFGEN_REG_QUAD3_SAR2_SLC5</v>
      </c>
      <c r="B357" s="43" t="str">
        <f>DEC2HEX(O357*4)</f>
        <v>0</v>
      </c>
      <c r="C357" s="44" t="str">
        <f>bitConcat(F358:F361)</f>
        <v>32'b00000000000000000000000000000000</v>
      </c>
      <c r="D357" s="44"/>
      <c r="E357" s="44"/>
      <c r="F357" s="44"/>
      <c r="G357" s="44"/>
      <c r="H357" s="44"/>
      <c r="I357" s="44"/>
      <c r="J357" s="44"/>
      <c r="K357" s="44"/>
      <c r="L357" s="45" t="str">
        <f t="shared" si="212"/>
        <v>1EC</v>
      </c>
      <c r="M357" s="45"/>
      <c r="N357" s="45">
        <f t="shared" ref="N357" si="222">S357</f>
        <v>1</v>
      </c>
      <c r="O357" s="38">
        <v>0</v>
      </c>
      <c r="P357" s="38" t="str">
        <f t="shared" ref="P357" si="223">DEC2HEX(HEX2DEC(Z357)*4)</f>
        <v>16C</v>
      </c>
      <c r="Q357" s="38" t="str">
        <f>BIN2HEX(LEFT(RIGHT(C357,32),4))&amp;BIN2HEX(LEFT(RIGHT(C357,28),4))&amp;BIN2HEX(LEFT(RIGHT(C357,24),4))&amp;BIN2HEX(LEFT(RIGHT(C357,20),4))&amp;BIN2HEX(LEFT(RIGHT(C357,16),4))&amp;BIN2HEX(LEFT(RIGHT(C357,12),4))&amp;BIN2HEX(LEFT(RIGHT(C357,8),4))&amp;BIN2HEX(LEFT(RIGHT(C357,4),4))</f>
        <v>00000000</v>
      </c>
      <c r="S357" s="32">
        <v>1</v>
      </c>
      <c r="T357" s="32">
        <v>0</v>
      </c>
      <c r="U357" s="32">
        <v>1</v>
      </c>
      <c r="V357" s="32">
        <v>1</v>
      </c>
      <c r="W357" s="32">
        <v>0</v>
      </c>
      <c r="X357" s="32">
        <v>1</v>
      </c>
      <c r="Y357" s="32">
        <v>1</v>
      </c>
      <c r="Z357" s="32" t="str">
        <f t="shared" si="155"/>
        <v>5B</v>
      </c>
      <c r="AA357" s="32" t="str">
        <f>CONCATENATE("REFGEN_REG_QUAD",BIN2DEC(X357&amp;Y357),"_SAR",BIN2DEC(V357&amp;W357),"_SLC",BIN2DEC(S357&amp;T357&amp;U357),)</f>
        <v>REFGEN_REG_QUAD3_SAR2_SLC5</v>
      </c>
    </row>
    <row r="358" spans="1:27" ht="30">
      <c r="A358" s="39"/>
      <c r="B358" s="40"/>
      <c r="C358" s="16" t="s">
        <v>48</v>
      </c>
      <c r="D358" s="36">
        <v>8</v>
      </c>
      <c r="E358" s="21" t="str">
        <f>IF(D358&gt;1,(31)&amp;":"&amp;(31-D358+1),(31-D358+1)&amp;":"&amp;(31-D358+1))</f>
        <v>31:24</v>
      </c>
      <c r="F358" s="22" t="s">
        <v>43</v>
      </c>
      <c r="G358" s="27" t="s">
        <v>49</v>
      </c>
      <c r="H358" s="23" t="s">
        <v>36</v>
      </c>
      <c r="I358" s="24" t="s">
        <v>35</v>
      </c>
      <c r="J358" s="25" t="s">
        <v>6</v>
      </c>
      <c r="K358" s="26"/>
      <c r="L358" s="41"/>
      <c r="M358" s="41"/>
      <c r="N358" s="41"/>
      <c r="O358" s="37"/>
      <c r="P358" s="37"/>
      <c r="Q358" s="37"/>
    </row>
    <row r="359" spans="1:27" ht="30">
      <c r="A359" s="39"/>
      <c r="B359" s="40"/>
      <c r="C359" s="16" t="s">
        <v>50</v>
      </c>
      <c r="D359" s="36">
        <v>8</v>
      </c>
      <c r="E359" s="22" t="str">
        <f t="shared" ref="E359:E361" si="224">(MID(str_cnvt(E358),SEARCH(":",str_cnvt(E358))+1,2)-1) &amp; ":" &amp; (MID(str_cnvt(E358),SEARCH(":",str_cnvt(E358))+1,2)-D359)</f>
        <v>23:16</v>
      </c>
      <c r="F359" s="22" t="s">
        <v>43</v>
      </c>
      <c r="G359" s="27" t="s">
        <v>49</v>
      </c>
      <c r="H359" s="23" t="s">
        <v>36</v>
      </c>
      <c r="I359" s="24" t="s">
        <v>35</v>
      </c>
      <c r="J359" s="25" t="s">
        <v>6</v>
      </c>
      <c r="K359" s="26"/>
      <c r="L359" s="41"/>
      <c r="M359" s="41"/>
      <c r="N359" s="41"/>
      <c r="O359" s="37"/>
      <c r="P359" s="37"/>
      <c r="Q359" s="37"/>
    </row>
    <row r="360" spans="1:27" ht="30">
      <c r="A360" s="39"/>
      <c r="B360" s="40"/>
      <c r="C360" s="16" t="s">
        <v>51</v>
      </c>
      <c r="D360" s="36">
        <v>8</v>
      </c>
      <c r="E360" s="22" t="str">
        <f t="shared" si="224"/>
        <v>15:8</v>
      </c>
      <c r="F360" s="22" t="s">
        <v>43</v>
      </c>
      <c r="G360" s="27" t="s">
        <v>49</v>
      </c>
      <c r="H360" s="23" t="s">
        <v>36</v>
      </c>
      <c r="I360" s="24" t="s">
        <v>35</v>
      </c>
      <c r="J360" s="25" t="s">
        <v>6</v>
      </c>
      <c r="K360" s="26"/>
      <c r="L360" s="41"/>
      <c r="M360" s="41"/>
      <c r="N360" s="41"/>
      <c r="O360" s="37"/>
      <c r="P360" s="37"/>
      <c r="Q360" s="37"/>
    </row>
    <row r="361" spans="1:27" ht="30.75" thickBot="1">
      <c r="A361" s="39"/>
      <c r="B361" s="40"/>
      <c r="C361" s="16" t="s">
        <v>52</v>
      </c>
      <c r="D361" s="36">
        <v>8</v>
      </c>
      <c r="E361" s="22" t="str">
        <f t="shared" si="224"/>
        <v>7:0</v>
      </c>
      <c r="F361" s="22" t="s">
        <v>43</v>
      </c>
      <c r="G361" s="27" t="s">
        <v>49</v>
      </c>
      <c r="H361" s="23" t="s">
        <v>36</v>
      </c>
      <c r="I361" s="24" t="s">
        <v>35</v>
      </c>
      <c r="J361" s="25" t="s">
        <v>6</v>
      </c>
      <c r="K361" s="26"/>
      <c r="L361" s="41"/>
      <c r="M361" s="41"/>
      <c r="N361" s="41"/>
      <c r="O361" s="37"/>
      <c r="P361" s="37"/>
      <c r="Q361" s="37"/>
    </row>
    <row r="362" spans="1:27">
      <c r="A362" s="42" t="str">
        <f>AA362</f>
        <v>REFGEN_REG_QUAD0_SAR3_SLC0</v>
      </c>
      <c r="B362" s="43" t="str">
        <f>DEC2HEX(O362*4)</f>
        <v>0</v>
      </c>
      <c r="C362" s="44" t="str">
        <f>bitConcat(F363:F366)</f>
        <v>32'b00000000000000000000000000000000</v>
      </c>
      <c r="D362" s="44"/>
      <c r="E362" s="44"/>
      <c r="F362" s="44"/>
      <c r="G362" s="44"/>
      <c r="H362" s="44"/>
      <c r="I362" s="44"/>
      <c r="J362" s="44"/>
      <c r="K362" s="44"/>
      <c r="L362" s="45" t="str">
        <f t="shared" si="212"/>
        <v>30</v>
      </c>
      <c r="M362" s="45"/>
      <c r="N362" s="45">
        <f t="shared" ref="N362" si="225">S362</f>
        <v>0</v>
      </c>
      <c r="O362" s="38">
        <v>0</v>
      </c>
      <c r="P362" s="38" t="str">
        <f t="shared" ref="P362" si="226">DEC2HEX(HEX2DEC(Z362)*4)</f>
        <v>30</v>
      </c>
      <c r="Q362" s="38" t="str">
        <f>BIN2HEX(LEFT(RIGHT(C362,32),4))&amp;BIN2HEX(LEFT(RIGHT(C362,28),4))&amp;BIN2HEX(LEFT(RIGHT(C362,24),4))&amp;BIN2HEX(LEFT(RIGHT(C362,20),4))&amp;BIN2HEX(LEFT(RIGHT(C362,16),4))&amp;BIN2HEX(LEFT(RIGHT(C362,12),4))&amp;BIN2HEX(LEFT(RIGHT(C362,8),4))&amp;BIN2HEX(LEFT(RIGHT(C362,4),4))</f>
        <v>00000000</v>
      </c>
      <c r="S362" s="32">
        <v>0</v>
      </c>
      <c r="T362" s="32">
        <v>0</v>
      </c>
      <c r="U362" s="32">
        <v>0</v>
      </c>
      <c r="V362" s="32">
        <v>1</v>
      </c>
      <c r="W362" s="32">
        <v>1</v>
      </c>
      <c r="X362" s="32">
        <v>0</v>
      </c>
      <c r="Y362" s="32">
        <v>0</v>
      </c>
      <c r="Z362" s="32" t="str">
        <f>BIN2HEX(S362&amp;T362&amp;U362&amp;V362&amp;W362&amp;X362&amp;Y362)</f>
        <v>C</v>
      </c>
      <c r="AA362" s="32" t="str">
        <f>CONCATENATE("REFGEN_REG_QUAD",BIN2DEC(X362&amp;Y362),"_SAR",BIN2DEC(V362&amp;W362),"_SLC",BIN2DEC(S362&amp;T362&amp;U362),)</f>
        <v>REFGEN_REG_QUAD0_SAR3_SLC0</v>
      </c>
    </row>
    <row r="363" spans="1:27" ht="30">
      <c r="A363" s="39"/>
      <c r="B363" s="40"/>
      <c r="C363" s="16" t="s">
        <v>48</v>
      </c>
      <c r="D363" s="36">
        <v>8</v>
      </c>
      <c r="E363" s="21" t="str">
        <f>IF(D363&gt;1,(31)&amp;":"&amp;(31-D363+1),(31-D363+1)&amp;":"&amp;(31-D363+1))</f>
        <v>31:24</v>
      </c>
      <c r="F363" s="22" t="s">
        <v>43</v>
      </c>
      <c r="G363" s="27" t="s">
        <v>49</v>
      </c>
      <c r="H363" s="23" t="s">
        <v>36</v>
      </c>
      <c r="I363" s="24" t="s">
        <v>35</v>
      </c>
      <c r="J363" s="25" t="s">
        <v>6</v>
      </c>
      <c r="K363" s="26"/>
      <c r="L363" s="41"/>
      <c r="M363" s="41"/>
      <c r="N363" s="41"/>
      <c r="O363" s="37"/>
      <c r="P363" s="37"/>
      <c r="Q363" s="37"/>
      <c r="S363" s="32"/>
      <c r="T363" s="32"/>
      <c r="U363" s="32"/>
      <c r="V363" s="32"/>
      <c r="W363" s="32"/>
      <c r="X363" s="32"/>
      <c r="Y363" s="32"/>
      <c r="Z363" s="32"/>
      <c r="AA363" s="32"/>
    </row>
    <row r="364" spans="1:27" ht="30">
      <c r="A364" s="39"/>
      <c r="B364" s="40"/>
      <c r="C364" s="16" t="s">
        <v>50</v>
      </c>
      <c r="D364" s="36">
        <v>8</v>
      </c>
      <c r="E364" s="22" t="str">
        <f t="shared" ref="E364:E366" si="227">(MID(str_cnvt(E363),SEARCH(":",str_cnvt(E363))+1,2)-1) &amp; ":" &amp; (MID(str_cnvt(E363),SEARCH(":",str_cnvt(E363))+1,2)-D364)</f>
        <v>23:16</v>
      </c>
      <c r="F364" s="22" t="s">
        <v>43</v>
      </c>
      <c r="G364" s="27" t="s">
        <v>49</v>
      </c>
      <c r="H364" s="23" t="s">
        <v>36</v>
      </c>
      <c r="I364" s="24" t="s">
        <v>35</v>
      </c>
      <c r="J364" s="25" t="s">
        <v>6</v>
      </c>
      <c r="K364" s="26"/>
      <c r="L364" s="41"/>
      <c r="M364" s="41"/>
      <c r="N364" s="41"/>
      <c r="O364" s="37"/>
      <c r="P364" s="37"/>
      <c r="Q364" s="37"/>
      <c r="S364" s="32"/>
      <c r="T364" s="32"/>
      <c r="U364" s="32"/>
      <c r="V364" s="32"/>
      <c r="W364" s="32"/>
      <c r="X364" s="32"/>
      <c r="Y364" s="32"/>
      <c r="Z364" s="32"/>
      <c r="AA364" s="32"/>
    </row>
    <row r="365" spans="1:27" ht="30">
      <c r="A365" s="39"/>
      <c r="B365" s="40"/>
      <c r="C365" s="16" t="s">
        <v>51</v>
      </c>
      <c r="D365" s="36">
        <v>8</v>
      </c>
      <c r="E365" s="22" t="str">
        <f t="shared" si="227"/>
        <v>15:8</v>
      </c>
      <c r="F365" s="22" t="s">
        <v>43</v>
      </c>
      <c r="G365" s="27" t="s">
        <v>49</v>
      </c>
      <c r="H365" s="23" t="s">
        <v>36</v>
      </c>
      <c r="I365" s="24" t="s">
        <v>35</v>
      </c>
      <c r="J365" s="25" t="s">
        <v>6</v>
      </c>
      <c r="K365" s="26"/>
      <c r="L365" s="41"/>
      <c r="M365" s="41"/>
      <c r="N365" s="41"/>
      <c r="O365" s="37"/>
      <c r="P365" s="37"/>
      <c r="Q365" s="37"/>
      <c r="S365" s="32"/>
      <c r="T365" s="32"/>
      <c r="U365" s="32"/>
      <c r="V365" s="32"/>
      <c r="W365" s="32"/>
      <c r="X365" s="32"/>
      <c r="Y365" s="32"/>
      <c r="Z365" s="32"/>
      <c r="AA365" s="32"/>
    </row>
    <row r="366" spans="1:27" ht="30.75" thickBot="1">
      <c r="A366" s="39"/>
      <c r="B366" s="40"/>
      <c r="C366" s="16" t="s">
        <v>52</v>
      </c>
      <c r="D366" s="36">
        <v>8</v>
      </c>
      <c r="E366" s="22" t="str">
        <f t="shared" si="227"/>
        <v>7:0</v>
      </c>
      <c r="F366" s="22" t="s">
        <v>43</v>
      </c>
      <c r="G366" s="27" t="s">
        <v>49</v>
      </c>
      <c r="H366" s="23" t="s">
        <v>36</v>
      </c>
      <c r="I366" s="24" t="s">
        <v>35</v>
      </c>
      <c r="J366" s="25" t="s">
        <v>6</v>
      </c>
      <c r="K366" s="26"/>
      <c r="L366" s="41"/>
      <c r="M366" s="41"/>
      <c r="N366" s="41"/>
      <c r="O366" s="37"/>
      <c r="P366" s="37"/>
      <c r="Q366" s="37"/>
      <c r="S366" s="32"/>
      <c r="T366" s="32"/>
      <c r="U366" s="32"/>
      <c r="V366" s="32"/>
      <c r="W366" s="32"/>
      <c r="X366" s="32"/>
      <c r="Y366" s="32"/>
      <c r="Z366" s="32"/>
      <c r="AA366" s="32"/>
    </row>
    <row r="367" spans="1:27">
      <c r="A367" s="42" t="str">
        <f>AA367</f>
        <v>REFGEN_REG_QUAD1_SAR3_SLC0</v>
      </c>
      <c r="B367" s="43" t="str">
        <f>DEC2HEX(O367*4)</f>
        <v>0</v>
      </c>
      <c r="C367" s="44" t="str">
        <f>bitConcat(F368:F371)</f>
        <v>32'b00000000000000000000000000000000</v>
      </c>
      <c r="D367" s="44"/>
      <c r="E367" s="44"/>
      <c r="F367" s="44"/>
      <c r="G367" s="44"/>
      <c r="H367" s="44"/>
      <c r="I367" s="44"/>
      <c r="J367" s="44"/>
      <c r="K367" s="44"/>
      <c r="L367" s="45" t="str">
        <f t="shared" si="212"/>
        <v>34</v>
      </c>
      <c r="M367" s="45"/>
      <c r="N367" s="45">
        <f t="shared" ref="N367" si="228">S367</f>
        <v>0</v>
      </c>
      <c r="O367" s="38">
        <v>0</v>
      </c>
      <c r="P367" s="38" t="str">
        <f t="shared" ref="P367" si="229">DEC2HEX(HEX2DEC(Z367)*4)</f>
        <v>34</v>
      </c>
      <c r="Q367" s="38" t="str">
        <f>BIN2HEX(LEFT(RIGHT(C367,32),4))&amp;BIN2HEX(LEFT(RIGHT(C367,28),4))&amp;BIN2HEX(LEFT(RIGHT(C367,24),4))&amp;BIN2HEX(LEFT(RIGHT(C367,20),4))&amp;BIN2HEX(LEFT(RIGHT(C367,16),4))&amp;BIN2HEX(LEFT(RIGHT(C367,12),4))&amp;BIN2HEX(LEFT(RIGHT(C367,8),4))&amp;BIN2HEX(LEFT(RIGHT(C367,4),4))</f>
        <v>00000000</v>
      </c>
      <c r="S367" s="32">
        <v>0</v>
      </c>
      <c r="T367" s="32">
        <v>0</v>
      </c>
      <c r="U367" s="32">
        <v>0</v>
      </c>
      <c r="V367" s="32">
        <v>1</v>
      </c>
      <c r="W367" s="32">
        <v>1</v>
      </c>
      <c r="X367" s="32">
        <v>0</v>
      </c>
      <c r="Y367" s="32">
        <v>1</v>
      </c>
      <c r="Z367" s="32" t="str">
        <f t="shared" ref="Z367:Z472" si="230">BIN2HEX(S367&amp;T367&amp;U367&amp;V367&amp;W367&amp;X367&amp;Y367)</f>
        <v>D</v>
      </c>
      <c r="AA367" s="32" t="str">
        <f>CONCATENATE("REFGEN_REG_QUAD",BIN2DEC(X367&amp;Y367),"_SAR",BIN2DEC(V367&amp;W367),"_SLC",BIN2DEC(S367&amp;T367&amp;U367),)</f>
        <v>REFGEN_REG_QUAD1_SAR3_SLC0</v>
      </c>
    </row>
    <row r="368" spans="1:27" ht="30">
      <c r="A368" s="39"/>
      <c r="B368" s="40"/>
      <c r="C368" s="16" t="s">
        <v>48</v>
      </c>
      <c r="D368" s="36">
        <v>8</v>
      </c>
      <c r="E368" s="21" t="str">
        <f>IF(D368&gt;1,(31)&amp;":"&amp;(31-D368+1),(31-D368+1)&amp;":"&amp;(31-D368+1))</f>
        <v>31:24</v>
      </c>
      <c r="F368" s="22" t="s">
        <v>43</v>
      </c>
      <c r="G368" s="27" t="s">
        <v>49</v>
      </c>
      <c r="H368" s="23" t="s">
        <v>36</v>
      </c>
      <c r="I368" s="24" t="s">
        <v>35</v>
      </c>
      <c r="J368" s="25" t="s">
        <v>6</v>
      </c>
      <c r="K368" s="26"/>
      <c r="L368" s="41"/>
      <c r="M368" s="41"/>
      <c r="N368" s="41"/>
      <c r="O368" s="37"/>
      <c r="P368" s="37"/>
      <c r="Q368" s="37"/>
      <c r="S368" s="32"/>
      <c r="T368" s="32"/>
      <c r="U368" s="32"/>
      <c r="V368" s="32"/>
      <c r="W368" s="32"/>
      <c r="X368" s="32"/>
      <c r="Y368" s="32"/>
      <c r="Z368" s="32"/>
      <c r="AA368" s="32"/>
    </row>
    <row r="369" spans="1:27" ht="30">
      <c r="A369" s="39"/>
      <c r="B369" s="40"/>
      <c r="C369" s="16" t="s">
        <v>50</v>
      </c>
      <c r="D369" s="36">
        <v>8</v>
      </c>
      <c r="E369" s="22" t="str">
        <f t="shared" ref="E369:E371" si="231">(MID(str_cnvt(E368),SEARCH(":",str_cnvt(E368))+1,2)-1) &amp; ":" &amp; (MID(str_cnvt(E368),SEARCH(":",str_cnvt(E368))+1,2)-D369)</f>
        <v>23:16</v>
      </c>
      <c r="F369" s="22" t="s">
        <v>43</v>
      </c>
      <c r="G369" s="27" t="s">
        <v>49</v>
      </c>
      <c r="H369" s="23" t="s">
        <v>36</v>
      </c>
      <c r="I369" s="24" t="s">
        <v>35</v>
      </c>
      <c r="J369" s="25" t="s">
        <v>6</v>
      </c>
      <c r="K369" s="26"/>
      <c r="L369" s="41"/>
      <c r="M369" s="41"/>
      <c r="N369" s="41"/>
      <c r="O369" s="37"/>
      <c r="P369" s="37"/>
      <c r="Q369" s="37"/>
      <c r="S369" s="32"/>
      <c r="T369" s="32"/>
      <c r="U369" s="32"/>
      <c r="V369" s="32"/>
      <c r="W369" s="32"/>
      <c r="X369" s="32"/>
      <c r="Y369" s="32"/>
      <c r="Z369" s="32"/>
      <c r="AA369" s="32"/>
    </row>
    <row r="370" spans="1:27" ht="30">
      <c r="A370" s="39"/>
      <c r="B370" s="40"/>
      <c r="C370" s="16" t="s">
        <v>51</v>
      </c>
      <c r="D370" s="36">
        <v>8</v>
      </c>
      <c r="E370" s="22" t="str">
        <f t="shared" si="231"/>
        <v>15:8</v>
      </c>
      <c r="F370" s="22" t="s">
        <v>43</v>
      </c>
      <c r="G370" s="27" t="s">
        <v>49</v>
      </c>
      <c r="H370" s="23" t="s">
        <v>36</v>
      </c>
      <c r="I370" s="24" t="s">
        <v>35</v>
      </c>
      <c r="J370" s="25" t="s">
        <v>6</v>
      </c>
      <c r="K370" s="26"/>
      <c r="L370" s="41"/>
      <c r="M370" s="41"/>
      <c r="N370" s="41"/>
      <c r="O370" s="37"/>
      <c r="P370" s="37"/>
      <c r="Q370" s="37"/>
      <c r="S370" s="32"/>
      <c r="T370" s="32"/>
      <c r="U370" s="32"/>
      <c r="V370" s="32"/>
      <c r="W370" s="32"/>
      <c r="X370" s="32"/>
      <c r="Y370" s="32"/>
      <c r="Z370" s="32"/>
      <c r="AA370" s="32"/>
    </row>
    <row r="371" spans="1:27" ht="30.75" thickBot="1">
      <c r="A371" s="39"/>
      <c r="B371" s="40"/>
      <c r="C371" s="16" t="s">
        <v>52</v>
      </c>
      <c r="D371" s="36">
        <v>8</v>
      </c>
      <c r="E371" s="22" t="str">
        <f t="shared" si="231"/>
        <v>7:0</v>
      </c>
      <c r="F371" s="22" t="s">
        <v>43</v>
      </c>
      <c r="G371" s="27" t="s">
        <v>49</v>
      </c>
      <c r="H371" s="23" t="s">
        <v>36</v>
      </c>
      <c r="I371" s="24" t="s">
        <v>35</v>
      </c>
      <c r="J371" s="25" t="s">
        <v>6</v>
      </c>
      <c r="K371" s="26"/>
      <c r="L371" s="41"/>
      <c r="M371" s="41"/>
      <c r="N371" s="41"/>
      <c r="O371" s="37"/>
      <c r="P371" s="37"/>
      <c r="Q371" s="37"/>
      <c r="S371" s="32"/>
      <c r="T371" s="32"/>
      <c r="U371" s="32"/>
      <c r="V371" s="32"/>
      <c r="W371" s="32"/>
      <c r="X371" s="32"/>
      <c r="Y371" s="32"/>
      <c r="Z371" s="32"/>
      <c r="AA371" s="32"/>
    </row>
    <row r="372" spans="1:27">
      <c r="A372" s="42" t="str">
        <f>AA372</f>
        <v>REFGEN_REG_QUAD2_SAR3_SLC0</v>
      </c>
      <c r="B372" s="43" t="str">
        <f>DEC2HEX(O372*4)</f>
        <v>0</v>
      </c>
      <c r="C372" s="44" t="str">
        <f>bitConcat(F373:F376)</f>
        <v>32'b00000000000000000000000000000000</v>
      </c>
      <c r="D372" s="44"/>
      <c r="E372" s="44"/>
      <c r="F372" s="44"/>
      <c r="G372" s="44"/>
      <c r="H372" s="44"/>
      <c r="I372" s="44"/>
      <c r="J372" s="44"/>
      <c r="K372" s="44"/>
      <c r="L372" s="45" t="str">
        <f t="shared" si="212"/>
        <v>38</v>
      </c>
      <c r="M372" s="45"/>
      <c r="N372" s="45">
        <f t="shared" ref="N372" si="232">S372</f>
        <v>0</v>
      </c>
      <c r="O372" s="38">
        <v>0</v>
      </c>
      <c r="P372" s="38" t="str">
        <f t="shared" ref="P372" si="233">DEC2HEX(HEX2DEC(Z372)*4)</f>
        <v>38</v>
      </c>
      <c r="Q372" s="38" t="str">
        <f>BIN2HEX(LEFT(RIGHT(C372,32),4))&amp;BIN2HEX(LEFT(RIGHT(C372,28),4))&amp;BIN2HEX(LEFT(RIGHT(C372,24),4))&amp;BIN2HEX(LEFT(RIGHT(C372,20),4))&amp;BIN2HEX(LEFT(RIGHT(C372,16),4))&amp;BIN2HEX(LEFT(RIGHT(C372,12),4))&amp;BIN2HEX(LEFT(RIGHT(C372,8),4))&amp;BIN2HEX(LEFT(RIGHT(C372,4),4))</f>
        <v>00000000</v>
      </c>
      <c r="S372" s="32">
        <v>0</v>
      </c>
      <c r="T372" s="32">
        <v>0</v>
      </c>
      <c r="U372" s="32">
        <v>0</v>
      </c>
      <c r="V372" s="32">
        <v>1</v>
      </c>
      <c r="W372" s="32">
        <v>1</v>
      </c>
      <c r="X372" s="32">
        <v>1</v>
      </c>
      <c r="Y372" s="32">
        <v>0</v>
      </c>
      <c r="Z372" s="32" t="str">
        <f t="shared" si="230"/>
        <v>E</v>
      </c>
      <c r="AA372" s="32" t="str">
        <f>CONCATENATE("REFGEN_REG_QUAD",BIN2DEC(X372&amp;Y372),"_SAR",BIN2DEC(V372&amp;W372),"_SLC",BIN2DEC(S372&amp;T372&amp;U372),)</f>
        <v>REFGEN_REG_QUAD2_SAR3_SLC0</v>
      </c>
    </row>
    <row r="373" spans="1:27" ht="30">
      <c r="A373" s="39"/>
      <c r="B373" s="40"/>
      <c r="C373" s="16" t="s">
        <v>48</v>
      </c>
      <c r="D373" s="36">
        <v>8</v>
      </c>
      <c r="E373" s="21" t="str">
        <f>IF(D373&gt;1,(31)&amp;":"&amp;(31-D373+1),(31-D373+1)&amp;":"&amp;(31-D373+1))</f>
        <v>31:24</v>
      </c>
      <c r="F373" s="22" t="s">
        <v>43</v>
      </c>
      <c r="G373" s="27" t="s">
        <v>49</v>
      </c>
      <c r="H373" s="23" t="s">
        <v>36</v>
      </c>
      <c r="I373" s="24" t="s">
        <v>35</v>
      </c>
      <c r="J373" s="25" t="s">
        <v>6</v>
      </c>
      <c r="K373" s="26"/>
      <c r="L373" s="41"/>
      <c r="M373" s="41"/>
      <c r="N373" s="41"/>
      <c r="O373" s="37"/>
      <c r="P373" s="37"/>
      <c r="Q373" s="37"/>
      <c r="S373" s="32"/>
      <c r="T373" s="32"/>
      <c r="U373" s="32"/>
      <c r="V373" s="32"/>
      <c r="W373" s="32"/>
      <c r="X373" s="32"/>
      <c r="Y373" s="32"/>
      <c r="Z373" s="32"/>
      <c r="AA373" s="32"/>
    </row>
    <row r="374" spans="1:27" ht="30">
      <c r="A374" s="39"/>
      <c r="B374" s="40"/>
      <c r="C374" s="16" t="s">
        <v>50</v>
      </c>
      <c r="D374" s="36">
        <v>8</v>
      </c>
      <c r="E374" s="22" t="str">
        <f t="shared" ref="E374:E376" si="234">(MID(str_cnvt(E373),SEARCH(":",str_cnvt(E373))+1,2)-1) &amp; ":" &amp; (MID(str_cnvt(E373),SEARCH(":",str_cnvt(E373))+1,2)-D374)</f>
        <v>23:16</v>
      </c>
      <c r="F374" s="22" t="s">
        <v>43</v>
      </c>
      <c r="G374" s="27" t="s">
        <v>49</v>
      </c>
      <c r="H374" s="23" t="s">
        <v>36</v>
      </c>
      <c r="I374" s="24" t="s">
        <v>35</v>
      </c>
      <c r="J374" s="25" t="s">
        <v>6</v>
      </c>
      <c r="K374" s="26"/>
      <c r="L374" s="41"/>
      <c r="M374" s="41"/>
      <c r="N374" s="41"/>
      <c r="O374" s="37"/>
      <c r="P374" s="37"/>
      <c r="Q374" s="37"/>
      <c r="S374" s="32"/>
      <c r="T374" s="32"/>
      <c r="U374" s="32"/>
      <c r="V374" s="32"/>
      <c r="W374" s="32"/>
      <c r="X374" s="32"/>
      <c r="Y374" s="32"/>
      <c r="Z374" s="32"/>
      <c r="AA374" s="32"/>
    </row>
    <row r="375" spans="1:27" ht="30">
      <c r="A375" s="39"/>
      <c r="B375" s="40"/>
      <c r="C375" s="16" t="s">
        <v>51</v>
      </c>
      <c r="D375" s="36">
        <v>8</v>
      </c>
      <c r="E375" s="22" t="str">
        <f t="shared" si="234"/>
        <v>15:8</v>
      </c>
      <c r="F375" s="22" t="s">
        <v>43</v>
      </c>
      <c r="G375" s="27" t="s">
        <v>49</v>
      </c>
      <c r="H375" s="23" t="s">
        <v>36</v>
      </c>
      <c r="I375" s="24" t="s">
        <v>35</v>
      </c>
      <c r="J375" s="25" t="s">
        <v>6</v>
      </c>
      <c r="K375" s="26"/>
      <c r="L375" s="41"/>
      <c r="M375" s="41"/>
      <c r="N375" s="41"/>
      <c r="O375" s="37"/>
      <c r="P375" s="37"/>
      <c r="Q375" s="37"/>
      <c r="S375" s="32"/>
      <c r="T375" s="32"/>
      <c r="U375" s="32"/>
      <c r="V375" s="32"/>
      <c r="W375" s="32"/>
      <c r="X375" s="32"/>
      <c r="Y375" s="32"/>
      <c r="Z375" s="32"/>
      <c r="AA375" s="32"/>
    </row>
    <row r="376" spans="1:27" ht="30.75" thickBot="1">
      <c r="A376" s="39"/>
      <c r="B376" s="40"/>
      <c r="C376" s="16" t="s">
        <v>52</v>
      </c>
      <c r="D376" s="36">
        <v>8</v>
      </c>
      <c r="E376" s="22" t="str">
        <f t="shared" si="234"/>
        <v>7:0</v>
      </c>
      <c r="F376" s="22" t="s">
        <v>43</v>
      </c>
      <c r="G376" s="27" t="s">
        <v>49</v>
      </c>
      <c r="H376" s="23" t="s">
        <v>36</v>
      </c>
      <c r="I376" s="24" t="s">
        <v>35</v>
      </c>
      <c r="J376" s="25" t="s">
        <v>6</v>
      </c>
      <c r="K376" s="26"/>
      <c r="L376" s="41"/>
      <c r="M376" s="41"/>
      <c r="N376" s="41"/>
      <c r="O376" s="37"/>
      <c r="P376" s="37"/>
      <c r="Q376" s="37"/>
      <c r="S376" s="32"/>
      <c r="T376" s="32"/>
      <c r="U376" s="32"/>
      <c r="V376" s="32"/>
      <c r="W376" s="32"/>
      <c r="X376" s="32"/>
      <c r="Y376" s="32"/>
      <c r="Z376" s="32"/>
      <c r="AA376" s="32"/>
    </row>
    <row r="377" spans="1:27">
      <c r="A377" s="42" t="str">
        <f>AA377</f>
        <v>REFGEN_REG_QUAD3_SAR3_SLC0</v>
      </c>
      <c r="B377" s="43" t="str">
        <f>DEC2HEX(O377*4)</f>
        <v>0</v>
      </c>
      <c r="C377" s="44" t="str">
        <f>bitConcat(F378:F381)</f>
        <v>32'b00000000000000000000000000000000</v>
      </c>
      <c r="D377" s="44"/>
      <c r="E377" s="44"/>
      <c r="F377" s="44"/>
      <c r="G377" s="44"/>
      <c r="H377" s="44"/>
      <c r="I377" s="44"/>
      <c r="J377" s="44"/>
      <c r="K377" s="44"/>
      <c r="L377" s="45" t="str">
        <f t="shared" si="212"/>
        <v>3C</v>
      </c>
      <c r="M377" s="45"/>
      <c r="N377" s="45">
        <f t="shared" ref="N377" si="235">S377</f>
        <v>0</v>
      </c>
      <c r="O377" s="38">
        <v>0</v>
      </c>
      <c r="P377" s="38" t="str">
        <f t="shared" ref="P377" si="236">DEC2HEX(HEX2DEC(Z377)*4)</f>
        <v>3C</v>
      </c>
      <c r="Q377" s="38" t="str">
        <f>BIN2HEX(LEFT(RIGHT(C377,32),4))&amp;BIN2HEX(LEFT(RIGHT(C377,28),4))&amp;BIN2HEX(LEFT(RIGHT(C377,24),4))&amp;BIN2HEX(LEFT(RIGHT(C377,20),4))&amp;BIN2HEX(LEFT(RIGHT(C377,16),4))&amp;BIN2HEX(LEFT(RIGHT(C377,12),4))&amp;BIN2HEX(LEFT(RIGHT(C377,8),4))&amp;BIN2HEX(LEFT(RIGHT(C377,4),4))</f>
        <v>00000000</v>
      </c>
      <c r="S377" s="32">
        <v>0</v>
      </c>
      <c r="T377" s="32">
        <v>0</v>
      </c>
      <c r="U377" s="32">
        <v>0</v>
      </c>
      <c r="V377" s="32">
        <v>1</v>
      </c>
      <c r="W377" s="32">
        <v>1</v>
      </c>
      <c r="X377" s="32">
        <v>1</v>
      </c>
      <c r="Y377" s="32">
        <v>1</v>
      </c>
      <c r="Z377" s="32" t="str">
        <f t="shared" si="230"/>
        <v>F</v>
      </c>
      <c r="AA377" s="32" t="str">
        <f>CONCATENATE("REFGEN_REG_QUAD",BIN2DEC(X377&amp;Y377),"_SAR",BIN2DEC(V377&amp;W377),"_SLC",BIN2DEC(S377&amp;T377&amp;U377),)</f>
        <v>REFGEN_REG_QUAD3_SAR3_SLC0</v>
      </c>
    </row>
    <row r="378" spans="1:27" ht="30">
      <c r="A378" s="39"/>
      <c r="B378" s="40"/>
      <c r="C378" s="16" t="s">
        <v>48</v>
      </c>
      <c r="D378" s="36">
        <v>8</v>
      </c>
      <c r="E378" s="21" t="str">
        <f>IF(D378&gt;1,(31)&amp;":"&amp;(31-D378+1),(31-D378+1)&amp;":"&amp;(31-D378+1))</f>
        <v>31:24</v>
      </c>
      <c r="F378" s="22" t="s">
        <v>43</v>
      </c>
      <c r="G378" s="27" t="s">
        <v>49</v>
      </c>
      <c r="H378" s="23" t="s">
        <v>36</v>
      </c>
      <c r="I378" s="24" t="s">
        <v>35</v>
      </c>
      <c r="J378" s="25" t="s">
        <v>6</v>
      </c>
      <c r="K378" s="26"/>
      <c r="L378" s="41"/>
      <c r="M378" s="41"/>
      <c r="N378" s="41"/>
      <c r="O378" s="37"/>
      <c r="P378" s="37"/>
      <c r="Q378" s="37"/>
      <c r="S378" s="32"/>
      <c r="T378" s="32"/>
      <c r="U378" s="32"/>
      <c r="V378" s="32"/>
      <c r="W378" s="32"/>
      <c r="X378" s="32"/>
      <c r="Y378" s="32"/>
      <c r="Z378" s="32"/>
      <c r="AA378" s="32"/>
    </row>
    <row r="379" spans="1:27" ht="30">
      <c r="A379" s="39"/>
      <c r="B379" s="40"/>
      <c r="C379" s="16" t="s">
        <v>50</v>
      </c>
      <c r="D379" s="36">
        <v>8</v>
      </c>
      <c r="E379" s="22" t="str">
        <f t="shared" ref="E379:E381" si="237">(MID(str_cnvt(E378),SEARCH(":",str_cnvt(E378))+1,2)-1) &amp; ":" &amp; (MID(str_cnvt(E378),SEARCH(":",str_cnvt(E378))+1,2)-D379)</f>
        <v>23:16</v>
      </c>
      <c r="F379" s="22" t="s">
        <v>43</v>
      </c>
      <c r="G379" s="27" t="s">
        <v>49</v>
      </c>
      <c r="H379" s="23" t="s">
        <v>36</v>
      </c>
      <c r="I379" s="24" t="s">
        <v>35</v>
      </c>
      <c r="J379" s="25" t="s">
        <v>6</v>
      </c>
      <c r="K379" s="26"/>
      <c r="L379" s="41"/>
      <c r="M379" s="41"/>
      <c r="N379" s="41"/>
      <c r="O379" s="37"/>
      <c r="P379" s="37"/>
      <c r="Q379" s="37"/>
      <c r="S379" s="32"/>
      <c r="T379" s="32"/>
      <c r="U379" s="32"/>
      <c r="V379" s="32"/>
      <c r="W379" s="32"/>
      <c r="X379" s="32"/>
      <c r="Y379" s="32"/>
      <c r="Z379" s="32"/>
      <c r="AA379" s="32"/>
    </row>
    <row r="380" spans="1:27" ht="30">
      <c r="A380" s="39"/>
      <c r="B380" s="40"/>
      <c r="C380" s="16" t="s">
        <v>51</v>
      </c>
      <c r="D380" s="36">
        <v>8</v>
      </c>
      <c r="E380" s="22" t="str">
        <f t="shared" si="237"/>
        <v>15:8</v>
      </c>
      <c r="F380" s="22" t="s">
        <v>43</v>
      </c>
      <c r="G380" s="27" t="s">
        <v>49</v>
      </c>
      <c r="H380" s="23" t="s">
        <v>36</v>
      </c>
      <c r="I380" s="24" t="s">
        <v>35</v>
      </c>
      <c r="J380" s="25" t="s">
        <v>6</v>
      </c>
      <c r="K380" s="26"/>
      <c r="L380" s="41"/>
      <c r="M380" s="41"/>
      <c r="N380" s="41"/>
      <c r="O380" s="37"/>
      <c r="P380" s="37"/>
      <c r="Q380" s="37"/>
      <c r="S380" s="32"/>
      <c r="T380" s="32"/>
      <c r="U380" s="32"/>
      <c r="V380" s="32"/>
      <c r="W380" s="32"/>
      <c r="X380" s="32"/>
      <c r="Y380" s="32"/>
      <c r="Z380" s="32"/>
      <c r="AA380" s="32"/>
    </row>
    <row r="381" spans="1:27" ht="30.75" thickBot="1">
      <c r="A381" s="39"/>
      <c r="B381" s="40"/>
      <c r="C381" s="16" t="s">
        <v>52</v>
      </c>
      <c r="D381" s="36">
        <v>8</v>
      </c>
      <c r="E381" s="22" t="str">
        <f t="shared" si="237"/>
        <v>7:0</v>
      </c>
      <c r="F381" s="22" t="s">
        <v>43</v>
      </c>
      <c r="G381" s="27" t="s">
        <v>49</v>
      </c>
      <c r="H381" s="23" t="s">
        <v>36</v>
      </c>
      <c r="I381" s="24" t="s">
        <v>35</v>
      </c>
      <c r="J381" s="25" t="s">
        <v>6</v>
      </c>
      <c r="K381" s="26"/>
      <c r="L381" s="41"/>
      <c r="M381" s="41"/>
      <c r="N381" s="41"/>
      <c r="O381" s="37"/>
      <c r="P381" s="37"/>
      <c r="Q381" s="37"/>
      <c r="S381" s="32"/>
      <c r="T381" s="32"/>
      <c r="U381" s="32"/>
      <c r="V381" s="32"/>
      <c r="W381" s="32"/>
      <c r="X381" s="32"/>
      <c r="Y381" s="32"/>
      <c r="Z381" s="32"/>
      <c r="AA381" s="32"/>
    </row>
    <row r="382" spans="1:27">
      <c r="A382" s="42" t="str">
        <f>AA382</f>
        <v>REFGEN_REG_QUAD0_SAR3_SLC1</v>
      </c>
      <c r="B382" s="43" t="str">
        <f>DEC2HEX(O382*4)</f>
        <v>0</v>
      </c>
      <c r="C382" s="44" t="str">
        <f>bitConcat(F383:F386)</f>
        <v>32'b00000000000000000000000000000000</v>
      </c>
      <c r="D382" s="44"/>
      <c r="E382" s="44"/>
      <c r="F382" s="44"/>
      <c r="G382" s="44"/>
      <c r="H382" s="44"/>
      <c r="I382" s="44"/>
      <c r="J382" s="44"/>
      <c r="K382" s="44"/>
      <c r="L382" s="45" t="str">
        <f t="shared" si="212"/>
        <v>70</v>
      </c>
      <c r="M382" s="45"/>
      <c r="N382" s="45">
        <f t="shared" ref="N382" si="238">S382</f>
        <v>0</v>
      </c>
      <c r="O382" s="38">
        <v>0</v>
      </c>
      <c r="P382" s="38" t="str">
        <f t="shared" ref="P382" si="239">DEC2HEX(HEX2DEC(Z382)*4)</f>
        <v>70</v>
      </c>
      <c r="Q382" s="38" t="str">
        <f>BIN2HEX(LEFT(RIGHT(C382,32),4))&amp;BIN2HEX(LEFT(RIGHT(C382,28),4))&amp;BIN2HEX(LEFT(RIGHT(C382,24),4))&amp;BIN2HEX(LEFT(RIGHT(C382,20),4))&amp;BIN2HEX(LEFT(RIGHT(C382,16),4))&amp;BIN2HEX(LEFT(RIGHT(C382,12),4))&amp;BIN2HEX(LEFT(RIGHT(C382,8),4))&amp;BIN2HEX(LEFT(RIGHT(C382,4),4))</f>
        <v>00000000</v>
      </c>
      <c r="S382" s="32">
        <v>0</v>
      </c>
      <c r="T382" s="32">
        <v>0</v>
      </c>
      <c r="U382" s="32">
        <v>1</v>
      </c>
      <c r="V382" s="32">
        <v>1</v>
      </c>
      <c r="W382" s="32">
        <v>1</v>
      </c>
      <c r="X382" s="32">
        <v>0</v>
      </c>
      <c r="Y382" s="32">
        <v>0</v>
      </c>
      <c r="Z382" s="32" t="str">
        <f t="shared" si="230"/>
        <v>1C</v>
      </c>
      <c r="AA382" s="32" t="str">
        <f>CONCATENATE("REFGEN_REG_QUAD",BIN2DEC(X382&amp;Y382),"_SAR",BIN2DEC(V382&amp;W382),"_SLC",BIN2DEC(S382&amp;T382&amp;U382),)</f>
        <v>REFGEN_REG_QUAD0_SAR3_SLC1</v>
      </c>
    </row>
    <row r="383" spans="1:27" ht="30">
      <c r="A383" s="39"/>
      <c r="B383" s="40"/>
      <c r="C383" s="16" t="s">
        <v>48</v>
      </c>
      <c r="D383" s="36">
        <v>8</v>
      </c>
      <c r="E383" s="21" t="str">
        <f>IF(D383&gt;1,(31)&amp;":"&amp;(31-D383+1),(31-D383+1)&amp;":"&amp;(31-D383+1))</f>
        <v>31:24</v>
      </c>
      <c r="F383" s="22" t="s">
        <v>43</v>
      </c>
      <c r="G383" s="27" t="s">
        <v>49</v>
      </c>
      <c r="H383" s="23" t="s">
        <v>36</v>
      </c>
      <c r="I383" s="24" t="s">
        <v>35</v>
      </c>
      <c r="J383" s="25" t="s">
        <v>6</v>
      </c>
      <c r="K383" s="26"/>
      <c r="L383" s="41"/>
      <c r="M383" s="41"/>
      <c r="N383" s="41"/>
      <c r="O383" s="37"/>
      <c r="P383" s="37"/>
      <c r="Q383" s="37"/>
      <c r="S383" s="32"/>
      <c r="T383" s="32"/>
      <c r="U383" s="32"/>
      <c r="V383" s="32"/>
      <c r="W383" s="32"/>
      <c r="X383" s="32"/>
      <c r="Y383" s="32"/>
      <c r="Z383" s="32"/>
      <c r="AA383" s="32"/>
    </row>
    <row r="384" spans="1:27" ht="30">
      <c r="A384" s="39"/>
      <c r="B384" s="40"/>
      <c r="C384" s="16" t="s">
        <v>50</v>
      </c>
      <c r="D384" s="36">
        <v>8</v>
      </c>
      <c r="E384" s="22" t="str">
        <f t="shared" ref="E384:E386" si="240">(MID(str_cnvt(E383),SEARCH(":",str_cnvt(E383))+1,2)-1) &amp; ":" &amp; (MID(str_cnvt(E383),SEARCH(":",str_cnvt(E383))+1,2)-D384)</f>
        <v>23:16</v>
      </c>
      <c r="F384" s="22" t="s">
        <v>43</v>
      </c>
      <c r="G384" s="27" t="s">
        <v>49</v>
      </c>
      <c r="H384" s="23" t="s">
        <v>36</v>
      </c>
      <c r="I384" s="24" t="s">
        <v>35</v>
      </c>
      <c r="J384" s="25" t="s">
        <v>6</v>
      </c>
      <c r="K384" s="26"/>
      <c r="L384" s="41"/>
      <c r="M384" s="41"/>
      <c r="N384" s="41"/>
      <c r="O384" s="37"/>
      <c r="P384" s="37"/>
      <c r="Q384" s="37"/>
      <c r="S384" s="32"/>
      <c r="T384" s="32"/>
      <c r="U384" s="32"/>
      <c r="V384" s="32"/>
      <c r="W384" s="32"/>
      <c r="X384" s="32"/>
      <c r="Y384" s="32"/>
      <c r="Z384" s="32"/>
      <c r="AA384" s="32"/>
    </row>
    <row r="385" spans="1:27" ht="30">
      <c r="A385" s="39"/>
      <c r="B385" s="40"/>
      <c r="C385" s="16" t="s">
        <v>51</v>
      </c>
      <c r="D385" s="36">
        <v>8</v>
      </c>
      <c r="E385" s="22" t="str">
        <f t="shared" si="240"/>
        <v>15:8</v>
      </c>
      <c r="F385" s="22" t="s">
        <v>43</v>
      </c>
      <c r="G385" s="27" t="s">
        <v>49</v>
      </c>
      <c r="H385" s="23" t="s">
        <v>36</v>
      </c>
      <c r="I385" s="24" t="s">
        <v>35</v>
      </c>
      <c r="J385" s="25" t="s">
        <v>6</v>
      </c>
      <c r="K385" s="26"/>
      <c r="L385" s="41"/>
      <c r="M385" s="41"/>
      <c r="N385" s="41"/>
      <c r="O385" s="37"/>
      <c r="P385" s="37"/>
      <c r="Q385" s="37"/>
      <c r="S385" s="32"/>
      <c r="T385" s="32"/>
      <c r="U385" s="32"/>
      <c r="V385" s="32"/>
      <c r="W385" s="32"/>
      <c r="X385" s="32"/>
      <c r="Y385" s="32"/>
      <c r="Z385" s="32"/>
      <c r="AA385" s="32"/>
    </row>
    <row r="386" spans="1:27" ht="30.75" thickBot="1">
      <c r="A386" s="39"/>
      <c r="B386" s="40"/>
      <c r="C386" s="16" t="s">
        <v>52</v>
      </c>
      <c r="D386" s="36">
        <v>8</v>
      </c>
      <c r="E386" s="22" t="str">
        <f t="shared" si="240"/>
        <v>7:0</v>
      </c>
      <c r="F386" s="22" t="s">
        <v>43</v>
      </c>
      <c r="G386" s="27" t="s">
        <v>49</v>
      </c>
      <c r="H386" s="23" t="s">
        <v>36</v>
      </c>
      <c r="I386" s="24" t="s">
        <v>35</v>
      </c>
      <c r="J386" s="25" t="s">
        <v>6</v>
      </c>
      <c r="K386" s="26"/>
      <c r="L386" s="41"/>
      <c r="M386" s="41"/>
      <c r="N386" s="41"/>
      <c r="O386" s="37"/>
      <c r="P386" s="37"/>
      <c r="Q386" s="37"/>
      <c r="S386" s="32"/>
      <c r="T386" s="32"/>
      <c r="U386" s="32"/>
      <c r="V386" s="32"/>
      <c r="W386" s="32"/>
      <c r="X386" s="32"/>
      <c r="Y386" s="32"/>
      <c r="Z386" s="32"/>
      <c r="AA386" s="32"/>
    </row>
    <row r="387" spans="1:27">
      <c r="A387" s="42" t="str">
        <f>AA387</f>
        <v>REFGEN_REG_QUAD1_SAR3_SLC1</v>
      </c>
      <c r="B387" s="43" t="str">
        <f>DEC2HEX(O387*4)</f>
        <v>0</v>
      </c>
      <c r="C387" s="44" t="str">
        <f>bitConcat(F388:F391)</f>
        <v>32'b00000000000000000000000000000000</v>
      </c>
      <c r="D387" s="44"/>
      <c r="E387" s="44"/>
      <c r="F387" s="44"/>
      <c r="G387" s="44"/>
      <c r="H387" s="44"/>
      <c r="I387" s="44"/>
      <c r="J387" s="44"/>
      <c r="K387" s="44"/>
      <c r="L387" s="45" t="str">
        <f t="shared" si="212"/>
        <v>74</v>
      </c>
      <c r="M387" s="45"/>
      <c r="N387" s="45">
        <f t="shared" ref="N387" si="241">S387</f>
        <v>0</v>
      </c>
      <c r="O387" s="38">
        <v>0</v>
      </c>
      <c r="P387" s="38" t="str">
        <f t="shared" ref="P387" si="242">DEC2HEX(HEX2DEC(Z387)*4)</f>
        <v>74</v>
      </c>
      <c r="Q387" s="38" t="str">
        <f>BIN2HEX(LEFT(RIGHT(C387,32),4))&amp;BIN2HEX(LEFT(RIGHT(C387,28),4))&amp;BIN2HEX(LEFT(RIGHT(C387,24),4))&amp;BIN2HEX(LEFT(RIGHT(C387,20),4))&amp;BIN2HEX(LEFT(RIGHT(C387,16),4))&amp;BIN2HEX(LEFT(RIGHT(C387,12),4))&amp;BIN2HEX(LEFT(RIGHT(C387,8),4))&amp;BIN2HEX(LEFT(RIGHT(C387,4),4))</f>
        <v>00000000</v>
      </c>
      <c r="S387" s="32">
        <v>0</v>
      </c>
      <c r="T387" s="32">
        <v>0</v>
      </c>
      <c r="U387" s="32">
        <v>1</v>
      </c>
      <c r="V387" s="32">
        <v>1</v>
      </c>
      <c r="W387" s="32">
        <v>1</v>
      </c>
      <c r="X387" s="32">
        <v>0</v>
      </c>
      <c r="Y387" s="32">
        <v>1</v>
      </c>
      <c r="Z387" s="32" t="str">
        <f t="shared" si="230"/>
        <v>1D</v>
      </c>
      <c r="AA387" s="32" t="str">
        <f>CONCATENATE("REFGEN_REG_QUAD",BIN2DEC(X387&amp;Y387),"_SAR",BIN2DEC(V387&amp;W387),"_SLC",BIN2DEC(S387&amp;T387&amp;U387),)</f>
        <v>REFGEN_REG_QUAD1_SAR3_SLC1</v>
      </c>
    </row>
    <row r="388" spans="1:27" ht="30">
      <c r="A388" s="39"/>
      <c r="B388" s="40"/>
      <c r="C388" s="16" t="s">
        <v>48</v>
      </c>
      <c r="D388" s="36">
        <v>8</v>
      </c>
      <c r="E388" s="21" t="str">
        <f>IF(D388&gt;1,(31)&amp;":"&amp;(31-D388+1),(31-D388+1)&amp;":"&amp;(31-D388+1))</f>
        <v>31:24</v>
      </c>
      <c r="F388" s="22" t="s">
        <v>43</v>
      </c>
      <c r="G388" s="27" t="s">
        <v>49</v>
      </c>
      <c r="H388" s="23" t="s">
        <v>36</v>
      </c>
      <c r="I388" s="24" t="s">
        <v>35</v>
      </c>
      <c r="J388" s="25" t="s">
        <v>6</v>
      </c>
      <c r="K388" s="26"/>
      <c r="L388" s="41"/>
      <c r="M388" s="41"/>
      <c r="N388" s="41"/>
      <c r="O388" s="37"/>
      <c r="P388" s="37"/>
      <c r="Q388" s="37"/>
      <c r="S388" s="32"/>
      <c r="T388" s="32"/>
      <c r="U388" s="32"/>
      <c r="V388" s="32"/>
      <c r="W388" s="32"/>
      <c r="X388" s="32"/>
      <c r="Y388" s="32"/>
      <c r="Z388" s="32"/>
      <c r="AA388" s="32"/>
    </row>
    <row r="389" spans="1:27" ht="30">
      <c r="A389" s="39"/>
      <c r="B389" s="40"/>
      <c r="C389" s="16" t="s">
        <v>50</v>
      </c>
      <c r="D389" s="36">
        <v>8</v>
      </c>
      <c r="E389" s="22" t="str">
        <f t="shared" ref="E389:E391" si="243">(MID(str_cnvt(E388),SEARCH(":",str_cnvt(E388))+1,2)-1) &amp; ":" &amp; (MID(str_cnvt(E388),SEARCH(":",str_cnvt(E388))+1,2)-D389)</f>
        <v>23:16</v>
      </c>
      <c r="F389" s="22" t="s">
        <v>43</v>
      </c>
      <c r="G389" s="27" t="s">
        <v>49</v>
      </c>
      <c r="H389" s="23" t="s">
        <v>36</v>
      </c>
      <c r="I389" s="24" t="s">
        <v>35</v>
      </c>
      <c r="J389" s="25" t="s">
        <v>6</v>
      </c>
      <c r="K389" s="26"/>
      <c r="L389" s="41"/>
      <c r="M389" s="41"/>
      <c r="N389" s="41"/>
      <c r="O389" s="37"/>
      <c r="P389" s="37"/>
      <c r="Q389" s="37"/>
      <c r="S389" s="32"/>
      <c r="T389" s="32"/>
      <c r="U389" s="32"/>
      <c r="V389" s="32"/>
      <c r="W389" s="32"/>
      <c r="X389" s="32"/>
      <c r="Y389" s="32"/>
      <c r="Z389" s="32"/>
      <c r="AA389" s="32"/>
    </row>
    <row r="390" spans="1:27" ht="30">
      <c r="A390" s="39"/>
      <c r="B390" s="40"/>
      <c r="C390" s="16" t="s">
        <v>51</v>
      </c>
      <c r="D390" s="36">
        <v>8</v>
      </c>
      <c r="E390" s="22" t="str">
        <f t="shared" si="243"/>
        <v>15:8</v>
      </c>
      <c r="F390" s="22" t="s">
        <v>43</v>
      </c>
      <c r="G390" s="27" t="s">
        <v>49</v>
      </c>
      <c r="H390" s="23" t="s">
        <v>36</v>
      </c>
      <c r="I390" s="24" t="s">
        <v>35</v>
      </c>
      <c r="J390" s="25" t="s">
        <v>6</v>
      </c>
      <c r="K390" s="26"/>
      <c r="L390" s="41"/>
      <c r="M390" s="41"/>
      <c r="N390" s="41"/>
      <c r="O390" s="37"/>
      <c r="P390" s="37"/>
      <c r="Q390" s="37"/>
      <c r="S390" s="32"/>
      <c r="T390" s="32"/>
      <c r="U390" s="32"/>
      <c r="V390" s="32"/>
      <c r="W390" s="32"/>
      <c r="X390" s="32"/>
      <c r="Y390" s="32"/>
      <c r="Z390" s="32"/>
      <c r="AA390" s="32"/>
    </row>
    <row r="391" spans="1:27" ht="30.75" thickBot="1">
      <c r="A391" s="39"/>
      <c r="B391" s="40"/>
      <c r="C391" s="16" t="s">
        <v>52</v>
      </c>
      <c r="D391" s="36">
        <v>8</v>
      </c>
      <c r="E391" s="22" t="str">
        <f t="shared" si="243"/>
        <v>7:0</v>
      </c>
      <c r="F391" s="22" t="s">
        <v>43</v>
      </c>
      <c r="G391" s="27" t="s">
        <v>49</v>
      </c>
      <c r="H391" s="23" t="s">
        <v>36</v>
      </c>
      <c r="I391" s="24" t="s">
        <v>35</v>
      </c>
      <c r="J391" s="25" t="s">
        <v>6</v>
      </c>
      <c r="K391" s="26"/>
      <c r="L391" s="41"/>
      <c r="M391" s="41"/>
      <c r="N391" s="41"/>
      <c r="O391" s="37"/>
      <c r="P391" s="37"/>
      <c r="Q391" s="37"/>
      <c r="S391" s="32"/>
      <c r="T391" s="32"/>
      <c r="U391" s="32"/>
      <c r="V391" s="32"/>
      <c r="W391" s="32"/>
      <c r="X391" s="32"/>
      <c r="Y391" s="32"/>
      <c r="Z391" s="32"/>
      <c r="AA391" s="32"/>
    </row>
    <row r="392" spans="1:27">
      <c r="A392" s="42" t="str">
        <f>AA392</f>
        <v>REFGEN_REG_QUAD2_SAR3_SLC1</v>
      </c>
      <c r="B392" s="43" t="str">
        <f>DEC2HEX(O392*4)</f>
        <v>0</v>
      </c>
      <c r="C392" s="44" t="str">
        <f>bitConcat(F393:F396)</f>
        <v>32'b00000000000000000000000000000000</v>
      </c>
      <c r="D392" s="44"/>
      <c r="E392" s="44"/>
      <c r="F392" s="44"/>
      <c r="G392" s="44"/>
      <c r="H392" s="44"/>
      <c r="I392" s="44"/>
      <c r="J392" s="44"/>
      <c r="K392" s="44"/>
      <c r="L392" s="45" t="str">
        <f t="shared" si="212"/>
        <v>78</v>
      </c>
      <c r="M392" s="45"/>
      <c r="N392" s="45">
        <f t="shared" ref="N392" si="244">S392</f>
        <v>0</v>
      </c>
      <c r="O392" s="38">
        <v>0</v>
      </c>
      <c r="P392" s="38" t="str">
        <f t="shared" ref="P392" si="245">DEC2HEX(HEX2DEC(Z392)*4)</f>
        <v>78</v>
      </c>
      <c r="Q392" s="38" t="str">
        <f>BIN2HEX(LEFT(RIGHT(C392,32),4))&amp;BIN2HEX(LEFT(RIGHT(C392,28),4))&amp;BIN2HEX(LEFT(RIGHT(C392,24),4))&amp;BIN2HEX(LEFT(RIGHT(C392,20),4))&amp;BIN2HEX(LEFT(RIGHT(C392,16),4))&amp;BIN2HEX(LEFT(RIGHT(C392,12),4))&amp;BIN2HEX(LEFT(RIGHT(C392,8),4))&amp;BIN2HEX(LEFT(RIGHT(C392,4),4))</f>
        <v>00000000</v>
      </c>
      <c r="S392" s="32">
        <v>0</v>
      </c>
      <c r="T392" s="32">
        <v>0</v>
      </c>
      <c r="U392" s="32">
        <v>1</v>
      </c>
      <c r="V392" s="32">
        <v>1</v>
      </c>
      <c r="W392" s="32">
        <v>1</v>
      </c>
      <c r="X392" s="32">
        <v>1</v>
      </c>
      <c r="Y392" s="32">
        <v>0</v>
      </c>
      <c r="Z392" s="32" t="str">
        <f t="shared" si="230"/>
        <v>1E</v>
      </c>
      <c r="AA392" s="32" t="str">
        <f>CONCATENATE("REFGEN_REG_QUAD",BIN2DEC(X392&amp;Y392),"_SAR",BIN2DEC(V392&amp;W392),"_SLC",BIN2DEC(S392&amp;T392&amp;U392),)</f>
        <v>REFGEN_REG_QUAD2_SAR3_SLC1</v>
      </c>
    </row>
    <row r="393" spans="1:27" ht="30">
      <c r="A393" s="39"/>
      <c r="B393" s="40"/>
      <c r="C393" s="16" t="s">
        <v>48</v>
      </c>
      <c r="D393" s="36">
        <v>8</v>
      </c>
      <c r="E393" s="21" t="str">
        <f>IF(D393&gt;1,(31)&amp;":"&amp;(31-D393+1),(31-D393+1)&amp;":"&amp;(31-D393+1))</f>
        <v>31:24</v>
      </c>
      <c r="F393" s="22" t="s">
        <v>43</v>
      </c>
      <c r="G393" s="27" t="s">
        <v>49</v>
      </c>
      <c r="H393" s="23" t="s">
        <v>36</v>
      </c>
      <c r="I393" s="24" t="s">
        <v>35</v>
      </c>
      <c r="J393" s="25" t="s">
        <v>6</v>
      </c>
      <c r="K393" s="26"/>
      <c r="L393" s="41"/>
      <c r="M393" s="41"/>
      <c r="N393" s="41"/>
      <c r="O393" s="37"/>
      <c r="P393" s="37"/>
      <c r="Q393" s="37"/>
      <c r="S393" s="32"/>
      <c r="T393" s="32"/>
      <c r="U393" s="32"/>
      <c r="V393" s="32"/>
      <c r="W393" s="32"/>
      <c r="X393" s="32"/>
      <c r="Y393" s="32"/>
      <c r="Z393" s="32"/>
      <c r="AA393" s="32"/>
    </row>
    <row r="394" spans="1:27" ht="30">
      <c r="A394" s="39"/>
      <c r="B394" s="40"/>
      <c r="C394" s="16" t="s">
        <v>50</v>
      </c>
      <c r="D394" s="36">
        <v>8</v>
      </c>
      <c r="E394" s="22" t="str">
        <f t="shared" ref="E394:E396" si="246">(MID(str_cnvt(E393),SEARCH(":",str_cnvt(E393))+1,2)-1) &amp; ":" &amp; (MID(str_cnvt(E393),SEARCH(":",str_cnvt(E393))+1,2)-D394)</f>
        <v>23:16</v>
      </c>
      <c r="F394" s="22" t="s">
        <v>43</v>
      </c>
      <c r="G394" s="27" t="s">
        <v>49</v>
      </c>
      <c r="H394" s="23" t="s">
        <v>36</v>
      </c>
      <c r="I394" s="24" t="s">
        <v>35</v>
      </c>
      <c r="J394" s="25" t="s">
        <v>6</v>
      </c>
      <c r="K394" s="26"/>
      <c r="L394" s="41"/>
      <c r="M394" s="41"/>
      <c r="N394" s="41"/>
      <c r="O394" s="37"/>
      <c r="P394" s="37"/>
      <c r="Q394" s="37"/>
      <c r="S394" s="32"/>
      <c r="T394" s="32"/>
      <c r="U394" s="32"/>
      <c r="V394" s="32"/>
      <c r="W394" s="32"/>
      <c r="X394" s="32"/>
      <c r="Y394" s="32"/>
      <c r="Z394" s="32"/>
      <c r="AA394" s="32"/>
    </row>
    <row r="395" spans="1:27" ht="30">
      <c r="A395" s="39"/>
      <c r="B395" s="40"/>
      <c r="C395" s="16" t="s">
        <v>51</v>
      </c>
      <c r="D395" s="36">
        <v>8</v>
      </c>
      <c r="E395" s="22" t="str">
        <f t="shared" si="246"/>
        <v>15:8</v>
      </c>
      <c r="F395" s="22" t="s">
        <v>43</v>
      </c>
      <c r="G395" s="27" t="s">
        <v>49</v>
      </c>
      <c r="H395" s="23" t="s">
        <v>36</v>
      </c>
      <c r="I395" s="24" t="s">
        <v>35</v>
      </c>
      <c r="J395" s="25" t="s">
        <v>6</v>
      </c>
      <c r="K395" s="26"/>
      <c r="L395" s="41"/>
      <c r="M395" s="41"/>
      <c r="N395" s="41"/>
      <c r="O395" s="37"/>
      <c r="P395" s="37"/>
      <c r="Q395" s="37"/>
      <c r="S395" s="32"/>
      <c r="T395" s="32"/>
      <c r="U395" s="32"/>
      <c r="V395" s="32"/>
      <c r="W395" s="32"/>
      <c r="X395" s="32"/>
      <c r="Y395" s="32"/>
      <c r="Z395" s="32"/>
      <c r="AA395" s="32"/>
    </row>
    <row r="396" spans="1:27" ht="30.75" thickBot="1">
      <c r="A396" s="39"/>
      <c r="B396" s="40"/>
      <c r="C396" s="16" t="s">
        <v>52</v>
      </c>
      <c r="D396" s="36">
        <v>8</v>
      </c>
      <c r="E396" s="22" t="str">
        <f t="shared" si="246"/>
        <v>7:0</v>
      </c>
      <c r="F396" s="22" t="s">
        <v>43</v>
      </c>
      <c r="G396" s="27" t="s">
        <v>49</v>
      </c>
      <c r="H396" s="23" t="s">
        <v>36</v>
      </c>
      <c r="I396" s="24" t="s">
        <v>35</v>
      </c>
      <c r="J396" s="25" t="s">
        <v>6</v>
      </c>
      <c r="K396" s="26"/>
      <c r="L396" s="41"/>
      <c r="M396" s="41"/>
      <c r="N396" s="41"/>
      <c r="O396" s="37"/>
      <c r="P396" s="37"/>
      <c r="Q396" s="37"/>
      <c r="S396" s="32"/>
      <c r="T396" s="32"/>
      <c r="U396" s="32"/>
      <c r="V396" s="32"/>
      <c r="W396" s="32"/>
      <c r="X396" s="32"/>
      <c r="Y396" s="32"/>
      <c r="Z396" s="32"/>
      <c r="AA396" s="32"/>
    </row>
    <row r="397" spans="1:27">
      <c r="A397" s="42" t="str">
        <f>AA397</f>
        <v>REFGEN_REG_QUAD3_SAR3_SLC1</v>
      </c>
      <c r="B397" s="43" t="str">
        <f>DEC2HEX(O397*4)</f>
        <v>0</v>
      </c>
      <c r="C397" s="44" t="str">
        <f>bitConcat(F398:F401)</f>
        <v>32'b00000000000000000000000000000000</v>
      </c>
      <c r="D397" s="44"/>
      <c r="E397" s="44"/>
      <c r="F397" s="44"/>
      <c r="G397" s="44"/>
      <c r="H397" s="44"/>
      <c r="I397" s="44"/>
      <c r="J397" s="44"/>
      <c r="K397" s="44"/>
      <c r="L397" s="45" t="str">
        <f t="shared" si="212"/>
        <v>7C</v>
      </c>
      <c r="M397" s="45"/>
      <c r="N397" s="45">
        <f t="shared" ref="N397" si="247">S397</f>
        <v>0</v>
      </c>
      <c r="O397" s="38">
        <v>0</v>
      </c>
      <c r="P397" s="38" t="str">
        <f t="shared" ref="P397" si="248">DEC2HEX(HEX2DEC(Z397)*4)</f>
        <v>7C</v>
      </c>
      <c r="Q397" s="38" t="str">
        <f>BIN2HEX(LEFT(RIGHT(C397,32),4))&amp;BIN2HEX(LEFT(RIGHT(C397,28),4))&amp;BIN2HEX(LEFT(RIGHT(C397,24),4))&amp;BIN2HEX(LEFT(RIGHT(C397,20),4))&amp;BIN2HEX(LEFT(RIGHT(C397,16),4))&amp;BIN2HEX(LEFT(RIGHT(C397,12),4))&amp;BIN2HEX(LEFT(RIGHT(C397,8),4))&amp;BIN2HEX(LEFT(RIGHT(C397,4),4))</f>
        <v>00000000</v>
      </c>
      <c r="S397" s="32">
        <v>0</v>
      </c>
      <c r="T397" s="32">
        <v>0</v>
      </c>
      <c r="U397" s="32">
        <v>1</v>
      </c>
      <c r="V397" s="32">
        <v>1</v>
      </c>
      <c r="W397" s="32">
        <v>1</v>
      </c>
      <c r="X397" s="32">
        <v>1</v>
      </c>
      <c r="Y397" s="32">
        <v>1</v>
      </c>
      <c r="Z397" s="32" t="str">
        <f t="shared" si="230"/>
        <v>1F</v>
      </c>
      <c r="AA397" s="32" t="str">
        <f>CONCATENATE("REFGEN_REG_QUAD",BIN2DEC(X397&amp;Y397),"_SAR",BIN2DEC(V397&amp;W397),"_SLC",BIN2DEC(S397&amp;T397&amp;U397),)</f>
        <v>REFGEN_REG_QUAD3_SAR3_SLC1</v>
      </c>
    </row>
    <row r="398" spans="1:27" ht="30">
      <c r="A398" s="39"/>
      <c r="B398" s="40"/>
      <c r="C398" s="16" t="s">
        <v>48</v>
      </c>
      <c r="D398" s="36">
        <v>8</v>
      </c>
      <c r="E398" s="21" t="str">
        <f>IF(D398&gt;1,(31)&amp;":"&amp;(31-D398+1),(31-D398+1)&amp;":"&amp;(31-D398+1))</f>
        <v>31:24</v>
      </c>
      <c r="F398" s="22" t="s">
        <v>43</v>
      </c>
      <c r="G398" s="27" t="s">
        <v>49</v>
      </c>
      <c r="H398" s="23" t="s">
        <v>36</v>
      </c>
      <c r="I398" s="24" t="s">
        <v>35</v>
      </c>
      <c r="J398" s="25" t="s">
        <v>6</v>
      </c>
      <c r="K398" s="26"/>
      <c r="L398" s="41"/>
      <c r="M398" s="41"/>
      <c r="N398" s="41"/>
      <c r="O398" s="37"/>
      <c r="P398" s="37"/>
      <c r="Q398" s="37"/>
      <c r="S398" s="32"/>
      <c r="T398" s="32"/>
      <c r="U398" s="32"/>
      <c r="V398" s="32"/>
      <c r="W398" s="32"/>
      <c r="X398" s="32"/>
      <c r="Y398" s="32"/>
      <c r="Z398" s="32"/>
      <c r="AA398" s="32"/>
    </row>
    <row r="399" spans="1:27" ht="30">
      <c r="A399" s="39"/>
      <c r="B399" s="40"/>
      <c r="C399" s="16" t="s">
        <v>50</v>
      </c>
      <c r="D399" s="36">
        <v>8</v>
      </c>
      <c r="E399" s="22" t="str">
        <f t="shared" ref="E399:E401" si="249">(MID(str_cnvt(E398),SEARCH(":",str_cnvt(E398))+1,2)-1) &amp; ":" &amp; (MID(str_cnvt(E398),SEARCH(":",str_cnvt(E398))+1,2)-D399)</f>
        <v>23:16</v>
      </c>
      <c r="F399" s="22" t="s">
        <v>43</v>
      </c>
      <c r="G399" s="27" t="s">
        <v>49</v>
      </c>
      <c r="H399" s="23" t="s">
        <v>36</v>
      </c>
      <c r="I399" s="24" t="s">
        <v>35</v>
      </c>
      <c r="J399" s="25" t="s">
        <v>6</v>
      </c>
      <c r="K399" s="26"/>
      <c r="L399" s="41"/>
      <c r="M399" s="41"/>
      <c r="N399" s="41"/>
      <c r="O399" s="37"/>
      <c r="P399" s="37"/>
      <c r="Q399" s="37"/>
      <c r="S399" s="32"/>
      <c r="T399" s="32"/>
      <c r="U399" s="32"/>
      <c r="V399" s="32"/>
      <c r="W399" s="32"/>
      <c r="X399" s="32"/>
      <c r="Y399" s="32"/>
      <c r="Z399" s="32"/>
      <c r="AA399" s="32"/>
    </row>
    <row r="400" spans="1:27" ht="30">
      <c r="A400" s="39"/>
      <c r="B400" s="40"/>
      <c r="C400" s="16" t="s">
        <v>51</v>
      </c>
      <c r="D400" s="36">
        <v>8</v>
      </c>
      <c r="E400" s="22" t="str">
        <f t="shared" si="249"/>
        <v>15:8</v>
      </c>
      <c r="F400" s="22" t="s">
        <v>43</v>
      </c>
      <c r="G400" s="27" t="s">
        <v>49</v>
      </c>
      <c r="H400" s="23" t="s">
        <v>36</v>
      </c>
      <c r="I400" s="24" t="s">
        <v>35</v>
      </c>
      <c r="J400" s="25" t="s">
        <v>6</v>
      </c>
      <c r="K400" s="26"/>
      <c r="L400" s="41"/>
      <c r="M400" s="41"/>
      <c r="N400" s="41"/>
      <c r="O400" s="37"/>
      <c r="P400" s="37"/>
      <c r="Q400" s="37"/>
      <c r="S400" s="32"/>
      <c r="T400" s="32"/>
      <c r="U400" s="32"/>
      <c r="V400" s="32"/>
      <c r="W400" s="32"/>
      <c r="X400" s="32"/>
      <c r="Y400" s="32"/>
      <c r="Z400" s="32"/>
      <c r="AA400" s="32"/>
    </row>
    <row r="401" spans="1:27" ht="30.75" thickBot="1">
      <c r="A401" s="39"/>
      <c r="B401" s="40"/>
      <c r="C401" s="16" t="s">
        <v>52</v>
      </c>
      <c r="D401" s="36">
        <v>8</v>
      </c>
      <c r="E401" s="22" t="str">
        <f t="shared" si="249"/>
        <v>7:0</v>
      </c>
      <c r="F401" s="22" t="s">
        <v>43</v>
      </c>
      <c r="G401" s="27" t="s">
        <v>49</v>
      </c>
      <c r="H401" s="23" t="s">
        <v>36</v>
      </c>
      <c r="I401" s="24" t="s">
        <v>35</v>
      </c>
      <c r="J401" s="25" t="s">
        <v>6</v>
      </c>
      <c r="K401" s="26"/>
      <c r="L401" s="41"/>
      <c r="M401" s="41"/>
      <c r="N401" s="41"/>
      <c r="O401" s="37"/>
      <c r="P401" s="37"/>
      <c r="Q401" s="37"/>
      <c r="S401" s="32"/>
      <c r="T401" s="32"/>
      <c r="U401" s="32"/>
      <c r="V401" s="32"/>
      <c r="W401" s="32"/>
      <c r="X401" s="32"/>
      <c r="Y401" s="32"/>
      <c r="Z401" s="32"/>
      <c r="AA401" s="32"/>
    </row>
    <row r="402" spans="1:27">
      <c r="A402" s="42" t="str">
        <f>AA402</f>
        <v>REFGEN_REG_QUAD0_SAR3_SLC2</v>
      </c>
      <c r="B402" s="43" t="str">
        <f>DEC2HEX(O402*4)</f>
        <v>0</v>
      </c>
      <c r="C402" s="44" t="str">
        <f>bitConcat(F403:F406)</f>
        <v>32'b00000000000000000000000000000000</v>
      </c>
      <c r="D402" s="44"/>
      <c r="E402" s="44"/>
      <c r="F402" s="44"/>
      <c r="G402" s="44"/>
      <c r="H402" s="44"/>
      <c r="I402" s="44"/>
      <c r="J402" s="44"/>
      <c r="K402" s="44"/>
      <c r="L402" s="45" t="str">
        <f t="shared" si="212"/>
        <v>B0</v>
      </c>
      <c r="M402" s="45"/>
      <c r="N402" s="45">
        <f t="shared" ref="N402" si="250">S402</f>
        <v>0</v>
      </c>
      <c r="O402" s="38">
        <v>0</v>
      </c>
      <c r="P402" s="38" t="str">
        <f t="shared" ref="P402" si="251">DEC2HEX(HEX2DEC(Z402)*4)</f>
        <v>B0</v>
      </c>
      <c r="Q402" s="38" t="str">
        <f>BIN2HEX(LEFT(RIGHT(C402,32),4))&amp;BIN2HEX(LEFT(RIGHT(C402,28),4))&amp;BIN2HEX(LEFT(RIGHT(C402,24),4))&amp;BIN2HEX(LEFT(RIGHT(C402,20),4))&amp;BIN2HEX(LEFT(RIGHT(C402,16),4))&amp;BIN2HEX(LEFT(RIGHT(C402,12),4))&amp;BIN2HEX(LEFT(RIGHT(C402,8),4))&amp;BIN2HEX(LEFT(RIGHT(C402,4),4))</f>
        <v>00000000</v>
      </c>
      <c r="S402" s="32">
        <v>0</v>
      </c>
      <c r="T402" s="32">
        <v>1</v>
      </c>
      <c r="U402" s="32">
        <v>0</v>
      </c>
      <c r="V402" s="32">
        <v>1</v>
      </c>
      <c r="W402" s="32">
        <v>1</v>
      </c>
      <c r="X402" s="32">
        <v>0</v>
      </c>
      <c r="Y402" s="32">
        <v>0</v>
      </c>
      <c r="Z402" s="32" t="str">
        <f t="shared" si="230"/>
        <v>2C</v>
      </c>
      <c r="AA402" s="32" t="str">
        <f>CONCATENATE("REFGEN_REG_QUAD",BIN2DEC(X402&amp;Y402),"_SAR",BIN2DEC(V402&amp;W402),"_SLC",BIN2DEC(S402&amp;T402&amp;U402),)</f>
        <v>REFGEN_REG_QUAD0_SAR3_SLC2</v>
      </c>
    </row>
    <row r="403" spans="1:27" ht="30">
      <c r="A403" s="39"/>
      <c r="B403" s="40"/>
      <c r="C403" s="16" t="s">
        <v>48</v>
      </c>
      <c r="D403" s="36">
        <v>8</v>
      </c>
      <c r="E403" s="21" t="str">
        <f>IF(D403&gt;1,(31)&amp;":"&amp;(31-D403+1),(31-D403+1)&amp;":"&amp;(31-D403+1))</f>
        <v>31:24</v>
      </c>
      <c r="F403" s="22" t="s">
        <v>43</v>
      </c>
      <c r="G403" s="27" t="s">
        <v>49</v>
      </c>
      <c r="H403" s="23" t="s">
        <v>36</v>
      </c>
      <c r="I403" s="24" t="s">
        <v>35</v>
      </c>
      <c r="J403" s="25" t="s">
        <v>6</v>
      </c>
      <c r="K403" s="26"/>
      <c r="L403" s="41"/>
      <c r="M403" s="41"/>
      <c r="N403" s="41"/>
      <c r="O403" s="37"/>
      <c r="P403" s="37"/>
      <c r="Q403" s="37"/>
      <c r="S403" s="32"/>
      <c r="T403" s="32"/>
      <c r="U403" s="32"/>
      <c r="V403" s="32"/>
      <c r="W403" s="32"/>
      <c r="X403" s="32"/>
      <c r="Y403" s="32"/>
      <c r="Z403" s="32"/>
      <c r="AA403" s="32"/>
    </row>
    <row r="404" spans="1:27" ht="30">
      <c r="A404" s="39"/>
      <c r="B404" s="40"/>
      <c r="C404" s="16" t="s">
        <v>50</v>
      </c>
      <c r="D404" s="36">
        <v>8</v>
      </c>
      <c r="E404" s="22" t="str">
        <f t="shared" ref="E404:E406" si="252">(MID(str_cnvt(E403),SEARCH(":",str_cnvt(E403))+1,2)-1) &amp; ":" &amp; (MID(str_cnvt(E403),SEARCH(":",str_cnvt(E403))+1,2)-D404)</f>
        <v>23:16</v>
      </c>
      <c r="F404" s="22" t="s">
        <v>43</v>
      </c>
      <c r="G404" s="27" t="s">
        <v>49</v>
      </c>
      <c r="H404" s="23" t="s">
        <v>36</v>
      </c>
      <c r="I404" s="24" t="s">
        <v>35</v>
      </c>
      <c r="J404" s="25" t="s">
        <v>6</v>
      </c>
      <c r="K404" s="26"/>
      <c r="L404" s="41"/>
      <c r="M404" s="41"/>
      <c r="N404" s="41"/>
      <c r="O404" s="37"/>
      <c r="P404" s="37"/>
      <c r="Q404" s="37"/>
      <c r="S404" s="32"/>
      <c r="T404" s="32"/>
      <c r="U404" s="32"/>
      <c r="V404" s="32"/>
      <c r="W404" s="32"/>
      <c r="X404" s="32"/>
      <c r="Y404" s="32"/>
      <c r="Z404" s="32"/>
      <c r="AA404" s="32"/>
    </row>
    <row r="405" spans="1:27" ht="30">
      <c r="A405" s="39"/>
      <c r="B405" s="40"/>
      <c r="C405" s="16" t="s">
        <v>51</v>
      </c>
      <c r="D405" s="36">
        <v>8</v>
      </c>
      <c r="E405" s="22" t="str">
        <f t="shared" si="252"/>
        <v>15:8</v>
      </c>
      <c r="F405" s="22" t="s">
        <v>43</v>
      </c>
      <c r="G405" s="27" t="s">
        <v>49</v>
      </c>
      <c r="H405" s="23" t="s">
        <v>36</v>
      </c>
      <c r="I405" s="24" t="s">
        <v>35</v>
      </c>
      <c r="J405" s="25" t="s">
        <v>6</v>
      </c>
      <c r="K405" s="26"/>
      <c r="L405" s="41"/>
      <c r="M405" s="41"/>
      <c r="N405" s="41"/>
      <c r="O405" s="37"/>
      <c r="P405" s="37"/>
      <c r="Q405" s="37"/>
      <c r="S405" s="32"/>
      <c r="T405" s="32"/>
      <c r="U405" s="32"/>
      <c r="V405" s="32"/>
      <c r="W405" s="32"/>
      <c r="X405" s="32"/>
      <c r="Y405" s="32"/>
      <c r="Z405" s="32"/>
      <c r="AA405" s="32"/>
    </row>
    <row r="406" spans="1:27" ht="30.75" thickBot="1">
      <c r="A406" s="39"/>
      <c r="B406" s="40"/>
      <c r="C406" s="16" t="s">
        <v>52</v>
      </c>
      <c r="D406" s="36">
        <v>8</v>
      </c>
      <c r="E406" s="22" t="str">
        <f t="shared" si="252"/>
        <v>7:0</v>
      </c>
      <c r="F406" s="22" t="s">
        <v>43</v>
      </c>
      <c r="G406" s="27" t="s">
        <v>49</v>
      </c>
      <c r="H406" s="23" t="s">
        <v>36</v>
      </c>
      <c r="I406" s="24" t="s">
        <v>35</v>
      </c>
      <c r="J406" s="25" t="s">
        <v>6</v>
      </c>
      <c r="K406" s="26"/>
      <c r="L406" s="41"/>
      <c r="M406" s="41"/>
      <c r="N406" s="41"/>
      <c r="O406" s="37"/>
      <c r="P406" s="37"/>
      <c r="Q406" s="37"/>
      <c r="S406" s="32"/>
      <c r="T406" s="32"/>
      <c r="U406" s="32"/>
      <c r="V406" s="32"/>
      <c r="W406" s="32"/>
      <c r="X406" s="32"/>
      <c r="Y406" s="32"/>
      <c r="Z406" s="32"/>
      <c r="AA406" s="32"/>
    </row>
    <row r="407" spans="1:27">
      <c r="A407" s="42" t="str">
        <f>AA407</f>
        <v>REFGEN_REG_QUAD1_SAR3_SLC2</v>
      </c>
      <c r="B407" s="43" t="str">
        <f>DEC2HEX(O407*4)</f>
        <v>0</v>
      </c>
      <c r="C407" s="44" t="str">
        <f>bitConcat(F408:F411)</f>
        <v>32'b00000000000000000000000000000000</v>
      </c>
      <c r="D407" s="44"/>
      <c r="E407" s="44"/>
      <c r="F407" s="44"/>
      <c r="G407" s="44"/>
      <c r="H407" s="44"/>
      <c r="I407" s="44"/>
      <c r="J407" s="44"/>
      <c r="K407" s="44"/>
      <c r="L407" s="45" t="str">
        <f t="shared" ref="L407:L467" si="253">DEC2HEX(_xlfn.BITLSHIFT(N407,7)+HEX2DEC(P407))</f>
        <v>B4</v>
      </c>
      <c r="M407" s="45"/>
      <c r="N407" s="45">
        <f t="shared" ref="N407" si="254">S407</f>
        <v>0</v>
      </c>
      <c r="O407" s="38">
        <v>0</v>
      </c>
      <c r="P407" s="38" t="str">
        <f t="shared" ref="P407" si="255">DEC2HEX(HEX2DEC(Z407)*4)</f>
        <v>B4</v>
      </c>
      <c r="Q407" s="38" t="str">
        <f>BIN2HEX(LEFT(RIGHT(C407,32),4))&amp;BIN2HEX(LEFT(RIGHT(C407,28),4))&amp;BIN2HEX(LEFT(RIGHT(C407,24),4))&amp;BIN2HEX(LEFT(RIGHT(C407,20),4))&amp;BIN2HEX(LEFT(RIGHT(C407,16),4))&amp;BIN2HEX(LEFT(RIGHT(C407,12),4))&amp;BIN2HEX(LEFT(RIGHT(C407,8),4))&amp;BIN2HEX(LEFT(RIGHT(C407,4),4))</f>
        <v>00000000</v>
      </c>
      <c r="S407" s="32">
        <v>0</v>
      </c>
      <c r="T407" s="32">
        <v>1</v>
      </c>
      <c r="U407" s="32">
        <v>0</v>
      </c>
      <c r="V407" s="32">
        <v>1</v>
      </c>
      <c r="W407" s="32">
        <v>1</v>
      </c>
      <c r="X407" s="32">
        <v>0</v>
      </c>
      <c r="Y407" s="32">
        <v>1</v>
      </c>
      <c r="Z407" s="32" t="str">
        <f t="shared" si="230"/>
        <v>2D</v>
      </c>
      <c r="AA407" s="32" t="str">
        <f>CONCATENATE("REFGEN_REG_QUAD",BIN2DEC(X407&amp;Y407),"_SAR",BIN2DEC(V407&amp;W407),"_SLC",BIN2DEC(S407&amp;T407&amp;U407),)</f>
        <v>REFGEN_REG_QUAD1_SAR3_SLC2</v>
      </c>
    </row>
    <row r="408" spans="1:27" ht="30">
      <c r="A408" s="39"/>
      <c r="B408" s="40"/>
      <c r="C408" s="16" t="s">
        <v>48</v>
      </c>
      <c r="D408" s="36">
        <v>8</v>
      </c>
      <c r="E408" s="21" t="str">
        <f>IF(D408&gt;1,(31)&amp;":"&amp;(31-D408+1),(31-D408+1)&amp;":"&amp;(31-D408+1))</f>
        <v>31:24</v>
      </c>
      <c r="F408" s="22" t="s">
        <v>43</v>
      </c>
      <c r="G408" s="27" t="s">
        <v>49</v>
      </c>
      <c r="H408" s="23" t="s">
        <v>36</v>
      </c>
      <c r="I408" s="24" t="s">
        <v>35</v>
      </c>
      <c r="J408" s="25" t="s">
        <v>6</v>
      </c>
      <c r="K408" s="26"/>
      <c r="L408" s="41"/>
      <c r="M408" s="41"/>
      <c r="N408" s="41"/>
      <c r="O408" s="37"/>
      <c r="P408" s="37"/>
      <c r="Q408" s="37"/>
      <c r="S408" s="32"/>
      <c r="T408" s="32"/>
      <c r="U408" s="32"/>
      <c r="V408" s="32"/>
      <c r="W408" s="32"/>
      <c r="X408" s="32"/>
      <c r="Y408" s="32"/>
      <c r="Z408" s="32"/>
      <c r="AA408" s="32"/>
    </row>
    <row r="409" spans="1:27" ht="30">
      <c r="A409" s="39"/>
      <c r="B409" s="40"/>
      <c r="C409" s="16" t="s">
        <v>50</v>
      </c>
      <c r="D409" s="36">
        <v>8</v>
      </c>
      <c r="E409" s="22" t="str">
        <f t="shared" ref="E409:E411" si="256">(MID(str_cnvt(E408),SEARCH(":",str_cnvt(E408))+1,2)-1) &amp; ":" &amp; (MID(str_cnvt(E408),SEARCH(":",str_cnvt(E408))+1,2)-D409)</f>
        <v>23:16</v>
      </c>
      <c r="F409" s="22" t="s">
        <v>43</v>
      </c>
      <c r="G409" s="27" t="s">
        <v>49</v>
      </c>
      <c r="H409" s="23" t="s">
        <v>36</v>
      </c>
      <c r="I409" s="24" t="s">
        <v>35</v>
      </c>
      <c r="J409" s="25" t="s">
        <v>6</v>
      </c>
      <c r="K409" s="26"/>
      <c r="L409" s="41"/>
      <c r="M409" s="41"/>
      <c r="N409" s="41"/>
      <c r="O409" s="37"/>
      <c r="P409" s="37"/>
      <c r="Q409" s="37"/>
      <c r="S409" s="32"/>
      <c r="T409" s="32"/>
      <c r="U409" s="32"/>
      <c r="V409" s="32"/>
      <c r="W409" s="32"/>
      <c r="X409" s="32"/>
      <c r="Y409" s="32"/>
      <c r="Z409" s="32"/>
      <c r="AA409" s="32"/>
    </row>
    <row r="410" spans="1:27" ht="30">
      <c r="A410" s="39"/>
      <c r="B410" s="40"/>
      <c r="C410" s="16" t="s">
        <v>51</v>
      </c>
      <c r="D410" s="36">
        <v>8</v>
      </c>
      <c r="E410" s="22" t="str">
        <f t="shared" si="256"/>
        <v>15:8</v>
      </c>
      <c r="F410" s="22" t="s">
        <v>43</v>
      </c>
      <c r="G410" s="27" t="s">
        <v>49</v>
      </c>
      <c r="H410" s="23" t="s">
        <v>36</v>
      </c>
      <c r="I410" s="24" t="s">
        <v>35</v>
      </c>
      <c r="J410" s="25" t="s">
        <v>6</v>
      </c>
      <c r="K410" s="26"/>
      <c r="L410" s="41"/>
      <c r="M410" s="41"/>
      <c r="N410" s="41"/>
      <c r="O410" s="37"/>
      <c r="P410" s="37"/>
      <c r="Q410" s="37"/>
      <c r="S410" s="32"/>
      <c r="T410" s="32"/>
      <c r="U410" s="32"/>
      <c r="V410" s="32"/>
      <c r="W410" s="32"/>
      <c r="X410" s="32"/>
      <c r="Y410" s="32"/>
      <c r="Z410" s="32"/>
      <c r="AA410" s="32"/>
    </row>
    <row r="411" spans="1:27" ht="30.75" thickBot="1">
      <c r="A411" s="39"/>
      <c r="B411" s="40"/>
      <c r="C411" s="16" t="s">
        <v>52</v>
      </c>
      <c r="D411" s="36">
        <v>8</v>
      </c>
      <c r="E411" s="22" t="str">
        <f t="shared" si="256"/>
        <v>7:0</v>
      </c>
      <c r="F411" s="22" t="s">
        <v>43</v>
      </c>
      <c r="G411" s="27" t="s">
        <v>49</v>
      </c>
      <c r="H411" s="23" t="s">
        <v>36</v>
      </c>
      <c r="I411" s="24" t="s">
        <v>35</v>
      </c>
      <c r="J411" s="25" t="s">
        <v>6</v>
      </c>
      <c r="K411" s="26"/>
      <c r="L411" s="41"/>
      <c r="M411" s="41"/>
      <c r="N411" s="41"/>
      <c r="O411" s="37"/>
      <c r="P411" s="37"/>
      <c r="Q411" s="37"/>
      <c r="S411" s="32"/>
      <c r="T411" s="32"/>
      <c r="U411" s="32"/>
      <c r="V411" s="32"/>
      <c r="W411" s="32"/>
      <c r="X411" s="32"/>
      <c r="Y411" s="32"/>
      <c r="Z411" s="32"/>
      <c r="AA411" s="32"/>
    </row>
    <row r="412" spans="1:27">
      <c r="A412" s="42" t="str">
        <f>AA412</f>
        <v>REFGEN_REG_QUAD2_SAR3_SLC2</v>
      </c>
      <c r="B412" s="43" t="str">
        <f>DEC2HEX(O412*4)</f>
        <v>0</v>
      </c>
      <c r="C412" s="44" t="str">
        <f>bitConcat(F413:F416)</f>
        <v>32'b00000000000000000000000000000000</v>
      </c>
      <c r="D412" s="44"/>
      <c r="E412" s="44"/>
      <c r="F412" s="44"/>
      <c r="G412" s="44"/>
      <c r="H412" s="44"/>
      <c r="I412" s="44"/>
      <c r="J412" s="44"/>
      <c r="K412" s="44"/>
      <c r="L412" s="45" t="str">
        <f t="shared" si="253"/>
        <v>B8</v>
      </c>
      <c r="M412" s="45"/>
      <c r="N412" s="45">
        <f t="shared" ref="N412" si="257">S412</f>
        <v>0</v>
      </c>
      <c r="O412" s="38">
        <v>0</v>
      </c>
      <c r="P412" s="38" t="str">
        <f t="shared" ref="P412" si="258">DEC2HEX(HEX2DEC(Z412)*4)</f>
        <v>B8</v>
      </c>
      <c r="Q412" s="38" t="str">
        <f>BIN2HEX(LEFT(RIGHT(C412,32),4))&amp;BIN2HEX(LEFT(RIGHT(C412,28),4))&amp;BIN2HEX(LEFT(RIGHT(C412,24),4))&amp;BIN2HEX(LEFT(RIGHT(C412,20),4))&amp;BIN2HEX(LEFT(RIGHT(C412,16),4))&amp;BIN2HEX(LEFT(RIGHT(C412,12),4))&amp;BIN2HEX(LEFT(RIGHT(C412,8),4))&amp;BIN2HEX(LEFT(RIGHT(C412,4),4))</f>
        <v>00000000</v>
      </c>
      <c r="S412" s="32">
        <v>0</v>
      </c>
      <c r="T412" s="32">
        <v>1</v>
      </c>
      <c r="U412" s="32">
        <v>0</v>
      </c>
      <c r="V412" s="32">
        <v>1</v>
      </c>
      <c r="W412" s="32">
        <v>1</v>
      </c>
      <c r="X412" s="32">
        <v>1</v>
      </c>
      <c r="Y412" s="32">
        <v>0</v>
      </c>
      <c r="Z412" s="32" t="str">
        <f t="shared" si="230"/>
        <v>2E</v>
      </c>
      <c r="AA412" s="32" t="str">
        <f>CONCATENATE("REFGEN_REG_QUAD",BIN2DEC(X412&amp;Y412),"_SAR",BIN2DEC(V412&amp;W412),"_SLC",BIN2DEC(S412&amp;T412&amp;U412),)</f>
        <v>REFGEN_REG_QUAD2_SAR3_SLC2</v>
      </c>
    </row>
    <row r="413" spans="1:27" ht="30">
      <c r="A413" s="39"/>
      <c r="B413" s="40"/>
      <c r="C413" s="16" t="s">
        <v>48</v>
      </c>
      <c r="D413" s="36">
        <v>8</v>
      </c>
      <c r="E413" s="21" t="str">
        <f>IF(D413&gt;1,(31)&amp;":"&amp;(31-D413+1),(31-D413+1)&amp;":"&amp;(31-D413+1))</f>
        <v>31:24</v>
      </c>
      <c r="F413" s="22" t="s">
        <v>43</v>
      </c>
      <c r="G413" s="27" t="s">
        <v>49</v>
      </c>
      <c r="H413" s="23" t="s">
        <v>36</v>
      </c>
      <c r="I413" s="24" t="s">
        <v>35</v>
      </c>
      <c r="J413" s="25" t="s">
        <v>6</v>
      </c>
      <c r="K413" s="26"/>
      <c r="L413" s="41"/>
      <c r="M413" s="41"/>
      <c r="N413" s="41"/>
      <c r="O413" s="37"/>
      <c r="P413" s="37"/>
      <c r="Q413" s="37"/>
      <c r="S413" s="32"/>
      <c r="T413" s="32"/>
      <c r="U413" s="32"/>
      <c r="V413" s="32"/>
      <c r="W413" s="32"/>
      <c r="X413" s="32"/>
      <c r="Y413" s="32"/>
      <c r="Z413" s="32"/>
      <c r="AA413" s="32"/>
    </row>
    <row r="414" spans="1:27" ht="30">
      <c r="A414" s="39"/>
      <c r="B414" s="40"/>
      <c r="C414" s="16" t="s">
        <v>50</v>
      </c>
      <c r="D414" s="36">
        <v>8</v>
      </c>
      <c r="E414" s="22" t="str">
        <f t="shared" ref="E414:E416" si="259">(MID(str_cnvt(E413),SEARCH(":",str_cnvt(E413))+1,2)-1) &amp; ":" &amp; (MID(str_cnvt(E413),SEARCH(":",str_cnvt(E413))+1,2)-D414)</f>
        <v>23:16</v>
      </c>
      <c r="F414" s="22" t="s">
        <v>43</v>
      </c>
      <c r="G414" s="27" t="s">
        <v>49</v>
      </c>
      <c r="H414" s="23" t="s">
        <v>36</v>
      </c>
      <c r="I414" s="24" t="s">
        <v>35</v>
      </c>
      <c r="J414" s="25" t="s">
        <v>6</v>
      </c>
      <c r="K414" s="26"/>
      <c r="L414" s="41"/>
      <c r="M414" s="41"/>
      <c r="N414" s="41"/>
      <c r="O414" s="37"/>
      <c r="P414" s="37"/>
      <c r="Q414" s="37"/>
      <c r="S414" s="32"/>
      <c r="T414" s="32"/>
      <c r="U414" s="32"/>
      <c r="V414" s="32"/>
      <c r="W414" s="32"/>
      <c r="X414" s="32"/>
      <c r="Y414" s="32"/>
      <c r="Z414" s="32"/>
      <c r="AA414" s="32"/>
    </row>
    <row r="415" spans="1:27" ht="30">
      <c r="A415" s="39"/>
      <c r="B415" s="40"/>
      <c r="C415" s="16" t="s">
        <v>51</v>
      </c>
      <c r="D415" s="36">
        <v>8</v>
      </c>
      <c r="E415" s="22" t="str">
        <f t="shared" si="259"/>
        <v>15:8</v>
      </c>
      <c r="F415" s="22" t="s">
        <v>43</v>
      </c>
      <c r="G415" s="27" t="s">
        <v>49</v>
      </c>
      <c r="H415" s="23" t="s">
        <v>36</v>
      </c>
      <c r="I415" s="24" t="s">
        <v>35</v>
      </c>
      <c r="J415" s="25" t="s">
        <v>6</v>
      </c>
      <c r="K415" s="26"/>
      <c r="L415" s="41"/>
      <c r="M415" s="41"/>
      <c r="N415" s="41"/>
      <c r="O415" s="37"/>
      <c r="P415" s="37"/>
      <c r="Q415" s="37"/>
      <c r="S415" s="32"/>
      <c r="T415" s="32"/>
      <c r="U415" s="32"/>
      <c r="V415" s="32"/>
      <c r="W415" s="32"/>
      <c r="X415" s="32"/>
      <c r="Y415" s="32"/>
      <c r="Z415" s="32"/>
      <c r="AA415" s="32"/>
    </row>
    <row r="416" spans="1:27" ht="30.75" thickBot="1">
      <c r="A416" s="39"/>
      <c r="B416" s="40"/>
      <c r="C416" s="16" t="s">
        <v>52</v>
      </c>
      <c r="D416" s="36">
        <v>8</v>
      </c>
      <c r="E416" s="22" t="str">
        <f t="shared" si="259"/>
        <v>7:0</v>
      </c>
      <c r="F416" s="22" t="s">
        <v>43</v>
      </c>
      <c r="G416" s="27" t="s">
        <v>49</v>
      </c>
      <c r="H416" s="23" t="s">
        <v>36</v>
      </c>
      <c r="I416" s="24" t="s">
        <v>35</v>
      </c>
      <c r="J416" s="25" t="s">
        <v>6</v>
      </c>
      <c r="K416" s="26"/>
      <c r="L416" s="41"/>
      <c r="M416" s="41"/>
      <c r="N416" s="41"/>
      <c r="O416" s="37"/>
      <c r="P416" s="37"/>
      <c r="Q416" s="37"/>
      <c r="S416" s="32"/>
      <c r="T416" s="32"/>
      <c r="U416" s="32"/>
      <c r="V416" s="32"/>
      <c r="W416" s="32"/>
      <c r="X416" s="32"/>
      <c r="Y416" s="32"/>
      <c r="Z416" s="32"/>
      <c r="AA416" s="32"/>
    </row>
    <row r="417" spans="1:27">
      <c r="A417" s="42" t="str">
        <f>AA417</f>
        <v>REFGEN_REG_QUAD3_SAR3_SLC2</v>
      </c>
      <c r="B417" s="43" t="str">
        <f>DEC2HEX(O417*4)</f>
        <v>0</v>
      </c>
      <c r="C417" s="44" t="str">
        <f>bitConcat(F418:F421)</f>
        <v>32'b00000000000000000000000000000000</v>
      </c>
      <c r="D417" s="44"/>
      <c r="E417" s="44"/>
      <c r="F417" s="44"/>
      <c r="G417" s="44"/>
      <c r="H417" s="44"/>
      <c r="I417" s="44"/>
      <c r="J417" s="44"/>
      <c r="K417" s="44"/>
      <c r="L417" s="45" t="str">
        <f t="shared" si="253"/>
        <v>BC</v>
      </c>
      <c r="M417" s="45"/>
      <c r="N417" s="45">
        <f t="shared" ref="N417" si="260">S417</f>
        <v>0</v>
      </c>
      <c r="O417" s="38">
        <v>0</v>
      </c>
      <c r="P417" s="38" t="str">
        <f t="shared" ref="P417" si="261">DEC2HEX(HEX2DEC(Z417)*4)</f>
        <v>BC</v>
      </c>
      <c r="Q417" s="38" t="str">
        <f>BIN2HEX(LEFT(RIGHT(C417,32),4))&amp;BIN2HEX(LEFT(RIGHT(C417,28),4))&amp;BIN2HEX(LEFT(RIGHT(C417,24),4))&amp;BIN2HEX(LEFT(RIGHT(C417,20),4))&amp;BIN2HEX(LEFT(RIGHT(C417,16),4))&amp;BIN2HEX(LEFT(RIGHT(C417,12),4))&amp;BIN2HEX(LEFT(RIGHT(C417,8),4))&amp;BIN2HEX(LEFT(RIGHT(C417,4),4))</f>
        <v>00000000</v>
      </c>
      <c r="S417" s="32">
        <v>0</v>
      </c>
      <c r="T417" s="32">
        <v>1</v>
      </c>
      <c r="U417" s="32">
        <v>0</v>
      </c>
      <c r="V417" s="32">
        <v>1</v>
      </c>
      <c r="W417" s="32">
        <v>1</v>
      </c>
      <c r="X417" s="32">
        <v>1</v>
      </c>
      <c r="Y417" s="32">
        <v>1</v>
      </c>
      <c r="Z417" s="32" t="str">
        <f t="shared" si="230"/>
        <v>2F</v>
      </c>
      <c r="AA417" s="32" t="str">
        <f>CONCATENATE("REFGEN_REG_QUAD",BIN2DEC(X417&amp;Y417),"_SAR",BIN2DEC(V417&amp;W417),"_SLC",BIN2DEC(S417&amp;T417&amp;U417),)</f>
        <v>REFGEN_REG_QUAD3_SAR3_SLC2</v>
      </c>
    </row>
    <row r="418" spans="1:27" ht="30">
      <c r="A418" s="39"/>
      <c r="B418" s="40"/>
      <c r="C418" s="16" t="s">
        <v>48</v>
      </c>
      <c r="D418" s="36">
        <v>8</v>
      </c>
      <c r="E418" s="21" t="str">
        <f>IF(D418&gt;1,(31)&amp;":"&amp;(31-D418+1),(31-D418+1)&amp;":"&amp;(31-D418+1))</f>
        <v>31:24</v>
      </c>
      <c r="F418" s="22" t="s">
        <v>43</v>
      </c>
      <c r="G418" s="27" t="s">
        <v>49</v>
      </c>
      <c r="H418" s="23" t="s">
        <v>36</v>
      </c>
      <c r="I418" s="24" t="s">
        <v>35</v>
      </c>
      <c r="J418" s="25" t="s">
        <v>6</v>
      </c>
      <c r="K418" s="26"/>
      <c r="L418" s="41"/>
      <c r="M418" s="41"/>
      <c r="N418" s="41"/>
      <c r="O418" s="37"/>
      <c r="P418" s="37"/>
      <c r="Q418" s="37"/>
      <c r="S418" s="32"/>
      <c r="T418" s="32"/>
      <c r="U418" s="32"/>
      <c r="V418" s="32"/>
      <c r="W418" s="32"/>
      <c r="X418" s="32"/>
      <c r="Y418" s="32"/>
      <c r="Z418" s="32"/>
      <c r="AA418" s="32"/>
    </row>
    <row r="419" spans="1:27" ht="30">
      <c r="A419" s="39"/>
      <c r="B419" s="40"/>
      <c r="C419" s="16" t="s">
        <v>50</v>
      </c>
      <c r="D419" s="36">
        <v>8</v>
      </c>
      <c r="E419" s="22" t="str">
        <f t="shared" ref="E419:E421" si="262">(MID(str_cnvt(E418),SEARCH(":",str_cnvt(E418))+1,2)-1) &amp; ":" &amp; (MID(str_cnvt(E418),SEARCH(":",str_cnvt(E418))+1,2)-D419)</f>
        <v>23:16</v>
      </c>
      <c r="F419" s="22" t="s">
        <v>43</v>
      </c>
      <c r="G419" s="27" t="s">
        <v>49</v>
      </c>
      <c r="H419" s="23" t="s">
        <v>36</v>
      </c>
      <c r="I419" s="24" t="s">
        <v>35</v>
      </c>
      <c r="J419" s="25" t="s">
        <v>6</v>
      </c>
      <c r="K419" s="26"/>
      <c r="L419" s="41"/>
      <c r="M419" s="41"/>
      <c r="N419" s="41"/>
      <c r="O419" s="37"/>
      <c r="P419" s="37"/>
      <c r="Q419" s="37"/>
      <c r="S419" s="32"/>
      <c r="T419" s="32"/>
      <c r="U419" s="32"/>
      <c r="V419" s="32"/>
      <c r="W419" s="32"/>
      <c r="X419" s="32"/>
      <c r="Y419" s="32"/>
      <c r="Z419" s="32"/>
      <c r="AA419" s="32"/>
    </row>
    <row r="420" spans="1:27" ht="30">
      <c r="A420" s="39"/>
      <c r="B420" s="40"/>
      <c r="C420" s="16" t="s">
        <v>51</v>
      </c>
      <c r="D420" s="36">
        <v>8</v>
      </c>
      <c r="E420" s="22" t="str">
        <f t="shared" si="262"/>
        <v>15:8</v>
      </c>
      <c r="F420" s="22" t="s">
        <v>43</v>
      </c>
      <c r="G420" s="27" t="s">
        <v>49</v>
      </c>
      <c r="H420" s="23" t="s">
        <v>36</v>
      </c>
      <c r="I420" s="24" t="s">
        <v>35</v>
      </c>
      <c r="J420" s="25" t="s">
        <v>6</v>
      </c>
      <c r="K420" s="26"/>
      <c r="L420" s="41"/>
      <c r="M420" s="41"/>
      <c r="N420" s="41"/>
      <c r="O420" s="37"/>
      <c r="P420" s="37"/>
      <c r="Q420" s="37"/>
      <c r="S420" s="32"/>
      <c r="T420" s="32"/>
      <c r="U420" s="32"/>
      <c r="V420" s="32"/>
      <c r="W420" s="32"/>
      <c r="X420" s="32"/>
      <c r="Y420" s="32"/>
      <c r="Z420" s="32"/>
      <c r="AA420" s="32"/>
    </row>
    <row r="421" spans="1:27" ht="30.75" thickBot="1">
      <c r="A421" s="39"/>
      <c r="B421" s="40"/>
      <c r="C421" s="16" t="s">
        <v>52</v>
      </c>
      <c r="D421" s="36">
        <v>8</v>
      </c>
      <c r="E421" s="22" t="str">
        <f t="shared" si="262"/>
        <v>7:0</v>
      </c>
      <c r="F421" s="22" t="s">
        <v>43</v>
      </c>
      <c r="G421" s="27" t="s">
        <v>49</v>
      </c>
      <c r="H421" s="23" t="s">
        <v>36</v>
      </c>
      <c r="I421" s="24" t="s">
        <v>35</v>
      </c>
      <c r="J421" s="25" t="s">
        <v>6</v>
      </c>
      <c r="K421" s="26"/>
      <c r="L421" s="41"/>
      <c r="M421" s="41"/>
      <c r="N421" s="41"/>
      <c r="O421" s="37"/>
      <c r="P421" s="37"/>
      <c r="Q421" s="37"/>
      <c r="S421" s="32"/>
      <c r="T421" s="32"/>
      <c r="U421" s="32"/>
      <c r="V421" s="32"/>
      <c r="W421" s="32"/>
      <c r="X421" s="32"/>
      <c r="Y421" s="32"/>
      <c r="Z421" s="32"/>
      <c r="AA421" s="32"/>
    </row>
    <row r="422" spans="1:27">
      <c r="A422" s="42" t="str">
        <f>AA422</f>
        <v>REFGEN_REG_QUAD0_SAR3_SLC3</v>
      </c>
      <c r="B422" s="43" t="str">
        <f>DEC2HEX(O422*4)</f>
        <v>0</v>
      </c>
      <c r="C422" s="44" t="str">
        <f>bitConcat(F423:F426)</f>
        <v>32'b00000000000000000000000000000000</v>
      </c>
      <c r="D422" s="44"/>
      <c r="E422" s="44"/>
      <c r="F422" s="44"/>
      <c r="G422" s="44"/>
      <c r="H422" s="44"/>
      <c r="I422" s="44"/>
      <c r="J422" s="44"/>
      <c r="K422" s="44"/>
      <c r="L422" s="45" t="str">
        <f t="shared" si="253"/>
        <v>F0</v>
      </c>
      <c r="M422" s="45"/>
      <c r="N422" s="45">
        <f t="shared" ref="N422" si="263">S422</f>
        <v>0</v>
      </c>
      <c r="O422" s="38">
        <v>0</v>
      </c>
      <c r="P422" s="38" t="str">
        <f t="shared" ref="P422:P472" si="264">DEC2HEX(HEX2DEC(Z422)*4)</f>
        <v>F0</v>
      </c>
      <c r="Q422" s="38" t="str">
        <f>BIN2HEX(LEFT(RIGHT(C422,32),4))&amp;BIN2HEX(LEFT(RIGHT(C422,28),4))&amp;BIN2HEX(LEFT(RIGHT(C422,24),4))&amp;BIN2HEX(LEFT(RIGHT(C422,20),4))&amp;BIN2HEX(LEFT(RIGHT(C422,16),4))&amp;BIN2HEX(LEFT(RIGHT(C422,12),4))&amp;BIN2HEX(LEFT(RIGHT(C422,8),4))&amp;BIN2HEX(LEFT(RIGHT(C422,4),4))</f>
        <v>00000000</v>
      </c>
      <c r="S422" s="32">
        <v>0</v>
      </c>
      <c r="T422" s="32">
        <v>1</v>
      </c>
      <c r="U422" s="32">
        <v>1</v>
      </c>
      <c r="V422" s="32">
        <v>1</v>
      </c>
      <c r="W422" s="32">
        <v>1</v>
      </c>
      <c r="X422" s="32">
        <v>0</v>
      </c>
      <c r="Y422" s="32">
        <v>0</v>
      </c>
      <c r="Z422" s="32" t="str">
        <f t="shared" si="230"/>
        <v>3C</v>
      </c>
      <c r="AA422" s="32" t="str">
        <f>CONCATENATE("REFGEN_REG_QUAD",BIN2DEC(X422&amp;Y422),"_SAR",BIN2DEC(V422&amp;W422),"_SLC",BIN2DEC(S422&amp;T422&amp;U422),)</f>
        <v>REFGEN_REG_QUAD0_SAR3_SLC3</v>
      </c>
    </row>
    <row r="423" spans="1:27" ht="30">
      <c r="A423" s="39"/>
      <c r="B423" s="40"/>
      <c r="C423" s="16" t="s">
        <v>48</v>
      </c>
      <c r="D423" s="36">
        <v>8</v>
      </c>
      <c r="E423" s="21" t="str">
        <f>IF(D423&gt;1,(31)&amp;":"&amp;(31-D423+1),(31-D423+1)&amp;":"&amp;(31-D423+1))</f>
        <v>31:24</v>
      </c>
      <c r="F423" s="22" t="s">
        <v>43</v>
      </c>
      <c r="G423" s="27" t="s">
        <v>49</v>
      </c>
      <c r="H423" s="23" t="s">
        <v>36</v>
      </c>
      <c r="I423" s="24" t="s">
        <v>35</v>
      </c>
      <c r="J423" s="25" t="s">
        <v>6</v>
      </c>
      <c r="K423" s="26"/>
      <c r="L423" s="41"/>
      <c r="M423" s="41"/>
      <c r="N423" s="41"/>
      <c r="O423" s="37"/>
      <c r="P423" s="37"/>
      <c r="Q423" s="37"/>
      <c r="S423" s="32"/>
      <c r="T423" s="32"/>
      <c r="U423" s="32"/>
      <c r="V423" s="32"/>
      <c r="W423" s="32"/>
      <c r="X423" s="32"/>
      <c r="Y423" s="32"/>
      <c r="Z423" s="32"/>
      <c r="AA423" s="32"/>
    </row>
    <row r="424" spans="1:27" ht="30">
      <c r="A424" s="39"/>
      <c r="B424" s="40"/>
      <c r="C424" s="16" t="s">
        <v>50</v>
      </c>
      <c r="D424" s="36">
        <v>8</v>
      </c>
      <c r="E424" s="22" t="str">
        <f t="shared" ref="E424:E426" si="265">(MID(str_cnvt(E423),SEARCH(":",str_cnvt(E423))+1,2)-1) &amp; ":" &amp; (MID(str_cnvt(E423),SEARCH(":",str_cnvt(E423))+1,2)-D424)</f>
        <v>23:16</v>
      </c>
      <c r="F424" s="22" t="s">
        <v>43</v>
      </c>
      <c r="G424" s="27" t="s">
        <v>49</v>
      </c>
      <c r="H424" s="23" t="s">
        <v>36</v>
      </c>
      <c r="I424" s="24" t="s">
        <v>35</v>
      </c>
      <c r="J424" s="25" t="s">
        <v>6</v>
      </c>
      <c r="K424" s="26"/>
      <c r="L424" s="41"/>
      <c r="M424" s="41"/>
      <c r="N424" s="41"/>
      <c r="O424" s="37"/>
      <c r="P424" s="37"/>
      <c r="Q424" s="37"/>
      <c r="S424" s="32"/>
      <c r="T424" s="32"/>
      <c r="U424" s="32"/>
      <c r="V424" s="32"/>
      <c r="W424" s="32"/>
      <c r="X424" s="32"/>
      <c r="Y424" s="32"/>
      <c r="Z424" s="32"/>
      <c r="AA424" s="32"/>
    </row>
    <row r="425" spans="1:27" ht="30">
      <c r="A425" s="39"/>
      <c r="B425" s="40"/>
      <c r="C425" s="16" t="s">
        <v>51</v>
      </c>
      <c r="D425" s="36">
        <v>8</v>
      </c>
      <c r="E425" s="22" t="str">
        <f t="shared" si="265"/>
        <v>15:8</v>
      </c>
      <c r="F425" s="22" t="s">
        <v>43</v>
      </c>
      <c r="G425" s="27" t="s">
        <v>49</v>
      </c>
      <c r="H425" s="23" t="s">
        <v>36</v>
      </c>
      <c r="I425" s="24" t="s">
        <v>35</v>
      </c>
      <c r="J425" s="25" t="s">
        <v>6</v>
      </c>
      <c r="K425" s="26"/>
      <c r="L425" s="41"/>
      <c r="M425" s="41"/>
      <c r="N425" s="41"/>
      <c r="O425" s="37"/>
      <c r="P425" s="37"/>
      <c r="Q425" s="37"/>
      <c r="S425" s="32"/>
      <c r="T425" s="32"/>
      <c r="U425" s="32"/>
      <c r="V425" s="32"/>
      <c r="W425" s="32"/>
      <c r="X425" s="32"/>
      <c r="Y425" s="32"/>
      <c r="Z425" s="32"/>
      <c r="AA425" s="32"/>
    </row>
    <row r="426" spans="1:27" ht="30.75" thickBot="1">
      <c r="A426" s="39"/>
      <c r="B426" s="40"/>
      <c r="C426" s="16" t="s">
        <v>52</v>
      </c>
      <c r="D426" s="36">
        <v>8</v>
      </c>
      <c r="E426" s="22" t="str">
        <f t="shared" si="265"/>
        <v>7:0</v>
      </c>
      <c r="F426" s="22" t="s">
        <v>43</v>
      </c>
      <c r="G426" s="27" t="s">
        <v>49</v>
      </c>
      <c r="H426" s="23" t="s">
        <v>36</v>
      </c>
      <c r="I426" s="24" t="s">
        <v>35</v>
      </c>
      <c r="J426" s="25" t="s">
        <v>6</v>
      </c>
      <c r="K426" s="26"/>
      <c r="L426" s="41"/>
      <c r="M426" s="41"/>
      <c r="N426" s="41"/>
      <c r="O426" s="37"/>
      <c r="P426" s="37"/>
      <c r="Q426" s="37"/>
      <c r="S426" s="32"/>
      <c r="T426" s="32"/>
      <c r="U426" s="32"/>
      <c r="V426" s="32"/>
      <c r="W426" s="32"/>
      <c r="X426" s="32"/>
      <c r="Y426" s="32"/>
      <c r="Z426" s="32"/>
      <c r="AA426" s="32"/>
    </row>
    <row r="427" spans="1:27">
      <c r="A427" s="42" t="str">
        <f>AA427</f>
        <v>REFGEN_REG_QUAD1_SAR3_SLC3</v>
      </c>
      <c r="B427" s="43" t="str">
        <f>DEC2HEX(O427*4)</f>
        <v>0</v>
      </c>
      <c r="C427" s="44" t="str">
        <f>bitConcat(F428:F431)</f>
        <v>32'b00000000000000000000000000000000</v>
      </c>
      <c r="D427" s="44"/>
      <c r="E427" s="44"/>
      <c r="F427" s="44"/>
      <c r="G427" s="44"/>
      <c r="H427" s="44"/>
      <c r="I427" s="44"/>
      <c r="J427" s="44"/>
      <c r="K427" s="44"/>
      <c r="L427" s="45" t="str">
        <f t="shared" si="253"/>
        <v>F4</v>
      </c>
      <c r="M427" s="45"/>
      <c r="N427" s="45">
        <f t="shared" ref="N427" si="266">S427</f>
        <v>0</v>
      </c>
      <c r="O427" s="38">
        <v>0</v>
      </c>
      <c r="P427" s="38" t="str">
        <f t="shared" si="264"/>
        <v>F4</v>
      </c>
      <c r="Q427" s="38" t="str">
        <f>BIN2HEX(LEFT(RIGHT(C427,32),4))&amp;BIN2HEX(LEFT(RIGHT(C427,28),4))&amp;BIN2HEX(LEFT(RIGHT(C427,24),4))&amp;BIN2HEX(LEFT(RIGHT(C427,20),4))&amp;BIN2HEX(LEFT(RIGHT(C427,16),4))&amp;BIN2HEX(LEFT(RIGHT(C427,12),4))&amp;BIN2HEX(LEFT(RIGHT(C427,8),4))&amp;BIN2HEX(LEFT(RIGHT(C427,4),4))</f>
        <v>00000000</v>
      </c>
      <c r="S427" s="32">
        <v>0</v>
      </c>
      <c r="T427" s="32">
        <v>1</v>
      </c>
      <c r="U427" s="32">
        <v>1</v>
      </c>
      <c r="V427" s="32">
        <v>1</v>
      </c>
      <c r="W427" s="32">
        <v>1</v>
      </c>
      <c r="X427" s="32">
        <v>0</v>
      </c>
      <c r="Y427" s="32">
        <v>1</v>
      </c>
      <c r="Z427" s="32" t="str">
        <f t="shared" si="230"/>
        <v>3D</v>
      </c>
      <c r="AA427" s="32" t="str">
        <f>CONCATENATE("REFGEN_REG_QUAD",BIN2DEC(X427&amp;Y427),"_SAR",BIN2DEC(V427&amp;W427),"_SLC",BIN2DEC(S427&amp;T427&amp;U427),)</f>
        <v>REFGEN_REG_QUAD1_SAR3_SLC3</v>
      </c>
    </row>
    <row r="428" spans="1:27" ht="30">
      <c r="A428" s="39"/>
      <c r="B428" s="40"/>
      <c r="C428" s="16" t="s">
        <v>48</v>
      </c>
      <c r="D428" s="36">
        <v>8</v>
      </c>
      <c r="E428" s="21" t="str">
        <f>IF(D428&gt;1,(31)&amp;":"&amp;(31-D428+1),(31-D428+1)&amp;":"&amp;(31-D428+1))</f>
        <v>31:24</v>
      </c>
      <c r="F428" s="22" t="s">
        <v>43</v>
      </c>
      <c r="G428" s="27" t="s">
        <v>49</v>
      </c>
      <c r="H428" s="23" t="s">
        <v>36</v>
      </c>
      <c r="I428" s="24" t="s">
        <v>35</v>
      </c>
      <c r="J428" s="25" t="s">
        <v>6</v>
      </c>
      <c r="K428" s="26"/>
      <c r="L428" s="41"/>
      <c r="M428" s="41"/>
      <c r="N428" s="41"/>
      <c r="O428" s="37"/>
      <c r="P428" s="37"/>
      <c r="Q428" s="37"/>
      <c r="S428" s="32"/>
      <c r="T428" s="32"/>
      <c r="U428" s="32"/>
      <c r="V428" s="32"/>
      <c r="W428" s="32"/>
      <c r="X428" s="32"/>
      <c r="Y428" s="32"/>
      <c r="Z428" s="32"/>
      <c r="AA428" s="32"/>
    </row>
    <row r="429" spans="1:27" ht="30">
      <c r="A429" s="39"/>
      <c r="B429" s="40"/>
      <c r="C429" s="16" t="s">
        <v>50</v>
      </c>
      <c r="D429" s="36">
        <v>8</v>
      </c>
      <c r="E429" s="22" t="str">
        <f t="shared" ref="E429:E431" si="267">(MID(str_cnvt(E428),SEARCH(":",str_cnvt(E428))+1,2)-1) &amp; ":" &amp; (MID(str_cnvt(E428),SEARCH(":",str_cnvt(E428))+1,2)-D429)</f>
        <v>23:16</v>
      </c>
      <c r="F429" s="22" t="s">
        <v>43</v>
      </c>
      <c r="G429" s="27" t="s">
        <v>49</v>
      </c>
      <c r="H429" s="23" t="s">
        <v>36</v>
      </c>
      <c r="I429" s="24" t="s">
        <v>35</v>
      </c>
      <c r="J429" s="25" t="s">
        <v>6</v>
      </c>
      <c r="K429" s="26"/>
      <c r="L429" s="41"/>
      <c r="M429" s="41"/>
      <c r="N429" s="41"/>
      <c r="O429" s="37"/>
      <c r="P429" s="37"/>
      <c r="Q429" s="37"/>
      <c r="S429" s="32"/>
      <c r="T429" s="32"/>
      <c r="U429" s="32"/>
      <c r="V429" s="32"/>
      <c r="W429" s="32"/>
      <c r="X429" s="32"/>
      <c r="Y429" s="32"/>
      <c r="Z429" s="32"/>
      <c r="AA429" s="32"/>
    </row>
    <row r="430" spans="1:27" ht="30">
      <c r="A430" s="39"/>
      <c r="B430" s="40"/>
      <c r="C430" s="16" t="s">
        <v>51</v>
      </c>
      <c r="D430" s="36">
        <v>8</v>
      </c>
      <c r="E430" s="22" t="str">
        <f t="shared" si="267"/>
        <v>15:8</v>
      </c>
      <c r="F430" s="22" t="s">
        <v>43</v>
      </c>
      <c r="G430" s="27" t="s">
        <v>49</v>
      </c>
      <c r="H430" s="23" t="s">
        <v>36</v>
      </c>
      <c r="I430" s="24" t="s">
        <v>35</v>
      </c>
      <c r="J430" s="25" t="s">
        <v>6</v>
      </c>
      <c r="K430" s="26"/>
      <c r="L430" s="41"/>
      <c r="M430" s="41"/>
      <c r="N430" s="41"/>
      <c r="O430" s="37"/>
      <c r="P430" s="37"/>
      <c r="Q430" s="37"/>
      <c r="S430" s="32"/>
      <c r="T430" s="32"/>
      <c r="U430" s="32"/>
      <c r="V430" s="32"/>
      <c r="W430" s="32"/>
      <c r="X430" s="32"/>
      <c r="Y430" s="32"/>
      <c r="Z430" s="32"/>
      <c r="AA430" s="32"/>
    </row>
    <row r="431" spans="1:27" ht="30.75" thickBot="1">
      <c r="A431" s="39"/>
      <c r="B431" s="40"/>
      <c r="C431" s="16" t="s">
        <v>52</v>
      </c>
      <c r="D431" s="36">
        <v>8</v>
      </c>
      <c r="E431" s="22" t="str">
        <f t="shared" si="267"/>
        <v>7:0</v>
      </c>
      <c r="F431" s="22" t="s">
        <v>43</v>
      </c>
      <c r="G431" s="27" t="s">
        <v>49</v>
      </c>
      <c r="H431" s="23" t="s">
        <v>36</v>
      </c>
      <c r="I431" s="24" t="s">
        <v>35</v>
      </c>
      <c r="J431" s="25" t="s">
        <v>6</v>
      </c>
      <c r="K431" s="26"/>
      <c r="L431" s="41"/>
      <c r="M431" s="41"/>
      <c r="N431" s="41"/>
      <c r="O431" s="37"/>
      <c r="P431" s="37"/>
      <c r="Q431" s="37"/>
      <c r="S431" s="32"/>
      <c r="T431" s="32"/>
      <c r="U431" s="32"/>
      <c r="V431" s="32"/>
      <c r="W431" s="32"/>
      <c r="X431" s="32"/>
      <c r="Y431" s="32"/>
      <c r="Z431" s="32"/>
      <c r="AA431" s="32"/>
    </row>
    <row r="432" spans="1:27">
      <c r="A432" s="42" t="str">
        <f>AA432</f>
        <v>REFGEN_REG_QUAD2_SAR3_SLC3</v>
      </c>
      <c r="B432" s="43" t="str">
        <f>DEC2HEX(O432*4)</f>
        <v>0</v>
      </c>
      <c r="C432" s="44" t="str">
        <f>bitConcat(F433:F436)</f>
        <v>32'b00000000000000000000000000000000</v>
      </c>
      <c r="D432" s="44"/>
      <c r="E432" s="44"/>
      <c r="F432" s="44"/>
      <c r="G432" s="44"/>
      <c r="H432" s="44"/>
      <c r="I432" s="44"/>
      <c r="J432" s="44"/>
      <c r="K432" s="44"/>
      <c r="L432" s="45" t="str">
        <f t="shared" si="253"/>
        <v>F8</v>
      </c>
      <c r="M432" s="45"/>
      <c r="N432" s="45">
        <f t="shared" ref="N432" si="268">S432</f>
        <v>0</v>
      </c>
      <c r="O432" s="38">
        <v>0</v>
      </c>
      <c r="P432" s="38" t="str">
        <f t="shared" si="264"/>
        <v>F8</v>
      </c>
      <c r="Q432" s="38" t="str">
        <f>BIN2HEX(LEFT(RIGHT(C432,32),4))&amp;BIN2HEX(LEFT(RIGHT(C432,28),4))&amp;BIN2HEX(LEFT(RIGHT(C432,24),4))&amp;BIN2HEX(LEFT(RIGHT(C432,20),4))&amp;BIN2HEX(LEFT(RIGHT(C432,16),4))&amp;BIN2HEX(LEFT(RIGHT(C432,12),4))&amp;BIN2HEX(LEFT(RIGHT(C432,8),4))&amp;BIN2HEX(LEFT(RIGHT(C432,4),4))</f>
        <v>00000000</v>
      </c>
      <c r="S432" s="32">
        <v>0</v>
      </c>
      <c r="T432" s="32">
        <v>1</v>
      </c>
      <c r="U432" s="32">
        <v>1</v>
      </c>
      <c r="V432" s="32">
        <v>1</v>
      </c>
      <c r="W432" s="32">
        <v>1</v>
      </c>
      <c r="X432" s="32">
        <v>1</v>
      </c>
      <c r="Y432" s="32">
        <v>0</v>
      </c>
      <c r="Z432" s="32" t="str">
        <f t="shared" si="230"/>
        <v>3E</v>
      </c>
      <c r="AA432" s="32" t="str">
        <f>CONCATENATE("REFGEN_REG_QUAD",BIN2DEC(X432&amp;Y432),"_SAR",BIN2DEC(V432&amp;W432),"_SLC",BIN2DEC(S432&amp;T432&amp;U432),)</f>
        <v>REFGEN_REG_QUAD2_SAR3_SLC3</v>
      </c>
    </row>
    <row r="433" spans="1:27" ht="30">
      <c r="A433" s="39"/>
      <c r="B433" s="40"/>
      <c r="C433" s="16" t="s">
        <v>48</v>
      </c>
      <c r="D433" s="36">
        <v>8</v>
      </c>
      <c r="E433" s="21" t="str">
        <f>IF(D433&gt;1,(31)&amp;":"&amp;(31-D433+1),(31-D433+1)&amp;":"&amp;(31-D433+1))</f>
        <v>31:24</v>
      </c>
      <c r="F433" s="22" t="s">
        <v>43</v>
      </c>
      <c r="G433" s="27" t="s">
        <v>49</v>
      </c>
      <c r="H433" s="23" t="s">
        <v>36</v>
      </c>
      <c r="I433" s="24" t="s">
        <v>35</v>
      </c>
      <c r="J433" s="25" t="s">
        <v>6</v>
      </c>
      <c r="K433" s="26"/>
      <c r="L433" s="41"/>
      <c r="M433" s="41"/>
      <c r="N433" s="41"/>
      <c r="O433" s="37"/>
      <c r="P433" s="37"/>
      <c r="Q433" s="37"/>
      <c r="S433" s="32"/>
      <c r="T433" s="32"/>
      <c r="U433" s="32"/>
      <c r="V433" s="32"/>
      <c r="W433" s="32"/>
      <c r="X433" s="32"/>
      <c r="Y433" s="32"/>
      <c r="Z433" s="32"/>
      <c r="AA433" s="32"/>
    </row>
    <row r="434" spans="1:27" ht="30">
      <c r="A434" s="39"/>
      <c r="B434" s="40"/>
      <c r="C434" s="16" t="s">
        <v>50</v>
      </c>
      <c r="D434" s="36">
        <v>8</v>
      </c>
      <c r="E434" s="22" t="str">
        <f t="shared" ref="E434:E436" si="269">(MID(str_cnvt(E433),SEARCH(":",str_cnvt(E433))+1,2)-1) &amp; ":" &amp; (MID(str_cnvt(E433),SEARCH(":",str_cnvt(E433))+1,2)-D434)</f>
        <v>23:16</v>
      </c>
      <c r="F434" s="22" t="s">
        <v>43</v>
      </c>
      <c r="G434" s="27" t="s">
        <v>49</v>
      </c>
      <c r="H434" s="23" t="s">
        <v>36</v>
      </c>
      <c r="I434" s="24" t="s">
        <v>35</v>
      </c>
      <c r="J434" s="25" t="s">
        <v>6</v>
      </c>
      <c r="K434" s="26"/>
      <c r="L434" s="41"/>
      <c r="M434" s="41"/>
      <c r="N434" s="41"/>
      <c r="O434" s="37"/>
      <c r="P434" s="37"/>
      <c r="Q434" s="37"/>
      <c r="S434" s="32"/>
      <c r="T434" s="32"/>
      <c r="U434" s="32"/>
      <c r="V434" s="32"/>
      <c r="W434" s="32"/>
      <c r="X434" s="32"/>
      <c r="Y434" s="32"/>
      <c r="Z434" s="32"/>
      <c r="AA434" s="32"/>
    </row>
    <row r="435" spans="1:27" ht="30">
      <c r="A435" s="39"/>
      <c r="B435" s="40"/>
      <c r="C435" s="16" t="s">
        <v>51</v>
      </c>
      <c r="D435" s="36">
        <v>8</v>
      </c>
      <c r="E435" s="22" t="str">
        <f t="shared" si="269"/>
        <v>15:8</v>
      </c>
      <c r="F435" s="22" t="s">
        <v>43</v>
      </c>
      <c r="G435" s="27" t="s">
        <v>49</v>
      </c>
      <c r="H435" s="23" t="s">
        <v>36</v>
      </c>
      <c r="I435" s="24" t="s">
        <v>35</v>
      </c>
      <c r="J435" s="25" t="s">
        <v>6</v>
      </c>
      <c r="K435" s="26"/>
      <c r="L435" s="41"/>
      <c r="M435" s="41"/>
      <c r="N435" s="41"/>
      <c r="O435" s="37"/>
      <c r="P435" s="37"/>
      <c r="Q435" s="37"/>
      <c r="S435" s="32"/>
      <c r="T435" s="32"/>
      <c r="U435" s="32"/>
      <c r="V435" s="32"/>
      <c r="W435" s="32"/>
      <c r="X435" s="32"/>
      <c r="Y435" s="32"/>
      <c r="Z435" s="32"/>
      <c r="AA435" s="32"/>
    </row>
    <row r="436" spans="1:27" ht="30.75" thickBot="1">
      <c r="A436" s="39"/>
      <c r="B436" s="40"/>
      <c r="C436" s="16" t="s">
        <v>52</v>
      </c>
      <c r="D436" s="36">
        <v>8</v>
      </c>
      <c r="E436" s="22" t="str">
        <f t="shared" si="269"/>
        <v>7:0</v>
      </c>
      <c r="F436" s="22" t="s">
        <v>43</v>
      </c>
      <c r="G436" s="27" t="s">
        <v>49</v>
      </c>
      <c r="H436" s="23" t="s">
        <v>36</v>
      </c>
      <c r="I436" s="24" t="s">
        <v>35</v>
      </c>
      <c r="J436" s="25" t="s">
        <v>6</v>
      </c>
      <c r="K436" s="26"/>
      <c r="L436" s="41"/>
      <c r="M436" s="41"/>
      <c r="N436" s="41"/>
      <c r="O436" s="37"/>
      <c r="P436" s="37"/>
      <c r="Q436" s="37"/>
      <c r="S436" s="32"/>
      <c r="T436" s="32"/>
      <c r="U436" s="32"/>
      <c r="V436" s="32"/>
      <c r="W436" s="32"/>
      <c r="X436" s="32"/>
      <c r="Y436" s="32"/>
      <c r="Z436" s="32"/>
      <c r="AA436" s="32"/>
    </row>
    <row r="437" spans="1:27">
      <c r="A437" s="42" t="str">
        <f>AA437</f>
        <v>REFGEN_REG_QUAD3_SAR3_SLC3</v>
      </c>
      <c r="B437" s="43" t="str">
        <f>DEC2HEX(O437*4)</f>
        <v>0</v>
      </c>
      <c r="C437" s="44" t="str">
        <f>bitConcat(F438:F441)</f>
        <v>32'b00000000000000000000000000000000</v>
      </c>
      <c r="D437" s="44"/>
      <c r="E437" s="44"/>
      <c r="F437" s="44"/>
      <c r="G437" s="44"/>
      <c r="H437" s="44"/>
      <c r="I437" s="44"/>
      <c r="J437" s="44"/>
      <c r="K437" s="44"/>
      <c r="L437" s="45" t="str">
        <f t="shared" si="253"/>
        <v>FC</v>
      </c>
      <c r="M437" s="45"/>
      <c r="N437" s="45">
        <f t="shared" ref="N437" si="270">S437</f>
        <v>0</v>
      </c>
      <c r="O437" s="38">
        <v>0</v>
      </c>
      <c r="P437" s="38" t="str">
        <f t="shared" si="264"/>
        <v>FC</v>
      </c>
      <c r="Q437" s="38" t="str">
        <f>BIN2HEX(LEFT(RIGHT(C437,32),4))&amp;BIN2HEX(LEFT(RIGHT(C437,28),4))&amp;BIN2HEX(LEFT(RIGHT(C437,24),4))&amp;BIN2HEX(LEFT(RIGHT(C437,20),4))&amp;BIN2HEX(LEFT(RIGHT(C437,16),4))&amp;BIN2HEX(LEFT(RIGHT(C437,12),4))&amp;BIN2HEX(LEFT(RIGHT(C437,8),4))&amp;BIN2HEX(LEFT(RIGHT(C437,4),4))</f>
        <v>00000000</v>
      </c>
      <c r="S437" s="32">
        <v>0</v>
      </c>
      <c r="T437" s="32">
        <v>1</v>
      </c>
      <c r="U437" s="32">
        <v>1</v>
      </c>
      <c r="V437" s="32">
        <v>1</v>
      </c>
      <c r="W437" s="32">
        <v>1</v>
      </c>
      <c r="X437" s="32">
        <v>1</v>
      </c>
      <c r="Y437" s="32">
        <v>1</v>
      </c>
      <c r="Z437" s="32" t="str">
        <f t="shared" si="230"/>
        <v>3F</v>
      </c>
      <c r="AA437" s="32" t="str">
        <f>CONCATENATE("REFGEN_REG_QUAD",BIN2DEC(X437&amp;Y437),"_SAR",BIN2DEC(V437&amp;W437),"_SLC",BIN2DEC(S437&amp;T437&amp;U437),)</f>
        <v>REFGEN_REG_QUAD3_SAR3_SLC3</v>
      </c>
    </row>
    <row r="438" spans="1:27" ht="30">
      <c r="A438" s="39"/>
      <c r="B438" s="40"/>
      <c r="C438" s="16" t="s">
        <v>48</v>
      </c>
      <c r="D438" s="36">
        <v>8</v>
      </c>
      <c r="E438" s="21" t="str">
        <f>IF(D438&gt;1,(31)&amp;":"&amp;(31-D438+1),(31-D438+1)&amp;":"&amp;(31-D438+1))</f>
        <v>31:24</v>
      </c>
      <c r="F438" s="22" t="s">
        <v>43</v>
      </c>
      <c r="G438" s="27" t="s">
        <v>49</v>
      </c>
      <c r="H438" s="23" t="s">
        <v>36</v>
      </c>
      <c r="I438" s="24" t="s">
        <v>35</v>
      </c>
      <c r="J438" s="25" t="s">
        <v>6</v>
      </c>
      <c r="K438" s="26"/>
      <c r="L438" s="41"/>
      <c r="M438" s="41"/>
      <c r="N438" s="41"/>
      <c r="O438" s="37"/>
      <c r="P438" s="37"/>
      <c r="Q438" s="37"/>
      <c r="S438" s="32"/>
      <c r="T438" s="32"/>
      <c r="U438" s="32"/>
      <c r="V438" s="32"/>
      <c r="W438" s="32"/>
      <c r="X438" s="32"/>
      <c r="Y438" s="32"/>
      <c r="Z438" s="32"/>
      <c r="AA438" s="32"/>
    </row>
    <row r="439" spans="1:27" ht="30">
      <c r="A439" s="39"/>
      <c r="B439" s="40"/>
      <c r="C439" s="16" t="s">
        <v>50</v>
      </c>
      <c r="D439" s="36">
        <v>8</v>
      </c>
      <c r="E439" s="22" t="str">
        <f t="shared" ref="E439:E441" si="271">(MID(str_cnvt(E438),SEARCH(":",str_cnvt(E438))+1,2)-1) &amp; ":" &amp; (MID(str_cnvt(E438),SEARCH(":",str_cnvt(E438))+1,2)-D439)</f>
        <v>23:16</v>
      </c>
      <c r="F439" s="22" t="s">
        <v>43</v>
      </c>
      <c r="G439" s="27" t="s">
        <v>49</v>
      </c>
      <c r="H439" s="23" t="s">
        <v>36</v>
      </c>
      <c r="I439" s="24" t="s">
        <v>35</v>
      </c>
      <c r="J439" s="25" t="s">
        <v>6</v>
      </c>
      <c r="K439" s="26"/>
      <c r="L439" s="41"/>
      <c r="M439" s="41"/>
      <c r="N439" s="41"/>
      <c r="O439" s="37"/>
      <c r="P439" s="37"/>
      <c r="Q439" s="37"/>
      <c r="S439" s="32"/>
      <c r="T439" s="32"/>
      <c r="U439" s="32"/>
      <c r="V439" s="32"/>
      <c r="W439" s="32"/>
      <c r="X439" s="32"/>
      <c r="Y439" s="32"/>
      <c r="Z439" s="32"/>
      <c r="AA439" s="32"/>
    </row>
    <row r="440" spans="1:27" ht="30">
      <c r="A440" s="39"/>
      <c r="B440" s="40"/>
      <c r="C440" s="16" t="s">
        <v>51</v>
      </c>
      <c r="D440" s="36">
        <v>8</v>
      </c>
      <c r="E440" s="22" t="str">
        <f t="shared" si="271"/>
        <v>15:8</v>
      </c>
      <c r="F440" s="22" t="s">
        <v>43</v>
      </c>
      <c r="G440" s="27" t="s">
        <v>49</v>
      </c>
      <c r="H440" s="23" t="s">
        <v>36</v>
      </c>
      <c r="I440" s="24" t="s">
        <v>35</v>
      </c>
      <c r="J440" s="25" t="s">
        <v>6</v>
      </c>
      <c r="K440" s="26"/>
      <c r="L440" s="41"/>
      <c r="M440" s="41"/>
      <c r="N440" s="41"/>
      <c r="O440" s="37"/>
      <c r="P440" s="37"/>
      <c r="Q440" s="37"/>
      <c r="S440" s="32"/>
      <c r="T440" s="32"/>
      <c r="U440" s="32"/>
      <c r="V440" s="32"/>
      <c r="W440" s="32"/>
      <c r="X440" s="32"/>
      <c r="Y440" s="32"/>
      <c r="Z440" s="32"/>
      <c r="AA440" s="32"/>
    </row>
    <row r="441" spans="1:27" ht="30.75" thickBot="1">
      <c r="A441" s="39"/>
      <c r="B441" s="40"/>
      <c r="C441" s="16" t="s">
        <v>52</v>
      </c>
      <c r="D441" s="36">
        <v>8</v>
      </c>
      <c r="E441" s="22" t="str">
        <f t="shared" si="271"/>
        <v>7:0</v>
      </c>
      <c r="F441" s="22" t="s">
        <v>43</v>
      </c>
      <c r="G441" s="27" t="s">
        <v>49</v>
      </c>
      <c r="H441" s="23" t="s">
        <v>36</v>
      </c>
      <c r="I441" s="24" t="s">
        <v>35</v>
      </c>
      <c r="J441" s="25" t="s">
        <v>6</v>
      </c>
      <c r="K441" s="26"/>
      <c r="L441" s="41"/>
      <c r="M441" s="41"/>
      <c r="N441" s="41"/>
      <c r="O441" s="37"/>
      <c r="P441" s="37"/>
      <c r="Q441" s="37"/>
      <c r="S441" s="32"/>
      <c r="T441" s="32"/>
      <c r="U441" s="32"/>
      <c r="V441" s="32"/>
      <c r="W441" s="32"/>
      <c r="X441" s="32"/>
      <c r="Y441" s="32"/>
      <c r="Z441" s="32"/>
      <c r="AA441" s="32"/>
    </row>
    <row r="442" spans="1:27">
      <c r="A442" s="42" t="str">
        <f>AA442</f>
        <v>REFGEN_REG_QUAD0_SAR3_SLC4</v>
      </c>
      <c r="B442" s="43" t="str">
        <f>DEC2HEX(O442*4)</f>
        <v>0</v>
      </c>
      <c r="C442" s="44" t="str">
        <f>bitConcat(F443:F446)</f>
        <v>32'b00000000000000000000000000000000</v>
      </c>
      <c r="D442" s="44"/>
      <c r="E442" s="44"/>
      <c r="F442" s="44"/>
      <c r="G442" s="44"/>
      <c r="H442" s="44"/>
      <c r="I442" s="44"/>
      <c r="J442" s="44"/>
      <c r="K442" s="44"/>
      <c r="L442" s="45" t="str">
        <f t="shared" si="253"/>
        <v>1B0</v>
      </c>
      <c r="M442" s="45"/>
      <c r="N442" s="45">
        <f t="shared" ref="N442" si="272">S442</f>
        <v>1</v>
      </c>
      <c r="O442" s="38">
        <v>0</v>
      </c>
      <c r="P442" s="38" t="str">
        <f t="shared" si="264"/>
        <v>130</v>
      </c>
      <c r="Q442" s="38" t="str">
        <f>BIN2HEX(LEFT(RIGHT(C442,32),4))&amp;BIN2HEX(LEFT(RIGHT(C442,28),4))&amp;BIN2HEX(LEFT(RIGHT(C442,24),4))&amp;BIN2HEX(LEFT(RIGHT(C442,20),4))&amp;BIN2HEX(LEFT(RIGHT(C442,16),4))&amp;BIN2HEX(LEFT(RIGHT(C442,12),4))&amp;BIN2HEX(LEFT(RIGHT(C442,8),4))&amp;BIN2HEX(LEFT(RIGHT(C442,4),4))</f>
        <v>00000000</v>
      </c>
      <c r="S442" s="32">
        <v>1</v>
      </c>
      <c r="T442" s="32">
        <v>0</v>
      </c>
      <c r="U442" s="32">
        <v>0</v>
      </c>
      <c r="V442" s="32">
        <v>1</v>
      </c>
      <c r="W442" s="32">
        <v>1</v>
      </c>
      <c r="X442" s="32">
        <v>0</v>
      </c>
      <c r="Y442" s="32">
        <v>0</v>
      </c>
      <c r="Z442" s="32" t="str">
        <f t="shared" si="230"/>
        <v>4C</v>
      </c>
      <c r="AA442" s="32" t="str">
        <f>CONCATENATE("REFGEN_REG_QUAD",BIN2DEC(X442&amp;Y442),"_SAR",BIN2DEC(V442&amp;W442),"_SLC",BIN2DEC(S442&amp;T442&amp;U442),)</f>
        <v>REFGEN_REG_QUAD0_SAR3_SLC4</v>
      </c>
    </row>
    <row r="443" spans="1:27" ht="30">
      <c r="A443" s="39"/>
      <c r="B443" s="40"/>
      <c r="C443" s="16" t="s">
        <v>48</v>
      </c>
      <c r="D443" s="36">
        <v>8</v>
      </c>
      <c r="E443" s="21" t="str">
        <f>IF(D443&gt;1,(31)&amp;":"&amp;(31-D443+1),(31-D443+1)&amp;":"&amp;(31-D443+1))</f>
        <v>31:24</v>
      </c>
      <c r="F443" s="22" t="s">
        <v>43</v>
      </c>
      <c r="G443" s="27" t="s">
        <v>49</v>
      </c>
      <c r="H443" s="23" t="s">
        <v>36</v>
      </c>
      <c r="I443" s="24" t="s">
        <v>35</v>
      </c>
      <c r="J443" s="25" t="s">
        <v>6</v>
      </c>
      <c r="K443" s="26"/>
      <c r="L443" s="41"/>
      <c r="M443" s="41"/>
      <c r="N443" s="41"/>
      <c r="O443" s="37"/>
      <c r="P443" s="37"/>
      <c r="Q443" s="37"/>
      <c r="S443" s="32"/>
      <c r="T443" s="32"/>
      <c r="U443" s="32"/>
      <c r="V443" s="32"/>
      <c r="W443" s="32"/>
      <c r="X443" s="32"/>
      <c r="Y443" s="32"/>
      <c r="Z443" s="32"/>
      <c r="AA443" s="32"/>
    </row>
    <row r="444" spans="1:27" ht="30">
      <c r="A444" s="39"/>
      <c r="B444" s="40"/>
      <c r="C444" s="16" t="s">
        <v>50</v>
      </c>
      <c r="D444" s="36">
        <v>8</v>
      </c>
      <c r="E444" s="22" t="str">
        <f t="shared" ref="E444:E446" si="273">(MID(str_cnvt(E443),SEARCH(":",str_cnvt(E443))+1,2)-1) &amp; ":" &amp; (MID(str_cnvt(E443),SEARCH(":",str_cnvt(E443))+1,2)-D444)</f>
        <v>23:16</v>
      </c>
      <c r="F444" s="22" t="s">
        <v>43</v>
      </c>
      <c r="G444" s="27" t="s">
        <v>49</v>
      </c>
      <c r="H444" s="23" t="s">
        <v>36</v>
      </c>
      <c r="I444" s="24" t="s">
        <v>35</v>
      </c>
      <c r="J444" s="25" t="s">
        <v>6</v>
      </c>
      <c r="K444" s="26"/>
      <c r="L444" s="41"/>
      <c r="M444" s="41"/>
      <c r="N444" s="41"/>
      <c r="O444" s="37"/>
      <c r="P444" s="37"/>
      <c r="Q444" s="37"/>
      <c r="S444" s="32"/>
      <c r="T444" s="32"/>
      <c r="U444" s="32"/>
      <c r="V444" s="32"/>
      <c r="W444" s="32"/>
      <c r="X444" s="32"/>
      <c r="Y444" s="32"/>
      <c r="Z444" s="32"/>
      <c r="AA444" s="32"/>
    </row>
    <row r="445" spans="1:27" ht="30">
      <c r="A445" s="39"/>
      <c r="B445" s="40"/>
      <c r="C445" s="16" t="s">
        <v>51</v>
      </c>
      <c r="D445" s="36">
        <v>8</v>
      </c>
      <c r="E445" s="22" t="str">
        <f t="shared" si="273"/>
        <v>15:8</v>
      </c>
      <c r="F445" s="22" t="s">
        <v>43</v>
      </c>
      <c r="G445" s="27" t="s">
        <v>49</v>
      </c>
      <c r="H445" s="23" t="s">
        <v>36</v>
      </c>
      <c r="I445" s="24" t="s">
        <v>35</v>
      </c>
      <c r="J445" s="25" t="s">
        <v>6</v>
      </c>
      <c r="K445" s="26"/>
      <c r="L445" s="41"/>
      <c r="M445" s="41"/>
      <c r="N445" s="41"/>
      <c r="O445" s="37"/>
      <c r="P445" s="37"/>
      <c r="Q445" s="37"/>
      <c r="S445" s="32"/>
      <c r="T445" s="32"/>
      <c r="U445" s="32"/>
      <c r="V445" s="32"/>
      <c r="W445" s="32"/>
      <c r="X445" s="32"/>
      <c r="Y445" s="32"/>
      <c r="Z445" s="32"/>
      <c r="AA445" s="32"/>
    </row>
    <row r="446" spans="1:27" ht="30.75" thickBot="1">
      <c r="A446" s="39"/>
      <c r="B446" s="40"/>
      <c r="C446" s="16" t="s">
        <v>52</v>
      </c>
      <c r="D446" s="36">
        <v>8</v>
      </c>
      <c r="E446" s="22" t="str">
        <f t="shared" si="273"/>
        <v>7:0</v>
      </c>
      <c r="F446" s="22" t="s">
        <v>43</v>
      </c>
      <c r="G446" s="27" t="s">
        <v>49</v>
      </c>
      <c r="H446" s="23" t="s">
        <v>36</v>
      </c>
      <c r="I446" s="24" t="s">
        <v>35</v>
      </c>
      <c r="J446" s="25" t="s">
        <v>6</v>
      </c>
      <c r="K446" s="26"/>
      <c r="L446" s="41"/>
      <c r="M446" s="41"/>
      <c r="N446" s="41"/>
      <c r="O446" s="37"/>
      <c r="P446" s="37"/>
      <c r="Q446" s="37"/>
      <c r="S446" s="32"/>
      <c r="T446" s="32"/>
      <c r="U446" s="32"/>
      <c r="V446" s="32"/>
      <c r="W446" s="32"/>
      <c r="X446" s="32"/>
      <c r="Y446" s="32"/>
      <c r="Z446" s="32"/>
      <c r="AA446" s="32"/>
    </row>
    <row r="447" spans="1:27">
      <c r="A447" s="42" t="str">
        <f>AA447</f>
        <v>REFGEN_REG_QUAD1_SAR3_SLC4</v>
      </c>
      <c r="B447" s="43" t="str">
        <f>DEC2HEX(O447*4)</f>
        <v>0</v>
      </c>
      <c r="C447" s="44" t="str">
        <f>bitConcat(F448:F451)</f>
        <v>32'b00000000000000000000000000000000</v>
      </c>
      <c r="D447" s="44"/>
      <c r="E447" s="44"/>
      <c r="F447" s="44"/>
      <c r="G447" s="44"/>
      <c r="H447" s="44"/>
      <c r="I447" s="44"/>
      <c r="J447" s="44"/>
      <c r="K447" s="44"/>
      <c r="L447" s="45" t="str">
        <f t="shared" si="253"/>
        <v>1B4</v>
      </c>
      <c r="M447" s="45"/>
      <c r="N447" s="45">
        <f t="shared" ref="N447" si="274">S447</f>
        <v>1</v>
      </c>
      <c r="O447" s="38">
        <v>0</v>
      </c>
      <c r="P447" s="38" t="str">
        <f t="shared" si="264"/>
        <v>134</v>
      </c>
      <c r="Q447" s="38" t="str">
        <f>BIN2HEX(LEFT(RIGHT(C447,32),4))&amp;BIN2HEX(LEFT(RIGHT(C447,28),4))&amp;BIN2HEX(LEFT(RIGHT(C447,24),4))&amp;BIN2HEX(LEFT(RIGHT(C447,20),4))&amp;BIN2HEX(LEFT(RIGHT(C447,16),4))&amp;BIN2HEX(LEFT(RIGHT(C447,12),4))&amp;BIN2HEX(LEFT(RIGHT(C447,8),4))&amp;BIN2HEX(LEFT(RIGHT(C447,4),4))</f>
        <v>00000000</v>
      </c>
      <c r="S447" s="32">
        <v>1</v>
      </c>
      <c r="T447" s="32">
        <v>0</v>
      </c>
      <c r="U447" s="32">
        <v>0</v>
      </c>
      <c r="V447" s="32">
        <v>1</v>
      </c>
      <c r="W447" s="32">
        <v>1</v>
      </c>
      <c r="X447" s="32">
        <v>0</v>
      </c>
      <c r="Y447" s="32">
        <v>1</v>
      </c>
      <c r="Z447" s="32" t="str">
        <f t="shared" si="230"/>
        <v>4D</v>
      </c>
      <c r="AA447" s="32" t="str">
        <f>CONCATENATE("REFGEN_REG_QUAD",BIN2DEC(X447&amp;Y447),"_SAR",BIN2DEC(V447&amp;W447),"_SLC",BIN2DEC(S447&amp;T447&amp;U447),)</f>
        <v>REFGEN_REG_QUAD1_SAR3_SLC4</v>
      </c>
    </row>
    <row r="448" spans="1:27" ht="30">
      <c r="A448" s="39"/>
      <c r="B448" s="40"/>
      <c r="C448" s="16" t="s">
        <v>48</v>
      </c>
      <c r="D448" s="36">
        <v>8</v>
      </c>
      <c r="E448" s="21" t="str">
        <f>IF(D448&gt;1,(31)&amp;":"&amp;(31-D448+1),(31-D448+1)&amp;":"&amp;(31-D448+1))</f>
        <v>31:24</v>
      </c>
      <c r="F448" s="22" t="s">
        <v>43</v>
      </c>
      <c r="G448" s="27" t="s">
        <v>49</v>
      </c>
      <c r="H448" s="23" t="s">
        <v>36</v>
      </c>
      <c r="I448" s="24" t="s">
        <v>35</v>
      </c>
      <c r="J448" s="25" t="s">
        <v>6</v>
      </c>
      <c r="K448" s="26"/>
      <c r="L448" s="41"/>
      <c r="M448" s="41"/>
      <c r="N448" s="41"/>
      <c r="O448" s="37"/>
      <c r="P448" s="37"/>
      <c r="Q448" s="37"/>
      <c r="S448" s="32"/>
      <c r="T448" s="32"/>
      <c r="U448" s="32"/>
      <c r="V448" s="32"/>
      <c r="W448" s="32"/>
      <c r="X448" s="32"/>
      <c r="Y448" s="32"/>
      <c r="Z448" s="32"/>
      <c r="AA448" s="32"/>
    </row>
    <row r="449" spans="1:27" ht="30">
      <c r="A449" s="39"/>
      <c r="B449" s="40"/>
      <c r="C449" s="16" t="s">
        <v>50</v>
      </c>
      <c r="D449" s="36">
        <v>8</v>
      </c>
      <c r="E449" s="22" t="str">
        <f t="shared" ref="E449:E451" si="275">(MID(str_cnvt(E448),SEARCH(":",str_cnvt(E448))+1,2)-1) &amp; ":" &amp; (MID(str_cnvt(E448),SEARCH(":",str_cnvt(E448))+1,2)-D449)</f>
        <v>23:16</v>
      </c>
      <c r="F449" s="22" t="s">
        <v>43</v>
      </c>
      <c r="G449" s="27" t="s">
        <v>49</v>
      </c>
      <c r="H449" s="23" t="s">
        <v>36</v>
      </c>
      <c r="I449" s="24" t="s">
        <v>35</v>
      </c>
      <c r="J449" s="25" t="s">
        <v>6</v>
      </c>
      <c r="K449" s="26"/>
      <c r="L449" s="41"/>
      <c r="M449" s="41"/>
      <c r="N449" s="41"/>
      <c r="O449" s="37"/>
      <c r="P449" s="37"/>
      <c r="Q449" s="37"/>
      <c r="S449" s="32"/>
      <c r="T449" s="32"/>
      <c r="U449" s="32"/>
      <c r="V449" s="32"/>
      <c r="W449" s="32"/>
      <c r="X449" s="32"/>
      <c r="Y449" s="32"/>
      <c r="Z449" s="32"/>
      <c r="AA449" s="32"/>
    </row>
    <row r="450" spans="1:27" ht="30">
      <c r="A450" s="39"/>
      <c r="B450" s="40"/>
      <c r="C450" s="16" t="s">
        <v>51</v>
      </c>
      <c r="D450" s="36">
        <v>8</v>
      </c>
      <c r="E450" s="22" t="str">
        <f t="shared" si="275"/>
        <v>15:8</v>
      </c>
      <c r="F450" s="22" t="s">
        <v>43</v>
      </c>
      <c r="G450" s="27" t="s">
        <v>49</v>
      </c>
      <c r="H450" s="23" t="s">
        <v>36</v>
      </c>
      <c r="I450" s="24" t="s">
        <v>35</v>
      </c>
      <c r="J450" s="25" t="s">
        <v>6</v>
      </c>
      <c r="K450" s="26"/>
      <c r="L450" s="41"/>
      <c r="M450" s="41"/>
      <c r="N450" s="41"/>
      <c r="O450" s="37"/>
      <c r="P450" s="37"/>
      <c r="Q450" s="37"/>
      <c r="S450" s="32"/>
      <c r="T450" s="32"/>
      <c r="U450" s="32"/>
      <c r="V450" s="32"/>
      <c r="W450" s="32"/>
      <c r="X450" s="32"/>
      <c r="Y450" s="32"/>
      <c r="Z450" s="32"/>
      <c r="AA450" s="32"/>
    </row>
    <row r="451" spans="1:27" ht="30.75" thickBot="1">
      <c r="A451" s="39"/>
      <c r="B451" s="40"/>
      <c r="C451" s="16" t="s">
        <v>52</v>
      </c>
      <c r="D451" s="36">
        <v>8</v>
      </c>
      <c r="E451" s="22" t="str">
        <f t="shared" si="275"/>
        <v>7:0</v>
      </c>
      <c r="F451" s="22" t="s">
        <v>43</v>
      </c>
      <c r="G451" s="27" t="s">
        <v>49</v>
      </c>
      <c r="H451" s="23" t="s">
        <v>36</v>
      </c>
      <c r="I451" s="24" t="s">
        <v>35</v>
      </c>
      <c r="J451" s="25" t="s">
        <v>6</v>
      </c>
      <c r="K451" s="26"/>
      <c r="L451" s="41"/>
      <c r="M451" s="41"/>
      <c r="N451" s="41"/>
      <c r="O451" s="37"/>
      <c r="P451" s="37"/>
      <c r="Q451" s="37"/>
      <c r="S451" s="32"/>
      <c r="T451" s="32"/>
      <c r="U451" s="32"/>
      <c r="V451" s="32"/>
      <c r="W451" s="32"/>
      <c r="X451" s="32"/>
      <c r="Y451" s="32"/>
      <c r="Z451" s="32"/>
      <c r="AA451" s="32"/>
    </row>
    <row r="452" spans="1:27">
      <c r="A452" s="42" t="str">
        <f>AA452</f>
        <v>REFGEN_REG_QUAD2_SAR3_SLC4</v>
      </c>
      <c r="B452" s="43" t="str">
        <f>DEC2HEX(O452*4)</f>
        <v>0</v>
      </c>
      <c r="C452" s="44" t="str">
        <f>bitConcat(F453:F456)</f>
        <v>32'b00000000000000000000000000000000</v>
      </c>
      <c r="D452" s="44"/>
      <c r="E452" s="44"/>
      <c r="F452" s="44"/>
      <c r="G452" s="44"/>
      <c r="H452" s="44"/>
      <c r="I452" s="44"/>
      <c r="J452" s="44"/>
      <c r="K452" s="44"/>
      <c r="L452" s="45" t="str">
        <f t="shared" si="253"/>
        <v>1B8</v>
      </c>
      <c r="M452" s="45"/>
      <c r="N452" s="45">
        <f t="shared" ref="N452" si="276">S452</f>
        <v>1</v>
      </c>
      <c r="O452" s="38">
        <v>0</v>
      </c>
      <c r="P452" s="38" t="str">
        <f t="shared" si="264"/>
        <v>138</v>
      </c>
      <c r="Q452" s="38" t="str">
        <f>BIN2HEX(LEFT(RIGHT(C452,32),4))&amp;BIN2HEX(LEFT(RIGHT(C452,28),4))&amp;BIN2HEX(LEFT(RIGHT(C452,24),4))&amp;BIN2HEX(LEFT(RIGHT(C452,20),4))&amp;BIN2HEX(LEFT(RIGHT(C452,16),4))&amp;BIN2HEX(LEFT(RIGHT(C452,12),4))&amp;BIN2HEX(LEFT(RIGHT(C452,8),4))&amp;BIN2HEX(LEFT(RIGHT(C452,4),4))</f>
        <v>00000000</v>
      </c>
      <c r="S452" s="32">
        <v>1</v>
      </c>
      <c r="T452" s="32">
        <v>0</v>
      </c>
      <c r="U452" s="32">
        <v>0</v>
      </c>
      <c r="V452" s="32">
        <v>1</v>
      </c>
      <c r="W452" s="32">
        <v>1</v>
      </c>
      <c r="X452" s="32">
        <v>1</v>
      </c>
      <c r="Y452" s="32">
        <v>0</v>
      </c>
      <c r="Z452" s="32" t="str">
        <f t="shared" si="230"/>
        <v>4E</v>
      </c>
      <c r="AA452" s="32" t="str">
        <f>CONCATENATE("REFGEN_REG_QUAD",BIN2DEC(X452&amp;Y452),"_SAR",BIN2DEC(V452&amp;W452),"_SLC",BIN2DEC(S452&amp;T452&amp;U452),)</f>
        <v>REFGEN_REG_QUAD2_SAR3_SLC4</v>
      </c>
    </row>
    <row r="453" spans="1:27" ht="30">
      <c r="A453" s="39"/>
      <c r="B453" s="40"/>
      <c r="C453" s="16" t="s">
        <v>48</v>
      </c>
      <c r="D453" s="36">
        <v>8</v>
      </c>
      <c r="E453" s="21" t="str">
        <f>IF(D453&gt;1,(31)&amp;":"&amp;(31-D453+1),(31-D453+1)&amp;":"&amp;(31-D453+1))</f>
        <v>31:24</v>
      </c>
      <c r="F453" s="22" t="s">
        <v>43</v>
      </c>
      <c r="G453" s="27" t="s">
        <v>49</v>
      </c>
      <c r="H453" s="23" t="s">
        <v>36</v>
      </c>
      <c r="I453" s="24" t="s">
        <v>35</v>
      </c>
      <c r="J453" s="25" t="s">
        <v>6</v>
      </c>
      <c r="K453" s="26"/>
      <c r="L453" s="41"/>
      <c r="M453" s="41"/>
      <c r="N453" s="41"/>
      <c r="O453" s="37"/>
      <c r="P453" s="37"/>
      <c r="Q453" s="37"/>
      <c r="S453" s="32"/>
      <c r="T453" s="32"/>
      <c r="U453" s="32"/>
      <c r="V453" s="32"/>
      <c r="W453" s="32"/>
      <c r="X453" s="32"/>
      <c r="Y453" s="32"/>
      <c r="Z453" s="32"/>
      <c r="AA453" s="32"/>
    </row>
    <row r="454" spans="1:27" ht="30">
      <c r="A454" s="39"/>
      <c r="B454" s="40"/>
      <c r="C454" s="16" t="s">
        <v>50</v>
      </c>
      <c r="D454" s="36">
        <v>8</v>
      </c>
      <c r="E454" s="22" t="str">
        <f t="shared" ref="E454:E456" si="277">(MID(str_cnvt(E453),SEARCH(":",str_cnvt(E453))+1,2)-1) &amp; ":" &amp; (MID(str_cnvt(E453),SEARCH(":",str_cnvt(E453))+1,2)-D454)</f>
        <v>23:16</v>
      </c>
      <c r="F454" s="22" t="s">
        <v>43</v>
      </c>
      <c r="G454" s="27" t="s">
        <v>49</v>
      </c>
      <c r="H454" s="23" t="s">
        <v>36</v>
      </c>
      <c r="I454" s="24" t="s">
        <v>35</v>
      </c>
      <c r="J454" s="25" t="s">
        <v>6</v>
      </c>
      <c r="K454" s="26"/>
      <c r="L454" s="41"/>
      <c r="M454" s="41"/>
      <c r="N454" s="41"/>
      <c r="O454" s="37"/>
      <c r="P454" s="37"/>
      <c r="Q454" s="37"/>
      <c r="S454" s="32"/>
      <c r="T454" s="32"/>
      <c r="U454" s="32"/>
      <c r="V454" s="32"/>
      <c r="W454" s="32"/>
      <c r="X454" s="32"/>
      <c r="Y454" s="32"/>
      <c r="Z454" s="32"/>
      <c r="AA454" s="32"/>
    </row>
    <row r="455" spans="1:27" ht="30">
      <c r="A455" s="39"/>
      <c r="B455" s="40"/>
      <c r="C455" s="16" t="s">
        <v>51</v>
      </c>
      <c r="D455" s="36">
        <v>8</v>
      </c>
      <c r="E455" s="22" t="str">
        <f t="shared" si="277"/>
        <v>15:8</v>
      </c>
      <c r="F455" s="22" t="s">
        <v>43</v>
      </c>
      <c r="G455" s="27" t="s">
        <v>49</v>
      </c>
      <c r="H455" s="23" t="s">
        <v>36</v>
      </c>
      <c r="I455" s="24" t="s">
        <v>35</v>
      </c>
      <c r="J455" s="25" t="s">
        <v>6</v>
      </c>
      <c r="K455" s="26"/>
      <c r="L455" s="41"/>
      <c r="M455" s="41"/>
      <c r="N455" s="41"/>
      <c r="O455" s="37"/>
      <c r="P455" s="37"/>
      <c r="Q455" s="37"/>
      <c r="S455" s="32"/>
      <c r="T455" s="32"/>
      <c r="U455" s="32"/>
      <c r="V455" s="32"/>
      <c r="W455" s="32"/>
      <c r="X455" s="32"/>
      <c r="Y455" s="32"/>
      <c r="Z455" s="32"/>
      <c r="AA455" s="32"/>
    </row>
    <row r="456" spans="1:27" ht="30.75" thickBot="1">
      <c r="A456" s="39"/>
      <c r="B456" s="40"/>
      <c r="C456" s="16" t="s">
        <v>52</v>
      </c>
      <c r="D456" s="36">
        <v>8</v>
      </c>
      <c r="E456" s="22" t="str">
        <f t="shared" si="277"/>
        <v>7:0</v>
      </c>
      <c r="F456" s="22" t="s">
        <v>43</v>
      </c>
      <c r="G456" s="27" t="s">
        <v>49</v>
      </c>
      <c r="H456" s="23" t="s">
        <v>36</v>
      </c>
      <c r="I456" s="24" t="s">
        <v>35</v>
      </c>
      <c r="J456" s="25" t="s">
        <v>6</v>
      </c>
      <c r="K456" s="26"/>
      <c r="L456" s="41"/>
      <c r="M456" s="41"/>
      <c r="N456" s="41"/>
      <c r="O456" s="37"/>
      <c r="P456" s="37"/>
      <c r="Q456" s="37"/>
      <c r="S456" s="32"/>
      <c r="T456" s="32"/>
      <c r="U456" s="32"/>
      <c r="V456" s="32"/>
      <c r="W456" s="32"/>
      <c r="X456" s="32"/>
      <c r="Y456" s="32"/>
      <c r="Z456" s="32"/>
      <c r="AA456" s="32"/>
    </row>
    <row r="457" spans="1:27">
      <c r="A457" s="42" t="str">
        <f>AA457</f>
        <v>REFGEN_REG_QUAD3_SAR3_SLC4</v>
      </c>
      <c r="B457" s="43" t="str">
        <f>DEC2HEX(O457*4)</f>
        <v>0</v>
      </c>
      <c r="C457" s="44" t="str">
        <f>bitConcat(F458:F461)</f>
        <v>32'b00000000000000000000000000000000</v>
      </c>
      <c r="D457" s="44"/>
      <c r="E457" s="44"/>
      <c r="F457" s="44"/>
      <c r="G457" s="44"/>
      <c r="H457" s="44"/>
      <c r="I457" s="44"/>
      <c r="J457" s="44"/>
      <c r="K457" s="44"/>
      <c r="L457" s="45" t="str">
        <f t="shared" si="253"/>
        <v>1BC</v>
      </c>
      <c r="M457" s="45"/>
      <c r="N457" s="45">
        <f t="shared" ref="N457" si="278">S457</f>
        <v>1</v>
      </c>
      <c r="O457" s="38">
        <v>0</v>
      </c>
      <c r="P457" s="38" t="str">
        <f t="shared" si="264"/>
        <v>13C</v>
      </c>
      <c r="Q457" s="38" t="str">
        <f>BIN2HEX(LEFT(RIGHT(C457,32),4))&amp;BIN2HEX(LEFT(RIGHT(C457,28),4))&amp;BIN2HEX(LEFT(RIGHT(C457,24),4))&amp;BIN2HEX(LEFT(RIGHT(C457,20),4))&amp;BIN2HEX(LEFT(RIGHT(C457,16),4))&amp;BIN2HEX(LEFT(RIGHT(C457,12),4))&amp;BIN2HEX(LEFT(RIGHT(C457,8),4))&amp;BIN2HEX(LEFT(RIGHT(C457,4),4))</f>
        <v>00000000</v>
      </c>
      <c r="S457" s="32">
        <v>1</v>
      </c>
      <c r="T457" s="32">
        <v>0</v>
      </c>
      <c r="U457" s="32">
        <v>0</v>
      </c>
      <c r="V457" s="32">
        <v>1</v>
      </c>
      <c r="W457" s="32">
        <v>1</v>
      </c>
      <c r="X457" s="32">
        <v>1</v>
      </c>
      <c r="Y457" s="32">
        <v>1</v>
      </c>
      <c r="Z457" s="32" t="str">
        <f t="shared" si="230"/>
        <v>4F</v>
      </c>
      <c r="AA457" s="32" t="str">
        <f>CONCATENATE("REFGEN_REG_QUAD",BIN2DEC(X457&amp;Y457),"_SAR",BIN2DEC(V457&amp;W457),"_SLC",BIN2DEC(S457&amp;T457&amp;U457),)</f>
        <v>REFGEN_REG_QUAD3_SAR3_SLC4</v>
      </c>
    </row>
    <row r="458" spans="1:27" ht="30">
      <c r="A458" s="39"/>
      <c r="B458" s="40"/>
      <c r="C458" s="16" t="s">
        <v>48</v>
      </c>
      <c r="D458" s="36">
        <v>8</v>
      </c>
      <c r="E458" s="21" t="str">
        <f>IF(D458&gt;1,(31)&amp;":"&amp;(31-D458+1),(31-D458+1)&amp;":"&amp;(31-D458+1))</f>
        <v>31:24</v>
      </c>
      <c r="F458" s="22" t="s">
        <v>43</v>
      </c>
      <c r="G458" s="27" t="s">
        <v>49</v>
      </c>
      <c r="H458" s="23" t="s">
        <v>36</v>
      </c>
      <c r="I458" s="24" t="s">
        <v>35</v>
      </c>
      <c r="J458" s="25" t="s">
        <v>6</v>
      </c>
      <c r="K458" s="26"/>
      <c r="L458" s="41"/>
      <c r="M458" s="41"/>
      <c r="N458" s="41"/>
      <c r="O458" s="37"/>
      <c r="P458" s="37"/>
      <c r="Q458" s="37"/>
      <c r="S458" s="32"/>
      <c r="T458" s="32"/>
      <c r="U458" s="32"/>
      <c r="V458" s="32"/>
      <c r="W458" s="32"/>
      <c r="X458" s="32"/>
      <c r="Y458" s="32"/>
      <c r="Z458" s="32"/>
      <c r="AA458" s="32"/>
    </row>
    <row r="459" spans="1:27" ht="30">
      <c r="A459" s="39"/>
      <c r="B459" s="40"/>
      <c r="C459" s="16" t="s">
        <v>50</v>
      </c>
      <c r="D459" s="36">
        <v>8</v>
      </c>
      <c r="E459" s="22" t="str">
        <f t="shared" ref="E459:E461" si="279">(MID(str_cnvt(E458),SEARCH(":",str_cnvt(E458))+1,2)-1) &amp; ":" &amp; (MID(str_cnvt(E458),SEARCH(":",str_cnvt(E458))+1,2)-D459)</f>
        <v>23:16</v>
      </c>
      <c r="F459" s="22" t="s">
        <v>43</v>
      </c>
      <c r="G459" s="27" t="s">
        <v>49</v>
      </c>
      <c r="H459" s="23" t="s">
        <v>36</v>
      </c>
      <c r="I459" s="24" t="s">
        <v>35</v>
      </c>
      <c r="J459" s="25" t="s">
        <v>6</v>
      </c>
      <c r="K459" s="26"/>
      <c r="L459" s="41"/>
      <c r="M459" s="41"/>
      <c r="N459" s="41"/>
      <c r="O459" s="37"/>
      <c r="P459" s="37"/>
      <c r="Q459" s="37"/>
      <c r="S459" s="32"/>
      <c r="T459" s="32"/>
      <c r="U459" s="32"/>
      <c r="V459" s="32"/>
      <c r="W459" s="32"/>
      <c r="X459" s="32"/>
      <c r="Y459" s="32"/>
      <c r="Z459" s="32"/>
      <c r="AA459" s="32"/>
    </row>
    <row r="460" spans="1:27" ht="30">
      <c r="A460" s="39"/>
      <c r="B460" s="40"/>
      <c r="C460" s="16" t="s">
        <v>51</v>
      </c>
      <c r="D460" s="36">
        <v>8</v>
      </c>
      <c r="E460" s="22" t="str">
        <f t="shared" si="279"/>
        <v>15:8</v>
      </c>
      <c r="F460" s="22" t="s">
        <v>43</v>
      </c>
      <c r="G460" s="27" t="s">
        <v>49</v>
      </c>
      <c r="H460" s="23" t="s">
        <v>36</v>
      </c>
      <c r="I460" s="24" t="s">
        <v>35</v>
      </c>
      <c r="J460" s="25" t="s">
        <v>6</v>
      </c>
      <c r="K460" s="26"/>
      <c r="L460" s="41"/>
      <c r="M460" s="41"/>
      <c r="N460" s="41"/>
      <c r="O460" s="37"/>
      <c r="P460" s="37"/>
      <c r="Q460" s="37"/>
      <c r="S460" s="32"/>
      <c r="T460" s="32"/>
      <c r="U460" s="32"/>
      <c r="V460" s="32"/>
      <c r="W460" s="32"/>
      <c r="X460" s="32"/>
      <c r="Y460" s="32"/>
      <c r="Z460" s="32"/>
      <c r="AA460" s="32"/>
    </row>
    <row r="461" spans="1:27" ht="30.75" thickBot="1">
      <c r="A461" s="39"/>
      <c r="B461" s="40"/>
      <c r="C461" s="16" t="s">
        <v>52</v>
      </c>
      <c r="D461" s="36">
        <v>8</v>
      </c>
      <c r="E461" s="22" t="str">
        <f t="shared" si="279"/>
        <v>7:0</v>
      </c>
      <c r="F461" s="22" t="s">
        <v>43</v>
      </c>
      <c r="G461" s="27" t="s">
        <v>49</v>
      </c>
      <c r="H461" s="23" t="s">
        <v>36</v>
      </c>
      <c r="I461" s="24" t="s">
        <v>35</v>
      </c>
      <c r="J461" s="25" t="s">
        <v>6</v>
      </c>
      <c r="K461" s="26"/>
      <c r="L461" s="41"/>
      <c r="M461" s="41"/>
      <c r="N461" s="41"/>
      <c r="O461" s="37"/>
      <c r="P461" s="37"/>
      <c r="Q461" s="37"/>
      <c r="S461" s="32"/>
      <c r="T461" s="32"/>
      <c r="U461" s="32"/>
      <c r="V461" s="32"/>
      <c r="W461" s="32"/>
      <c r="X461" s="32"/>
      <c r="Y461" s="32"/>
      <c r="Z461" s="32"/>
      <c r="AA461" s="32"/>
    </row>
    <row r="462" spans="1:27">
      <c r="A462" s="42" t="str">
        <f>AA462</f>
        <v>REFGEN_REG_QUAD0_SAR3_SLC5</v>
      </c>
      <c r="B462" s="43" t="str">
        <f>DEC2HEX(O462*4)</f>
        <v>0</v>
      </c>
      <c r="C462" s="44" t="str">
        <f>bitConcat(F463:F466)</f>
        <v>32'b00000000000000000000000000000000</v>
      </c>
      <c r="D462" s="44"/>
      <c r="E462" s="44"/>
      <c r="F462" s="44"/>
      <c r="G462" s="44"/>
      <c r="H462" s="44"/>
      <c r="I462" s="44"/>
      <c r="J462" s="44"/>
      <c r="K462" s="44"/>
      <c r="L462" s="45" t="str">
        <f t="shared" si="253"/>
        <v>1F0</v>
      </c>
      <c r="M462" s="45"/>
      <c r="N462" s="45">
        <f t="shared" ref="N462" si="280">S462</f>
        <v>1</v>
      </c>
      <c r="O462" s="38">
        <v>0</v>
      </c>
      <c r="P462" s="38" t="str">
        <f t="shared" si="264"/>
        <v>170</v>
      </c>
      <c r="Q462" s="38" t="str">
        <f>BIN2HEX(LEFT(RIGHT(C462,32),4))&amp;BIN2HEX(LEFT(RIGHT(C462,28),4))&amp;BIN2HEX(LEFT(RIGHT(C462,24),4))&amp;BIN2HEX(LEFT(RIGHT(C462,20),4))&amp;BIN2HEX(LEFT(RIGHT(C462,16),4))&amp;BIN2HEX(LEFT(RIGHT(C462,12),4))&amp;BIN2HEX(LEFT(RIGHT(C462,8),4))&amp;BIN2HEX(LEFT(RIGHT(C462,4),4))</f>
        <v>00000000</v>
      </c>
      <c r="S462" s="32">
        <v>1</v>
      </c>
      <c r="T462" s="32">
        <v>0</v>
      </c>
      <c r="U462" s="32">
        <v>1</v>
      </c>
      <c r="V462" s="32">
        <v>1</v>
      </c>
      <c r="W462" s="32">
        <v>1</v>
      </c>
      <c r="X462" s="32">
        <v>0</v>
      </c>
      <c r="Y462" s="32">
        <v>0</v>
      </c>
      <c r="Z462" s="32" t="str">
        <f t="shared" si="230"/>
        <v>5C</v>
      </c>
      <c r="AA462" s="32" t="str">
        <f>CONCATENATE("REFGEN_REG_QUAD",BIN2DEC(X462&amp;Y462),"_SAR",BIN2DEC(V462&amp;W462),"_SLC",BIN2DEC(S462&amp;T462&amp;U462),)</f>
        <v>REFGEN_REG_QUAD0_SAR3_SLC5</v>
      </c>
    </row>
    <row r="463" spans="1:27" ht="30">
      <c r="A463" s="39"/>
      <c r="B463" s="40"/>
      <c r="C463" s="16" t="s">
        <v>48</v>
      </c>
      <c r="D463" s="36">
        <v>8</v>
      </c>
      <c r="E463" s="21" t="str">
        <f>IF(D463&gt;1,(31)&amp;":"&amp;(31-D463+1),(31-D463+1)&amp;":"&amp;(31-D463+1))</f>
        <v>31:24</v>
      </c>
      <c r="F463" s="22" t="s">
        <v>43</v>
      </c>
      <c r="G463" s="27" t="s">
        <v>49</v>
      </c>
      <c r="H463" s="23" t="s">
        <v>36</v>
      </c>
      <c r="I463" s="24" t="s">
        <v>35</v>
      </c>
      <c r="J463" s="25" t="s">
        <v>6</v>
      </c>
      <c r="K463" s="26"/>
      <c r="L463" s="41"/>
      <c r="M463" s="41"/>
      <c r="N463" s="41"/>
      <c r="O463" s="37"/>
      <c r="P463" s="37"/>
      <c r="Q463" s="37"/>
      <c r="S463" s="32"/>
      <c r="T463" s="32"/>
      <c r="U463" s="32"/>
      <c r="V463" s="32"/>
      <c r="W463" s="32"/>
      <c r="X463" s="32"/>
      <c r="Y463" s="32"/>
      <c r="Z463" s="32"/>
      <c r="AA463" s="32"/>
    </row>
    <row r="464" spans="1:27" ht="30">
      <c r="A464" s="39"/>
      <c r="B464" s="40"/>
      <c r="C464" s="16" t="s">
        <v>50</v>
      </c>
      <c r="D464" s="36">
        <v>8</v>
      </c>
      <c r="E464" s="22" t="str">
        <f t="shared" ref="E464:E466" si="281">(MID(str_cnvt(E463),SEARCH(":",str_cnvt(E463))+1,2)-1) &amp; ":" &amp; (MID(str_cnvt(E463),SEARCH(":",str_cnvt(E463))+1,2)-D464)</f>
        <v>23:16</v>
      </c>
      <c r="F464" s="22" t="s">
        <v>43</v>
      </c>
      <c r="G464" s="27" t="s">
        <v>49</v>
      </c>
      <c r="H464" s="23" t="s">
        <v>36</v>
      </c>
      <c r="I464" s="24" t="s">
        <v>35</v>
      </c>
      <c r="J464" s="25" t="s">
        <v>6</v>
      </c>
      <c r="K464" s="26"/>
      <c r="L464" s="41"/>
      <c r="M464" s="41"/>
      <c r="N464" s="41"/>
      <c r="O464" s="37"/>
      <c r="P464" s="37"/>
      <c r="Q464" s="37"/>
      <c r="S464" s="32"/>
      <c r="T464" s="32"/>
      <c r="U464" s="32"/>
      <c r="V464" s="32"/>
      <c r="W464" s="32"/>
      <c r="X464" s="32"/>
      <c r="Y464" s="32"/>
      <c r="Z464" s="32"/>
      <c r="AA464" s="32"/>
    </row>
    <row r="465" spans="1:27" ht="30">
      <c r="A465" s="39"/>
      <c r="B465" s="40"/>
      <c r="C465" s="16" t="s">
        <v>51</v>
      </c>
      <c r="D465" s="36">
        <v>8</v>
      </c>
      <c r="E465" s="22" t="str">
        <f t="shared" si="281"/>
        <v>15:8</v>
      </c>
      <c r="F465" s="22" t="s">
        <v>43</v>
      </c>
      <c r="G465" s="27" t="s">
        <v>49</v>
      </c>
      <c r="H465" s="23" t="s">
        <v>36</v>
      </c>
      <c r="I465" s="24" t="s">
        <v>35</v>
      </c>
      <c r="J465" s="25" t="s">
        <v>6</v>
      </c>
      <c r="K465" s="26"/>
      <c r="L465" s="41"/>
      <c r="M465" s="41"/>
      <c r="N465" s="41"/>
      <c r="O465" s="37"/>
      <c r="P465" s="37"/>
      <c r="Q465" s="37"/>
      <c r="S465" s="32"/>
      <c r="T465" s="32"/>
      <c r="U465" s="32"/>
      <c r="V465" s="32"/>
      <c r="W465" s="32"/>
      <c r="X465" s="32"/>
      <c r="Y465" s="32"/>
      <c r="Z465" s="32"/>
      <c r="AA465" s="32"/>
    </row>
    <row r="466" spans="1:27" ht="30.75" thickBot="1">
      <c r="A466" s="39"/>
      <c r="B466" s="40"/>
      <c r="C466" s="16" t="s">
        <v>52</v>
      </c>
      <c r="D466" s="36">
        <v>8</v>
      </c>
      <c r="E466" s="22" t="str">
        <f t="shared" si="281"/>
        <v>7:0</v>
      </c>
      <c r="F466" s="22" t="s">
        <v>43</v>
      </c>
      <c r="G466" s="27" t="s">
        <v>49</v>
      </c>
      <c r="H466" s="23" t="s">
        <v>36</v>
      </c>
      <c r="I466" s="24" t="s">
        <v>35</v>
      </c>
      <c r="J466" s="25" t="s">
        <v>6</v>
      </c>
      <c r="K466" s="26"/>
      <c r="L466" s="41"/>
      <c r="M466" s="41"/>
      <c r="N466" s="41"/>
      <c r="O466" s="37"/>
      <c r="P466" s="37"/>
      <c r="Q466" s="37"/>
      <c r="S466" s="32"/>
      <c r="T466" s="32"/>
      <c r="U466" s="32"/>
      <c r="V466" s="32"/>
      <c r="W466" s="32"/>
      <c r="X466" s="32"/>
      <c r="Y466" s="32"/>
      <c r="Z466" s="32"/>
      <c r="AA466" s="32"/>
    </row>
    <row r="467" spans="1:27">
      <c r="A467" s="42" t="str">
        <f>AA467</f>
        <v>REFGEN_REG_QUAD1_SAR3_SLC5</v>
      </c>
      <c r="B467" s="43" t="str">
        <f>DEC2HEX(O467*4)</f>
        <v>0</v>
      </c>
      <c r="C467" s="44" t="str">
        <f>bitConcat(F468:F471)</f>
        <v>32'b00000000000000000000000000000000</v>
      </c>
      <c r="D467" s="44"/>
      <c r="E467" s="44"/>
      <c r="F467" s="44"/>
      <c r="G467" s="44"/>
      <c r="H467" s="44"/>
      <c r="I467" s="44"/>
      <c r="J467" s="44"/>
      <c r="K467" s="44"/>
      <c r="L467" s="45" t="str">
        <f t="shared" si="253"/>
        <v>1F4</v>
      </c>
      <c r="M467" s="45"/>
      <c r="N467" s="45">
        <f t="shared" ref="N467" si="282">S467</f>
        <v>1</v>
      </c>
      <c r="O467" s="38">
        <v>0</v>
      </c>
      <c r="P467" s="38" t="str">
        <f t="shared" si="264"/>
        <v>174</v>
      </c>
      <c r="Q467" s="38" t="str">
        <f>BIN2HEX(LEFT(RIGHT(C467,32),4))&amp;BIN2HEX(LEFT(RIGHT(C467,28),4))&amp;BIN2HEX(LEFT(RIGHT(C467,24),4))&amp;BIN2HEX(LEFT(RIGHT(C467,20),4))&amp;BIN2HEX(LEFT(RIGHT(C467,16),4))&amp;BIN2HEX(LEFT(RIGHT(C467,12),4))&amp;BIN2HEX(LEFT(RIGHT(C467,8),4))&amp;BIN2HEX(LEFT(RIGHT(C467,4),4))</f>
        <v>00000000</v>
      </c>
      <c r="S467" s="32">
        <v>1</v>
      </c>
      <c r="T467" s="32">
        <v>0</v>
      </c>
      <c r="U467" s="32">
        <v>1</v>
      </c>
      <c r="V467" s="32">
        <v>1</v>
      </c>
      <c r="W467" s="32">
        <v>1</v>
      </c>
      <c r="X467" s="32">
        <v>0</v>
      </c>
      <c r="Y467" s="32">
        <v>1</v>
      </c>
      <c r="Z467" s="32" t="str">
        <f t="shared" si="230"/>
        <v>5D</v>
      </c>
      <c r="AA467" s="32" t="str">
        <f>CONCATENATE("REFGEN_REG_QUAD",BIN2DEC(X467&amp;Y467),"_SAR",BIN2DEC(V467&amp;W467),"_SLC",BIN2DEC(S467&amp;T467&amp;U467),)</f>
        <v>REFGEN_REG_QUAD1_SAR3_SLC5</v>
      </c>
    </row>
    <row r="468" spans="1:27" ht="30">
      <c r="A468" s="39"/>
      <c r="B468" s="40"/>
      <c r="C468" s="16" t="s">
        <v>48</v>
      </c>
      <c r="D468" s="36">
        <v>8</v>
      </c>
      <c r="E468" s="21" t="str">
        <f>IF(D468&gt;1,(31)&amp;":"&amp;(31-D468+1),(31-D468+1)&amp;":"&amp;(31-D468+1))</f>
        <v>31:24</v>
      </c>
      <c r="F468" s="22" t="s">
        <v>43</v>
      </c>
      <c r="G468" s="27" t="s">
        <v>49</v>
      </c>
      <c r="H468" s="23" t="s">
        <v>36</v>
      </c>
      <c r="I468" s="24" t="s">
        <v>35</v>
      </c>
      <c r="J468" s="25" t="s">
        <v>6</v>
      </c>
      <c r="K468" s="26"/>
      <c r="L468" s="41"/>
      <c r="M468" s="41"/>
      <c r="N468" s="41"/>
      <c r="O468" s="37"/>
      <c r="P468" s="37"/>
      <c r="Q468" s="37"/>
      <c r="S468" s="32"/>
      <c r="T468" s="32"/>
      <c r="U468" s="32"/>
      <c r="V468" s="32"/>
      <c r="W468" s="32"/>
      <c r="X468" s="32"/>
      <c r="Y468" s="32"/>
      <c r="Z468" s="32"/>
      <c r="AA468" s="32"/>
    </row>
    <row r="469" spans="1:27" ht="30">
      <c r="A469" s="39"/>
      <c r="B469" s="40"/>
      <c r="C469" s="16" t="s">
        <v>50</v>
      </c>
      <c r="D469" s="36">
        <v>8</v>
      </c>
      <c r="E469" s="22" t="str">
        <f t="shared" ref="E469:E471" si="283">(MID(str_cnvt(E468),SEARCH(":",str_cnvt(E468))+1,2)-1) &amp; ":" &amp; (MID(str_cnvt(E468),SEARCH(":",str_cnvt(E468))+1,2)-D469)</f>
        <v>23:16</v>
      </c>
      <c r="F469" s="22" t="s">
        <v>43</v>
      </c>
      <c r="G469" s="27" t="s">
        <v>49</v>
      </c>
      <c r="H469" s="23" t="s">
        <v>36</v>
      </c>
      <c r="I469" s="24" t="s">
        <v>35</v>
      </c>
      <c r="J469" s="25" t="s">
        <v>6</v>
      </c>
      <c r="K469" s="26"/>
      <c r="L469" s="41"/>
      <c r="M469" s="41"/>
      <c r="N469" s="41"/>
      <c r="O469" s="37"/>
      <c r="P469" s="37"/>
      <c r="Q469" s="37"/>
      <c r="S469" s="32"/>
      <c r="T469" s="32"/>
      <c r="U469" s="32"/>
      <c r="V469" s="32"/>
      <c r="W469" s="32"/>
      <c r="X469" s="32"/>
      <c r="Y469" s="32"/>
      <c r="Z469" s="32"/>
      <c r="AA469" s="32"/>
    </row>
    <row r="470" spans="1:27" ht="30">
      <c r="A470" s="39"/>
      <c r="B470" s="40"/>
      <c r="C470" s="16" t="s">
        <v>51</v>
      </c>
      <c r="D470" s="36">
        <v>8</v>
      </c>
      <c r="E470" s="22" t="str">
        <f t="shared" si="283"/>
        <v>15:8</v>
      </c>
      <c r="F470" s="22" t="s">
        <v>43</v>
      </c>
      <c r="G470" s="27" t="s">
        <v>49</v>
      </c>
      <c r="H470" s="23" t="s">
        <v>36</v>
      </c>
      <c r="I470" s="24" t="s">
        <v>35</v>
      </c>
      <c r="J470" s="25" t="s">
        <v>6</v>
      </c>
      <c r="K470" s="26"/>
      <c r="L470" s="41"/>
      <c r="M470" s="41"/>
      <c r="N470" s="41"/>
      <c r="O470" s="37"/>
      <c r="P470" s="37"/>
      <c r="Q470" s="37"/>
      <c r="S470" s="32"/>
      <c r="T470" s="32"/>
      <c r="U470" s="32"/>
      <c r="V470" s="32"/>
      <c r="W470" s="32"/>
      <c r="X470" s="32"/>
      <c r="Y470" s="32"/>
      <c r="Z470" s="32"/>
      <c r="AA470" s="32"/>
    </row>
    <row r="471" spans="1:27" ht="30.75" thickBot="1">
      <c r="A471" s="39"/>
      <c r="B471" s="40"/>
      <c r="C471" s="16" t="s">
        <v>52</v>
      </c>
      <c r="D471" s="36">
        <v>8</v>
      </c>
      <c r="E471" s="22" t="str">
        <f t="shared" si="283"/>
        <v>7:0</v>
      </c>
      <c r="F471" s="22" t="s">
        <v>43</v>
      </c>
      <c r="G471" s="27" t="s">
        <v>49</v>
      </c>
      <c r="H471" s="23" t="s">
        <v>36</v>
      </c>
      <c r="I471" s="24" t="s">
        <v>35</v>
      </c>
      <c r="J471" s="25" t="s">
        <v>6</v>
      </c>
      <c r="K471" s="26"/>
      <c r="L471" s="41"/>
      <c r="M471" s="41"/>
      <c r="N471" s="41"/>
      <c r="O471" s="37"/>
      <c r="P471" s="37"/>
      <c r="Q471" s="37"/>
      <c r="S471" s="32"/>
      <c r="T471" s="32"/>
      <c r="U471" s="32"/>
      <c r="V471" s="32"/>
      <c r="W471" s="32"/>
      <c r="X471" s="32"/>
      <c r="Y471" s="32"/>
      <c r="Z471" s="32"/>
      <c r="AA471" s="32"/>
    </row>
    <row r="472" spans="1:27">
      <c r="A472" s="42" t="str">
        <f>AA472</f>
        <v>REFGEN_REG_QUAD2_SAR3_SLC5</v>
      </c>
      <c r="B472" s="43" t="str">
        <f>DEC2HEX(O472*4)</f>
        <v>0</v>
      </c>
      <c r="C472" s="44" t="str">
        <f>bitConcat(F473:F476)</f>
        <v>32'b00000000000000000000000000000000</v>
      </c>
      <c r="D472" s="44"/>
      <c r="E472" s="44"/>
      <c r="F472" s="44"/>
      <c r="G472" s="44"/>
      <c r="H472" s="44"/>
      <c r="I472" s="44"/>
      <c r="J472" s="44"/>
      <c r="K472" s="44"/>
      <c r="L472" s="45" t="str">
        <f t="shared" ref="L472" si="284">DEC2HEX(_xlfn.BITLSHIFT(N472,7)+HEX2DEC(P472))</f>
        <v>1F8</v>
      </c>
      <c r="M472" s="45"/>
      <c r="N472" s="45">
        <f t="shared" ref="N472" si="285">S472</f>
        <v>1</v>
      </c>
      <c r="O472" s="38">
        <v>0</v>
      </c>
      <c r="P472" s="38" t="str">
        <f t="shared" si="264"/>
        <v>178</v>
      </c>
      <c r="Q472" s="38" t="str">
        <f>BIN2HEX(LEFT(RIGHT(C472,32),4))&amp;BIN2HEX(LEFT(RIGHT(C472,28),4))&amp;BIN2HEX(LEFT(RIGHT(C472,24),4))&amp;BIN2HEX(LEFT(RIGHT(C472,20),4))&amp;BIN2HEX(LEFT(RIGHT(C472,16),4))&amp;BIN2HEX(LEFT(RIGHT(C472,12),4))&amp;BIN2HEX(LEFT(RIGHT(C472,8),4))&amp;BIN2HEX(LEFT(RIGHT(C472,4),4))</f>
        <v>00000000</v>
      </c>
      <c r="S472" s="32">
        <v>1</v>
      </c>
      <c r="T472" s="32">
        <v>0</v>
      </c>
      <c r="U472" s="32">
        <v>1</v>
      </c>
      <c r="V472" s="32">
        <v>1</v>
      </c>
      <c r="W472" s="32">
        <v>1</v>
      </c>
      <c r="X472" s="32">
        <v>1</v>
      </c>
      <c r="Y472" s="32">
        <v>0</v>
      </c>
      <c r="Z472" s="32" t="str">
        <f t="shared" si="230"/>
        <v>5E</v>
      </c>
      <c r="AA472" s="32" t="str">
        <f>CONCATENATE("REFGEN_REG_QUAD",BIN2DEC(X472&amp;Y472),"_SAR",BIN2DEC(V472&amp;W472),"_SLC",BIN2DEC(S472&amp;T472&amp;U472),)</f>
        <v>REFGEN_REG_QUAD2_SAR3_SLC5</v>
      </c>
    </row>
    <row r="473" spans="1:27" ht="30">
      <c r="A473" s="39"/>
      <c r="B473" s="40"/>
      <c r="C473" s="16" t="s">
        <v>48</v>
      </c>
      <c r="D473" s="36">
        <v>8</v>
      </c>
      <c r="E473" s="21" t="str">
        <f>IF(D473&gt;1,(31)&amp;":"&amp;(31-D473+1),(31-D473+1)&amp;":"&amp;(31-D473+1))</f>
        <v>31:24</v>
      </c>
      <c r="F473" s="22" t="s">
        <v>43</v>
      </c>
      <c r="G473" s="27" t="s">
        <v>49</v>
      </c>
      <c r="H473" s="23" t="s">
        <v>36</v>
      </c>
      <c r="I473" s="24" t="s">
        <v>35</v>
      </c>
      <c r="J473" s="25" t="s">
        <v>6</v>
      </c>
      <c r="K473" s="26"/>
      <c r="L473" s="41"/>
      <c r="M473" s="41"/>
      <c r="N473" s="41"/>
      <c r="O473" s="37"/>
      <c r="P473" s="37"/>
      <c r="Q473" s="37"/>
      <c r="S473" s="32"/>
      <c r="T473" s="32"/>
      <c r="U473" s="32"/>
      <c r="V473" s="32"/>
      <c r="W473" s="32"/>
      <c r="X473" s="32"/>
      <c r="Y473" s="32"/>
      <c r="Z473" s="32"/>
      <c r="AA473" s="32"/>
    </row>
    <row r="474" spans="1:27" ht="30">
      <c r="A474" s="39"/>
      <c r="B474" s="40"/>
      <c r="C474" s="16" t="s">
        <v>50</v>
      </c>
      <c r="D474" s="36">
        <v>8</v>
      </c>
      <c r="E474" s="22" t="str">
        <f t="shared" ref="E474:E476" si="286">(MID(str_cnvt(E473),SEARCH(":",str_cnvt(E473))+1,2)-1) &amp; ":" &amp; (MID(str_cnvt(E473),SEARCH(":",str_cnvt(E473))+1,2)-D474)</f>
        <v>23:16</v>
      </c>
      <c r="F474" s="22" t="s">
        <v>43</v>
      </c>
      <c r="G474" s="27" t="s">
        <v>49</v>
      </c>
      <c r="H474" s="23" t="s">
        <v>36</v>
      </c>
      <c r="I474" s="24" t="s">
        <v>35</v>
      </c>
      <c r="J474" s="25" t="s">
        <v>6</v>
      </c>
      <c r="K474" s="26"/>
      <c r="L474" s="41"/>
      <c r="M474" s="41"/>
      <c r="N474" s="41"/>
      <c r="O474" s="37"/>
      <c r="P474" s="37"/>
      <c r="Q474" s="37"/>
      <c r="S474" s="32"/>
      <c r="T474" s="32"/>
      <c r="U474" s="32"/>
      <c r="V474" s="32"/>
      <c r="W474" s="32"/>
      <c r="X474" s="32"/>
      <c r="Y474" s="32"/>
      <c r="Z474" s="32"/>
      <c r="AA474" s="32"/>
    </row>
    <row r="475" spans="1:27" ht="30">
      <c r="A475" s="39"/>
      <c r="B475" s="40"/>
      <c r="C475" s="16" t="s">
        <v>51</v>
      </c>
      <c r="D475" s="36">
        <v>8</v>
      </c>
      <c r="E475" s="22" t="str">
        <f t="shared" si="286"/>
        <v>15:8</v>
      </c>
      <c r="F475" s="22" t="s">
        <v>43</v>
      </c>
      <c r="G475" s="27" t="s">
        <v>49</v>
      </c>
      <c r="H475" s="23" t="s">
        <v>36</v>
      </c>
      <c r="I475" s="24" t="s">
        <v>35</v>
      </c>
      <c r="J475" s="25" t="s">
        <v>6</v>
      </c>
      <c r="K475" s="26"/>
      <c r="L475" s="41"/>
      <c r="M475" s="41"/>
      <c r="N475" s="41"/>
      <c r="O475" s="37"/>
      <c r="P475" s="37"/>
      <c r="Q475" s="37"/>
      <c r="S475" s="32"/>
      <c r="T475" s="32"/>
      <c r="U475" s="32"/>
      <c r="V475" s="32"/>
      <c r="W475" s="32"/>
      <c r="X475" s="32"/>
      <c r="Y475" s="32"/>
      <c r="Z475" s="32"/>
      <c r="AA475" s="32"/>
    </row>
    <row r="476" spans="1:27" ht="30">
      <c r="A476" s="39"/>
      <c r="B476" s="40"/>
      <c r="C476" s="16" t="s">
        <v>52</v>
      </c>
      <c r="D476" s="36">
        <v>8</v>
      </c>
      <c r="E476" s="22" t="str">
        <f t="shared" si="286"/>
        <v>7:0</v>
      </c>
      <c r="F476" s="22" t="s">
        <v>43</v>
      </c>
      <c r="G476" s="27" t="s">
        <v>49</v>
      </c>
      <c r="H476" s="23" t="s">
        <v>36</v>
      </c>
      <c r="I476" s="24" t="s">
        <v>35</v>
      </c>
      <c r="J476" s="25" t="s">
        <v>6</v>
      </c>
      <c r="K476" s="26"/>
      <c r="L476" s="41"/>
      <c r="M476" s="41"/>
      <c r="N476" s="41"/>
      <c r="O476" s="37"/>
      <c r="P476" s="37"/>
      <c r="Q476" s="37"/>
      <c r="S476" s="32"/>
      <c r="T476" s="32"/>
      <c r="U476" s="32"/>
      <c r="V476" s="32"/>
      <c r="W476" s="32"/>
      <c r="X476" s="32"/>
      <c r="Y476" s="32"/>
      <c r="Z476" s="32"/>
      <c r="AA476" s="32"/>
    </row>
  </sheetData>
  <mergeCells count="858">
    <mergeCell ref="S1:U1"/>
    <mergeCell ref="V1:W1"/>
    <mergeCell ref="X1:Y1"/>
    <mergeCell ref="A2:A6"/>
    <mergeCell ref="B2:B6"/>
    <mergeCell ref="C2:K2"/>
    <mergeCell ref="L2:L6"/>
    <mergeCell ref="M2:M6"/>
    <mergeCell ref="N2:N6"/>
    <mergeCell ref="O2:O6"/>
    <mergeCell ref="P2:P6"/>
    <mergeCell ref="Q2:Q6"/>
    <mergeCell ref="A7:A11"/>
    <mergeCell ref="B7:B11"/>
    <mergeCell ref="C7:K7"/>
    <mergeCell ref="L7:L11"/>
    <mergeCell ref="M7:M11"/>
    <mergeCell ref="N7:N11"/>
    <mergeCell ref="O7:O11"/>
    <mergeCell ref="P7:P11"/>
    <mergeCell ref="Q7:Q11"/>
    <mergeCell ref="A12:A16"/>
    <mergeCell ref="B12:B16"/>
    <mergeCell ref="C12:K12"/>
    <mergeCell ref="L12:L16"/>
    <mergeCell ref="M12:M16"/>
    <mergeCell ref="N12:N16"/>
    <mergeCell ref="O12:O16"/>
    <mergeCell ref="P12:P16"/>
    <mergeCell ref="Q12:Q16"/>
    <mergeCell ref="O17:O21"/>
    <mergeCell ref="P17:P21"/>
    <mergeCell ref="Q17:Q21"/>
    <mergeCell ref="A22:A26"/>
    <mergeCell ref="B22:B26"/>
    <mergeCell ref="C22:K22"/>
    <mergeCell ref="L22:L26"/>
    <mergeCell ref="M22:M26"/>
    <mergeCell ref="N22:N26"/>
    <mergeCell ref="O22:O26"/>
    <mergeCell ref="A17:A21"/>
    <mergeCell ref="B17:B21"/>
    <mergeCell ref="C17:K17"/>
    <mergeCell ref="L17:L21"/>
    <mergeCell ref="M17:M21"/>
    <mergeCell ref="N17:N21"/>
    <mergeCell ref="P22:P26"/>
    <mergeCell ref="Q22:Q26"/>
    <mergeCell ref="A27:A31"/>
    <mergeCell ref="B27:B31"/>
    <mergeCell ref="C27:K27"/>
    <mergeCell ref="L27:L31"/>
    <mergeCell ref="M27:M31"/>
    <mergeCell ref="N27:N31"/>
    <mergeCell ref="O27:O31"/>
    <mergeCell ref="P27:P31"/>
    <mergeCell ref="Q27:Q31"/>
    <mergeCell ref="A32:A36"/>
    <mergeCell ref="B32:B36"/>
    <mergeCell ref="C32:K32"/>
    <mergeCell ref="L32:L36"/>
    <mergeCell ref="M32:M36"/>
    <mergeCell ref="N32:N36"/>
    <mergeCell ref="O32:O36"/>
    <mergeCell ref="P32:P36"/>
    <mergeCell ref="Q32:Q36"/>
    <mergeCell ref="O37:O41"/>
    <mergeCell ref="P37:P41"/>
    <mergeCell ref="Q37:Q41"/>
    <mergeCell ref="A42:A46"/>
    <mergeCell ref="B42:B46"/>
    <mergeCell ref="C42:K42"/>
    <mergeCell ref="L42:L46"/>
    <mergeCell ref="M42:M46"/>
    <mergeCell ref="N42:N46"/>
    <mergeCell ref="O42:O46"/>
    <mergeCell ref="A37:A41"/>
    <mergeCell ref="B37:B41"/>
    <mergeCell ref="C37:K37"/>
    <mergeCell ref="L37:L41"/>
    <mergeCell ref="M37:M41"/>
    <mergeCell ref="N37:N41"/>
    <mergeCell ref="P42:P46"/>
    <mergeCell ref="Q42:Q46"/>
    <mergeCell ref="A47:A51"/>
    <mergeCell ref="B47:B51"/>
    <mergeCell ref="C47:K47"/>
    <mergeCell ref="L47:L51"/>
    <mergeCell ref="M47:M51"/>
    <mergeCell ref="N47:N51"/>
    <mergeCell ref="O47:O51"/>
    <mergeCell ref="P47:P51"/>
    <mergeCell ref="Q47:Q51"/>
    <mergeCell ref="A52:A56"/>
    <mergeCell ref="B52:B56"/>
    <mergeCell ref="C52:K52"/>
    <mergeCell ref="L52:L56"/>
    <mergeCell ref="M52:M56"/>
    <mergeCell ref="N52:N56"/>
    <mergeCell ref="O52:O56"/>
    <mergeCell ref="P52:P56"/>
    <mergeCell ref="Q52:Q56"/>
    <mergeCell ref="O57:O61"/>
    <mergeCell ref="P57:P61"/>
    <mergeCell ref="Q57:Q61"/>
    <mergeCell ref="A62:A66"/>
    <mergeCell ref="B62:B66"/>
    <mergeCell ref="C62:K62"/>
    <mergeCell ref="L62:L66"/>
    <mergeCell ref="M62:M66"/>
    <mergeCell ref="N62:N66"/>
    <mergeCell ref="O62:O66"/>
    <mergeCell ref="A57:A61"/>
    <mergeCell ref="B57:B61"/>
    <mergeCell ref="C57:K57"/>
    <mergeCell ref="L57:L61"/>
    <mergeCell ref="M57:M61"/>
    <mergeCell ref="N57:N61"/>
    <mergeCell ref="P62:P66"/>
    <mergeCell ref="Q62:Q66"/>
    <mergeCell ref="A67:A71"/>
    <mergeCell ref="B67:B71"/>
    <mergeCell ref="C67:K67"/>
    <mergeCell ref="L67:L71"/>
    <mergeCell ref="M67:M71"/>
    <mergeCell ref="N67:N71"/>
    <mergeCell ref="O67:O71"/>
    <mergeCell ref="P67:P71"/>
    <mergeCell ref="Q67:Q71"/>
    <mergeCell ref="A72:A76"/>
    <mergeCell ref="B72:B76"/>
    <mergeCell ref="C72:K72"/>
    <mergeCell ref="L72:L76"/>
    <mergeCell ref="M72:M76"/>
    <mergeCell ref="N72:N76"/>
    <mergeCell ref="O72:O76"/>
    <mergeCell ref="P72:P76"/>
    <mergeCell ref="Q72:Q76"/>
    <mergeCell ref="O77:O81"/>
    <mergeCell ref="P77:P81"/>
    <mergeCell ref="Q77:Q81"/>
    <mergeCell ref="A82:A86"/>
    <mergeCell ref="B82:B86"/>
    <mergeCell ref="C82:K82"/>
    <mergeCell ref="L82:L86"/>
    <mergeCell ref="M82:M86"/>
    <mergeCell ref="N82:N86"/>
    <mergeCell ref="O82:O86"/>
    <mergeCell ref="A77:A81"/>
    <mergeCell ref="B77:B81"/>
    <mergeCell ref="C77:K77"/>
    <mergeCell ref="L77:L81"/>
    <mergeCell ref="M77:M81"/>
    <mergeCell ref="N77:N81"/>
    <mergeCell ref="P82:P86"/>
    <mergeCell ref="Q82:Q86"/>
    <mergeCell ref="A87:A91"/>
    <mergeCell ref="B87:B91"/>
    <mergeCell ref="C87:K87"/>
    <mergeCell ref="L87:L91"/>
    <mergeCell ref="M87:M91"/>
    <mergeCell ref="N87:N91"/>
    <mergeCell ref="O87:O91"/>
    <mergeCell ref="P87:P91"/>
    <mergeCell ref="Q87:Q91"/>
    <mergeCell ref="A92:A96"/>
    <mergeCell ref="B92:B96"/>
    <mergeCell ref="C92:K92"/>
    <mergeCell ref="L92:L96"/>
    <mergeCell ref="M92:M96"/>
    <mergeCell ref="N92:N96"/>
    <mergeCell ref="O92:O96"/>
    <mergeCell ref="P92:P96"/>
    <mergeCell ref="Q92:Q96"/>
    <mergeCell ref="O97:O101"/>
    <mergeCell ref="P97:P101"/>
    <mergeCell ref="Q97:Q101"/>
    <mergeCell ref="A102:A106"/>
    <mergeCell ref="B102:B106"/>
    <mergeCell ref="C102:K102"/>
    <mergeCell ref="L102:L106"/>
    <mergeCell ref="M102:M106"/>
    <mergeCell ref="N102:N106"/>
    <mergeCell ref="O102:O106"/>
    <mergeCell ref="A97:A101"/>
    <mergeCell ref="B97:B101"/>
    <mergeCell ref="C97:K97"/>
    <mergeCell ref="L97:L101"/>
    <mergeCell ref="M97:M101"/>
    <mergeCell ref="N97:N101"/>
    <mergeCell ref="P102:P106"/>
    <mergeCell ref="Q102:Q106"/>
    <mergeCell ref="A107:A111"/>
    <mergeCell ref="B107:B111"/>
    <mergeCell ref="C107:K107"/>
    <mergeCell ref="L107:L111"/>
    <mergeCell ref="M107:M111"/>
    <mergeCell ref="N107:N111"/>
    <mergeCell ref="O107:O111"/>
    <mergeCell ref="P107:P111"/>
    <mergeCell ref="Q107:Q111"/>
    <mergeCell ref="A112:A116"/>
    <mergeCell ref="B112:B116"/>
    <mergeCell ref="C112:K112"/>
    <mergeCell ref="L112:L116"/>
    <mergeCell ref="M112:M116"/>
    <mergeCell ref="N112:N116"/>
    <mergeCell ref="O112:O116"/>
    <mergeCell ref="P112:P116"/>
    <mergeCell ref="Q112:Q116"/>
    <mergeCell ref="O117:O121"/>
    <mergeCell ref="P117:P121"/>
    <mergeCell ref="Q117:Q121"/>
    <mergeCell ref="A122:A126"/>
    <mergeCell ref="B122:B126"/>
    <mergeCell ref="C122:K122"/>
    <mergeCell ref="L122:L126"/>
    <mergeCell ref="M122:M126"/>
    <mergeCell ref="N122:N126"/>
    <mergeCell ref="O122:O126"/>
    <mergeCell ref="A117:A121"/>
    <mergeCell ref="B117:B121"/>
    <mergeCell ref="C117:K117"/>
    <mergeCell ref="L117:L121"/>
    <mergeCell ref="M117:M121"/>
    <mergeCell ref="N117:N121"/>
    <mergeCell ref="P122:P126"/>
    <mergeCell ref="Q122:Q126"/>
    <mergeCell ref="A127:A131"/>
    <mergeCell ref="B127:B131"/>
    <mergeCell ref="C127:K127"/>
    <mergeCell ref="L127:L131"/>
    <mergeCell ref="M127:M131"/>
    <mergeCell ref="N127:N131"/>
    <mergeCell ref="O127:O131"/>
    <mergeCell ref="P127:P131"/>
    <mergeCell ref="Q127:Q131"/>
    <mergeCell ref="A132:A136"/>
    <mergeCell ref="B132:B136"/>
    <mergeCell ref="C132:K132"/>
    <mergeCell ref="L132:L136"/>
    <mergeCell ref="M132:M136"/>
    <mergeCell ref="N132:N136"/>
    <mergeCell ref="O132:O136"/>
    <mergeCell ref="P132:P136"/>
    <mergeCell ref="Q132:Q136"/>
    <mergeCell ref="O137:O141"/>
    <mergeCell ref="P137:P141"/>
    <mergeCell ref="Q137:Q141"/>
    <mergeCell ref="A142:A146"/>
    <mergeCell ref="B142:B146"/>
    <mergeCell ref="C142:K142"/>
    <mergeCell ref="L142:L146"/>
    <mergeCell ref="M142:M146"/>
    <mergeCell ref="N142:N146"/>
    <mergeCell ref="O142:O146"/>
    <mergeCell ref="A137:A141"/>
    <mergeCell ref="B137:B141"/>
    <mergeCell ref="C137:K137"/>
    <mergeCell ref="L137:L141"/>
    <mergeCell ref="M137:M141"/>
    <mergeCell ref="N137:N141"/>
    <mergeCell ref="P142:P146"/>
    <mergeCell ref="Q142:Q146"/>
    <mergeCell ref="A147:A151"/>
    <mergeCell ref="B147:B151"/>
    <mergeCell ref="C147:K147"/>
    <mergeCell ref="L147:L151"/>
    <mergeCell ref="M147:M151"/>
    <mergeCell ref="N147:N151"/>
    <mergeCell ref="O147:O151"/>
    <mergeCell ref="P147:P151"/>
    <mergeCell ref="Q147:Q151"/>
    <mergeCell ref="A152:A156"/>
    <mergeCell ref="B152:B156"/>
    <mergeCell ref="C152:K152"/>
    <mergeCell ref="L152:L156"/>
    <mergeCell ref="M152:M156"/>
    <mergeCell ref="N152:N156"/>
    <mergeCell ref="O152:O156"/>
    <mergeCell ref="P152:P156"/>
    <mergeCell ref="Q152:Q156"/>
    <mergeCell ref="O157:O161"/>
    <mergeCell ref="P157:P161"/>
    <mergeCell ref="Q157:Q161"/>
    <mergeCell ref="A162:A166"/>
    <mergeCell ref="B162:B166"/>
    <mergeCell ref="C162:K162"/>
    <mergeCell ref="L162:L166"/>
    <mergeCell ref="M162:M166"/>
    <mergeCell ref="N162:N166"/>
    <mergeCell ref="O162:O166"/>
    <mergeCell ref="A157:A161"/>
    <mergeCell ref="B157:B161"/>
    <mergeCell ref="C157:K157"/>
    <mergeCell ref="L157:L161"/>
    <mergeCell ref="M157:M161"/>
    <mergeCell ref="N157:N161"/>
    <mergeCell ref="P162:P166"/>
    <mergeCell ref="Q162:Q166"/>
    <mergeCell ref="A167:A171"/>
    <mergeCell ref="B167:B171"/>
    <mergeCell ref="C167:K167"/>
    <mergeCell ref="L167:L171"/>
    <mergeCell ref="M167:M171"/>
    <mergeCell ref="N167:N171"/>
    <mergeCell ref="O167:O171"/>
    <mergeCell ref="P167:P171"/>
    <mergeCell ref="Q167:Q171"/>
    <mergeCell ref="A172:A176"/>
    <mergeCell ref="B172:B176"/>
    <mergeCell ref="C172:K172"/>
    <mergeCell ref="L172:L176"/>
    <mergeCell ref="M172:M176"/>
    <mergeCell ref="N172:N176"/>
    <mergeCell ref="O172:O176"/>
    <mergeCell ref="P172:P176"/>
    <mergeCell ref="Q172:Q176"/>
    <mergeCell ref="O177:O181"/>
    <mergeCell ref="P177:P181"/>
    <mergeCell ref="Q177:Q181"/>
    <mergeCell ref="A182:A186"/>
    <mergeCell ref="B182:B186"/>
    <mergeCell ref="C182:K182"/>
    <mergeCell ref="L182:L186"/>
    <mergeCell ref="M182:M186"/>
    <mergeCell ref="N182:N186"/>
    <mergeCell ref="O182:O186"/>
    <mergeCell ref="A177:A181"/>
    <mergeCell ref="B177:B181"/>
    <mergeCell ref="C177:K177"/>
    <mergeCell ref="L177:L181"/>
    <mergeCell ref="M177:M181"/>
    <mergeCell ref="N177:N181"/>
    <mergeCell ref="P182:P186"/>
    <mergeCell ref="Q182:Q186"/>
    <mergeCell ref="A187:A191"/>
    <mergeCell ref="B187:B191"/>
    <mergeCell ref="C187:K187"/>
    <mergeCell ref="L187:L191"/>
    <mergeCell ref="M187:M191"/>
    <mergeCell ref="N187:N191"/>
    <mergeCell ref="O187:O191"/>
    <mergeCell ref="P187:P191"/>
    <mergeCell ref="Q187:Q191"/>
    <mergeCell ref="A192:A196"/>
    <mergeCell ref="B192:B196"/>
    <mergeCell ref="C192:K192"/>
    <mergeCell ref="L192:L196"/>
    <mergeCell ref="M192:M196"/>
    <mergeCell ref="N192:N196"/>
    <mergeCell ref="O192:O196"/>
    <mergeCell ref="P192:P196"/>
    <mergeCell ref="Q192:Q196"/>
    <mergeCell ref="O197:O201"/>
    <mergeCell ref="P197:P201"/>
    <mergeCell ref="Q197:Q201"/>
    <mergeCell ref="A202:A206"/>
    <mergeCell ref="B202:B206"/>
    <mergeCell ref="C202:K202"/>
    <mergeCell ref="L202:L206"/>
    <mergeCell ref="M202:M206"/>
    <mergeCell ref="N202:N206"/>
    <mergeCell ref="O202:O206"/>
    <mergeCell ref="A197:A201"/>
    <mergeCell ref="B197:B201"/>
    <mergeCell ref="C197:K197"/>
    <mergeCell ref="L197:L201"/>
    <mergeCell ref="M197:M201"/>
    <mergeCell ref="N197:N201"/>
    <mergeCell ref="P202:P206"/>
    <mergeCell ref="Q202:Q206"/>
    <mergeCell ref="A207:A211"/>
    <mergeCell ref="B207:B211"/>
    <mergeCell ref="C207:K207"/>
    <mergeCell ref="L207:L211"/>
    <mergeCell ref="M207:M211"/>
    <mergeCell ref="N207:N211"/>
    <mergeCell ref="O207:O211"/>
    <mergeCell ref="P207:P211"/>
    <mergeCell ref="Q207:Q211"/>
    <mergeCell ref="A212:A216"/>
    <mergeCell ref="B212:B216"/>
    <mergeCell ref="C212:K212"/>
    <mergeCell ref="L212:L216"/>
    <mergeCell ref="M212:M216"/>
    <mergeCell ref="N212:N216"/>
    <mergeCell ref="O212:O216"/>
    <mergeCell ref="P212:P216"/>
    <mergeCell ref="Q212:Q216"/>
    <mergeCell ref="O217:O221"/>
    <mergeCell ref="P217:P221"/>
    <mergeCell ref="Q217:Q221"/>
    <mergeCell ref="A222:A226"/>
    <mergeCell ref="B222:B226"/>
    <mergeCell ref="C222:K222"/>
    <mergeCell ref="L222:L226"/>
    <mergeCell ref="M222:M226"/>
    <mergeCell ref="N222:N226"/>
    <mergeCell ref="O222:O226"/>
    <mergeCell ref="A217:A221"/>
    <mergeCell ref="B217:B221"/>
    <mergeCell ref="C217:K217"/>
    <mergeCell ref="L217:L221"/>
    <mergeCell ref="M217:M221"/>
    <mergeCell ref="N217:N221"/>
    <mergeCell ref="P222:P226"/>
    <mergeCell ref="Q222:Q226"/>
    <mergeCell ref="A227:A231"/>
    <mergeCell ref="B227:B231"/>
    <mergeCell ref="C227:K227"/>
    <mergeCell ref="L227:L231"/>
    <mergeCell ref="M227:M231"/>
    <mergeCell ref="N227:N231"/>
    <mergeCell ref="O227:O231"/>
    <mergeCell ref="P227:P231"/>
    <mergeCell ref="Q227:Q231"/>
    <mergeCell ref="A232:A236"/>
    <mergeCell ref="B232:B236"/>
    <mergeCell ref="C232:K232"/>
    <mergeCell ref="L232:L236"/>
    <mergeCell ref="M232:M236"/>
    <mergeCell ref="N232:N236"/>
    <mergeCell ref="O232:O236"/>
    <mergeCell ref="P232:P236"/>
    <mergeCell ref="Q232:Q236"/>
    <mergeCell ref="O237:O241"/>
    <mergeCell ref="P237:P241"/>
    <mergeCell ref="Q237:Q241"/>
    <mergeCell ref="A242:A246"/>
    <mergeCell ref="B242:B246"/>
    <mergeCell ref="C242:K242"/>
    <mergeCell ref="L242:L246"/>
    <mergeCell ref="M242:M246"/>
    <mergeCell ref="N242:N246"/>
    <mergeCell ref="O242:O246"/>
    <mergeCell ref="A237:A241"/>
    <mergeCell ref="B237:B241"/>
    <mergeCell ref="C237:K237"/>
    <mergeCell ref="L237:L241"/>
    <mergeCell ref="M237:M241"/>
    <mergeCell ref="N237:N241"/>
    <mergeCell ref="P242:P246"/>
    <mergeCell ref="Q242:Q246"/>
    <mergeCell ref="A247:A251"/>
    <mergeCell ref="B247:B251"/>
    <mergeCell ref="C247:K247"/>
    <mergeCell ref="L247:L251"/>
    <mergeCell ref="M247:M251"/>
    <mergeCell ref="N247:N251"/>
    <mergeCell ref="O247:O251"/>
    <mergeCell ref="P247:P251"/>
    <mergeCell ref="Q247:Q251"/>
    <mergeCell ref="A252:A256"/>
    <mergeCell ref="B252:B256"/>
    <mergeCell ref="C252:K252"/>
    <mergeCell ref="L252:L256"/>
    <mergeCell ref="M252:M256"/>
    <mergeCell ref="N252:N256"/>
    <mergeCell ref="O252:O256"/>
    <mergeCell ref="P252:P256"/>
    <mergeCell ref="Q252:Q256"/>
    <mergeCell ref="O257:O261"/>
    <mergeCell ref="P257:P261"/>
    <mergeCell ref="Q257:Q261"/>
    <mergeCell ref="A262:A266"/>
    <mergeCell ref="B262:B266"/>
    <mergeCell ref="C262:K262"/>
    <mergeCell ref="L262:L266"/>
    <mergeCell ref="M262:M266"/>
    <mergeCell ref="N262:N266"/>
    <mergeCell ref="O262:O266"/>
    <mergeCell ref="A257:A261"/>
    <mergeCell ref="B257:B261"/>
    <mergeCell ref="C257:K257"/>
    <mergeCell ref="L257:L261"/>
    <mergeCell ref="M257:M261"/>
    <mergeCell ref="N257:N261"/>
    <mergeCell ref="P262:P266"/>
    <mergeCell ref="Q262:Q266"/>
    <mergeCell ref="A267:A271"/>
    <mergeCell ref="B267:B271"/>
    <mergeCell ref="C267:K267"/>
    <mergeCell ref="L267:L271"/>
    <mergeCell ref="M267:M271"/>
    <mergeCell ref="N267:N271"/>
    <mergeCell ref="O267:O271"/>
    <mergeCell ref="P267:P271"/>
    <mergeCell ref="Q267:Q271"/>
    <mergeCell ref="A272:A276"/>
    <mergeCell ref="B272:B276"/>
    <mergeCell ref="C272:K272"/>
    <mergeCell ref="L272:L276"/>
    <mergeCell ref="M272:M276"/>
    <mergeCell ref="N272:N276"/>
    <mergeCell ref="O272:O276"/>
    <mergeCell ref="P272:P276"/>
    <mergeCell ref="Q272:Q276"/>
    <mergeCell ref="O277:O281"/>
    <mergeCell ref="P277:P281"/>
    <mergeCell ref="Q277:Q281"/>
    <mergeCell ref="A282:A286"/>
    <mergeCell ref="B282:B286"/>
    <mergeCell ref="C282:K282"/>
    <mergeCell ref="L282:L286"/>
    <mergeCell ref="M282:M286"/>
    <mergeCell ref="N282:N286"/>
    <mergeCell ref="O282:O286"/>
    <mergeCell ref="A277:A281"/>
    <mergeCell ref="B277:B281"/>
    <mergeCell ref="C277:K277"/>
    <mergeCell ref="L277:L281"/>
    <mergeCell ref="M277:M281"/>
    <mergeCell ref="N277:N281"/>
    <mergeCell ref="P282:P286"/>
    <mergeCell ref="Q282:Q286"/>
    <mergeCell ref="A287:A291"/>
    <mergeCell ref="B287:B291"/>
    <mergeCell ref="C287:K287"/>
    <mergeCell ref="L287:L291"/>
    <mergeCell ref="M287:M291"/>
    <mergeCell ref="N287:N291"/>
    <mergeCell ref="O287:O291"/>
    <mergeCell ref="P287:P291"/>
    <mergeCell ref="Q287:Q291"/>
    <mergeCell ref="A292:A296"/>
    <mergeCell ref="B292:B296"/>
    <mergeCell ref="C292:K292"/>
    <mergeCell ref="L292:L296"/>
    <mergeCell ref="M292:M296"/>
    <mergeCell ref="N292:N296"/>
    <mergeCell ref="O292:O296"/>
    <mergeCell ref="P292:P296"/>
    <mergeCell ref="Q292:Q296"/>
    <mergeCell ref="O297:O301"/>
    <mergeCell ref="P297:P301"/>
    <mergeCell ref="Q297:Q301"/>
    <mergeCell ref="A302:A306"/>
    <mergeCell ref="B302:B306"/>
    <mergeCell ref="C302:K302"/>
    <mergeCell ref="L302:L306"/>
    <mergeCell ref="M302:M306"/>
    <mergeCell ref="N302:N306"/>
    <mergeCell ref="O302:O306"/>
    <mergeCell ref="A297:A301"/>
    <mergeCell ref="B297:B301"/>
    <mergeCell ref="C297:K297"/>
    <mergeCell ref="L297:L301"/>
    <mergeCell ref="M297:M301"/>
    <mergeCell ref="N297:N301"/>
    <mergeCell ref="P302:P306"/>
    <mergeCell ref="Q302:Q306"/>
    <mergeCell ref="A307:A311"/>
    <mergeCell ref="B307:B311"/>
    <mergeCell ref="C307:K307"/>
    <mergeCell ref="L307:L311"/>
    <mergeCell ref="M307:M311"/>
    <mergeCell ref="N307:N311"/>
    <mergeCell ref="O307:O311"/>
    <mergeCell ref="P307:P311"/>
    <mergeCell ref="Q307:Q311"/>
    <mergeCell ref="A312:A316"/>
    <mergeCell ref="B312:B316"/>
    <mergeCell ref="C312:K312"/>
    <mergeCell ref="L312:L316"/>
    <mergeCell ref="M312:M316"/>
    <mergeCell ref="N312:N316"/>
    <mergeCell ref="O312:O316"/>
    <mergeCell ref="P312:P316"/>
    <mergeCell ref="Q312:Q316"/>
    <mergeCell ref="O317:O321"/>
    <mergeCell ref="P317:P321"/>
    <mergeCell ref="Q317:Q321"/>
    <mergeCell ref="A322:A326"/>
    <mergeCell ref="B322:B326"/>
    <mergeCell ref="C322:K322"/>
    <mergeCell ref="L322:L326"/>
    <mergeCell ref="M322:M326"/>
    <mergeCell ref="N322:N326"/>
    <mergeCell ref="O322:O326"/>
    <mergeCell ref="A317:A321"/>
    <mergeCell ref="B317:B321"/>
    <mergeCell ref="C317:K317"/>
    <mergeCell ref="L317:L321"/>
    <mergeCell ref="M317:M321"/>
    <mergeCell ref="N317:N321"/>
    <mergeCell ref="P322:P326"/>
    <mergeCell ref="Q322:Q326"/>
    <mergeCell ref="A327:A331"/>
    <mergeCell ref="B327:B331"/>
    <mergeCell ref="C327:K327"/>
    <mergeCell ref="L327:L331"/>
    <mergeCell ref="M327:M331"/>
    <mergeCell ref="N327:N331"/>
    <mergeCell ref="O327:O331"/>
    <mergeCell ref="P327:P331"/>
    <mergeCell ref="Q327:Q331"/>
    <mergeCell ref="A332:A336"/>
    <mergeCell ref="B332:B336"/>
    <mergeCell ref="C332:K332"/>
    <mergeCell ref="L332:L336"/>
    <mergeCell ref="M332:M336"/>
    <mergeCell ref="N332:N336"/>
    <mergeCell ref="O332:O336"/>
    <mergeCell ref="P332:P336"/>
    <mergeCell ref="Q332:Q336"/>
    <mergeCell ref="O337:O341"/>
    <mergeCell ref="P337:P341"/>
    <mergeCell ref="Q337:Q341"/>
    <mergeCell ref="A342:A346"/>
    <mergeCell ref="B342:B346"/>
    <mergeCell ref="C342:K342"/>
    <mergeCell ref="L342:L346"/>
    <mergeCell ref="M342:M346"/>
    <mergeCell ref="N342:N346"/>
    <mergeCell ref="O342:O346"/>
    <mergeCell ref="A337:A341"/>
    <mergeCell ref="B337:B341"/>
    <mergeCell ref="C337:K337"/>
    <mergeCell ref="L337:L341"/>
    <mergeCell ref="M337:M341"/>
    <mergeCell ref="N337:N341"/>
    <mergeCell ref="P342:P346"/>
    <mergeCell ref="Q342:Q346"/>
    <mergeCell ref="A347:A351"/>
    <mergeCell ref="B347:B351"/>
    <mergeCell ref="C347:K347"/>
    <mergeCell ref="L347:L351"/>
    <mergeCell ref="M347:M351"/>
    <mergeCell ref="N347:N351"/>
    <mergeCell ref="O347:O351"/>
    <mergeCell ref="P347:P351"/>
    <mergeCell ref="Q347:Q351"/>
    <mergeCell ref="A352:A356"/>
    <mergeCell ref="B352:B356"/>
    <mergeCell ref="C352:K352"/>
    <mergeCell ref="L352:L356"/>
    <mergeCell ref="M352:M356"/>
    <mergeCell ref="N352:N356"/>
    <mergeCell ref="O352:O356"/>
    <mergeCell ref="P352:P356"/>
    <mergeCell ref="Q352:Q356"/>
    <mergeCell ref="O357:O361"/>
    <mergeCell ref="P357:P361"/>
    <mergeCell ref="Q357:Q361"/>
    <mergeCell ref="A362:A366"/>
    <mergeCell ref="B362:B366"/>
    <mergeCell ref="C362:K362"/>
    <mergeCell ref="L362:L366"/>
    <mergeCell ref="M362:M366"/>
    <mergeCell ref="N362:N366"/>
    <mergeCell ref="O362:O366"/>
    <mergeCell ref="A357:A361"/>
    <mergeCell ref="B357:B361"/>
    <mergeCell ref="C357:K357"/>
    <mergeCell ref="L357:L361"/>
    <mergeCell ref="M357:M361"/>
    <mergeCell ref="N357:N361"/>
    <mergeCell ref="P362:P366"/>
    <mergeCell ref="Q362:Q366"/>
    <mergeCell ref="A367:A371"/>
    <mergeCell ref="B367:B371"/>
    <mergeCell ref="C367:K367"/>
    <mergeCell ref="L367:L371"/>
    <mergeCell ref="M367:M371"/>
    <mergeCell ref="N367:N371"/>
    <mergeCell ref="O367:O371"/>
    <mergeCell ref="P367:P371"/>
    <mergeCell ref="Q367:Q371"/>
    <mergeCell ref="A372:A376"/>
    <mergeCell ref="B372:B376"/>
    <mergeCell ref="C372:K372"/>
    <mergeCell ref="L372:L376"/>
    <mergeCell ref="M372:M376"/>
    <mergeCell ref="N372:N376"/>
    <mergeCell ref="O372:O376"/>
    <mergeCell ref="P372:P376"/>
    <mergeCell ref="Q372:Q376"/>
    <mergeCell ref="O377:O381"/>
    <mergeCell ref="P377:P381"/>
    <mergeCell ref="Q377:Q381"/>
    <mergeCell ref="A382:A386"/>
    <mergeCell ref="B382:B386"/>
    <mergeCell ref="C382:K382"/>
    <mergeCell ref="L382:L386"/>
    <mergeCell ref="M382:M386"/>
    <mergeCell ref="N382:N386"/>
    <mergeCell ref="O382:O386"/>
    <mergeCell ref="A377:A381"/>
    <mergeCell ref="B377:B381"/>
    <mergeCell ref="C377:K377"/>
    <mergeCell ref="L377:L381"/>
    <mergeCell ref="M377:M381"/>
    <mergeCell ref="N377:N381"/>
    <mergeCell ref="P382:P386"/>
    <mergeCell ref="Q382:Q386"/>
    <mergeCell ref="A387:A391"/>
    <mergeCell ref="B387:B391"/>
    <mergeCell ref="C387:K387"/>
    <mergeCell ref="L387:L391"/>
    <mergeCell ref="M387:M391"/>
    <mergeCell ref="N387:N391"/>
    <mergeCell ref="O387:O391"/>
    <mergeCell ref="P387:P391"/>
    <mergeCell ref="Q387:Q391"/>
    <mergeCell ref="A392:A396"/>
    <mergeCell ref="B392:B396"/>
    <mergeCell ref="C392:K392"/>
    <mergeCell ref="L392:L396"/>
    <mergeCell ref="M392:M396"/>
    <mergeCell ref="N392:N396"/>
    <mergeCell ref="O392:O396"/>
    <mergeCell ref="P392:P396"/>
    <mergeCell ref="Q392:Q396"/>
    <mergeCell ref="O397:O401"/>
    <mergeCell ref="P397:P401"/>
    <mergeCell ref="Q397:Q401"/>
    <mergeCell ref="A402:A406"/>
    <mergeCell ref="B402:B406"/>
    <mergeCell ref="C402:K402"/>
    <mergeCell ref="L402:L406"/>
    <mergeCell ref="M402:M406"/>
    <mergeCell ref="N402:N406"/>
    <mergeCell ref="O402:O406"/>
    <mergeCell ref="A397:A401"/>
    <mergeCell ref="B397:B401"/>
    <mergeCell ref="C397:K397"/>
    <mergeCell ref="L397:L401"/>
    <mergeCell ref="M397:M401"/>
    <mergeCell ref="N397:N401"/>
    <mergeCell ref="P402:P406"/>
    <mergeCell ref="Q402:Q406"/>
    <mergeCell ref="A407:A411"/>
    <mergeCell ref="B407:B411"/>
    <mergeCell ref="C407:K407"/>
    <mergeCell ref="L407:L411"/>
    <mergeCell ref="M407:M411"/>
    <mergeCell ref="N407:N411"/>
    <mergeCell ref="O407:O411"/>
    <mergeCell ref="P407:P411"/>
    <mergeCell ref="Q407:Q411"/>
    <mergeCell ref="A412:A416"/>
    <mergeCell ref="B412:B416"/>
    <mergeCell ref="C412:K412"/>
    <mergeCell ref="L412:L416"/>
    <mergeCell ref="M412:M416"/>
    <mergeCell ref="N412:N416"/>
    <mergeCell ref="O412:O416"/>
    <mergeCell ref="P412:P416"/>
    <mergeCell ref="Q412:Q416"/>
    <mergeCell ref="O417:O421"/>
    <mergeCell ref="P417:P421"/>
    <mergeCell ref="Q417:Q421"/>
    <mergeCell ref="A422:A426"/>
    <mergeCell ref="B422:B426"/>
    <mergeCell ref="C422:K422"/>
    <mergeCell ref="L422:L426"/>
    <mergeCell ref="M422:M426"/>
    <mergeCell ref="N422:N426"/>
    <mergeCell ref="O422:O426"/>
    <mergeCell ref="A417:A421"/>
    <mergeCell ref="B417:B421"/>
    <mergeCell ref="C417:K417"/>
    <mergeCell ref="L417:L421"/>
    <mergeCell ref="M417:M421"/>
    <mergeCell ref="N417:N421"/>
    <mergeCell ref="P422:P426"/>
    <mergeCell ref="Q422:Q426"/>
    <mergeCell ref="A427:A431"/>
    <mergeCell ref="B427:B431"/>
    <mergeCell ref="C427:K427"/>
    <mergeCell ref="L427:L431"/>
    <mergeCell ref="M427:M431"/>
    <mergeCell ref="N427:N431"/>
    <mergeCell ref="O427:O431"/>
    <mergeCell ref="P427:P431"/>
    <mergeCell ref="Q427:Q431"/>
    <mergeCell ref="A432:A436"/>
    <mergeCell ref="B432:B436"/>
    <mergeCell ref="C432:K432"/>
    <mergeCell ref="L432:L436"/>
    <mergeCell ref="M432:M436"/>
    <mergeCell ref="N432:N436"/>
    <mergeCell ref="O432:O436"/>
    <mergeCell ref="P432:P436"/>
    <mergeCell ref="Q432:Q436"/>
    <mergeCell ref="O437:O441"/>
    <mergeCell ref="P437:P441"/>
    <mergeCell ref="Q437:Q441"/>
    <mergeCell ref="A442:A446"/>
    <mergeCell ref="B442:B446"/>
    <mergeCell ref="C442:K442"/>
    <mergeCell ref="L442:L446"/>
    <mergeCell ref="M442:M446"/>
    <mergeCell ref="N442:N446"/>
    <mergeCell ref="O442:O446"/>
    <mergeCell ref="A437:A441"/>
    <mergeCell ref="B437:B441"/>
    <mergeCell ref="C437:K437"/>
    <mergeCell ref="L437:L441"/>
    <mergeCell ref="M437:M441"/>
    <mergeCell ref="N437:N441"/>
    <mergeCell ref="P442:P446"/>
    <mergeCell ref="Q442:Q446"/>
    <mergeCell ref="A447:A451"/>
    <mergeCell ref="B447:B451"/>
    <mergeCell ref="C447:K447"/>
    <mergeCell ref="L447:L451"/>
    <mergeCell ref="M447:M451"/>
    <mergeCell ref="N447:N451"/>
    <mergeCell ref="O447:O451"/>
    <mergeCell ref="P447:P451"/>
    <mergeCell ref="Q447:Q451"/>
    <mergeCell ref="A452:A456"/>
    <mergeCell ref="B452:B456"/>
    <mergeCell ref="C452:K452"/>
    <mergeCell ref="L452:L456"/>
    <mergeCell ref="M452:M456"/>
    <mergeCell ref="N452:N456"/>
    <mergeCell ref="O452:O456"/>
    <mergeCell ref="P452:P456"/>
    <mergeCell ref="Q452:Q456"/>
    <mergeCell ref="O457:O461"/>
    <mergeCell ref="P457:P461"/>
    <mergeCell ref="Q457:Q461"/>
    <mergeCell ref="A462:A466"/>
    <mergeCell ref="B462:B466"/>
    <mergeCell ref="C462:K462"/>
    <mergeCell ref="L462:L466"/>
    <mergeCell ref="M462:M466"/>
    <mergeCell ref="N462:N466"/>
    <mergeCell ref="O462:O466"/>
    <mergeCell ref="A457:A461"/>
    <mergeCell ref="B457:B461"/>
    <mergeCell ref="C457:K457"/>
    <mergeCell ref="L457:L461"/>
    <mergeCell ref="M457:M461"/>
    <mergeCell ref="N457:N461"/>
    <mergeCell ref="P462:P466"/>
    <mergeCell ref="Q462:Q466"/>
    <mergeCell ref="A467:A471"/>
    <mergeCell ref="B467:B471"/>
    <mergeCell ref="C467:K467"/>
    <mergeCell ref="L467:L471"/>
    <mergeCell ref="M467:M471"/>
    <mergeCell ref="N467:N471"/>
    <mergeCell ref="O467:O471"/>
    <mergeCell ref="P467:P471"/>
    <mergeCell ref="Q467:Q471"/>
    <mergeCell ref="A472:A476"/>
    <mergeCell ref="B472:B476"/>
    <mergeCell ref="C472:K472"/>
    <mergeCell ref="L472:L476"/>
    <mergeCell ref="M472:M476"/>
    <mergeCell ref="N472:N476"/>
    <mergeCell ref="O472:O476"/>
    <mergeCell ref="P472:P476"/>
    <mergeCell ref="Q472:Q476"/>
  </mergeCells>
  <conditionalFormatting sqref="C3:C4">
    <cfRule type="cellIs" dxfId="284" priority="285" stopIfTrue="1" operator="equal">
      <formula>"reserved"</formula>
    </cfRule>
  </conditionalFormatting>
  <conditionalFormatting sqref="C260">
    <cfRule type="cellIs" dxfId="283" priority="130" stopIfTrue="1" operator="equal">
      <formula>"reserved"</formula>
    </cfRule>
  </conditionalFormatting>
  <conditionalFormatting sqref="C6">
    <cfRule type="cellIs" dxfId="282" priority="284" stopIfTrue="1" operator="equal">
      <formula>"reserved"</formula>
    </cfRule>
  </conditionalFormatting>
  <conditionalFormatting sqref="C5">
    <cfRule type="cellIs" dxfId="281" priority="283" stopIfTrue="1" operator="equal">
      <formula>"reserved"</formula>
    </cfRule>
  </conditionalFormatting>
  <conditionalFormatting sqref="C8:C9">
    <cfRule type="cellIs" dxfId="280" priority="282" stopIfTrue="1" operator="equal">
      <formula>"reserved"</formula>
    </cfRule>
  </conditionalFormatting>
  <conditionalFormatting sqref="C11">
    <cfRule type="cellIs" dxfId="279" priority="281" stopIfTrue="1" operator="equal">
      <formula>"reserved"</formula>
    </cfRule>
  </conditionalFormatting>
  <conditionalFormatting sqref="C10">
    <cfRule type="cellIs" dxfId="278" priority="280" stopIfTrue="1" operator="equal">
      <formula>"reserved"</formula>
    </cfRule>
  </conditionalFormatting>
  <conditionalFormatting sqref="C13:C14">
    <cfRule type="cellIs" dxfId="277" priority="279" stopIfTrue="1" operator="equal">
      <formula>"reserved"</formula>
    </cfRule>
  </conditionalFormatting>
  <conditionalFormatting sqref="C16">
    <cfRule type="cellIs" dxfId="276" priority="278" stopIfTrue="1" operator="equal">
      <formula>"reserved"</formula>
    </cfRule>
  </conditionalFormatting>
  <conditionalFormatting sqref="C15">
    <cfRule type="cellIs" dxfId="275" priority="277" stopIfTrue="1" operator="equal">
      <formula>"reserved"</formula>
    </cfRule>
  </conditionalFormatting>
  <conditionalFormatting sqref="C18:C19">
    <cfRule type="cellIs" dxfId="274" priority="276" stopIfTrue="1" operator="equal">
      <formula>"reserved"</formula>
    </cfRule>
  </conditionalFormatting>
  <conditionalFormatting sqref="C21">
    <cfRule type="cellIs" dxfId="273" priority="275" stopIfTrue="1" operator="equal">
      <formula>"reserved"</formula>
    </cfRule>
  </conditionalFormatting>
  <conditionalFormatting sqref="C20">
    <cfRule type="cellIs" dxfId="272" priority="274" stopIfTrue="1" operator="equal">
      <formula>"reserved"</formula>
    </cfRule>
  </conditionalFormatting>
  <conditionalFormatting sqref="C23:C24">
    <cfRule type="cellIs" dxfId="271" priority="273" stopIfTrue="1" operator="equal">
      <formula>"reserved"</formula>
    </cfRule>
  </conditionalFormatting>
  <conditionalFormatting sqref="C26">
    <cfRule type="cellIs" dxfId="270" priority="272" stopIfTrue="1" operator="equal">
      <formula>"reserved"</formula>
    </cfRule>
  </conditionalFormatting>
  <conditionalFormatting sqref="C25">
    <cfRule type="cellIs" dxfId="269" priority="271" stopIfTrue="1" operator="equal">
      <formula>"reserved"</formula>
    </cfRule>
  </conditionalFormatting>
  <conditionalFormatting sqref="C28:C29">
    <cfRule type="cellIs" dxfId="268" priority="270" stopIfTrue="1" operator="equal">
      <formula>"reserved"</formula>
    </cfRule>
  </conditionalFormatting>
  <conditionalFormatting sqref="C31">
    <cfRule type="cellIs" dxfId="267" priority="269" stopIfTrue="1" operator="equal">
      <formula>"reserved"</formula>
    </cfRule>
  </conditionalFormatting>
  <conditionalFormatting sqref="C30">
    <cfRule type="cellIs" dxfId="266" priority="268" stopIfTrue="1" operator="equal">
      <formula>"reserved"</formula>
    </cfRule>
  </conditionalFormatting>
  <conditionalFormatting sqref="C33:C34">
    <cfRule type="cellIs" dxfId="265" priority="267" stopIfTrue="1" operator="equal">
      <formula>"reserved"</formula>
    </cfRule>
  </conditionalFormatting>
  <conditionalFormatting sqref="C36">
    <cfRule type="cellIs" dxfId="264" priority="266" stopIfTrue="1" operator="equal">
      <formula>"reserved"</formula>
    </cfRule>
  </conditionalFormatting>
  <conditionalFormatting sqref="C35">
    <cfRule type="cellIs" dxfId="263" priority="265" stopIfTrue="1" operator="equal">
      <formula>"reserved"</formula>
    </cfRule>
  </conditionalFormatting>
  <conditionalFormatting sqref="C38:C39">
    <cfRule type="cellIs" dxfId="262" priority="264" stopIfTrue="1" operator="equal">
      <formula>"reserved"</formula>
    </cfRule>
  </conditionalFormatting>
  <conditionalFormatting sqref="C41">
    <cfRule type="cellIs" dxfId="261" priority="263" stopIfTrue="1" operator="equal">
      <formula>"reserved"</formula>
    </cfRule>
  </conditionalFormatting>
  <conditionalFormatting sqref="C40">
    <cfRule type="cellIs" dxfId="260" priority="262" stopIfTrue="1" operator="equal">
      <formula>"reserved"</formula>
    </cfRule>
  </conditionalFormatting>
  <conditionalFormatting sqref="C43:C44">
    <cfRule type="cellIs" dxfId="259" priority="261" stopIfTrue="1" operator="equal">
      <formula>"reserved"</formula>
    </cfRule>
  </conditionalFormatting>
  <conditionalFormatting sqref="C46">
    <cfRule type="cellIs" dxfId="258" priority="260" stopIfTrue="1" operator="equal">
      <formula>"reserved"</formula>
    </cfRule>
  </conditionalFormatting>
  <conditionalFormatting sqref="C45">
    <cfRule type="cellIs" dxfId="257" priority="259" stopIfTrue="1" operator="equal">
      <formula>"reserved"</formula>
    </cfRule>
  </conditionalFormatting>
  <conditionalFormatting sqref="C48:C49">
    <cfRule type="cellIs" dxfId="256" priority="258" stopIfTrue="1" operator="equal">
      <formula>"reserved"</formula>
    </cfRule>
  </conditionalFormatting>
  <conditionalFormatting sqref="C51">
    <cfRule type="cellIs" dxfId="255" priority="257" stopIfTrue="1" operator="equal">
      <formula>"reserved"</formula>
    </cfRule>
  </conditionalFormatting>
  <conditionalFormatting sqref="C50">
    <cfRule type="cellIs" dxfId="254" priority="256" stopIfTrue="1" operator="equal">
      <formula>"reserved"</formula>
    </cfRule>
  </conditionalFormatting>
  <conditionalFormatting sqref="C53:C54">
    <cfRule type="cellIs" dxfId="253" priority="255" stopIfTrue="1" operator="equal">
      <formula>"reserved"</formula>
    </cfRule>
  </conditionalFormatting>
  <conditionalFormatting sqref="C56">
    <cfRule type="cellIs" dxfId="252" priority="254" stopIfTrue="1" operator="equal">
      <formula>"reserved"</formula>
    </cfRule>
  </conditionalFormatting>
  <conditionalFormatting sqref="C55">
    <cfRule type="cellIs" dxfId="251" priority="253" stopIfTrue="1" operator="equal">
      <formula>"reserved"</formula>
    </cfRule>
  </conditionalFormatting>
  <conditionalFormatting sqref="C58:C59">
    <cfRule type="cellIs" dxfId="250" priority="252" stopIfTrue="1" operator="equal">
      <formula>"reserved"</formula>
    </cfRule>
  </conditionalFormatting>
  <conditionalFormatting sqref="C61">
    <cfRule type="cellIs" dxfId="249" priority="251" stopIfTrue="1" operator="equal">
      <formula>"reserved"</formula>
    </cfRule>
  </conditionalFormatting>
  <conditionalFormatting sqref="C60">
    <cfRule type="cellIs" dxfId="248" priority="250" stopIfTrue="1" operator="equal">
      <formula>"reserved"</formula>
    </cfRule>
  </conditionalFormatting>
  <conditionalFormatting sqref="C63:C64">
    <cfRule type="cellIs" dxfId="247" priority="249" stopIfTrue="1" operator="equal">
      <formula>"reserved"</formula>
    </cfRule>
  </conditionalFormatting>
  <conditionalFormatting sqref="C66">
    <cfRule type="cellIs" dxfId="246" priority="248" stopIfTrue="1" operator="equal">
      <formula>"reserved"</formula>
    </cfRule>
  </conditionalFormatting>
  <conditionalFormatting sqref="C65">
    <cfRule type="cellIs" dxfId="245" priority="247" stopIfTrue="1" operator="equal">
      <formula>"reserved"</formula>
    </cfRule>
  </conditionalFormatting>
  <conditionalFormatting sqref="C68:C69">
    <cfRule type="cellIs" dxfId="244" priority="246" stopIfTrue="1" operator="equal">
      <formula>"reserved"</formula>
    </cfRule>
  </conditionalFormatting>
  <conditionalFormatting sqref="C71">
    <cfRule type="cellIs" dxfId="243" priority="245" stopIfTrue="1" operator="equal">
      <formula>"reserved"</formula>
    </cfRule>
  </conditionalFormatting>
  <conditionalFormatting sqref="C70">
    <cfRule type="cellIs" dxfId="242" priority="244" stopIfTrue="1" operator="equal">
      <formula>"reserved"</formula>
    </cfRule>
  </conditionalFormatting>
  <conditionalFormatting sqref="C73:C74">
    <cfRule type="cellIs" dxfId="241" priority="243" stopIfTrue="1" operator="equal">
      <formula>"reserved"</formula>
    </cfRule>
  </conditionalFormatting>
  <conditionalFormatting sqref="C76">
    <cfRule type="cellIs" dxfId="240" priority="242" stopIfTrue="1" operator="equal">
      <formula>"reserved"</formula>
    </cfRule>
  </conditionalFormatting>
  <conditionalFormatting sqref="C75">
    <cfRule type="cellIs" dxfId="239" priority="241" stopIfTrue="1" operator="equal">
      <formula>"reserved"</formula>
    </cfRule>
  </conditionalFormatting>
  <conditionalFormatting sqref="C78:C79">
    <cfRule type="cellIs" dxfId="238" priority="240" stopIfTrue="1" operator="equal">
      <formula>"reserved"</formula>
    </cfRule>
  </conditionalFormatting>
  <conditionalFormatting sqref="C81">
    <cfRule type="cellIs" dxfId="237" priority="239" stopIfTrue="1" operator="equal">
      <formula>"reserved"</formula>
    </cfRule>
  </conditionalFormatting>
  <conditionalFormatting sqref="C80">
    <cfRule type="cellIs" dxfId="236" priority="238" stopIfTrue="1" operator="equal">
      <formula>"reserved"</formula>
    </cfRule>
  </conditionalFormatting>
  <conditionalFormatting sqref="C83:C84">
    <cfRule type="cellIs" dxfId="235" priority="237" stopIfTrue="1" operator="equal">
      <formula>"reserved"</formula>
    </cfRule>
  </conditionalFormatting>
  <conditionalFormatting sqref="C86">
    <cfRule type="cellIs" dxfId="234" priority="236" stopIfTrue="1" operator="equal">
      <formula>"reserved"</formula>
    </cfRule>
  </conditionalFormatting>
  <conditionalFormatting sqref="C85">
    <cfRule type="cellIs" dxfId="233" priority="235" stopIfTrue="1" operator="equal">
      <formula>"reserved"</formula>
    </cfRule>
  </conditionalFormatting>
  <conditionalFormatting sqref="C88:C89">
    <cfRule type="cellIs" dxfId="232" priority="234" stopIfTrue="1" operator="equal">
      <formula>"reserved"</formula>
    </cfRule>
  </conditionalFormatting>
  <conditionalFormatting sqref="C91">
    <cfRule type="cellIs" dxfId="231" priority="233" stopIfTrue="1" operator="equal">
      <formula>"reserved"</formula>
    </cfRule>
  </conditionalFormatting>
  <conditionalFormatting sqref="C90">
    <cfRule type="cellIs" dxfId="230" priority="232" stopIfTrue="1" operator="equal">
      <formula>"reserved"</formula>
    </cfRule>
  </conditionalFormatting>
  <conditionalFormatting sqref="C93:C94">
    <cfRule type="cellIs" dxfId="229" priority="231" stopIfTrue="1" operator="equal">
      <formula>"reserved"</formula>
    </cfRule>
  </conditionalFormatting>
  <conditionalFormatting sqref="C96">
    <cfRule type="cellIs" dxfId="228" priority="230" stopIfTrue="1" operator="equal">
      <formula>"reserved"</formula>
    </cfRule>
  </conditionalFormatting>
  <conditionalFormatting sqref="C95">
    <cfRule type="cellIs" dxfId="227" priority="229" stopIfTrue="1" operator="equal">
      <formula>"reserved"</formula>
    </cfRule>
  </conditionalFormatting>
  <conditionalFormatting sqref="C98:C99">
    <cfRule type="cellIs" dxfId="226" priority="228" stopIfTrue="1" operator="equal">
      <formula>"reserved"</formula>
    </cfRule>
  </conditionalFormatting>
  <conditionalFormatting sqref="C101">
    <cfRule type="cellIs" dxfId="225" priority="227" stopIfTrue="1" operator="equal">
      <formula>"reserved"</formula>
    </cfRule>
  </conditionalFormatting>
  <conditionalFormatting sqref="C100">
    <cfRule type="cellIs" dxfId="224" priority="226" stopIfTrue="1" operator="equal">
      <formula>"reserved"</formula>
    </cfRule>
  </conditionalFormatting>
  <conditionalFormatting sqref="C103:C104">
    <cfRule type="cellIs" dxfId="223" priority="225" stopIfTrue="1" operator="equal">
      <formula>"reserved"</formula>
    </cfRule>
  </conditionalFormatting>
  <conditionalFormatting sqref="C106">
    <cfRule type="cellIs" dxfId="222" priority="224" stopIfTrue="1" operator="equal">
      <formula>"reserved"</formula>
    </cfRule>
  </conditionalFormatting>
  <conditionalFormatting sqref="C105">
    <cfRule type="cellIs" dxfId="221" priority="223" stopIfTrue="1" operator="equal">
      <formula>"reserved"</formula>
    </cfRule>
  </conditionalFormatting>
  <conditionalFormatting sqref="C108:C109">
    <cfRule type="cellIs" dxfId="220" priority="222" stopIfTrue="1" operator="equal">
      <formula>"reserved"</formula>
    </cfRule>
  </conditionalFormatting>
  <conditionalFormatting sqref="C111">
    <cfRule type="cellIs" dxfId="219" priority="221" stopIfTrue="1" operator="equal">
      <formula>"reserved"</formula>
    </cfRule>
  </conditionalFormatting>
  <conditionalFormatting sqref="C110">
    <cfRule type="cellIs" dxfId="218" priority="220" stopIfTrue="1" operator="equal">
      <formula>"reserved"</formula>
    </cfRule>
  </conditionalFormatting>
  <conditionalFormatting sqref="C113:C114">
    <cfRule type="cellIs" dxfId="217" priority="219" stopIfTrue="1" operator="equal">
      <formula>"reserved"</formula>
    </cfRule>
  </conditionalFormatting>
  <conditionalFormatting sqref="C116">
    <cfRule type="cellIs" dxfId="216" priority="218" stopIfTrue="1" operator="equal">
      <formula>"reserved"</formula>
    </cfRule>
  </conditionalFormatting>
  <conditionalFormatting sqref="C115">
    <cfRule type="cellIs" dxfId="215" priority="217" stopIfTrue="1" operator="equal">
      <formula>"reserved"</formula>
    </cfRule>
  </conditionalFormatting>
  <conditionalFormatting sqref="C118:C119">
    <cfRule type="cellIs" dxfId="214" priority="216" stopIfTrue="1" operator="equal">
      <formula>"reserved"</formula>
    </cfRule>
  </conditionalFormatting>
  <conditionalFormatting sqref="C121">
    <cfRule type="cellIs" dxfId="213" priority="215" stopIfTrue="1" operator="equal">
      <formula>"reserved"</formula>
    </cfRule>
  </conditionalFormatting>
  <conditionalFormatting sqref="C120">
    <cfRule type="cellIs" dxfId="212" priority="214" stopIfTrue="1" operator="equal">
      <formula>"reserved"</formula>
    </cfRule>
  </conditionalFormatting>
  <conditionalFormatting sqref="C123:C124">
    <cfRule type="cellIs" dxfId="211" priority="213" stopIfTrue="1" operator="equal">
      <formula>"reserved"</formula>
    </cfRule>
  </conditionalFormatting>
  <conditionalFormatting sqref="C126">
    <cfRule type="cellIs" dxfId="210" priority="212" stopIfTrue="1" operator="equal">
      <formula>"reserved"</formula>
    </cfRule>
  </conditionalFormatting>
  <conditionalFormatting sqref="C125">
    <cfRule type="cellIs" dxfId="209" priority="211" stopIfTrue="1" operator="equal">
      <formula>"reserved"</formula>
    </cfRule>
  </conditionalFormatting>
  <conditionalFormatting sqref="C128:C129">
    <cfRule type="cellIs" dxfId="208" priority="210" stopIfTrue="1" operator="equal">
      <formula>"reserved"</formula>
    </cfRule>
  </conditionalFormatting>
  <conditionalFormatting sqref="C131">
    <cfRule type="cellIs" dxfId="207" priority="209" stopIfTrue="1" operator="equal">
      <formula>"reserved"</formula>
    </cfRule>
  </conditionalFormatting>
  <conditionalFormatting sqref="C130">
    <cfRule type="cellIs" dxfId="206" priority="208" stopIfTrue="1" operator="equal">
      <formula>"reserved"</formula>
    </cfRule>
  </conditionalFormatting>
  <conditionalFormatting sqref="C133:C134">
    <cfRule type="cellIs" dxfId="205" priority="207" stopIfTrue="1" operator="equal">
      <formula>"reserved"</formula>
    </cfRule>
  </conditionalFormatting>
  <conditionalFormatting sqref="C136">
    <cfRule type="cellIs" dxfId="204" priority="206" stopIfTrue="1" operator="equal">
      <formula>"reserved"</formula>
    </cfRule>
  </conditionalFormatting>
  <conditionalFormatting sqref="C135">
    <cfRule type="cellIs" dxfId="203" priority="205" stopIfTrue="1" operator="equal">
      <formula>"reserved"</formula>
    </cfRule>
  </conditionalFormatting>
  <conditionalFormatting sqref="C138:C139">
    <cfRule type="cellIs" dxfId="202" priority="204" stopIfTrue="1" operator="equal">
      <formula>"reserved"</formula>
    </cfRule>
  </conditionalFormatting>
  <conditionalFormatting sqref="C141">
    <cfRule type="cellIs" dxfId="201" priority="203" stopIfTrue="1" operator="equal">
      <formula>"reserved"</formula>
    </cfRule>
  </conditionalFormatting>
  <conditionalFormatting sqref="C140">
    <cfRule type="cellIs" dxfId="200" priority="202" stopIfTrue="1" operator="equal">
      <formula>"reserved"</formula>
    </cfRule>
  </conditionalFormatting>
  <conditionalFormatting sqref="C143:C144">
    <cfRule type="cellIs" dxfId="199" priority="201" stopIfTrue="1" operator="equal">
      <formula>"reserved"</formula>
    </cfRule>
  </conditionalFormatting>
  <conditionalFormatting sqref="C146">
    <cfRule type="cellIs" dxfId="198" priority="200" stopIfTrue="1" operator="equal">
      <formula>"reserved"</formula>
    </cfRule>
  </conditionalFormatting>
  <conditionalFormatting sqref="C145">
    <cfRule type="cellIs" dxfId="197" priority="199" stopIfTrue="1" operator="equal">
      <formula>"reserved"</formula>
    </cfRule>
  </conditionalFormatting>
  <conditionalFormatting sqref="C148:C149">
    <cfRule type="cellIs" dxfId="196" priority="198" stopIfTrue="1" operator="equal">
      <formula>"reserved"</formula>
    </cfRule>
  </conditionalFormatting>
  <conditionalFormatting sqref="C151">
    <cfRule type="cellIs" dxfId="195" priority="197" stopIfTrue="1" operator="equal">
      <formula>"reserved"</formula>
    </cfRule>
  </conditionalFormatting>
  <conditionalFormatting sqref="C150">
    <cfRule type="cellIs" dxfId="194" priority="196" stopIfTrue="1" operator="equal">
      <formula>"reserved"</formula>
    </cfRule>
  </conditionalFormatting>
  <conditionalFormatting sqref="C153:C154">
    <cfRule type="cellIs" dxfId="193" priority="195" stopIfTrue="1" operator="equal">
      <formula>"reserved"</formula>
    </cfRule>
  </conditionalFormatting>
  <conditionalFormatting sqref="C156">
    <cfRule type="cellIs" dxfId="192" priority="194" stopIfTrue="1" operator="equal">
      <formula>"reserved"</formula>
    </cfRule>
  </conditionalFormatting>
  <conditionalFormatting sqref="C155">
    <cfRule type="cellIs" dxfId="191" priority="193" stopIfTrue="1" operator="equal">
      <formula>"reserved"</formula>
    </cfRule>
  </conditionalFormatting>
  <conditionalFormatting sqref="C158:C159">
    <cfRule type="cellIs" dxfId="190" priority="192" stopIfTrue="1" operator="equal">
      <formula>"reserved"</formula>
    </cfRule>
  </conditionalFormatting>
  <conditionalFormatting sqref="C161">
    <cfRule type="cellIs" dxfId="189" priority="191" stopIfTrue="1" operator="equal">
      <formula>"reserved"</formula>
    </cfRule>
  </conditionalFormatting>
  <conditionalFormatting sqref="C160">
    <cfRule type="cellIs" dxfId="188" priority="190" stopIfTrue="1" operator="equal">
      <formula>"reserved"</formula>
    </cfRule>
  </conditionalFormatting>
  <conditionalFormatting sqref="C163:C164">
    <cfRule type="cellIs" dxfId="187" priority="189" stopIfTrue="1" operator="equal">
      <formula>"reserved"</formula>
    </cfRule>
  </conditionalFormatting>
  <conditionalFormatting sqref="C166">
    <cfRule type="cellIs" dxfId="186" priority="188" stopIfTrue="1" operator="equal">
      <formula>"reserved"</formula>
    </cfRule>
  </conditionalFormatting>
  <conditionalFormatting sqref="C165">
    <cfRule type="cellIs" dxfId="185" priority="187" stopIfTrue="1" operator="equal">
      <formula>"reserved"</formula>
    </cfRule>
  </conditionalFormatting>
  <conditionalFormatting sqref="C168:C169">
    <cfRule type="cellIs" dxfId="184" priority="186" stopIfTrue="1" operator="equal">
      <formula>"reserved"</formula>
    </cfRule>
  </conditionalFormatting>
  <conditionalFormatting sqref="C171">
    <cfRule type="cellIs" dxfId="183" priority="185" stopIfTrue="1" operator="equal">
      <formula>"reserved"</formula>
    </cfRule>
  </conditionalFormatting>
  <conditionalFormatting sqref="C170">
    <cfRule type="cellIs" dxfId="182" priority="184" stopIfTrue="1" operator="equal">
      <formula>"reserved"</formula>
    </cfRule>
  </conditionalFormatting>
  <conditionalFormatting sqref="C173:C174">
    <cfRule type="cellIs" dxfId="181" priority="183" stopIfTrue="1" operator="equal">
      <formula>"reserved"</formula>
    </cfRule>
  </conditionalFormatting>
  <conditionalFormatting sqref="C176">
    <cfRule type="cellIs" dxfId="180" priority="182" stopIfTrue="1" operator="equal">
      <formula>"reserved"</formula>
    </cfRule>
  </conditionalFormatting>
  <conditionalFormatting sqref="C175">
    <cfRule type="cellIs" dxfId="179" priority="181" stopIfTrue="1" operator="equal">
      <formula>"reserved"</formula>
    </cfRule>
  </conditionalFormatting>
  <conditionalFormatting sqref="C178:C179">
    <cfRule type="cellIs" dxfId="178" priority="180" stopIfTrue="1" operator="equal">
      <formula>"reserved"</formula>
    </cfRule>
  </conditionalFormatting>
  <conditionalFormatting sqref="C181">
    <cfRule type="cellIs" dxfId="177" priority="179" stopIfTrue="1" operator="equal">
      <formula>"reserved"</formula>
    </cfRule>
  </conditionalFormatting>
  <conditionalFormatting sqref="C180">
    <cfRule type="cellIs" dxfId="176" priority="178" stopIfTrue="1" operator="equal">
      <formula>"reserved"</formula>
    </cfRule>
  </conditionalFormatting>
  <conditionalFormatting sqref="C183:C184">
    <cfRule type="cellIs" dxfId="175" priority="177" stopIfTrue="1" operator="equal">
      <formula>"reserved"</formula>
    </cfRule>
  </conditionalFormatting>
  <conditionalFormatting sqref="C186">
    <cfRule type="cellIs" dxfId="174" priority="176" stopIfTrue="1" operator="equal">
      <formula>"reserved"</formula>
    </cfRule>
  </conditionalFormatting>
  <conditionalFormatting sqref="C185">
    <cfRule type="cellIs" dxfId="173" priority="175" stopIfTrue="1" operator="equal">
      <formula>"reserved"</formula>
    </cfRule>
  </conditionalFormatting>
  <conditionalFormatting sqref="C188:C189">
    <cfRule type="cellIs" dxfId="172" priority="174" stopIfTrue="1" operator="equal">
      <formula>"reserved"</formula>
    </cfRule>
  </conditionalFormatting>
  <conditionalFormatting sqref="C191">
    <cfRule type="cellIs" dxfId="171" priority="173" stopIfTrue="1" operator="equal">
      <formula>"reserved"</formula>
    </cfRule>
  </conditionalFormatting>
  <conditionalFormatting sqref="C190">
    <cfRule type="cellIs" dxfId="170" priority="172" stopIfTrue="1" operator="equal">
      <formula>"reserved"</formula>
    </cfRule>
  </conditionalFormatting>
  <conditionalFormatting sqref="C193:C194">
    <cfRule type="cellIs" dxfId="169" priority="171" stopIfTrue="1" operator="equal">
      <formula>"reserved"</formula>
    </cfRule>
  </conditionalFormatting>
  <conditionalFormatting sqref="C196">
    <cfRule type="cellIs" dxfId="168" priority="170" stopIfTrue="1" operator="equal">
      <formula>"reserved"</formula>
    </cfRule>
  </conditionalFormatting>
  <conditionalFormatting sqref="C195">
    <cfRule type="cellIs" dxfId="167" priority="169" stopIfTrue="1" operator="equal">
      <formula>"reserved"</formula>
    </cfRule>
  </conditionalFormatting>
  <conditionalFormatting sqref="C198:C199">
    <cfRule type="cellIs" dxfId="166" priority="168" stopIfTrue="1" operator="equal">
      <formula>"reserved"</formula>
    </cfRule>
  </conditionalFormatting>
  <conditionalFormatting sqref="C201">
    <cfRule type="cellIs" dxfId="165" priority="167" stopIfTrue="1" operator="equal">
      <formula>"reserved"</formula>
    </cfRule>
  </conditionalFormatting>
  <conditionalFormatting sqref="C200">
    <cfRule type="cellIs" dxfId="164" priority="166" stopIfTrue="1" operator="equal">
      <formula>"reserved"</formula>
    </cfRule>
  </conditionalFormatting>
  <conditionalFormatting sqref="C203:C204">
    <cfRule type="cellIs" dxfId="163" priority="165" stopIfTrue="1" operator="equal">
      <formula>"reserved"</formula>
    </cfRule>
  </conditionalFormatting>
  <conditionalFormatting sqref="C206">
    <cfRule type="cellIs" dxfId="162" priority="164" stopIfTrue="1" operator="equal">
      <formula>"reserved"</formula>
    </cfRule>
  </conditionalFormatting>
  <conditionalFormatting sqref="C205">
    <cfRule type="cellIs" dxfId="161" priority="163" stopIfTrue="1" operator="equal">
      <formula>"reserved"</formula>
    </cfRule>
  </conditionalFormatting>
  <conditionalFormatting sqref="C208:C209">
    <cfRule type="cellIs" dxfId="160" priority="162" stopIfTrue="1" operator="equal">
      <formula>"reserved"</formula>
    </cfRule>
  </conditionalFormatting>
  <conditionalFormatting sqref="C211">
    <cfRule type="cellIs" dxfId="159" priority="161" stopIfTrue="1" operator="equal">
      <formula>"reserved"</formula>
    </cfRule>
  </conditionalFormatting>
  <conditionalFormatting sqref="C210">
    <cfRule type="cellIs" dxfId="158" priority="160" stopIfTrue="1" operator="equal">
      <formula>"reserved"</formula>
    </cfRule>
  </conditionalFormatting>
  <conditionalFormatting sqref="C213:C214">
    <cfRule type="cellIs" dxfId="157" priority="159" stopIfTrue="1" operator="equal">
      <formula>"reserved"</formula>
    </cfRule>
  </conditionalFormatting>
  <conditionalFormatting sqref="C216">
    <cfRule type="cellIs" dxfId="156" priority="158" stopIfTrue="1" operator="equal">
      <formula>"reserved"</formula>
    </cfRule>
  </conditionalFormatting>
  <conditionalFormatting sqref="C215">
    <cfRule type="cellIs" dxfId="155" priority="157" stopIfTrue="1" operator="equal">
      <formula>"reserved"</formula>
    </cfRule>
  </conditionalFormatting>
  <conditionalFormatting sqref="C218:C219">
    <cfRule type="cellIs" dxfId="154" priority="156" stopIfTrue="1" operator="equal">
      <formula>"reserved"</formula>
    </cfRule>
  </conditionalFormatting>
  <conditionalFormatting sqref="C221">
    <cfRule type="cellIs" dxfId="153" priority="155" stopIfTrue="1" operator="equal">
      <formula>"reserved"</formula>
    </cfRule>
  </conditionalFormatting>
  <conditionalFormatting sqref="C220">
    <cfRule type="cellIs" dxfId="152" priority="154" stopIfTrue="1" operator="equal">
      <formula>"reserved"</formula>
    </cfRule>
  </conditionalFormatting>
  <conditionalFormatting sqref="C223:C224">
    <cfRule type="cellIs" dxfId="151" priority="153" stopIfTrue="1" operator="equal">
      <formula>"reserved"</formula>
    </cfRule>
  </conditionalFormatting>
  <conditionalFormatting sqref="C226">
    <cfRule type="cellIs" dxfId="150" priority="152" stopIfTrue="1" operator="equal">
      <formula>"reserved"</formula>
    </cfRule>
  </conditionalFormatting>
  <conditionalFormatting sqref="C225">
    <cfRule type="cellIs" dxfId="149" priority="151" stopIfTrue="1" operator="equal">
      <formula>"reserved"</formula>
    </cfRule>
  </conditionalFormatting>
  <conditionalFormatting sqref="C228:C229">
    <cfRule type="cellIs" dxfId="148" priority="150" stopIfTrue="1" operator="equal">
      <formula>"reserved"</formula>
    </cfRule>
  </conditionalFormatting>
  <conditionalFormatting sqref="C231">
    <cfRule type="cellIs" dxfId="147" priority="149" stopIfTrue="1" operator="equal">
      <formula>"reserved"</formula>
    </cfRule>
  </conditionalFormatting>
  <conditionalFormatting sqref="C230">
    <cfRule type="cellIs" dxfId="146" priority="148" stopIfTrue="1" operator="equal">
      <formula>"reserved"</formula>
    </cfRule>
  </conditionalFormatting>
  <conditionalFormatting sqref="C233:C234">
    <cfRule type="cellIs" dxfId="145" priority="147" stopIfTrue="1" operator="equal">
      <formula>"reserved"</formula>
    </cfRule>
  </conditionalFormatting>
  <conditionalFormatting sqref="C236">
    <cfRule type="cellIs" dxfId="144" priority="146" stopIfTrue="1" operator="equal">
      <formula>"reserved"</formula>
    </cfRule>
  </conditionalFormatting>
  <conditionalFormatting sqref="C235">
    <cfRule type="cellIs" dxfId="143" priority="145" stopIfTrue="1" operator="equal">
      <formula>"reserved"</formula>
    </cfRule>
  </conditionalFormatting>
  <conditionalFormatting sqref="C238:C239">
    <cfRule type="cellIs" dxfId="142" priority="144" stopIfTrue="1" operator="equal">
      <formula>"reserved"</formula>
    </cfRule>
  </conditionalFormatting>
  <conditionalFormatting sqref="C241">
    <cfRule type="cellIs" dxfId="141" priority="143" stopIfTrue="1" operator="equal">
      <formula>"reserved"</formula>
    </cfRule>
  </conditionalFormatting>
  <conditionalFormatting sqref="C240">
    <cfRule type="cellIs" dxfId="140" priority="142" stopIfTrue="1" operator="equal">
      <formula>"reserved"</formula>
    </cfRule>
  </conditionalFormatting>
  <conditionalFormatting sqref="C243:C244">
    <cfRule type="cellIs" dxfId="139" priority="141" stopIfTrue="1" operator="equal">
      <formula>"reserved"</formula>
    </cfRule>
  </conditionalFormatting>
  <conditionalFormatting sqref="C246">
    <cfRule type="cellIs" dxfId="138" priority="140" stopIfTrue="1" operator="equal">
      <formula>"reserved"</formula>
    </cfRule>
  </conditionalFormatting>
  <conditionalFormatting sqref="C245">
    <cfRule type="cellIs" dxfId="137" priority="139" stopIfTrue="1" operator="equal">
      <formula>"reserved"</formula>
    </cfRule>
  </conditionalFormatting>
  <conditionalFormatting sqref="C248:C249">
    <cfRule type="cellIs" dxfId="136" priority="138" stopIfTrue="1" operator="equal">
      <formula>"reserved"</formula>
    </cfRule>
  </conditionalFormatting>
  <conditionalFormatting sqref="C251">
    <cfRule type="cellIs" dxfId="135" priority="137" stopIfTrue="1" operator="equal">
      <formula>"reserved"</formula>
    </cfRule>
  </conditionalFormatting>
  <conditionalFormatting sqref="C250">
    <cfRule type="cellIs" dxfId="134" priority="136" stopIfTrue="1" operator="equal">
      <formula>"reserved"</formula>
    </cfRule>
  </conditionalFormatting>
  <conditionalFormatting sqref="C253:C254">
    <cfRule type="cellIs" dxfId="133" priority="135" stopIfTrue="1" operator="equal">
      <formula>"reserved"</formula>
    </cfRule>
  </conditionalFormatting>
  <conditionalFormatting sqref="C256">
    <cfRule type="cellIs" dxfId="132" priority="134" stopIfTrue="1" operator="equal">
      <formula>"reserved"</formula>
    </cfRule>
  </conditionalFormatting>
  <conditionalFormatting sqref="C255">
    <cfRule type="cellIs" dxfId="131" priority="133" stopIfTrue="1" operator="equal">
      <formula>"reserved"</formula>
    </cfRule>
  </conditionalFormatting>
  <conditionalFormatting sqref="C258:C259">
    <cfRule type="cellIs" dxfId="130" priority="132" stopIfTrue="1" operator="equal">
      <formula>"reserved"</formula>
    </cfRule>
  </conditionalFormatting>
  <conditionalFormatting sqref="C261">
    <cfRule type="cellIs" dxfId="129" priority="131" stopIfTrue="1" operator="equal">
      <formula>"reserved"</formula>
    </cfRule>
  </conditionalFormatting>
  <conditionalFormatting sqref="C263:C264">
    <cfRule type="cellIs" dxfId="128" priority="129" stopIfTrue="1" operator="equal">
      <formula>"reserved"</formula>
    </cfRule>
  </conditionalFormatting>
  <conditionalFormatting sqref="C266">
    <cfRule type="cellIs" dxfId="127" priority="128" stopIfTrue="1" operator="equal">
      <formula>"reserved"</formula>
    </cfRule>
  </conditionalFormatting>
  <conditionalFormatting sqref="C265">
    <cfRule type="cellIs" dxfId="126" priority="127" stopIfTrue="1" operator="equal">
      <formula>"reserved"</formula>
    </cfRule>
  </conditionalFormatting>
  <conditionalFormatting sqref="C268:C269">
    <cfRule type="cellIs" dxfId="125" priority="126" stopIfTrue="1" operator="equal">
      <formula>"reserved"</formula>
    </cfRule>
  </conditionalFormatting>
  <conditionalFormatting sqref="C271">
    <cfRule type="cellIs" dxfId="124" priority="125" stopIfTrue="1" operator="equal">
      <formula>"reserved"</formula>
    </cfRule>
  </conditionalFormatting>
  <conditionalFormatting sqref="C270">
    <cfRule type="cellIs" dxfId="123" priority="124" stopIfTrue="1" operator="equal">
      <formula>"reserved"</formula>
    </cfRule>
  </conditionalFormatting>
  <conditionalFormatting sqref="C273:C274">
    <cfRule type="cellIs" dxfId="122" priority="123" stopIfTrue="1" operator="equal">
      <formula>"reserved"</formula>
    </cfRule>
  </conditionalFormatting>
  <conditionalFormatting sqref="C276">
    <cfRule type="cellIs" dxfId="121" priority="122" stopIfTrue="1" operator="equal">
      <formula>"reserved"</formula>
    </cfRule>
  </conditionalFormatting>
  <conditionalFormatting sqref="C275">
    <cfRule type="cellIs" dxfId="120" priority="121" stopIfTrue="1" operator="equal">
      <formula>"reserved"</formula>
    </cfRule>
  </conditionalFormatting>
  <conditionalFormatting sqref="C278:C279">
    <cfRule type="cellIs" dxfId="119" priority="120" stopIfTrue="1" operator="equal">
      <formula>"reserved"</formula>
    </cfRule>
  </conditionalFormatting>
  <conditionalFormatting sqref="C281">
    <cfRule type="cellIs" dxfId="118" priority="119" stopIfTrue="1" operator="equal">
      <formula>"reserved"</formula>
    </cfRule>
  </conditionalFormatting>
  <conditionalFormatting sqref="C280">
    <cfRule type="cellIs" dxfId="117" priority="118" stopIfTrue="1" operator="equal">
      <formula>"reserved"</formula>
    </cfRule>
  </conditionalFormatting>
  <conditionalFormatting sqref="C283:C284">
    <cfRule type="cellIs" dxfId="116" priority="117" stopIfTrue="1" operator="equal">
      <formula>"reserved"</formula>
    </cfRule>
  </conditionalFormatting>
  <conditionalFormatting sqref="C286">
    <cfRule type="cellIs" dxfId="115" priority="116" stopIfTrue="1" operator="equal">
      <formula>"reserved"</formula>
    </cfRule>
  </conditionalFormatting>
  <conditionalFormatting sqref="C285">
    <cfRule type="cellIs" dxfId="114" priority="115" stopIfTrue="1" operator="equal">
      <formula>"reserved"</formula>
    </cfRule>
  </conditionalFormatting>
  <conditionalFormatting sqref="C288:C289">
    <cfRule type="cellIs" dxfId="113" priority="114" stopIfTrue="1" operator="equal">
      <formula>"reserved"</formula>
    </cfRule>
  </conditionalFormatting>
  <conditionalFormatting sqref="C291">
    <cfRule type="cellIs" dxfId="112" priority="113" stopIfTrue="1" operator="equal">
      <formula>"reserved"</formula>
    </cfRule>
  </conditionalFormatting>
  <conditionalFormatting sqref="C290">
    <cfRule type="cellIs" dxfId="111" priority="112" stopIfTrue="1" operator="equal">
      <formula>"reserved"</formula>
    </cfRule>
  </conditionalFormatting>
  <conditionalFormatting sqref="C293:C294">
    <cfRule type="cellIs" dxfId="110" priority="111" stopIfTrue="1" operator="equal">
      <formula>"reserved"</formula>
    </cfRule>
  </conditionalFormatting>
  <conditionalFormatting sqref="C296">
    <cfRule type="cellIs" dxfId="109" priority="110" stopIfTrue="1" operator="equal">
      <formula>"reserved"</formula>
    </cfRule>
  </conditionalFormatting>
  <conditionalFormatting sqref="C295">
    <cfRule type="cellIs" dxfId="108" priority="109" stopIfTrue="1" operator="equal">
      <formula>"reserved"</formula>
    </cfRule>
  </conditionalFormatting>
  <conditionalFormatting sqref="C298:C299">
    <cfRule type="cellIs" dxfId="107" priority="108" stopIfTrue="1" operator="equal">
      <formula>"reserved"</formula>
    </cfRule>
  </conditionalFormatting>
  <conditionalFormatting sqref="C301">
    <cfRule type="cellIs" dxfId="106" priority="107" stopIfTrue="1" operator="equal">
      <formula>"reserved"</formula>
    </cfRule>
  </conditionalFormatting>
  <conditionalFormatting sqref="C300">
    <cfRule type="cellIs" dxfId="105" priority="106" stopIfTrue="1" operator="equal">
      <formula>"reserved"</formula>
    </cfRule>
  </conditionalFormatting>
  <conditionalFormatting sqref="C303:C304">
    <cfRule type="cellIs" dxfId="104" priority="105" stopIfTrue="1" operator="equal">
      <formula>"reserved"</formula>
    </cfRule>
  </conditionalFormatting>
  <conditionalFormatting sqref="C306">
    <cfRule type="cellIs" dxfId="103" priority="104" stopIfTrue="1" operator="equal">
      <formula>"reserved"</formula>
    </cfRule>
  </conditionalFormatting>
  <conditionalFormatting sqref="C305">
    <cfRule type="cellIs" dxfId="102" priority="103" stopIfTrue="1" operator="equal">
      <formula>"reserved"</formula>
    </cfRule>
  </conditionalFormatting>
  <conditionalFormatting sqref="C308:C309">
    <cfRule type="cellIs" dxfId="101" priority="102" stopIfTrue="1" operator="equal">
      <formula>"reserved"</formula>
    </cfRule>
  </conditionalFormatting>
  <conditionalFormatting sqref="C311">
    <cfRule type="cellIs" dxfId="100" priority="101" stopIfTrue="1" operator="equal">
      <formula>"reserved"</formula>
    </cfRule>
  </conditionalFormatting>
  <conditionalFormatting sqref="C310">
    <cfRule type="cellIs" dxfId="99" priority="100" stopIfTrue="1" operator="equal">
      <formula>"reserved"</formula>
    </cfRule>
  </conditionalFormatting>
  <conditionalFormatting sqref="C313:C314">
    <cfRule type="cellIs" dxfId="98" priority="99" stopIfTrue="1" operator="equal">
      <formula>"reserved"</formula>
    </cfRule>
  </conditionalFormatting>
  <conditionalFormatting sqref="C316">
    <cfRule type="cellIs" dxfId="97" priority="98" stopIfTrue="1" operator="equal">
      <formula>"reserved"</formula>
    </cfRule>
  </conditionalFormatting>
  <conditionalFormatting sqref="C315">
    <cfRule type="cellIs" dxfId="96" priority="97" stopIfTrue="1" operator="equal">
      <formula>"reserved"</formula>
    </cfRule>
  </conditionalFormatting>
  <conditionalFormatting sqref="C318:C319">
    <cfRule type="cellIs" dxfId="95" priority="96" stopIfTrue="1" operator="equal">
      <formula>"reserved"</formula>
    </cfRule>
  </conditionalFormatting>
  <conditionalFormatting sqref="C321">
    <cfRule type="cellIs" dxfId="94" priority="95" stopIfTrue="1" operator="equal">
      <formula>"reserved"</formula>
    </cfRule>
  </conditionalFormatting>
  <conditionalFormatting sqref="C320">
    <cfRule type="cellIs" dxfId="93" priority="94" stopIfTrue="1" operator="equal">
      <formula>"reserved"</formula>
    </cfRule>
  </conditionalFormatting>
  <conditionalFormatting sqref="C323:C324">
    <cfRule type="cellIs" dxfId="92" priority="93" stopIfTrue="1" operator="equal">
      <formula>"reserved"</formula>
    </cfRule>
  </conditionalFormatting>
  <conditionalFormatting sqref="C326">
    <cfRule type="cellIs" dxfId="91" priority="92" stopIfTrue="1" operator="equal">
      <formula>"reserved"</formula>
    </cfRule>
  </conditionalFormatting>
  <conditionalFormatting sqref="C325">
    <cfRule type="cellIs" dxfId="90" priority="91" stopIfTrue="1" operator="equal">
      <formula>"reserved"</formula>
    </cfRule>
  </conditionalFormatting>
  <conditionalFormatting sqref="C328:C329">
    <cfRule type="cellIs" dxfId="89" priority="90" stopIfTrue="1" operator="equal">
      <formula>"reserved"</formula>
    </cfRule>
  </conditionalFormatting>
  <conditionalFormatting sqref="C331">
    <cfRule type="cellIs" dxfId="88" priority="89" stopIfTrue="1" operator="equal">
      <formula>"reserved"</formula>
    </cfRule>
  </conditionalFormatting>
  <conditionalFormatting sqref="C330">
    <cfRule type="cellIs" dxfId="87" priority="88" stopIfTrue="1" operator="equal">
      <formula>"reserved"</formula>
    </cfRule>
  </conditionalFormatting>
  <conditionalFormatting sqref="C333:C334">
    <cfRule type="cellIs" dxfId="86" priority="87" stopIfTrue="1" operator="equal">
      <formula>"reserved"</formula>
    </cfRule>
  </conditionalFormatting>
  <conditionalFormatting sqref="C336">
    <cfRule type="cellIs" dxfId="85" priority="86" stopIfTrue="1" operator="equal">
      <formula>"reserved"</formula>
    </cfRule>
  </conditionalFormatting>
  <conditionalFormatting sqref="C335">
    <cfRule type="cellIs" dxfId="84" priority="85" stopIfTrue="1" operator="equal">
      <formula>"reserved"</formula>
    </cfRule>
  </conditionalFormatting>
  <conditionalFormatting sqref="C338:C339">
    <cfRule type="cellIs" dxfId="83" priority="84" stopIfTrue="1" operator="equal">
      <formula>"reserved"</formula>
    </cfRule>
  </conditionalFormatting>
  <conditionalFormatting sqref="C341">
    <cfRule type="cellIs" dxfId="82" priority="83" stopIfTrue="1" operator="equal">
      <formula>"reserved"</formula>
    </cfRule>
  </conditionalFormatting>
  <conditionalFormatting sqref="C340">
    <cfRule type="cellIs" dxfId="81" priority="82" stopIfTrue="1" operator="equal">
      <formula>"reserved"</formula>
    </cfRule>
  </conditionalFormatting>
  <conditionalFormatting sqref="C343:C344">
    <cfRule type="cellIs" dxfId="80" priority="81" stopIfTrue="1" operator="equal">
      <formula>"reserved"</formula>
    </cfRule>
  </conditionalFormatting>
  <conditionalFormatting sqref="C346">
    <cfRule type="cellIs" dxfId="79" priority="80" stopIfTrue="1" operator="equal">
      <formula>"reserved"</formula>
    </cfRule>
  </conditionalFormatting>
  <conditionalFormatting sqref="C345">
    <cfRule type="cellIs" dxfId="78" priority="79" stopIfTrue="1" operator="equal">
      <formula>"reserved"</formula>
    </cfRule>
  </conditionalFormatting>
  <conditionalFormatting sqref="C348:C349">
    <cfRule type="cellIs" dxfId="77" priority="78" stopIfTrue="1" operator="equal">
      <formula>"reserved"</formula>
    </cfRule>
  </conditionalFormatting>
  <conditionalFormatting sqref="C351">
    <cfRule type="cellIs" dxfId="76" priority="77" stopIfTrue="1" operator="equal">
      <formula>"reserved"</formula>
    </cfRule>
  </conditionalFormatting>
  <conditionalFormatting sqref="C350">
    <cfRule type="cellIs" dxfId="75" priority="76" stopIfTrue="1" operator="equal">
      <formula>"reserved"</formula>
    </cfRule>
  </conditionalFormatting>
  <conditionalFormatting sqref="C353:C354">
    <cfRule type="cellIs" dxfId="74" priority="75" stopIfTrue="1" operator="equal">
      <formula>"reserved"</formula>
    </cfRule>
  </conditionalFormatting>
  <conditionalFormatting sqref="C356">
    <cfRule type="cellIs" dxfId="73" priority="74" stopIfTrue="1" operator="equal">
      <formula>"reserved"</formula>
    </cfRule>
  </conditionalFormatting>
  <conditionalFormatting sqref="C355">
    <cfRule type="cellIs" dxfId="72" priority="73" stopIfTrue="1" operator="equal">
      <formula>"reserved"</formula>
    </cfRule>
  </conditionalFormatting>
  <conditionalFormatting sqref="C358:C359">
    <cfRule type="cellIs" dxfId="71" priority="72" stopIfTrue="1" operator="equal">
      <formula>"reserved"</formula>
    </cfRule>
  </conditionalFormatting>
  <conditionalFormatting sqref="C361">
    <cfRule type="cellIs" dxfId="70" priority="71" stopIfTrue="1" operator="equal">
      <formula>"reserved"</formula>
    </cfRule>
  </conditionalFormatting>
  <conditionalFormatting sqref="C360">
    <cfRule type="cellIs" dxfId="69" priority="70" stopIfTrue="1" operator="equal">
      <formula>"reserved"</formula>
    </cfRule>
  </conditionalFormatting>
  <conditionalFormatting sqref="C363:C364">
    <cfRule type="cellIs" dxfId="68" priority="69" stopIfTrue="1" operator="equal">
      <formula>"reserved"</formula>
    </cfRule>
  </conditionalFormatting>
  <conditionalFormatting sqref="C366">
    <cfRule type="cellIs" dxfId="67" priority="68" stopIfTrue="1" operator="equal">
      <formula>"reserved"</formula>
    </cfRule>
  </conditionalFormatting>
  <conditionalFormatting sqref="C365">
    <cfRule type="cellIs" dxfId="66" priority="67" stopIfTrue="1" operator="equal">
      <formula>"reserved"</formula>
    </cfRule>
  </conditionalFormatting>
  <conditionalFormatting sqref="C368:C369">
    <cfRule type="cellIs" dxfId="65" priority="66" stopIfTrue="1" operator="equal">
      <formula>"reserved"</formula>
    </cfRule>
  </conditionalFormatting>
  <conditionalFormatting sqref="C371">
    <cfRule type="cellIs" dxfId="64" priority="65" stopIfTrue="1" operator="equal">
      <formula>"reserved"</formula>
    </cfRule>
  </conditionalFormatting>
  <conditionalFormatting sqref="C370">
    <cfRule type="cellIs" dxfId="63" priority="64" stopIfTrue="1" operator="equal">
      <formula>"reserved"</formula>
    </cfRule>
  </conditionalFormatting>
  <conditionalFormatting sqref="C373:C374">
    <cfRule type="cellIs" dxfId="62" priority="63" stopIfTrue="1" operator="equal">
      <formula>"reserved"</formula>
    </cfRule>
  </conditionalFormatting>
  <conditionalFormatting sqref="C376">
    <cfRule type="cellIs" dxfId="61" priority="62" stopIfTrue="1" operator="equal">
      <formula>"reserved"</formula>
    </cfRule>
  </conditionalFormatting>
  <conditionalFormatting sqref="C375">
    <cfRule type="cellIs" dxfId="60" priority="61" stopIfTrue="1" operator="equal">
      <formula>"reserved"</formula>
    </cfRule>
  </conditionalFormatting>
  <conditionalFormatting sqref="C378:C379">
    <cfRule type="cellIs" dxfId="59" priority="60" stopIfTrue="1" operator="equal">
      <formula>"reserved"</formula>
    </cfRule>
  </conditionalFormatting>
  <conditionalFormatting sqref="C381">
    <cfRule type="cellIs" dxfId="58" priority="59" stopIfTrue="1" operator="equal">
      <formula>"reserved"</formula>
    </cfRule>
  </conditionalFormatting>
  <conditionalFormatting sqref="C380">
    <cfRule type="cellIs" dxfId="57" priority="58" stopIfTrue="1" operator="equal">
      <formula>"reserved"</formula>
    </cfRule>
  </conditionalFormatting>
  <conditionalFormatting sqref="C383:C384">
    <cfRule type="cellIs" dxfId="56" priority="57" stopIfTrue="1" operator="equal">
      <formula>"reserved"</formula>
    </cfRule>
  </conditionalFormatting>
  <conditionalFormatting sqref="C386">
    <cfRule type="cellIs" dxfId="55" priority="56" stopIfTrue="1" operator="equal">
      <formula>"reserved"</formula>
    </cfRule>
  </conditionalFormatting>
  <conditionalFormatting sqref="C385">
    <cfRule type="cellIs" dxfId="54" priority="55" stopIfTrue="1" operator="equal">
      <formula>"reserved"</formula>
    </cfRule>
  </conditionalFormatting>
  <conditionalFormatting sqref="C388:C389">
    <cfRule type="cellIs" dxfId="53" priority="54" stopIfTrue="1" operator="equal">
      <formula>"reserved"</formula>
    </cfRule>
  </conditionalFormatting>
  <conditionalFormatting sqref="C391">
    <cfRule type="cellIs" dxfId="52" priority="53" stopIfTrue="1" operator="equal">
      <formula>"reserved"</formula>
    </cfRule>
  </conditionalFormatting>
  <conditionalFormatting sqref="C390">
    <cfRule type="cellIs" dxfId="51" priority="52" stopIfTrue="1" operator="equal">
      <formula>"reserved"</formula>
    </cfRule>
  </conditionalFormatting>
  <conditionalFormatting sqref="C393:C394">
    <cfRule type="cellIs" dxfId="50" priority="51" stopIfTrue="1" operator="equal">
      <formula>"reserved"</formula>
    </cfRule>
  </conditionalFormatting>
  <conditionalFormatting sqref="C396">
    <cfRule type="cellIs" dxfId="49" priority="50" stopIfTrue="1" operator="equal">
      <formula>"reserved"</formula>
    </cfRule>
  </conditionalFormatting>
  <conditionalFormatting sqref="C395">
    <cfRule type="cellIs" dxfId="48" priority="49" stopIfTrue="1" operator="equal">
      <formula>"reserved"</formula>
    </cfRule>
  </conditionalFormatting>
  <conditionalFormatting sqref="C398:C399">
    <cfRule type="cellIs" dxfId="47" priority="48" stopIfTrue="1" operator="equal">
      <formula>"reserved"</formula>
    </cfRule>
  </conditionalFormatting>
  <conditionalFormatting sqref="C401">
    <cfRule type="cellIs" dxfId="46" priority="47" stopIfTrue="1" operator="equal">
      <formula>"reserved"</formula>
    </cfRule>
  </conditionalFormatting>
  <conditionalFormatting sqref="C400">
    <cfRule type="cellIs" dxfId="45" priority="46" stopIfTrue="1" operator="equal">
      <formula>"reserved"</formula>
    </cfRule>
  </conditionalFormatting>
  <conditionalFormatting sqref="C403:C404">
    <cfRule type="cellIs" dxfId="44" priority="45" stopIfTrue="1" operator="equal">
      <formula>"reserved"</formula>
    </cfRule>
  </conditionalFormatting>
  <conditionalFormatting sqref="C406">
    <cfRule type="cellIs" dxfId="43" priority="44" stopIfTrue="1" operator="equal">
      <formula>"reserved"</formula>
    </cfRule>
  </conditionalFormatting>
  <conditionalFormatting sqref="C405">
    <cfRule type="cellIs" dxfId="42" priority="43" stopIfTrue="1" operator="equal">
      <formula>"reserved"</formula>
    </cfRule>
  </conditionalFormatting>
  <conditionalFormatting sqref="C408:C409">
    <cfRule type="cellIs" dxfId="41" priority="42" stopIfTrue="1" operator="equal">
      <formula>"reserved"</formula>
    </cfRule>
  </conditionalFormatting>
  <conditionalFormatting sqref="C411">
    <cfRule type="cellIs" dxfId="40" priority="41" stopIfTrue="1" operator="equal">
      <formula>"reserved"</formula>
    </cfRule>
  </conditionalFormatting>
  <conditionalFormatting sqref="C410">
    <cfRule type="cellIs" dxfId="39" priority="40" stopIfTrue="1" operator="equal">
      <formula>"reserved"</formula>
    </cfRule>
  </conditionalFormatting>
  <conditionalFormatting sqref="C413:C414">
    <cfRule type="cellIs" dxfId="38" priority="39" stopIfTrue="1" operator="equal">
      <formula>"reserved"</formula>
    </cfRule>
  </conditionalFormatting>
  <conditionalFormatting sqref="C416">
    <cfRule type="cellIs" dxfId="37" priority="38" stopIfTrue="1" operator="equal">
      <formula>"reserved"</formula>
    </cfRule>
  </conditionalFormatting>
  <conditionalFormatting sqref="C415">
    <cfRule type="cellIs" dxfId="36" priority="37" stopIfTrue="1" operator="equal">
      <formula>"reserved"</formula>
    </cfRule>
  </conditionalFormatting>
  <conditionalFormatting sqref="C418:C419">
    <cfRule type="cellIs" dxfId="35" priority="36" stopIfTrue="1" operator="equal">
      <formula>"reserved"</formula>
    </cfRule>
  </conditionalFormatting>
  <conditionalFormatting sqref="C421">
    <cfRule type="cellIs" dxfId="34" priority="35" stopIfTrue="1" operator="equal">
      <formula>"reserved"</formula>
    </cfRule>
  </conditionalFormatting>
  <conditionalFormatting sqref="C420">
    <cfRule type="cellIs" dxfId="33" priority="34" stopIfTrue="1" operator="equal">
      <formula>"reserved"</formula>
    </cfRule>
  </conditionalFormatting>
  <conditionalFormatting sqref="C423:C424">
    <cfRule type="cellIs" dxfId="32" priority="33" stopIfTrue="1" operator="equal">
      <formula>"reserved"</formula>
    </cfRule>
  </conditionalFormatting>
  <conditionalFormatting sqref="C426">
    <cfRule type="cellIs" dxfId="31" priority="32" stopIfTrue="1" operator="equal">
      <formula>"reserved"</formula>
    </cfRule>
  </conditionalFormatting>
  <conditionalFormatting sqref="C425">
    <cfRule type="cellIs" dxfId="30" priority="31" stopIfTrue="1" operator="equal">
      <formula>"reserved"</formula>
    </cfRule>
  </conditionalFormatting>
  <conditionalFormatting sqref="C428:C429">
    <cfRule type="cellIs" dxfId="29" priority="30" stopIfTrue="1" operator="equal">
      <formula>"reserved"</formula>
    </cfRule>
  </conditionalFormatting>
  <conditionalFormatting sqref="C431">
    <cfRule type="cellIs" dxfId="28" priority="29" stopIfTrue="1" operator="equal">
      <formula>"reserved"</formula>
    </cfRule>
  </conditionalFormatting>
  <conditionalFormatting sqref="C430">
    <cfRule type="cellIs" dxfId="27" priority="28" stopIfTrue="1" operator="equal">
      <formula>"reserved"</formula>
    </cfRule>
  </conditionalFormatting>
  <conditionalFormatting sqref="C433:C434">
    <cfRule type="cellIs" dxfId="26" priority="27" stopIfTrue="1" operator="equal">
      <formula>"reserved"</formula>
    </cfRule>
  </conditionalFormatting>
  <conditionalFormatting sqref="C436">
    <cfRule type="cellIs" dxfId="25" priority="26" stopIfTrue="1" operator="equal">
      <formula>"reserved"</formula>
    </cfRule>
  </conditionalFormatting>
  <conditionalFormatting sqref="C435">
    <cfRule type="cellIs" dxfId="24" priority="25" stopIfTrue="1" operator="equal">
      <formula>"reserved"</formula>
    </cfRule>
  </conditionalFormatting>
  <conditionalFormatting sqref="C438:C439">
    <cfRule type="cellIs" dxfId="23" priority="24" stopIfTrue="1" operator="equal">
      <formula>"reserved"</formula>
    </cfRule>
  </conditionalFormatting>
  <conditionalFormatting sqref="C441">
    <cfRule type="cellIs" dxfId="22" priority="23" stopIfTrue="1" operator="equal">
      <formula>"reserved"</formula>
    </cfRule>
  </conditionalFormatting>
  <conditionalFormatting sqref="C440">
    <cfRule type="cellIs" dxfId="21" priority="22" stopIfTrue="1" operator="equal">
      <formula>"reserved"</formula>
    </cfRule>
  </conditionalFormatting>
  <conditionalFormatting sqref="C443:C444">
    <cfRule type="cellIs" dxfId="20" priority="21" stopIfTrue="1" operator="equal">
      <formula>"reserved"</formula>
    </cfRule>
  </conditionalFormatting>
  <conditionalFormatting sqref="C446">
    <cfRule type="cellIs" dxfId="19" priority="20" stopIfTrue="1" operator="equal">
      <formula>"reserved"</formula>
    </cfRule>
  </conditionalFormatting>
  <conditionalFormatting sqref="C445">
    <cfRule type="cellIs" dxfId="18" priority="19" stopIfTrue="1" operator="equal">
      <formula>"reserved"</formula>
    </cfRule>
  </conditionalFormatting>
  <conditionalFormatting sqref="C448:C449">
    <cfRule type="cellIs" dxfId="17" priority="18" stopIfTrue="1" operator="equal">
      <formula>"reserved"</formula>
    </cfRule>
  </conditionalFormatting>
  <conditionalFormatting sqref="C451">
    <cfRule type="cellIs" dxfId="16" priority="17" stopIfTrue="1" operator="equal">
      <formula>"reserved"</formula>
    </cfRule>
  </conditionalFormatting>
  <conditionalFormatting sqref="C450">
    <cfRule type="cellIs" dxfId="15" priority="16" stopIfTrue="1" operator="equal">
      <formula>"reserved"</formula>
    </cfRule>
  </conditionalFormatting>
  <conditionalFormatting sqref="C453:C454">
    <cfRule type="cellIs" dxfId="14" priority="15" stopIfTrue="1" operator="equal">
      <formula>"reserved"</formula>
    </cfRule>
  </conditionalFormatting>
  <conditionalFormatting sqref="C456">
    <cfRule type="cellIs" dxfId="13" priority="14" stopIfTrue="1" operator="equal">
      <formula>"reserved"</formula>
    </cfRule>
  </conditionalFormatting>
  <conditionalFormatting sqref="C455">
    <cfRule type="cellIs" dxfId="12" priority="13" stopIfTrue="1" operator="equal">
      <formula>"reserved"</formula>
    </cfRule>
  </conditionalFormatting>
  <conditionalFormatting sqref="C458:C459">
    <cfRule type="cellIs" dxfId="11" priority="12" stopIfTrue="1" operator="equal">
      <formula>"reserved"</formula>
    </cfRule>
  </conditionalFormatting>
  <conditionalFormatting sqref="C461">
    <cfRule type="cellIs" dxfId="10" priority="11" stopIfTrue="1" operator="equal">
      <formula>"reserved"</formula>
    </cfRule>
  </conditionalFormatting>
  <conditionalFormatting sqref="C460">
    <cfRule type="cellIs" dxfId="9" priority="10" stopIfTrue="1" operator="equal">
      <formula>"reserved"</formula>
    </cfRule>
  </conditionalFormatting>
  <conditionalFormatting sqref="C463:C464">
    <cfRule type="cellIs" dxfId="8" priority="9" stopIfTrue="1" operator="equal">
      <formula>"reserved"</formula>
    </cfRule>
  </conditionalFormatting>
  <conditionalFormatting sqref="C466">
    <cfRule type="cellIs" dxfId="7" priority="8" stopIfTrue="1" operator="equal">
      <formula>"reserved"</formula>
    </cfRule>
  </conditionalFormatting>
  <conditionalFormatting sqref="C465">
    <cfRule type="cellIs" dxfId="6" priority="7" stopIfTrue="1" operator="equal">
      <formula>"reserved"</formula>
    </cfRule>
  </conditionalFormatting>
  <conditionalFormatting sqref="C468:C469">
    <cfRule type="cellIs" dxfId="5" priority="6" stopIfTrue="1" operator="equal">
      <formula>"reserved"</formula>
    </cfRule>
  </conditionalFormatting>
  <conditionalFormatting sqref="C471">
    <cfRule type="cellIs" dxfId="4" priority="5" stopIfTrue="1" operator="equal">
      <formula>"reserved"</formula>
    </cfRule>
  </conditionalFormatting>
  <conditionalFormatting sqref="C470">
    <cfRule type="cellIs" dxfId="3" priority="4" stopIfTrue="1" operator="equal">
      <formula>"reserved"</formula>
    </cfRule>
  </conditionalFormatting>
  <conditionalFormatting sqref="C473:C474">
    <cfRule type="cellIs" dxfId="2" priority="3" stopIfTrue="1" operator="equal">
      <formula>"reserved"</formula>
    </cfRule>
  </conditionalFormatting>
  <conditionalFormatting sqref="C476">
    <cfRule type="cellIs" dxfId="1" priority="2" stopIfTrue="1" operator="equal">
      <formula>"reserved"</formula>
    </cfRule>
  </conditionalFormatting>
  <conditionalFormatting sqref="C475">
    <cfRule type="cellIs" dxfId="0" priority="1" stopIfTrue="1" operator="equal">
      <formula>"reserved"</formula>
    </cfRule>
  </conditionalFormatting>
  <dataValidations count="6">
    <dataValidation type="list" allowBlank="1" sqref="I1:I476" xr:uid="{9C86837F-1005-4540-8A6B-4D2FAD5ABC3D}">
      <formula1>"Default, Soft Strap, Hard Strap, Fuse"</formula1>
    </dataValidation>
    <dataValidation allowBlank="1" showInputMessage="1" sqref="F1:F476" xr:uid="{E7B824F4-5213-4B06-8C38-3F6A108A7BFD}"/>
    <dataValidation allowBlank="1" showInputMessage="1" showErrorMessage="1" prompt="8 bit Hexa number between 0x0 and 0xff. Offset within register space for block" sqref="B1:B2 L1:Q2 B7 B12 B17 B22 B27 B32 B37 B42 B47 B52 B57 B62 B67 B72 B77 B82 B87 B92 B97 B102 B107 B112 B117 B122 B127 B132 B137 B142 B147 B152 B157 B162 B167 B172 B177 B182 B187 B192 B197 B202 B207 B212 B217 B222 B227 B232 B237 B242 B247 B252 B257 B262 B267 B272 B277 B282 B287 B292 B297 B302 B307 B312 B317 B322 B327 B332 B337 B342 B347 B352 B357 B362 B367 B372 B377 B382 B387 B392 B397 B402 B407 B412 B417 B422 B427 B432 B437 B442 B447 B452 B457 B462 B467 B472 L382:Q382 L27:Q27 L17:Q17 L32:Q32 L42:Q42 L47:Q47 L52:Q52 L57:Q57 L62:Q62 L67:Q67 L72:Q72 L77:Q77 L82:Q82 L87:Q87 L92:Q92 L97:Q97 L102:Q102 L107:Q107 L112:Q112 L7:Q7 L117:Q117 L122:Q122 L127:Q127 L132:Q132 L137:Q137 L142:Q142 L147:Q147 L152:Q152 L157:Q157 L162:Q162 L167:Q167 L172:Q172 L177:Q177 L182:Q182 L187:Q187 L192:Q192 L197:Q197 L202:Q202 L207:Q207 L212:Q212 L217:Q217 L222:Q222 L227:Q227 L232:Q232 L22:Q22 L242:Q242 L247:Q247 L252:Q252 L257:Q257 L262:Q262 L267:Q267 L272:Q272 L277:Q277 L282:Q282 L287:Q287 L292:Q292 L297:Q297 L302:Q302 L307:Q307 L312:Q312 L317:Q317 L322:Q322 L327:Q327 L332:Q332 L337:Q337 L342:Q342 L347:Q347 L352:Q352 L357:Q357 L362:Q362 L367:Q367 L372:Q372 L377:Q377 L37:Q37 L387:Q387 L392:Q392 L397:Q397 L402:Q402 L407:Q407 L412:Q412 L417:Q417 L422:Q422 L237:Q237 L12:Q12 L427:Q427 L437:Q437 L442:Q442 L447:Q447 L452:Q452 L457:Q457 L432:Q432 L462:Q462 L467:Q467 L472:Q472" xr:uid="{CD60116C-F1A9-46B8-BD31-57E67D295659}">
      <formula1>0</formula1>
      <formula2>0</formula2>
    </dataValidation>
    <dataValidation type="list" allowBlank="1" showInputMessage="1" showErrorMessage="1" sqref="J3:J6 J8:J11 J13:J16 J18:J21 J23:J26 J28:J31 J33:J36 J38:J41 J43:J46 J48:J51 J53:J56 J58:J61 J63:J66 J68:J71 J73:J76 J78:J81 J83:J86 J88:J91 J93:J96 J98:J101 J103:J106 J108:J111 J113:J116 J118:J121 J123:J126 J128:J131 J133:J136 J138:J141 J143:J146 J148:J151 J153:J156 J158:J161 J163:J166 J168:J171 J173:J176 J178:J181 J183:J186 J188:J191 J193:J196 J198:J201 J203:J206 J208:J211 J213:J216 J218:J221 J223:J226 J228:J231 J233:J236 J238:J241 J243:J246 J248:J251 J253:J256 J258:J261 J263:J266 J268:J271 J273:J276 J278:J281 J283:J286 J288:J291 J293:J296 J298:J301 J303:J306 J308:J311 J313:J316 J318:J321 J323:J326 J328:J331 J333:J336 J338:J341 J343:J346 J348:J351 J353:J356 J358:J361 J363:J366 J368:J371 J373:J376 J378:J381 J383:J386 J388:J391 J393:J396 J398:J401 J403:J406 J408:J411 J413:J416 J418:J421 J423:J426 J428:J431 J433:J436 J438:J441 J443:J446 J448:J451 J453:J456 J458:J461 J463:J466 J468:J471 J473:J476" xr:uid="{D40BF9F9-B077-42C8-A2CE-D606B400D694}">
      <formula1>BOOLEAN</formula1>
    </dataValidation>
    <dataValidation type="list" allowBlank="1" showErrorMessage="1" sqref="H1" xr:uid="{BA54E680-8DB6-4BE2-AAAF-E28961F4F8CF}">
      <formula1>"WR,RO"</formula1>
    </dataValidation>
    <dataValidation type="list" allowBlank="1" showInputMessage="1" showErrorMessage="1" sqref="H3:H6 H8:H11 H13:H16 H18:H21 H23:H26 H28:H31 H33:H36 H38:H41 H43:H46 H48:H51 H53:H56 H58:H61 H63:H66 H68:H71 H73:H76 H78:H81 H83:H86 H88:H91 H93:H96 H98:H101 H103:H106 H108:H111 H113:H116 H118:H121 H123:H126 H128:H131 H133:H136 H138:H141 H143:H146 H148:H151 H153:H156 H158:H161 H163:H166 H168:H171 H173:H176 H178:H181 H183:H186 H188:H191 H193:H196 H198:H201 H203:H206 H208:H211 H213:H216 H218:H221 H223:H226 H228:H231 H233:H236 H238:H241 H243:H246 H248:H251 H253:H256 H258:H261 H263:H266 H268:H271 H273:H276 H278:H281 H283:H286 H288:H291 H293:H296 H298:H301 H303:H306 H308:H311 H313:H316 H318:H321 H323:H326 H328:H331 H333:H336 H338:H341 H343:H346 H348:H351 H353:H356 H358:H361 H363:H366 H368:H371 H373:H376 H378:H381 H383:H386 H388:H391 H393:H396 H398:H401 H403:H406 H408:H411 H413:H416 H418:H421 H423:H426 H428:H431 H433:H436 H438:H441 H443:H446 H448:H451 H453:H456 H458:H461 H463:H466 H468:H471 H473:H476" xr:uid="{CF5C0CDF-7010-4510-9900-60709F71BC98}">
      <formula1>"WR,RO"</formula1>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5"/>
  <cols>
    <col min="1" max="1" width="13.42578125" customWidth="1"/>
  </cols>
  <sheetData>
    <row r="9" spans="1:8">
      <c r="D9" t="s">
        <v>16</v>
      </c>
    </row>
    <row r="10" spans="1:8">
      <c r="A10" t="s">
        <v>5</v>
      </c>
      <c r="C10" t="s">
        <v>14</v>
      </c>
      <c r="D10" t="s">
        <v>17</v>
      </c>
      <c r="F10" t="s">
        <v>10</v>
      </c>
      <c r="H10" t="s">
        <v>7</v>
      </c>
    </row>
    <row r="11" spans="1:8">
      <c r="A11" t="s">
        <v>19</v>
      </c>
      <c r="C11" t="s">
        <v>15</v>
      </c>
      <c r="D11" t="s">
        <v>18</v>
      </c>
      <c r="F11" t="s">
        <v>11</v>
      </c>
      <c r="H11" t="s">
        <v>6</v>
      </c>
    </row>
    <row r="12" spans="1:8">
      <c r="A12" t="s">
        <v>8</v>
      </c>
      <c r="C12" t="s">
        <v>12</v>
      </c>
    </row>
    <row r="13" spans="1:8">
      <c r="A13" t="s">
        <v>9</v>
      </c>
    </row>
    <row r="14" spans="1:8">
      <c r="A14" t="s">
        <v>13</v>
      </c>
    </row>
    <row r="15" spans="1:8">
      <c r="A15" t="s">
        <v>21</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5"/>
  <cols>
    <col min="1" max="1" width="9.5703125" bestFit="1" customWidth="1"/>
    <col min="2" max="2" width="14" bestFit="1" customWidth="1"/>
  </cols>
  <sheetData>
    <row r="1" spans="1:8" ht="15.75" thickBot="1">
      <c r="A1" s="9" t="s">
        <v>26</v>
      </c>
      <c r="B1" s="11" t="s">
        <v>27</v>
      </c>
      <c r="C1" s="10"/>
      <c r="D1" s="11"/>
      <c r="E1" s="10"/>
      <c r="F1" s="11"/>
      <c r="G1" s="10"/>
      <c r="H1" s="11"/>
    </row>
    <row r="2" spans="1:8">
      <c r="A2" s="6" t="s">
        <v>24</v>
      </c>
      <c r="B2" s="4" t="s">
        <v>29</v>
      </c>
      <c r="C2" s="3"/>
      <c r="D2" s="4"/>
      <c r="E2" s="3"/>
      <c r="F2" s="4"/>
      <c r="G2" s="3"/>
      <c r="H2" s="4"/>
    </row>
    <row r="3" spans="1:8">
      <c r="A3" s="6" t="s">
        <v>25</v>
      </c>
      <c r="B3" s="4" t="s">
        <v>28</v>
      </c>
      <c r="C3" s="3"/>
      <c r="D3" s="4"/>
      <c r="E3" s="3"/>
      <c r="F3" s="4"/>
      <c r="G3" s="3"/>
      <c r="H3" s="4"/>
    </row>
    <row r="4" spans="1:8">
      <c r="A4" s="6"/>
      <c r="B4" s="4" t="s">
        <v>30</v>
      </c>
      <c r="C4" s="3"/>
      <c r="D4" s="4"/>
      <c r="E4" s="3"/>
      <c r="F4" s="4"/>
      <c r="G4" s="3"/>
      <c r="H4" s="4"/>
    </row>
    <row r="5" spans="1:8">
      <c r="A5" s="6"/>
      <c r="B5" s="4" t="s">
        <v>31</v>
      </c>
      <c r="C5" s="3"/>
      <c r="D5" s="4"/>
      <c r="E5" s="3"/>
      <c r="F5" s="4"/>
      <c r="G5" s="3"/>
      <c r="H5" s="4"/>
    </row>
    <row r="6" spans="1:8">
      <c r="A6" s="6"/>
      <c r="B6" s="4"/>
      <c r="C6" s="3"/>
      <c r="D6" s="4"/>
      <c r="E6" s="3"/>
      <c r="F6" s="4"/>
      <c r="G6" s="3"/>
      <c r="H6" s="4"/>
    </row>
    <row r="7" spans="1:8">
      <c r="A7" s="6"/>
      <c r="B7" s="4"/>
      <c r="C7" s="3"/>
      <c r="D7" s="4"/>
      <c r="E7" s="3"/>
      <c r="F7" s="4"/>
      <c r="G7" s="3"/>
      <c r="H7" s="4"/>
    </row>
    <row r="8" spans="1:8">
      <c r="A8" s="6"/>
      <c r="B8" s="4"/>
      <c r="C8" s="3"/>
      <c r="D8" s="4"/>
      <c r="E8" s="3"/>
      <c r="F8" s="4"/>
      <c r="G8" s="3"/>
      <c r="H8" s="4"/>
    </row>
    <row r="9" spans="1:8">
      <c r="A9" s="6"/>
      <c r="B9" s="4"/>
      <c r="C9" s="3"/>
      <c r="D9" s="4"/>
      <c r="E9" s="3"/>
      <c r="F9" s="4"/>
      <c r="G9" s="3"/>
      <c r="H9" s="4"/>
    </row>
    <row r="10" spans="1:8">
      <c r="A10" s="6"/>
      <c r="B10" s="4"/>
      <c r="C10" s="3"/>
      <c r="D10" s="4"/>
      <c r="E10" s="3"/>
      <c r="F10" s="4"/>
      <c r="G10" s="3"/>
      <c r="H10" s="4"/>
    </row>
    <row r="11" spans="1:8">
      <c r="A11" s="6"/>
      <c r="B11" s="4"/>
      <c r="C11" s="3"/>
      <c r="D11" s="4"/>
      <c r="E11" s="3"/>
      <c r="F11" s="4"/>
      <c r="G11" s="3"/>
      <c r="H11" s="4"/>
    </row>
    <row r="12" spans="1:8">
      <c r="A12" s="6"/>
      <c r="B12" s="4"/>
      <c r="C12" s="3"/>
      <c r="D12" s="4"/>
      <c r="E12" s="3"/>
      <c r="F12" s="4"/>
      <c r="G12" s="3"/>
      <c r="H12" s="4"/>
    </row>
    <row r="13" spans="1:8">
      <c r="A13" s="6"/>
      <c r="B13" s="4"/>
      <c r="C13" s="3"/>
      <c r="D13" s="4"/>
      <c r="E13" s="3"/>
      <c r="F13" s="4"/>
      <c r="G13" s="3"/>
      <c r="H13" s="4"/>
    </row>
    <row r="14" spans="1:8">
      <c r="A14" s="6"/>
      <c r="B14" s="4"/>
      <c r="C14" s="3"/>
      <c r="D14" s="4"/>
      <c r="E14" s="3"/>
      <c r="F14" s="4"/>
      <c r="G14" s="3"/>
      <c r="H14" s="4"/>
    </row>
    <row r="15" spans="1:8">
      <c r="A15" s="6"/>
      <c r="B15" s="4"/>
      <c r="C15" s="3"/>
      <c r="D15" s="4"/>
      <c r="E15" s="3"/>
      <c r="F15" s="4"/>
      <c r="G15" s="3"/>
      <c r="H15" s="4"/>
    </row>
    <row r="16" spans="1:8">
      <c r="A16" s="6"/>
      <c r="B16" s="4"/>
      <c r="C16" s="3"/>
      <c r="D16" s="4"/>
      <c r="E16" s="3"/>
      <c r="F16" s="4"/>
      <c r="G16" s="3"/>
      <c r="H16" s="4"/>
    </row>
    <row r="17" spans="1:8">
      <c r="A17" s="6"/>
      <c r="B17" s="4"/>
      <c r="C17" s="3"/>
      <c r="D17" s="4"/>
      <c r="E17" s="3"/>
      <c r="F17" s="4"/>
      <c r="G17" s="3"/>
      <c r="H17" s="4"/>
    </row>
    <row r="18" spans="1:8">
      <c r="A18" s="6"/>
      <c r="B18" s="4"/>
      <c r="C18" s="3"/>
      <c r="D18" s="4"/>
      <c r="E18" s="3"/>
      <c r="F18" s="4"/>
      <c r="G18" s="3"/>
      <c r="H18" s="4"/>
    </row>
    <row r="19" spans="1:8">
      <c r="A19" s="6"/>
      <c r="B19" s="4"/>
      <c r="C19" s="3"/>
      <c r="D19" s="4"/>
      <c r="E19" s="3"/>
      <c r="F19" s="4"/>
      <c r="G19" s="3"/>
      <c r="H19" s="4"/>
    </row>
    <row r="20" spans="1:8">
      <c r="A20" s="6"/>
      <c r="B20" s="4"/>
      <c r="C20" s="3"/>
      <c r="D20" s="4"/>
      <c r="E20" s="3"/>
      <c r="F20" s="4"/>
      <c r="G20" s="3"/>
      <c r="H20" s="4"/>
    </row>
    <row r="21" spans="1:8">
      <c r="A21" s="6"/>
      <c r="B21" s="4"/>
      <c r="C21" s="3"/>
      <c r="D21" s="4"/>
      <c r="E21" s="3"/>
      <c r="F21" s="4"/>
      <c r="G21" s="3"/>
      <c r="H21" s="4"/>
    </row>
    <row r="22" spans="1:8">
      <c r="A22" s="6"/>
      <c r="B22" s="4"/>
      <c r="C22" s="3"/>
      <c r="D22" s="4"/>
      <c r="E22" s="3"/>
      <c r="F22" s="4"/>
      <c r="G22" s="3"/>
      <c r="H22" s="4"/>
    </row>
    <row r="23" spans="1:8">
      <c r="A23" s="6"/>
      <c r="B23" s="4"/>
      <c r="C23" s="3"/>
      <c r="D23" s="4"/>
      <c r="E23" s="3"/>
      <c r="F23" s="4"/>
      <c r="G23" s="3"/>
      <c r="H23" s="4"/>
    </row>
    <row r="24" spans="1:8">
      <c r="A24" s="6"/>
      <c r="B24" s="4"/>
      <c r="C24" s="3"/>
      <c r="D24" s="4"/>
      <c r="E24" s="3"/>
      <c r="F24" s="4"/>
      <c r="G24" s="3"/>
      <c r="H24" s="4"/>
    </row>
    <row r="25" spans="1:8">
      <c r="A25" s="6"/>
      <c r="B25" s="4"/>
      <c r="C25" s="3"/>
      <c r="D25" s="4"/>
      <c r="E25" s="3"/>
      <c r="F25" s="4"/>
      <c r="G25" s="3"/>
      <c r="H25" s="4"/>
    </row>
    <row r="26" spans="1:8" ht="15.75" thickBot="1">
      <c r="A26" s="7"/>
      <c r="B26" s="5"/>
      <c r="C26" s="8"/>
      <c r="D26" s="5"/>
      <c r="E26" s="8"/>
      <c r="F26" s="5"/>
      <c r="G26" s="8"/>
      <c r="H26" s="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3.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FLC_SAR_refgen</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Cohen, Cfir</cp:lastModifiedBy>
  <dcterms:created xsi:type="dcterms:W3CDTF">2011-12-18T09:45:58Z</dcterms:created>
  <dcterms:modified xsi:type="dcterms:W3CDTF">2019-12-16T09:18:18Z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2019-12-16 09:18:17Z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